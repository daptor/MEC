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retro  pc\Desktop\FEDERACION\3 Tesoreria Actual\"/>
    </mc:Choice>
  </mc:AlternateContent>
  <xr:revisionPtr revIDLastSave="0" documentId="13_ncr:1_{D38CA434-74C8-41C0-8D7C-58F278208332}" xr6:coauthVersionLast="47" xr6:coauthVersionMax="47" xr10:uidLastSave="{00000000-0000-0000-0000-000000000000}"/>
  <bookViews>
    <workbookView xWindow="-120" yWindow="-120" windowWidth="20730" windowHeight="11310" tabRatio="833" firstSheet="1" activeTab="1" xr2:uid="{00000000-000D-0000-FFFF-FFFF00000000}"/>
  </bookViews>
  <sheets>
    <sheet name="Registros" sheetId="35" state="hidden" r:id="rId1"/>
    <sheet name="MOSTRAR" sheetId="29" r:id="rId2"/>
    <sheet name="multas falabella" sheetId="48" state="hidden" r:id="rId3"/>
    <sheet name="CCF" sheetId="37" state="hidden" r:id="rId4"/>
    <sheet name="PLAN" sheetId="3" state="hidden" r:id="rId5"/>
    <sheet name="RUTA" sheetId="24" state="hidden" r:id="rId6"/>
    <sheet name="CARTOLA" sheetId="4" state="hidden" r:id="rId7"/>
    <sheet name="iquique" sheetId="40" state="hidden" r:id="rId8"/>
    <sheet name="DIRECTOR" sheetId="7" state="hidden" r:id="rId9"/>
    <sheet name="Data" sheetId="47" state="hidden" r:id="rId10"/>
    <sheet name="Pago abr 25" sheetId="39" state="hidden" r:id="rId11"/>
    <sheet name="REUNION" sheetId="1" state="hidden" r:id="rId12"/>
    <sheet name="Plenaria Concepcion" sheetId="41" state="hidden" r:id="rId13"/>
    <sheet name="VIATICOS" sheetId="6" state="hidden" r:id="rId14"/>
    <sheet name="GASTODIR" sheetId="33" state="hidden" r:id="rId15"/>
    <sheet name="RENDICION" sheetId="28" state="hidden" r:id="rId16"/>
    <sheet name="APORTE" sheetId="36" state="hidden" r:id="rId17"/>
    <sheet name="PLENARIA" sheetId="14" state="hidden" r:id="rId18"/>
    <sheet name="SOCIOS" sheetId="26" state="hidden" r:id="rId19"/>
    <sheet name="CHEQUE" sheetId="34" state="hidden" r:id="rId20"/>
    <sheet name="BOLETAS" sheetId="32" state="hidden" r:id="rId21"/>
    <sheet name="depositos" sheetId="38" state="hidden" r:id="rId22"/>
    <sheet name="DEUDAS" sheetId="45" state="hidden" r:id="rId23"/>
  </sheets>
  <externalReferences>
    <externalReference r:id="rId24"/>
  </externalReferences>
  <definedNames>
    <definedName name="_am1" localSheetId="16">#REF!</definedName>
    <definedName name="_am1" localSheetId="20">#REF!</definedName>
    <definedName name="_am1" localSheetId="19">#REF!</definedName>
    <definedName name="_am1" localSheetId="22">#REF!</definedName>
    <definedName name="_am1" localSheetId="8">#REF!</definedName>
    <definedName name="_am1" localSheetId="14">#REF!</definedName>
    <definedName name="_am1">#REF!</definedName>
    <definedName name="_xlnm._FilterDatabase" localSheetId="16" hidden="1">APORTE!$A$2:$G$60</definedName>
    <definedName name="_xlnm._FilterDatabase" localSheetId="6" hidden="1">CARTOLA!$A$2:$N$35</definedName>
    <definedName name="_xlnm._FilterDatabase" localSheetId="19" hidden="1">CHEQUE!$A$2:$K$2</definedName>
    <definedName name="_xlnm._FilterDatabase" localSheetId="9" hidden="1">Data!$A$11:$H$83</definedName>
    <definedName name="_xlnm._FilterDatabase" localSheetId="8" hidden="1">DIRECTOR!$A$1:$J$122</definedName>
    <definedName name="_xlnm._FilterDatabase" localSheetId="14" hidden="1">GASTODIR!$A$2:$N$200</definedName>
    <definedName name="_xlnm._FilterDatabase" localSheetId="2" hidden="1">'multas falabella'!$A$2:$J$1002</definedName>
    <definedName name="_tax1" localSheetId="16">#REF!</definedName>
    <definedName name="_tax1" localSheetId="3">#REF!</definedName>
    <definedName name="_tax1" localSheetId="22">#REF!</definedName>
    <definedName name="_tax1" localSheetId="8">#REF!</definedName>
    <definedName name="_tax1" localSheetId="17">#REF!</definedName>
    <definedName name="_tax1">#REF!</definedName>
    <definedName name="_tax2" localSheetId="22">#REF!</definedName>
    <definedName name="_tax2" localSheetId="8">#REF!</definedName>
    <definedName name="_tax2">#REF!</definedName>
    <definedName name="_tax3" localSheetId="22">#REF!</definedName>
    <definedName name="_tax3" localSheetId="8">#REF!</definedName>
    <definedName name="_tax3">#REF!</definedName>
    <definedName name="_tax4" localSheetId="22">#REF!</definedName>
    <definedName name="_tax4" localSheetId="8">#REF!</definedName>
    <definedName name="_tax4">#REF!</definedName>
    <definedName name="_xlnm.Print_Area" localSheetId="20">BOLETAS!#REF!</definedName>
    <definedName name="_xlnm.Print_Area" localSheetId="6">CARTOLA!$B$1:$Q$115</definedName>
    <definedName name="_xlnm.Print_Area" localSheetId="3">CCF!#REF!</definedName>
    <definedName name="_xlnm.Print_Area" localSheetId="19">CHEQUE!$B$2:$J$2</definedName>
    <definedName name="_xlnm.Print_Area" localSheetId="8">DIRECTOR!$A$1:$N$72</definedName>
    <definedName name="_xlnm.Print_Area" localSheetId="14">GASTODIR!$A$1:$N$2</definedName>
    <definedName name="_xlnm.Print_Area" localSheetId="4">PLAN!$B$1:$K$112</definedName>
    <definedName name="_xlnm.Print_Area" localSheetId="17">PLENARIA!#REF!</definedName>
    <definedName name="_xlnm.Print_Area" localSheetId="15">RENDICION!#REF!</definedName>
    <definedName name="_xlnm.Print_Area" localSheetId="11">REUNION!$A$2:$O$2</definedName>
    <definedName name="_xlnm.Print_Area" localSheetId="5">RUTA!$B$1:$AR$54</definedName>
    <definedName name="Área_de_muestra_2" localSheetId="16">#REF!</definedName>
    <definedName name="Área_de_muestra_2" localSheetId="3">#REF!</definedName>
    <definedName name="Área_de_muestra_2" localSheetId="22">#REF!</definedName>
    <definedName name="Área_de_muestra_2" localSheetId="8">#REF!</definedName>
    <definedName name="Área_de_muestra_2" localSheetId="17">#REF!</definedName>
    <definedName name="Área_de_muestra_2">#REF!</definedName>
    <definedName name="bbb" localSheetId="22">#REF!</definedName>
    <definedName name="bbb" localSheetId="8">#REF!</definedName>
    <definedName name="bbb">#REF!</definedName>
    <definedName name="boxes" localSheetId="22">#REF!</definedName>
    <definedName name="boxes" localSheetId="8">#REF!</definedName>
    <definedName name="boxes">#REF!</definedName>
    <definedName name="button_area_1" localSheetId="22">#REF!</definedName>
    <definedName name="button_area_1" localSheetId="8">#REF!</definedName>
    <definedName name="button_area_1">#REF!</definedName>
    <definedName name="CCT" localSheetId="22">#REF!</definedName>
    <definedName name="CCT" localSheetId="8">#REF!</definedName>
    <definedName name="CCT">#REF!</definedName>
    <definedName name="celltips_area" localSheetId="22">#REF!</definedName>
    <definedName name="celltips_area" localSheetId="8">#REF!</definedName>
    <definedName name="celltips_area">#REF!</definedName>
    <definedName name="data1" localSheetId="22">#REF!</definedName>
    <definedName name="data1" localSheetId="8">#REF!</definedName>
    <definedName name="data1">#REF!</definedName>
    <definedName name="data10" localSheetId="22">#REF!</definedName>
    <definedName name="data10" localSheetId="8">#REF!</definedName>
    <definedName name="data10">#REF!</definedName>
    <definedName name="data11" localSheetId="22">#REF!</definedName>
    <definedName name="data11" localSheetId="8">#REF!</definedName>
    <definedName name="data11">#REF!</definedName>
    <definedName name="data12" localSheetId="22">#REF!</definedName>
    <definedName name="data12" localSheetId="8">#REF!</definedName>
    <definedName name="data12">#REF!</definedName>
    <definedName name="data13" localSheetId="22">#REF!</definedName>
    <definedName name="data13" localSheetId="8">#REF!</definedName>
    <definedName name="data13">#REF!</definedName>
    <definedName name="data14" localSheetId="22">#REF!</definedName>
    <definedName name="data14" localSheetId="8">#REF!</definedName>
    <definedName name="data14">#REF!</definedName>
    <definedName name="data15" localSheetId="22">#REF!</definedName>
    <definedName name="data15" localSheetId="8">#REF!</definedName>
    <definedName name="data15">#REF!</definedName>
    <definedName name="data16" localSheetId="22">#REF!</definedName>
    <definedName name="data16" localSheetId="8">#REF!</definedName>
    <definedName name="data16">#REF!</definedName>
    <definedName name="data17" localSheetId="22">#REF!</definedName>
    <definedName name="data17" localSheetId="8">#REF!</definedName>
    <definedName name="data17">#REF!</definedName>
    <definedName name="data18" localSheetId="22">#REF!</definedName>
    <definedName name="data18" localSheetId="8">#REF!</definedName>
    <definedName name="data18">#REF!</definedName>
    <definedName name="data19" localSheetId="22">#REF!</definedName>
    <definedName name="data19" localSheetId="8">#REF!</definedName>
    <definedName name="data19">#REF!</definedName>
    <definedName name="data2" localSheetId="22">#REF!</definedName>
    <definedName name="data2" localSheetId="8">#REF!</definedName>
    <definedName name="data2">#REF!</definedName>
    <definedName name="data20" localSheetId="22">#REF!</definedName>
    <definedName name="data20" localSheetId="8">#REF!</definedName>
    <definedName name="data20">#REF!</definedName>
    <definedName name="data21" localSheetId="22">#REF!</definedName>
    <definedName name="data21" localSheetId="8">#REF!</definedName>
    <definedName name="data21">#REF!</definedName>
    <definedName name="data22" localSheetId="22">#REF!</definedName>
    <definedName name="data22" localSheetId="8">#REF!</definedName>
    <definedName name="data22">#REF!</definedName>
    <definedName name="data23" localSheetId="22">#REF!</definedName>
    <definedName name="data23" localSheetId="8">#REF!</definedName>
    <definedName name="data23">#REF!</definedName>
    <definedName name="data24" localSheetId="22">#REF!</definedName>
    <definedName name="data24" localSheetId="8">#REF!</definedName>
    <definedName name="data24">#REF!</definedName>
    <definedName name="data25" localSheetId="22">#REF!</definedName>
    <definedName name="data25" localSheetId="8">#REF!</definedName>
    <definedName name="data25">#REF!</definedName>
    <definedName name="data26" localSheetId="22">#REF!</definedName>
    <definedName name="data26" localSheetId="8">#REF!</definedName>
    <definedName name="data26">#REF!</definedName>
    <definedName name="data27" localSheetId="22">#REF!</definedName>
    <definedName name="data27" localSheetId="8">#REF!</definedName>
    <definedName name="data27">#REF!</definedName>
    <definedName name="data28" localSheetId="22">#REF!</definedName>
    <definedName name="data28" localSheetId="8">#REF!</definedName>
    <definedName name="data28">#REF!</definedName>
    <definedName name="data29" localSheetId="22">#REF!</definedName>
    <definedName name="data29" localSheetId="8">#REF!</definedName>
    <definedName name="data29">#REF!</definedName>
    <definedName name="data3" localSheetId="22">#REF!</definedName>
    <definedName name="data3" localSheetId="8">#REF!</definedName>
    <definedName name="data3">#REF!</definedName>
    <definedName name="data30" localSheetId="22">#REF!</definedName>
    <definedName name="data30" localSheetId="8">#REF!</definedName>
    <definedName name="data30">#REF!</definedName>
    <definedName name="data31" localSheetId="22">#REF!</definedName>
    <definedName name="data31" localSheetId="8">#REF!</definedName>
    <definedName name="data31">#REF!</definedName>
    <definedName name="data32" localSheetId="22">#REF!</definedName>
    <definedName name="data32" localSheetId="8">#REF!</definedName>
    <definedName name="data32">#REF!</definedName>
    <definedName name="data33" localSheetId="22">#REF!</definedName>
    <definedName name="data33" localSheetId="8">#REF!</definedName>
    <definedName name="data33">#REF!</definedName>
    <definedName name="data34" localSheetId="22">#REF!</definedName>
    <definedName name="data34" localSheetId="8">#REF!</definedName>
    <definedName name="data34">#REF!</definedName>
    <definedName name="data35" localSheetId="22">#REF!</definedName>
    <definedName name="data35" localSheetId="8">#REF!</definedName>
    <definedName name="data35">#REF!</definedName>
    <definedName name="data36" localSheetId="22">#REF!</definedName>
    <definedName name="data36" localSheetId="8">#REF!</definedName>
    <definedName name="data36">#REF!</definedName>
    <definedName name="data37" localSheetId="22">#REF!</definedName>
    <definedName name="data37" localSheetId="8">#REF!</definedName>
    <definedName name="data37">#REF!</definedName>
    <definedName name="data38" localSheetId="22">#REF!</definedName>
    <definedName name="data38" localSheetId="8">#REF!</definedName>
    <definedName name="data38">#REF!</definedName>
    <definedName name="data39" localSheetId="22">#REF!</definedName>
    <definedName name="data39" localSheetId="8">#REF!</definedName>
    <definedName name="data39">#REF!</definedName>
    <definedName name="data4" localSheetId="22">#REF!</definedName>
    <definedName name="data4" localSheetId="8">#REF!</definedName>
    <definedName name="data4">#REF!</definedName>
    <definedName name="data40" localSheetId="22">#REF!</definedName>
    <definedName name="data40" localSheetId="8">#REF!</definedName>
    <definedName name="data40">#REF!</definedName>
    <definedName name="data41" localSheetId="22">#REF!</definedName>
    <definedName name="data41" localSheetId="8">#REF!</definedName>
    <definedName name="data41">#REF!</definedName>
    <definedName name="data42" localSheetId="22">#REF!</definedName>
    <definedName name="data42" localSheetId="8">#REF!</definedName>
    <definedName name="data42">#REF!</definedName>
    <definedName name="data43" localSheetId="22">#REF!</definedName>
    <definedName name="data43" localSheetId="8">#REF!</definedName>
    <definedName name="data43">#REF!</definedName>
    <definedName name="data44" localSheetId="22">#REF!</definedName>
    <definedName name="data44" localSheetId="8">#REF!</definedName>
    <definedName name="data44">#REF!</definedName>
    <definedName name="data45" localSheetId="22">#REF!</definedName>
    <definedName name="data45" localSheetId="8">#REF!</definedName>
    <definedName name="data45">#REF!</definedName>
    <definedName name="data46" localSheetId="22">#REF!</definedName>
    <definedName name="data46" localSheetId="8">#REF!</definedName>
    <definedName name="data46">#REF!</definedName>
    <definedName name="data47" localSheetId="22">#REF!</definedName>
    <definedName name="data47" localSheetId="8">#REF!</definedName>
    <definedName name="data47">#REF!</definedName>
    <definedName name="data48" localSheetId="22">#REF!</definedName>
    <definedName name="data48" localSheetId="8">#REF!</definedName>
    <definedName name="data48">#REF!</definedName>
    <definedName name="data49" localSheetId="22">#REF!</definedName>
    <definedName name="data49" localSheetId="8">#REF!</definedName>
    <definedName name="data49">#REF!</definedName>
    <definedName name="data5" localSheetId="22">#REF!</definedName>
    <definedName name="data5" localSheetId="8">#REF!</definedName>
    <definedName name="data5">#REF!</definedName>
    <definedName name="data50" localSheetId="22">#REF!</definedName>
    <definedName name="data50" localSheetId="8">#REF!</definedName>
    <definedName name="data50">#REF!</definedName>
    <definedName name="data51" localSheetId="22">#REF!</definedName>
    <definedName name="data51" localSheetId="8">#REF!</definedName>
    <definedName name="data51">#REF!</definedName>
    <definedName name="data52" localSheetId="22">#REF!</definedName>
    <definedName name="data52" localSheetId="8">#REF!</definedName>
    <definedName name="data52">#REF!</definedName>
    <definedName name="data53" localSheetId="22">#REF!</definedName>
    <definedName name="data53" localSheetId="8">#REF!</definedName>
    <definedName name="data53">#REF!</definedName>
    <definedName name="data54" localSheetId="22">#REF!</definedName>
    <definedName name="data54" localSheetId="8">#REF!</definedName>
    <definedName name="data54">#REF!</definedName>
    <definedName name="data55" localSheetId="22">#REF!</definedName>
    <definedName name="data55" localSheetId="8">#REF!</definedName>
    <definedName name="data55">#REF!</definedName>
    <definedName name="data56" localSheetId="22">#REF!</definedName>
    <definedName name="data56" localSheetId="8">#REF!</definedName>
    <definedName name="data56">#REF!</definedName>
    <definedName name="data57" localSheetId="22">#REF!</definedName>
    <definedName name="data57" localSheetId="8">#REF!</definedName>
    <definedName name="data57">#REF!</definedName>
    <definedName name="data58" localSheetId="22">#REF!</definedName>
    <definedName name="data58" localSheetId="8">#REF!</definedName>
    <definedName name="data58">#REF!</definedName>
    <definedName name="data59" localSheetId="22">#REF!</definedName>
    <definedName name="data59" localSheetId="8">#REF!</definedName>
    <definedName name="data59">#REF!</definedName>
    <definedName name="data6" localSheetId="22">#REF!</definedName>
    <definedName name="data6" localSheetId="8">#REF!</definedName>
    <definedName name="data6">#REF!</definedName>
    <definedName name="data60" localSheetId="22">#REF!</definedName>
    <definedName name="data60" localSheetId="8">#REF!</definedName>
    <definedName name="data60">#REF!</definedName>
    <definedName name="data61" localSheetId="22">#REF!</definedName>
    <definedName name="data61" localSheetId="8">#REF!</definedName>
    <definedName name="data61">#REF!</definedName>
    <definedName name="data62" localSheetId="22">#REF!</definedName>
    <definedName name="data62" localSheetId="8">#REF!</definedName>
    <definedName name="data62">#REF!</definedName>
    <definedName name="data63" localSheetId="22">#REF!</definedName>
    <definedName name="data63" localSheetId="8">#REF!</definedName>
    <definedName name="data63">#REF!</definedName>
    <definedName name="data64" localSheetId="22">#REF!</definedName>
    <definedName name="data64" localSheetId="8">#REF!</definedName>
    <definedName name="data64">#REF!</definedName>
    <definedName name="data65" localSheetId="22">#REF!</definedName>
    <definedName name="data65" localSheetId="8">#REF!</definedName>
    <definedName name="data65">#REF!</definedName>
    <definedName name="data66" localSheetId="22">#REF!</definedName>
    <definedName name="data66" localSheetId="8">#REF!</definedName>
    <definedName name="data66">#REF!</definedName>
    <definedName name="data67" localSheetId="22">#REF!</definedName>
    <definedName name="data67" localSheetId="8">#REF!</definedName>
    <definedName name="data67">#REF!</definedName>
    <definedName name="data68" localSheetId="22">#REF!</definedName>
    <definedName name="data68" localSheetId="8">#REF!</definedName>
    <definedName name="data68">#REF!</definedName>
    <definedName name="data69" localSheetId="22">#REF!</definedName>
    <definedName name="data69" localSheetId="8">#REF!</definedName>
    <definedName name="data69">#REF!</definedName>
    <definedName name="data7" localSheetId="22">#REF!</definedName>
    <definedName name="data7" localSheetId="8">#REF!</definedName>
    <definedName name="data7">#REF!</definedName>
    <definedName name="data70" localSheetId="22">#REF!</definedName>
    <definedName name="data70" localSheetId="8">#REF!</definedName>
    <definedName name="data70">#REF!</definedName>
    <definedName name="data8" localSheetId="22">#REF!</definedName>
    <definedName name="data8" localSheetId="8">#REF!</definedName>
    <definedName name="data8">#REF!</definedName>
    <definedName name="data9" localSheetId="22">#REF!</definedName>
    <definedName name="data9" localSheetId="8">#REF!</definedName>
    <definedName name="data9">#REF!</definedName>
    <definedName name="nnn" localSheetId="22">#REF!</definedName>
    <definedName name="nnn" localSheetId="8">#REF!</definedName>
    <definedName name="nnn">#REF!</definedName>
    <definedName name="NO" localSheetId="22">#REF!</definedName>
    <definedName name="NO" localSheetId="8">#REF!</definedName>
    <definedName name="NO">#REF!</definedName>
    <definedName name="qzqzqz10" localSheetId="22">#REF!</definedName>
    <definedName name="qzqzqz10" localSheetId="8">#REF!</definedName>
    <definedName name="qzqzqz10">#REF!</definedName>
    <definedName name="qzqzqz11" localSheetId="22">#REF!</definedName>
    <definedName name="qzqzqz11" localSheetId="8">#REF!</definedName>
    <definedName name="qzqzqz11">#REF!</definedName>
    <definedName name="qzqzqz12" localSheetId="22">#REF!</definedName>
    <definedName name="qzqzqz12" localSheetId="8">#REF!</definedName>
    <definedName name="qzqzqz12">#REF!</definedName>
    <definedName name="qzqzqz13" localSheetId="22">#REF!</definedName>
    <definedName name="qzqzqz13" localSheetId="8">#REF!</definedName>
    <definedName name="qzqzqz13">#REF!</definedName>
    <definedName name="qzqzqz14" localSheetId="22">#REF!</definedName>
    <definedName name="qzqzqz14" localSheetId="8">#REF!</definedName>
    <definedName name="qzqzqz14">#REF!</definedName>
    <definedName name="qzqzqz15" localSheetId="22">#REF!</definedName>
    <definedName name="qzqzqz15" localSheetId="8">#REF!</definedName>
    <definedName name="qzqzqz15">#REF!</definedName>
    <definedName name="qzqzqz16" localSheetId="22">#REF!</definedName>
    <definedName name="qzqzqz16" localSheetId="8">#REF!</definedName>
    <definedName name="qzqzqz16">#REF!</definedName>
    <definedName name="qzqzqz17" localSheetId="22">#REF!</definedName>
    <definedName name="qzqzqz17" localSheetId="8">#REF!</definedName>
    <definedName name="qzqzqz17">#REF!</definedName>
    <definedName name="qzqzqz18" localSheetId="22">#REF!</definedName>
    <definedName name="qzqzqz18" localSheetId="8">#REF!</definedName>
    <definedName name="qzqzqz18">#REF!</definedName>
    <definedName name="qzqzqz19" localSheetId="22">#REF!</definedName>
    <definedName name="qzqzqz19" localSheetId="8">#REF!</definedName>
    <definedName name="qzqzqz19">#REF!</definedName>
    <definedName name="qzqzqz20" localSheetId="22">#REF!</definedName>
    <definedName name="qzqzqz20" localSheetId="8">#REF!</definedName>
    <definedName name="qzqzqz20">#REF!</definedName>
    <definedName name="qzqzqz21" localSheetId="22">#REF!</definedName>
    <definedName name="qzqzqz21" localSheetId="8">#REF!</definedName>
    <definedName name="qzqzqz21">#REF!</definedName>
    <definedName name="qzqzqz22" localSheetId="22">#REF!</definedName>
    <definedName name="qzqzqz22" localSheetId="8">#REF!</definedName>
    <definedName name="qzqzqz22">#REF!</definedName>
    <definedName name="qzqzqz23" localSheetId="22">#REF!</definedName>
    <definedName name="qzqzqz23" localSheetId="8">#REF!</definedName>
    <definedName name="qzqzqz23">#REF!</definedName>
    <definedName name="qzqzqz24" localSheetId="22">#REF!</definedName>
    <definedName name="qzqzqz24" localSheetId="8">#REF!</definedName>
    <definedName name="qzqzqz24">#REF!</definedName>
    <definedName name="qzqzqz25" localSheetId="22">#REF!</definedName>
    <definedName name="qzqzqz25" localSheetId="8">#REF!</definedName>
    <definedName name="qzqzqz25">#REF!</definedName>
    <definedName name="qzqzqz26" localSheetId="22">#REF!</definedName>
    <definedName name="qzqzqz26" localSheetId="8">#REF!</definedName>
    <definedName name="qzqzqz26">#REF!</definedName>
    <definedName name="qzqzqz27" localSheetId="22">#REF!</definedName>
    <definedName name="qzqzqz27" localSheetId="8">#REF!</definedName>
    <definedName name="qzqzqz27">#REF!</definedName>
    <definedName name="qzqzqz28" localSheetId="22">#REF!</definedName>
    <definedName name="qzqzqz28" localSheetId="8">#REF!</definedName>
    <definedName name="qzqzqz28">#REF!</definedName>
    <definedName name="qzqzqz29" localSheetId="22">#REF!</definedName>
    <definedName name="qzqzqz29" localSheetId="8">#REF!</definedName>
    <definedName name="qzqzqz29">#REF!</definedName>
    <definedName name="qzqzqz30" localSheetId="22">#REF!</definedName>
    <definedName name="qzqzqz30" localSheetId="8">#REF!</definedName>
    <definedName name="qzqzqz30">#REF!</definedName>
    <definedName name="qzqzqz31" localSheetId="22">#REF!</definedName>
    <definedName name="qzqzqz31" localSheetId="8">#REF!</definedName>
    <definedName name="qzqzqz31">#REF!</definedName>
    <definedName name="qzqzqz32" localSheetId="22">#REF!</definedName>
    <definedName name="qzqzqz32" localSheetId="8">#REF!</definedName>
    <definedName name="qzqzqz32">#REF!</definedName>
    <definedName name="qzqzqz6" localSheetId="22">#REF!</definedName>
    <definedName name="qzqzqz6" localSheetId="8">#REF!</definedName>
    <definedName name="qzqzqz6">#REF!</definedName>
    <definedName name="qzqzqz7" localSheetId="22">#REF!</definedName>
    <definedName name="qzqzqz7" localSheetId="8">#REF!</definedName>
    <definedName name="qzqzqz7">#REF!</definedName>
    <definedName name="qzqzqz8" localSheetId="22">#REF!</definedName>
    <definedName name="qzqzqz8" localSheetId="8">#REF!</definedName>
    <definedName name="qzqzqz8">#REF!</definedName>
    <definedName name="qzqzqz9" localSheetId="22">#REF!</definedName>
    <definedName name="qzqzqz9" localSheetId="8">#REF!</definedName>
    <definedName name="qzqzqz9">#REF!</definedName>
    <definedName name="sueldo">[1]VENTAS!$B$37,[1]VENTAS!$G$37,[1]VENTAS!$L$37,[1]VENTAS!$Q$37,[1]VENTAS!$V$37,[1]VENTAS!$AA$37,[1]VENTAS!$AF$37,[1]VENTAS!$AK$37,[1]VENTAS!$AP$37,[1]VENTAS!$AU$37,[1]VENTAS!$AZ$37,[1]VENTAS!$BE$37,[1]VENTAS!$BJ$37</definedName>
    <definedName name="TOT" localSheetId="22">#REF!</definedName>
    <definedName name="TOT" localSheetId="8">#REF!</definedName>
    <definedName name="TOT" localSheetId="17">#REF!</definedName>
    <definedName name="TO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34" i="1" l="1"/>
  <c r="L35" i="1"/>
  <c r="L36" i="1"/>
  <c r="L37" i="1"/>
  <c r="L38" i="1"/>
  <c r="L39" i="1"/>
  <c r="L40" i="1"/>
  <c r="L41" i="1"/>
  <c r="L42" i="1"/>
  <c r="L43" i="1"/>
  <c r="L44" i="1"/>
  <c r="L45" i="1"/>
  <c r="L46" i="1"/>
  <c r="L47" i="1"/>
  <c r="L48" i="1"/>
  <c r="L49" i="1"/>
  <c r="L50" i="1"/>
  <c r="L51" i="1"/>
  <c r="L52" i="1"/>
  <c r="L53" i="1"/>
  <c r="L54" i="1"/>
  <c r="L55" i="1"/>
  <c r="L56" i="1"/>
  <c r="E77" i="7"/>
  <c r="J43" i="4"/>
  <c r="J42" i="4"/>
  <c r="J41" i="4"/>
  <c r="J40" i="4"/>
  <c r="J38" i="4"/>
  <c r="J37" i="4"/>
  <c r="E76" i="7"/>
  <c r="J71" i="4"/>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I97" i="48"/>
  <c r="I98" i="48"/>
  <c r="I99" i="48"/>
  <c r="I100" i="48"/>
  <c r="I101" i="48"/>
  <c r="I102" i="48"/>
  <c r="I103" i="48"/>
  <c r="I104" i="48"/>
  <c r="I105" i="48"/>
  <c r="I106" i="48"/>
  <c r="I107" i="48"/>
  <c r="I108" i="48"/>
  <c r="I109" i="48"/>
  <c r="I110" i="48"/>
  <c r="I111" i="48"/>
  <c r="I112" i="48"/>
  <c r="I113" i="48"/>
  <c r="I114" i="48"/>
  <c r="I115" i="48"/>
  <c r="I116" i="48"/>
  <c r="I117" i="48"/>
  <c r="I118" i="48"/>
  <c r="I119" i="48"/>
  <c r="I120" i="48"/>
  <c r="I121" i="48"/>
  <c r="I122" i="48"/>
  <c r="I123" i="48"/>
  <c r="I124" i="48"/>
  <c r="I125" i="48"/>
  <c r="I126" i="48"/>
  <c r="I127" i="48"/>
  <c r="I128" i="48"/>
  <c r="I129" i="48"/>
  <c r="I130" i="48"/>
  <c r="I131" i="48"/>
  <c r="I132" i="48"/>
  <c r="I133" i="48"/>
  <c r="I134" i="48"/>
  <c r="I135" i="48"/>
  <c r="I136" i="48"/>
  <c r="I137" i="48"/>
  <c r="I138" i="48"/>
  <c r="I139" i="48"/>
  <c r="I140" i="48"/>
  <c r="I141" i="48"/>
  <c r="I142" i="48"/>
  <c r="I143" i="48"/>
  <c r="I144" i="48"/>
  <c r="I145" i="48"/>
  <c r="I146" i="48"/>
  <c r="I147" i="48"/>
  <c r="I148" i="48"/>
  <c r="I149" i="48"/>
  <c r="I150" i="48"/>
  <c r="I151" i="48"/>
  <c r="I152" i="48"/>
  <c r="I153" i="48"/>
  <c r="I154" i="48"/>
  <c r="I155" i="48"/>
  <c r="I156" i="48"/>
  <c r="I157" i="48"/>
  <c r="I158" i="48"/>
  <c r="I159" i="48"/>
  <c r="I160" i="48"/>
  <c r="I161" i="48"/>
  <c r="I162" i="48"/>
  <c r="I163" i="48"/>
  <c r="I164" i="48"/>
  <c r="I165" i="48"/>
  <c r="I166" i="48"/>
  <c r="I167" i="48"/>
  <c r="I168" i="48"/>
  <c r="I169" i="48"/>
  <c r="I170" i="48"/>
  <c r="I171" i="48"/>
  <c r="I172" i="48"/>
  <c r="I173" i="48"/>
  <c r="I174" i="48"/>
  <c r="I175" i="48"/>
  <c r="I176" i="48"/>
  <c r="I177" i="48"/>
  <c r="I178" i="48"/>
  <c r="I179" i="48"/>
  <c r="I180" i="48"/>
  <c r="I181" i="48"/>
  <c r="I182" i="48"/>
  <c r="I183" i="48"/>
  <c r="I184" i="48"/>
  <c r="I185" i="48"/>
  <c r="I186" i="48"/>
  <c r="I187" i="48"/>
  <c r="I188" i="48"/>
  <c r="I189" i="48"/>
  <c r="I190" i="48"/>
  <c r="I191" i="48"/>
  <c r="I192" i="48"/>
  <c r="I193" i="48"/>
  <c r="I194" i="48"/>
  <c r="I195" i="48"/>
  <c r="I196" i="48"/>
  <c r="I197" i="48"/>
  <c r="I198" i="48"/>
  <c r="I199" i="48"/>
  <c r="I200" i="48"/>
  <c r="I201" i="48"/>
  <c r="I202" i="48"/>
  <c r="I203" i="48"/>
  <c r="I204" i="48"/>
  <c r="I205" i="48"/>
  <c r="I206" i="48"/>
  <c r="I207" i="48"/>
  <c r="I208" i="48"/>
  <c r="I209" i="48"/>
  <c r="I210" i="48"/>
  <c r="I211" i="48"/>
  <c r="I212" i="48"/>
  <c r="I213" i="48"/>
  <c r="I214" i="48"/>
  <c r="I215" i="48"/>
  <c r="I216" i="48"/>
  <c r="I217" i="48"/>
  <c r="I218" i="48"/>
  <c r="I219" i="48"/>
  <c r="I220" i="48"/>
  <c r="I221" i="48"/>
  <c r="I222" i="48"/>
  <c r="I223" i="48"/>
  <c r="I224" i="48"/>
  <c r="I225" i="48"/>
  <c r="I226" i="48"/>
  <c r="I227" i="48"/>
  <c r="I228" i="48"/>
  <c r="I229" i="48"/>
  <c r="I230" i="48"/>
  <c r="I231" i="48"/>
  <c r="I232" i="48"/>
  <c r="I233" i="48"/>
  <c r="I234" i="48"/>
  <c r="I235" i="48"/>
  <c r="I236" i="48"/>
  <c r="I237" i="48"/>
  <c r="I238" i="48"/>
  <c r="I239" i="48"/>
  <c r="I240" i="48"/>
  <c r="I241" i="48"/>
  <c r="I242" i="48"/>
  <c r="I243" i="48"/>
  <c r="I244" i="48"/>
  <c r="I245" i="48"/>
  <c r="I246" i="48"/>
  <c r="I247" i="48"/>
  <c r="I248" i="48"/>
  <c r="I249" i="48"/>
  <c r="I250" i="48"/>
  <c r="I251" i="48"/>
  <c r="I252" i="48"/>
  <c r="I253" i="48"/>
  <c r="I254" i="48"/>
  <c r="I255" i="48"/>
  <c r="I256" i="48"/>
  <c r="I257" i="48"/>
  <c r="I258" i="48"/>
  <c r="I259" i="48"/>
  <c r="I260" i="48"/>
  <c r="I261" i="48"/>
  <c r="I262" i="48"/>
  <c r="I263" i="48"/>
  <c r="I264" i="48"/>
  <c r="I265" i="48"/>
  <c r="I266" i="48"/>
  <c r="I267" i="48"/>
  <c r="I268" i="48"/>
  <c r="I269" i="48"/>
  <c r="I270" i="48"/>
  <c r="I271" i="48"/>
  <c r="I272" i="48"/>
  <c r="I273" i="48"/>
  <c r="I274" i="48"/>
  <c r="I275" i="48"/>
  <c r="I276" i="48"/>
  <c r="I277" i="48"/>
  <c r="I278" i="48"/>
  <c r="I279" i="48"/>
  <c r="I280" i="48"/>
  <c r="I281" i="48"/>
  <c r="I282" i="48"/>
  <c r="I283" i="48"/>
  <c r="I284" i="48"/>
  <c r="I285" i="48"/>
  <c r="I286" i="48"/>
  <c r="I287" i="48"/>
  <c r="I288" i="48"/>
  <c r="I289" i="48"/>
  <c r="I290" i="48"/>
  <c r="I291" i="48"/>
  <c r="I292" i="48"/>
  <c r="I293" i="48"/>
  <c r="I294" i="48"/>
  <c r="I295" i="48"/>
  <c r="I296" i="48"/>
  <c r="I297" i="48"/>
  <c r="I298" i="48"/>
  <c r="I299" i="48"/>
  <c r="I300" i="48"/>
  <c r="I301" i="48"/>
  <c r="I302" i="48"/>
  <c r="I303" i="48"/>
  <c r="I304" i="48"/>
  <c r="I305" i="48"/>
  <c r="I306" i="48"/>
  <c r="I307" i="48"/>
  <c r="I308" i="48"/>
  <c r="I309" i="48"/>
  <c r="I310" i="48"/>
  <c r="I311" i="48"/>
  <c r="I312" i="48"/>
  <c r="I313" i="48"/>
  <c r="I314" i="48"/>
  <c r="I315" i="48"/>
  <c r="I316" i="48"/>
  <c r="I317" i="48"/>
  <c r="I318" i="48"/>
  <c r="I319" i="48"/>
  <c r="I320" i="48"/>
  <c r="I321" i="48"/>
  <c r="I322" i="48"/>
  <c r="I323" i="48"/>
  <c r="I324" i="48"/>
  <c r="I325" i="48"/>
  <c r="I326" i="48"/>
  <c r="I327" i="48"/>
  <c r="I328" i="48"/>
  <c r="I329" i="48"/>
  <c r="I330" i="48"/>
  <c r="I331" i="48"/>
  <c r="I332" i="48"/>
  <c r="I333" i="48"/>
  <c r="I334" i="48"/>
  <c r="I335" i="48"/>
  <c r="I336" i="48"/>
  <c r="I337" i="48"/>
  <c r="I338" i="48"/>
  <c r="I339" i="48"/>
  <c r="I340" i="48"/>
  <c r="I341" i="48"/>
  <c r="I342" i="48"/>
  <c r="I343" i="48"/>
  <c r="I344" i="48"/>
  <c r="I345" i="48"/>
  <c r="I346" i="48"/>
  <c r="I347" i="48"/>
  <c r="I348" i="48"/>
  <c r="I349" i="48"/>
  <c r="I350" i="48"/>
  <c r="I351" i="48"/>
  <c r="I352" i="48"/>
  <c r="I353" i="48"/>
  <c r="I354" i="48"/>
  <c r="I355" i="48"/>
  <c r="I356" i="48"/>
  <c r="I357" i="48"/>
  <c r="I358" i="48"/>
  <c r="I359" i="48"/>
  <c r="I360" i="48"/>
  <c r="I361" i="48"/>
  <c r="I362" i="48"/>
  <c r="I363" i="48"/>
  <c r="I364" i="48"/>
  <c r="I365" i="48"/>
  <c r="I366" i="48"/>
  <c r="I367" i="48"/>
  <c r="I368" i="48"/>
  <c r="I369" i="48"/>
  <c r="I370" i="48"/>
  <c r="I371" i="48"/>
  <c r="I372" i="48"/>
  <c r="I373" i="48"/>
  <c r="I374" i="48"/>
  <c r="I375" i="48"/>
  <c r="I376" i="48"/>
  <c r="I377" i="48"/>
  <c r="I378" i="48"/>
  <c r="I379" i="48"/>
  <c r="I380" i="48"/>
  <c r="I381" i="48"/>
  <c r="I382" i="48"/>
  <c r="I383" i="48"/>
  <c r="I384" i="48"/>
  <c r="I385" i="48"/>
  <c r="I386" i="48"/>
  <c r="I387" i="48"/>
  <c r="I388" i="48"/>
  <c r="I389" i="48"/>
  <c r="I390" i="48"/>
  <c r="I391" i="48"/>
  <c r="I392" i="48"/>
  <c r="I393" i="48"/>
  <c r="I394" i="48"/>
  <c r="I395" i="48"/>
  <c r="I396" i="48"/>
  <c r="I397" i="48"/>
  <c r="I398" i="48"/>
  <c r="I399" i="48"/>
  <c r="I400" i="48"/>
  <c r="I401" i="48"/>
  <c r="I402" i="48"/>
  <c r="I403" i="48"/>
  <c r="I404" i="48"/>
  <c r="I405" i="48"/>
  <c r="I406" i="48"/>
  <c r="I407" i="48"/>
  <c r="I408" i="48"/>
  <c r="I409" i="48"/>
  <c r="I410" i="48"/>
  <c r="I411" i="48"/>
  <c r="I412" i="48"/>
  <c r="I413" i="48"/>
  <c r="I414" i="48"/>
  <c r="I415" i="48"/>
  <c r="I416" i="48"/>
  <c r="I417" i="48"/>
  <c r="I418" i="48"/>
  <c r="I419" i="48"/>
  <c r="I420" i="48"/>
  <c r="I421" i="48"/>
  <c r="I422" i="48"/>
  <c r="I423" i="48"/>
  <c r="I424" i="48"/>
  <c r="I425" i="48"/>
  <c r="I426" i="48"/>
  <c r="I427" i="48"/>
  <c r="I428" i="48"/>
  <c r="I429" i="48"/>
  <c r="I430" i="48"/>
  <c r="I431" i="48"/>
  <c r="I432" i="48"/>
  <c r="I433" i="48"/>
  <c r="I434" i="48"/>
  <c r="I435" i="48"/>
  <c r="I436" i="48"/>
  <c r="I437" i="48"/>
  <c r="I438" i="48"/>
  <c r="I439" i="48"/>
  <c r="I440" i="48"/>
  <c r="I441" i="48"/>
  <c r="I442" i="48"/>
  <c r="I443" i="48"/>
  <c r="I444" i="48"/>
  <c r="I445" i="48"/>
  <c r="I446" i="48"/>
  <c r="I447" i="48"/>
  <c r="I448" i="48"/>
  <c r="I449" i="48"/>
  <c r="I450" i="48"/>
  <c r="I451" i="48"/>
  <c r="I452" i="48"/>
  <c r="I453" i="48"/>
  <c r="I454" i="48"/>
  <c r="I455" i="48"/>
  <c r="I456" i="48"/>
  <c r="I457" i="48"/>
  <c r="I458" i="48"/>
  <c r="I459" i="48"/>
  <c r="I460" i="48"/>
  <c r="I461" i="48"/>
  <c r="I462" i="48"/>
  <c r="I463" i="48"/>
  <c r="I464" i="48"/>
  <c r="I465" i="48"/>
  <c r="I466" i="48"/>
  <c r="I467" i="48"/>
  <c r="I468" i="48"/>
  <c r="I469" i="48"/>
  <c r="I470" i="48"/>
  <c r="I471" i="48"/>
  <c r="I472" i="48"/>
  <c r="I473" i="48"/>
  <c r="I474" i="48"/>
  <c r="I475" i="48"/>
  <c r="I476" i="48"/>
  <c r="I477" i="48"/>
  <c r="I478" i="48"/>
  <c r="I479" i="48"/>
  <c r="I480" i="48"/>
  <c r="I481" i="48"/>
  <c r="I482" i="48"/>
  <c r="I483" i="48"/>
  <c r="I484" i="48"/>
  <c r="I485" i="48"/>
  <c r="I486" i="48"/>
  <c r="I487" i="48"/>
  <c r="I488" i="48"/>
  <c r="I489" i="48"/>
  <c r="I490" i="48"/>
  <c r="I491" i="48"/>
  <c r="I492" i="48"/>
  <c r="I493" i="48"/>
  <c r="I494" i="48"/>
  <c r="I495" i="48"/>
  <c r="I496" i="48"/>
  <c r="I497" i="48"/>
  <c r="I498" i="48"/>
  <c r="I499" i="48"/>
  <c r="I500" i="48"/>
  <c r="I501" i="48"/>
  <c r="I502" i="48"/>
  <c r="I503" i="48"/>
  <c r="I504" i="48"/>
  <c r="I505" i="48"/>
  <c r="I506" i="48"/>
  <c r="I507" i="48"/>
  <c r="I508" i="48"/>
  <c r="I509" i="48"/>
  <c r="I510" i="48"/>
  <c r="I511" i="48"/>
  <c r="I512" i="48"/>
  <c r="I513" i="48"/>
  <c r="I514" i="48"/>
  <c r="I515" i="48"/>
  <c r="I516" i="48"/>
  <c r="I517" i="48"/>
  <c r="I518" i="48"/>
  <c r="I519" i="48"/>
  <c r="I520" i="48"/>
  <c r="I521" i="48"/>
  <c r="I522" i="48"/>
  <c r="I523" i="48"/>
  <c r="I524" i="48"/>
  <c r="I525" i="48"/>
  <c r="I526" i="48"/>
  <c r="I527" i="48"/>
  <c r="I528" i="48"/>
  <c r="I529" i="48"/>
  <c r="I530" i="48"/>
  <c r="I531" i="48"/>
  <c r="I532" i="48"/>
  <c r="I533" i="48"/>
  <c r="I534" i="48"/>
  <c r="I535" i="48"/>
  <c r="I536" i="48"/>
  <c r="I537" i="48"/>
  <c r="I538" i="48"/>
  <c r="I539" i="48"/>
  <c r="I540" i="48"/>
  <c r="I541" i="48"/>
  <c r="I542" i="48"/>
  <c r="I543" i="48"/>
  <c r="I544" i="48"/>
  <c r="I545" i="48"/>
  <c r="I546" i="48"/>
  <c r="I547" i="48"/>
  <c r="I548" i="48"/>
  <c r="I549" i="48"/>
  <c r="I550" i="48"/>
  <c r="I551" i="48"/>
  <c r="I552" i="48"/>
  <c r="I553" i="48"/>
  <c r="I554" i="48"/>
  <c r="I555" i="48"/>
  <c r="I556" i="48"/>
  <c r="I557" i="48"/>
  <c r="I558" i="48"/>
  <c r="I559" i="48"/>
  <c r="I560" i="48"/>
  <c r="I561" i="48"/>
  <c r="I562" i="48"/>
  <c r="I563" i="48"/>
  <c r="I564" i="48"/>
  <c r="I565" i="48"/>
  <c r="I566" i="48"/>
  <c r="I567" i="48"/>
  <c r="I568" i="48"/>
  <c r="I569" i="48"/>
  <c r="I570" i="48"/>
  <c r="I571" i="48"/>
  <c r="I572" i="48"/>
  <c r="I573" i="48"/>
  <c r="I574" i="48"/>
  <c r="I575" i="48"/>
  <c r="I576" i="48"/>
  <c r="I577" i="48"/>
  <c r="I578" i="48"/>
  <c r="I579" i="48"/>
  <c r="I580" i="48"/>
  <c r="I581" i="48"/>
  <c r="I582" i="48"/>
  <c r="I583" i="48"/>
  <c r="I584" i="48"/>
  <c r="I585" i="48"/>
  <c r="I586" i="48"/>
  <c r="I587" i="48"/>
  <c r="I588" i="48"/>
  <c r="I589" i="48"/>
  <c r="I590" i="48"/>
  <c r="I591" i="48"/>
  <c r="I592" i="48"/>
  <c r="I593" i="48"/>
  <c r="I594" i="48"/>
  <c r="I595" i="48"/>
  <c r="I596" i="48"/>
  <c r="I597" i="48"/>
  <c r="I598" i="48"/>
  <c r="I599" i="48"/>
  <c r="I600" i="48"/>
  <c r="I601" i="48"/>
  <c r="I602" i="48"/>
  <c r="I603" i="48"/>
  <c r="I604" i="48"/>
  <c r="I605" i="48"/>
  <c r="I606" i="48"/>
  <c r="I607" i="48"/>
  <c r="I608" i="48"/>
  <c r="I609" i="48"/>
  <c r="I610" i="48"/>
  <c r="I611" i="48"/>
  <c r="I612" i="48"/>
  <c r="I613" i="48"/>
  <c r="I614" i="48"/>
  <c r="I615" i="48"/>
  <c r="I616" i="48"/>
  <c r="I617" i="48"/>
  <c r="I618" i="48"/>
  <c r="I619" i="48"/>
  <c r="I620" i="48"/>
  <c r="I621" i="48"/>
  <c r="I622" i="48"/>
  <c r="I623" i="48"/>
  <c r="I624" i="48"/>
  <c r="I625" i="48"/>
  <c r="I626" i="48"/>
  <c r="I627" i="48"/>
  <c r="I628" i="48"/>
  <c r="I629" i="48"/>
  <c r="I630" i="48"/>
  <c r="I631" i="48"/>
  <c r="I632" i="48"/>
  <c r="I633" i="48"/>
  <c r="I634" i="48"/>
  <c r="I635" i="48"/>
  <c r="I636" i="48"/>
  <c r="I637" i="48"/>
  <c r="I638" i="48"/>
  <c r="I639" i="48"/>
  <c r="I640" i="48"/>
  <c r="I641" i="48"/>
  <c r="I642" i="48"/>
  <c r="I643" i="48"/>
  <c r="I644" i="48"/>
  <c r="I645" i="48"/>
  <c r="I646" i="48"/>
  <c r="I647" i="48"/>
  <c r="I648" i="48"/>
  <c r="I649" i="48"/>
  <c r="I650" i="48"/>
  <c r="I651" i="48"/>
  <c r="I652" i="48"/>
  <c r="I653" i="48"/>
  <c r="I654" i="48"/>
  <c r="I655" i="48"/>
  <c r="I656" i="48"/>
  <c r="I657" i="48"/>
  <c r="I658" i="48"/>
  <c r="I659" i="48"/>
  <c r="I660" i="48"/>
  <c r="I661" i="48"/>
  <c r="I662" i="48"/>
  <c r="I663" i="48"/>
  <c r="I664" i="48"/>
  <c r="I665" i="48"/>
  <c r="I666" i="48"/>
  <c r="I667" i="48"/>
  <c r="I668" i="48"/>
  <c r="I669" i="48"/>
  <c r="I670" i="48"/>
  <c r="I671" i="48"/>
  <c r="I672" i="48"/>
  <c r="I673" i="48"/>
  <c r="I674" i="48"/>
  <c r="I675" i="48"/>
  <c r="I676" i="48"/>
  <c r="I677" i="48"/>
  <c r="I678" i="48"/>
  <c r="I679" i="48"/>
  <c r="I680" i="48"/>
  <c r="I681" i="48"/>
  <c r="I682" i="48"/>
  <c r="I683" i="48"/>
  <c r="I684" i="48"/>
  <c r="I685" i="48"/>
  <c r="I686" i="48"/>
  <c r="I687" i="48"/>
  <c r="I688" i="48"/>
  <c r="I689" i="48"/>
  <c r="I690" i="48"/>
  <c r="I691" i="48"/>
  <c r="I692" i="48"/>
  <c r="I693" i="48"/>
  <c r="I694" i="48"/>
  <c r="I695" i="48"/>
  <c r="I696" i="48"/>
  <c r="I697" i="48"/>
  <c r="I698" i="48"/>
  <c r="I699" i="48"/>
  <c r="I700" i="48"/>
  <c r="I701" i="48"/>
  <c r="I702" i="48"/>
  <c r="I703" i="48"/>
  <c r="I704" i="48"/>
  <c r="I705" i="48"/>
  <c r="I706" i="48"/>
  <c r="I707" i="48"/>
  <c r="I708" i="48"/>
  <c r="I709" i="48"/>
  <c r="I710" i="48"/>
  <c r="I711" i="48"/>
  <c r="I712" i="48"/>
  <c r="I713" i="48"/>
  <c r="I714" i="48"/>
  <c r="I715" i="48"/>
  <c r="I716" i="48"/>
  <c r="I717" i="48"/>
  <c r="I718" i="48"/>
  <c r="I719" i="48"/>
  <c r="I720" i="48"/>
  <c r="I721" i="48"/>
  <c r="I722" i="48"/>
  <c r="I723" i="48"/>
  <c r="I724" i="48"/>
  <c r="I725" i="48"/>
  <c r="I726" i="48"/>
  <c r="I727" i="48"/>
  <c r="I728" i="48"/>
  <c r="I729" i="48"/>
  <c r="I730" i="48"/>
  <c r="I731" i="48"/>
  <c r="I732" i="48"/>
  <c r="I733" i="48"/>
  <c r="I734" i="48"/>
  <c r="I735" i="48"/>
  <c r="I736" i="48"/>
  <c r="I737" i="48"/>
  <c r="I738" i="48"/>
  <c r="I739" i="48"/>
  <c r="I740" i="48"/>
  <c r="I741" i="48"/>
  <c r="I742" i="48"/>
  <c r="I743" i="48"/>
  <c r="I744" i="48"/>
  <c r="I745" i="48"/>
  <c r="I746" i="48"/>
  <c r="I747" i="48"/>
  <c r="I748" i="48"/>
  <c r="I749" i="48"/>
  <c r="I750" i="48"/>
  <c r="I751" i="48"/>
  <c r="I752" i="48"/>
  <c r="I753" i="48"/>
  <c r="I754" i="48"/>
  <c r="I755" i="48"/>
  <c r="I756" i="48"/>
  <c r="I757" i="48"/>
  <c r="I758" i="48"/>
  <c r="I759" i="48"/>
  <c r="I760" i="48"/>
  <c r="I761" i="48"/>
  <c r="I762" i="48"/>
  <c r="I763" i="48"/>
  <c r="I764" i="48"/>
  <c r="I765" i="48"/>
  <c r="I766" i="48"/>
  <c r="I767" i="48"/>
  <c r="I768" i="48"/>
  <c r="I769" i="48"/>
  <c r="I770" i="48"/>
  <c r="I771" i="48"/>
  <c r="I772" i="48"/>
  <c r="I773" i="48"/>
  <c r="I774" i="48"/>
  <c r="I775" i="48"/>
  <c r="I776" i="48"/>
  <c r="I777" i="48"/>
  <c r="I778" i="48"/>
  <c r="I779" i="48"/>
  <c r="I780" i="48"/>
  <c r="I781" i="48"/>
  <c r="I782" i="48"/>
  <c r="I783" i="48"/>
  <c r="I784" i="48"/>
  <c r="I785" i="48"/>
  <c r="I786" i="48"/>
  <c r="I787" i="48"/>
  <c r="I788" i="48"/>
  <c r="I789" i="48"/>
  <c r="I790" i="48"/>
  <c r="I791" i="48"/>
  <c r="I792" i="48"/>
  <c r="I793" i="48"/>
  <c r="I794" i="48"/>
  <c r="I795" i="48"/>
  <c r="I796" i="48"/>
  <c r="I797" i="48"/>
  <c r="I798" i="48"/>
  <c r="I799" i="48"/>
  <c r="I800" i="48"/>
  <c r="I801" i="48"/>
  <c r="I802" i="48"/>
  <c r="I803" i="48"/>
  <c r="I804" i="48"/>
  <c r="I805" i="48"/>
  <c r="I806" i="48"/>
  <c r="I807" i="48"/>
  <c r="I808" i="48"/>
  <c r="I809" i="48"/>
  <c r="I810" i="48"/>
  <c r="I811" i="48"/>
  <c r="I812" i="48"/>
  <c r="I813" i="48"/>
  <c r="I814" i="48"/>
  <c r="I815" i="48"/>
  <c r="I816" i="48"/>
  <c r="I817" i="48"/>
  <c r="I818" i="48"/>
  <c r="I819" i="48"/>
  <c r="I820" i="48"/>
  <c r="I821" i="48"/>
  <c r="I822" i="48"/>
  <c r="I823" i="48"/>
  <c r="I824" i="48"/>
  <c r="I825" i="48"/>
  <c r="I826" i="48"/>
  <c r="I827" i="48"/>
  <c r="I828" i="48"/>
  <c r="I829" i="48"/>
  <c r="I830" i="48"/>
  <c r="I831" i="48"/>
  <c r="I832" i="48"/>
  <c r="I833" i="48"/>
  <c r="I834" i="48"/>
  <c r="I835" i="48"/>
  <c r="I836" i="48"/>
  <c r="I837" i="48"/>
  <c r="I838" i="48"/>
  <c r="I839" i="48"/>
  <c r="I840" i="48"/>
  <c r="I841" i="48"/>
  <c r="I842" i="48"/>
  <c r="I843" i="48"/>
  <c r="I844" i="48"/>
  <c r="I845" i="48"/>
  <c r="I846" i="48"/>
  <c r="I847" i="48"/>
  <c r="I848" i="48"/>
  <c r="I849" i="48"/>
  <c r="I850" i="48"/>
  <c r="I851" i="48"/>
  <c r="I852" i="48"/>
  <c r="I853" i="48"/>
  <c r="I854" i="48"/>
  <c r="I855" i="48"/>
  <c r="I856" i="48"/>
  <c r="I857" i="48"/>
  <c r="I858" i="48"/>
  <c r="I859" i="48"/>
  <c r="I860" i="48"/>
  <c r="I861" i="48"/>
  <c r="I862" i="48"/>
  <c r="I863" i="48"/>
  <c r="I864" i="48"/>
  <c r="I865" i="48"/>
  <c r="I866" i="48"/>
  <c r="I867" i="48"/>
  <c r="I868" i="48"/>
  <c r="I869" i="48"/>
  <c r="I870" i="48"/>
  <c r="I871" i="48"/>
  <c r="I872" i="48"/>
  <c r="I873" i="48"/>
  <c r="I874" i="48"/>
  <c r="I875" i="48"/>
  <c r="I876" i="48"/>
  <c r="I877" i="48"/>
  <c r="I878" i="48"/>
  <c r="I879" i="48"/>
  <c r="I880" i="48"/>
  <c r="I881" i="48"/>
  <c r="I882" i="48"/>
  <c r="I883" i="48"/>
  <c r="I884" i="48"/>
  <c r="I885" i="48"/>
  <c r="I886" i="48"/>
  <c r="I887" i="48"/>
  <c r="I888" i="48"/>
  <c r="I889" i="48"/>
  <c r="I890" i="48"/>
  <c r="I891" i="48"/>
  <c r="I892" i="48"/>
  <c r="I893" i="48"/>
  <c r="I894" i="48"/>
  <c r="I895" i="48"/>
  <c r="I896" i="48"/>
  <c r="I897" i="48"/>
  <c r="I898" i="48"/>
  <c r="I899" i="48"/>
  <c r="I900" i="48"/>
  <c r="I901" i="48"/>
  <c r="I902" i="48"/>
  <c r="I903" i="48"/>
  <c r="I904" i="48"/>
  <c r="I905" i="48"/>
  <c r="I906" i="48"/>
  <c r="I907" i="48"/>
  <c r="I908" i="48"/>
  <c r="I909" i="48"/>
  <c r="I910" i="48"/>
  <c r="I911" i="48"/>
  <c r="I912" i="48"/>
  <c r="I913" i="48"/>
  <c r="I914" i="48"/>
  <c r="I915" i="48"/>
  <c r="I916" i="48"/>
  <c r="I917" i="48"/>
  <c r="I918" i="48"/>
  <c r="I919" i="48"/>
  <c r="I920" i="48"/>
  <c r="I921" i="48"/>
  <c r="I922" i="48"/>
  <c r="I923" i="48"/>
  <c r="I924" i="48"/>
  <c r="I925" i="48"/>
  <c r="I926" i="48"/>
  <c r="I927" i="48"/>
  <c r="I928" i="48"/>
  <c r="I929" i="48"/>
  <c r="I930" i="48"/>
  <c r="I931" i="48"/>
  <c r="I932" i="48"/>
  <c r="I933" i="48"/>
  <c r="I934" i="48"/>
  <c r="I935" i="48"/>
  <c r="I936" i="48"/>
  <c r="I937" i="48"/>
  <c r="I938" i="48"/>
  <c r="I939" i="48"/>
  <c r="I940" i="48"/>
  <c r="I941" i="48"/>
  <c r="I942" i="48"/>
  <c r="I943" i="48"/>
  <c r="I944" i="48"/>
  <c r="I945" i="48"/>
  <c r="I946" i="48"/>
  <c r="I947" i="48"/>
  <c r="I948" i="48"/>
  <c r="I949" i="48"/>
  <c r="I950" i="48"/>
  <c r="I951" i="48"/>
  <c r="I952" i="48"/>
  <c r="I953" i="48"/>
  <c r="I954" i="48"/>
  <c r="I955" i="48"/>
  <c r="I956" i="48"/>
  <c r="I957" i="48"/>
  <c r="I958" i="48"/>
  <c r="I959" i="48"/>
  <c r="I960" i="48"/>
  <c r="I961" i="48"/>
  <c r="I962" i="48"/>
  <c r="I963" i="48"/>
  <c r="I964" i="48"/>
  <c r="I965" i="48"/>
  <c r="I966" i="48"/>
  <c r="I967" i="48"/>
  <c r="I968" i="48"/>
  <c r="I969" i="48"/>
  <c r="I970" i="48"/>
  <c r="I971" i="48"/>
  <c r="I972" i="48"/>
  <c r="I973" i="48"/>
  <c r="I974" i="48"/>
  <c r="I975" i="48"/>
  <c r="I976" i="48"/>
  <c r="I977" i="48"/>
  <c r="I978" i="48"/>
  <c r="I979" i="48"/>
  <c r="I980" i="48"/>
  <c r="I981" i="48"/>
  <c r="I982" i="48"/>
  <c r="I983" i="48"/>
  <c r="I984" i="48"/>
  <c r="I985" i="48"/>
  <c r="I986" i="48"/>
  <c r="I987" i="48"/>
  <c r="I988" i="48"/>
  <c r="I989" i="48"/>
  <c r="I990" i="48"/>
  <c r="I991" i="48"/>
  <c r="I992" i="48"/>
  <c r="I993" i="48"/>
  <c r="I994" i="48"/>
  <c r="I995" i="48"/>
  <c r="I996" i="48"/>
  <c r="I997" i="48"/>
  <c r="I998" i="48"/>
  <c r="I999" i="48"/>
  <c r="I1000" i="48"/>
  <c r="I1001" i="48"/>
  <c r="I1002" i="48"/>
  <c r="I3" i="48"/>
  <c r="I1" i="48" l="1"/>
  <c r="J1" i="48" s="1"/>
  <c r="J40" i="14" l="1"/>
  <c r="A1" i="1"/>
  <c r="K24" i="14"/>
  <c r="J46" i="4"/>
  <c r="G20" i="6"/>
  <c r="E21" i="7"/>
  <c r="E21" i="14"/>
  <c r="D21" i="14"/>
  <c r="C21" i="14"/>
  <c r="C22" i="14"/>
  <c r="D22" i="14"/>
  <c r="E22" i="14"/>
  <c r="C23" i="14"/>
  <c r="D23" i="14"/>
  <c r="E23" i="14"/>
  <c r="C24" i="14"/>
  <c r="D24" i="14"/>
  <c r="E24" i="14"/>
  <c r="C25" i="14"/>
  <c r="D25" i="14"/>
  <c r="E25" i="14"/>
  <c r="C26" i="14"/>
  <c r="D26" i="14"/>
  <c r="E26" i="14"/>
  <c r="C27" i="14"/>
  <c r="D27" i="14"/>
  <c r="E27" i="14"/>
  <c r="E12" i="14"/>
  <c r="D12" i="14"/>
  <c r="C12" i="14"/>
  <c r="C13" i="14"/>
  <c r="D13" i="14"/>
  <c r="E13" i="14"/>
  <c r="C14" i="14"/>
  <c r="D14" i="14"/>
  <c r="E14" i="14"/>
  <c r="C15" i="14"/>
  <c r="D15" i="14"/>
  <c r="E15" i="14"/>
  <c r="C16" i="14"/>
  <c r="D16" i="14"/>
  <c r="E16" i="14"/>
  <c r="C17" i="14"/>
  <c r="D17" i="14"/>
  <c r="E17" i="14"/>
  <c r="C18" i="14"/>
  <c r="D18" i="14"/>
  <c r="E18" i="14"/>
  <c r="C19" i="14"/>
  <c r="D19" i="14"/>
  <c r="E19" i="14"/>
  <c r="C20" i="14"/>
  <c r="D20" i="14"/>
  <c r="E20" i="14"/>
  <c r="S35" i="14" l="1"/>
  <c r="R35" i="14"/>
  <c r="Q35" i="14"/>
  <c r="S34" i="14"/>
  <c r="R34" i="14"/>
  <c r="Q34" i="14"/>
  <c r="S33" i="14"/>
  <c r="R33" i="14"/>
  <c r="Q33" i="14"/>
  <c r="S32" i="14"/>
  <c r="R32" i="14"/>
  <c r="Q32" i="14"/>
  <c r="S31" i="14"/>
  <c r="R31" i="14"/>
  <c r="Q31" i="14"/>
  <c r="S30" i="14"/>
  <c r="R30" i="14"/>
  <c r="Q30" i="14"/>
  <c r="S29" i="14"/>
  <c r="R29" i="14"/>
  <c r="Q29" i="14"/>
  <c r="S28" i="14"/>
  <c r="R28" i="14"/>
  <c r="Q28" i="14"/>
  <c r="S27" i="14"/>
  <c r="R27" i="14"/>
  <c r="Q27" i="14"/>
  <c r="S26" i="14"/>
  <c r="R26" i="14"/>
  <c r="Q26" i="14"/>
  <c r="S25" i="14"/>
  <c r="R25" i="14"/>
  <c r="Q25" i="14"/>
  <c r="S24" i="14"/>
  <c r="R24" i="14"/>
  <c r="Q24" i="14"/>
  <c r="S23" i="14"/>
  <c r="R23" i="14"/>
  <c r="Q23" i="14"/>
  <c r="S22" i="14"/>
  <c r="R22" i="14"/>
  <c r="Q22" i="14"/>
  <c r="S21" i="14"/>
  <c r="R21" i="14"/>
  <c r="Q21" i="14"/>
  <c r="S20" i="14"/>
  <c r="R20" i="14"/>
  <c r="Q20" i="14"/>
  <c r="S19" i="14"/>
  <c r="R19" i="14"/>
  <c r="Q19" i="14"/>
  <c r="S18" i="14"/>
  <c r="R18" i="14"/>
  <c r="Q18" i="14"/>
  <c r="S17" i="14"/>
  <c r="R17" i="14"/>
  <c r="Q17" i="14"/>
  <c r="S16" i="14"/>
  <c r="R16" i="14"/>
  <c r="Q16" i="14"/>
  <c r="S15" i="14"/>
  <c r="R15" i="14"/>
  <c r="Q15" i="14"/>
  <c r="S14" i="14"/>
  <c r="R14" i="14"/>
  <c r="Q14" i="14"/>
  <c r="S13" i="14"/>
  <c r="R13" i="14"/>
  <c r="Q13" i="14"/>
  <c r="S12" i="14"/>
  <c r="R12" i="14"/>
  <c r="Q12" i="14"/>
  <c r="S11" i="14"/>
  <c r="R11" i="14"/>
  <c r="Q11" i="14"/>
  <c r="S10" i="14"/>
  <c r="R10" i="14"/>
  <c r="Q10" i="14"/>
  <c r="S9" i="14"/>
  <c r="R9" i="14"/>
  <c r="Q9" i="14"/>
  <c r="S8" i="14"/>
  <c r="R8" i="14"/>
  <c r="Q8" i="14"/>
  <c r="S7" i="14"/>
  <c r="R7" i="14"/>
  <c r="Q7" i="14"/>
  <c r="S6" i="14"/>
  <c r="R6" i="14"/>
  <c r="Q6" i="14"/>
  <c r="S5" i="14"/>
  <c r="R5" i="14"/>
  <c r="Q5" i="14"/>
  <c r="S4" i="14"/>
  <c r="R4" i="14"/>
  <c r="Q4" i="14"/>
  <c r="S3" i="14"/>
  <c r="R3" i="14"/>
  <c r="Q3" i="14"/>
  <c r="J44" i="4"/>
  <c r="A11" i="45"/>
  <c r="H11" i="45"/>
  <c r="A12" i="45"/>
  <c r="A13" i="45"/>
  <c r="A14" i="45"/>
  <c r="A15" i="45"/>
  <c r="A16" i="45"/>
  <c r="A17" i="45"/>
  <c r="A18" i="45"/>
  <c r="A20" i="45"/>
  <c r="H20" i="45"/>
  <c r="A21" i="45"/>
  <c r="A22" i="45"/>
  <c r="A23" i="45"/>
  <c r="A24" i="45"/>
  <c r="A25" i="45"/>
  <c r="A26" i="45"/>
  <c r="A27" i="45"/>
  <c r="L8" i="45"/>
  <c r="C17" i="45" s="1"/>
  <c r="C26" i="45" s="1"/>
  <c r="M8" i="45"/>
  <c r="D17" i="45" s="1"/>
  <c r="D26" i="45" s="1"/>
  <c r="N8" i="45"/>
  <c r="E17" i="45" s="1"/>
  <c r="E26" i="45" s="1"/>
  <c r="O8" i="45"/>
  <c r="F17" i="45" s="1"/>
  <c r="F26" i="45" s="1"/>
  <c r="P8" i="45"/>
  <c r="G17" i="45" s="1"/>
  <c r="G26" i="45" s="1"/>
  <c r="Q8" i="45"/>
  <c r="H17" i="45" s="1"/>
  <c r="H26" i="45" s="1"/>
  <c r="K8" i="45"/>
  <c r="B17" i="45" s="1"/>
  <c r="P2" i="45"/>
  <c r="G11" i="45" s="1"/>
  <c r="G20" i="45" s="1"/>
  <c r="Q2" i="45"/>
  <c r="O2" i="45"/>
  <c r="F11" i="45" s="1"/>
  <c r="F20" i="45" s="1"/>
  <c r="S1" i="45"/>
  <c r="L1" i="45"/>
  <c r="M1" i="45"/>
  <c r="N1" i="45"/>
  <c r="O1" i="45"/>
  <c r="P1" i="45"/>
  <c r="Q1" i="45"/>
  <c r="K1" i="45"/>
  <c r="L2" i="45"/>
  <c r="C11" i="45" s="1"/>
  <c r="C20" i="45" s="1"/>
  <c r="M2" i="45"/>
  <c r="D11" i="45" s="1"/>
  <c r="D20" i="45" s="1"/>
  <c r="N2" i="45"/>
  <c r="E11" i="45" s="1"/>
  <c r="E20" i="45" s="1"/>
  <c r="K2" i="45"/>
  <c r="B11" i="45" s="1"/>
  <c r="Q6" i="45"/>
  <c r="H15" i="45" s="1"/>
  <c r="H24" i="45" s="1"/>
  <c r="P6" i="45"/>
  <c r="G15" i="45" s="1"/>
  <c r="G24" i="45" s="1"/>
  <c r="O6" i="45"/>
  <c r="F15" i="45" s="1"/>
  <c r="F24" i="45" s="1"/>
  <c r="N6" i="45"/>
  <c r="E15" i="45" s="1"/>
  <c r="E24" i="45" s="1"/>
  <c r="M6" i="45"/>
  <c r="D15" i="45" s="1"/>
  <c r="D24" i="45" s="1"/>
  <c r="L6" i="45"/>
  <c r="C15" i="45" s="1"/>
  <c r="C24" i="45" s="1"/>
  <c r="K6" i="45"/>
  <c r="B15" i="45" s="1"/>
  <c r="Q9" i="45"/>
  <c r="H18" i="45" s="1"/>
  <c r="H27" i="45" s="1"/>
  <c r="P9" i="45"/>
  <c r="G18" i="45" s="1"/>
  <c r="G27" i="45" s="1"/>
  <c r="O9" i="45"/>
  <c r="F18" i="45" s="1"/>
  <c r="F27" i="45" s="1"/>
  <c r="N9" i="45"/>
  <c r="E18" i="45" s="1"/>
  <c r="E27" i="45" s="1"/>
  <c r="M9" i="45"/>
  <c r="D18" i="45" s="1"/>
  <c r="D27" i="45" s="1"/>
  <c r="L9" i="45"/>
  <c r="C18" i="45" s="1"/>
  <c r="C27" i="45" s="1"/>
  <c r="K9" i="45"/>
  <c r="B18" i="45" s="1"/>
  <c r="I9" i="45"/>
  <c r="I8" i="45"/>
  <c r="Q7" i="45"/>
  <c r="H16" i="45" s="1"/>
  <c r="H25" i="45" s="1"/>
  <c r="P7" i="45"/>
  <c r="G16" i="45" s="1"/>
  <c r="G25" i="45" s="1"/>
  <c r="O7" i="45"/>
  <c r="F16" i="45" s="1"/>
  <c r="F25" i="45" s="1"/>
  <c r="N7" i="45"/>
  <c r="E16" i="45" s="1"/>
  <c r="E25" i="45" s="1"/>
  <c r="M7" i="45"/>
  <c r="D16" i="45" s="1"/>
  <c r="D25" i="45" s="1"/>
  <c r="L7" i="45"/>
  <c r="C16" i="45" s="1"/>
  <c r="C25" i="45" s="1"/>
  <c r="K7" i="45"/>
  <c r="B16" i="45" s="1"/>
  <c r="I7" i="45"/>
  <c r="I6" i="45"/>
  <c r="Q5" i="45"/>
  <c r="H14" i="45" s="1"/>
  <c r="H23" i="45" s="1"/>
  <c r="P5" i="45"/>
  <c r="G14" i="45" s="1"/>
  <c r="G23" i="45" s="1"/>
  <c r="O5" i="45"/>
  <c r="F14" i="45" s="1"/>
  <c r="F23" i="45" s="1"/>
  <c r="N5" i="45"/>
  <c r="E14" i="45" s="1"/>
  <c r="E23" i="45" s="1"/>
  <c r="M5" i="45"/>
  <c r="D14" i="45" s="1"/>
  <c r="D23" i="45" s="1"/>
  <c r="L5" i="45"/>
  <c r="C14" i="45" s="1"/>
  <c r="C23" i="45" s="1"/>
  <c r="K5" i="45"/>
  <c r="B14" i="45" s="1"/>
  <c r="I5" i="45"/>
  <c r="Q4" i="45"/>
  <c r="H13" i="45" s="1"/>
  <c r="H22" i="45" s="1"/>
  <c r="P4" i="45"/>
  <c r="G13" i="45" s="1"/>
  <c r="G22" i="45" s="1"/>
  <c r="O4" i="45"/>
  <c r="F13" i="45" s="1"/>
  <c r="F22" i="45" s="1"/>
  <c r="N4" i="45"/>
  <c r="E13" i="45" s="1"/>
  <c r="E22" i="45" s="1"/>
  <c r="M4" i="45"/>
  <c r="D13" i="45" s="1"/>
  <c r="D22" i="45" s="1"/>
  <c r="L4" i="45"/>
  <c r="C13" i="45" s="1"/>
  <c r="C22" i="45" s="1"/>
  <c r="K4" i="45"/>
  <c r="B13" i="45" s="1"/>
  <c r="I4" i="45"/>
  <c r="Q3" i="45"/>
  <c r="H12" i="45" s="1"/>
  <c r="H21" i="45" s="1"/>
  <c r="P3" i="45"/>
  <c r="G12" i="45" s="1"/>
  <c r="G21" i="45" s="1"/>
  <c r="O3" i="45"/>
  <c r="F12" i="45" s="1"/>
  <c r="F21" i="45" s="1"/>
  <c r="N3" i="45"/>
  <c r="E12" i="45" s="1"/>
  <c r="E21" i="45" s="1"/>
  <c r="M3" i="45"/>
  <c r="D12" i="45" s="1"/>
  <c r="D21" i="45" s="1"/>
  <c r="L3" i="45"/>
  <c r="C12" i="45" s="1"/>
  <c r="C21" i="45" s="1"/>
  <c r="K3" i="45"/>
  <c r="B12" i="45" s="1"/>
  <c r="I3" i="45"/>
  <c r="I2" i="45"/>
  <c r="N76" i="4"/>
  <c r="M76" i="4"/>
  <c r="L76" i="4"/>
  <c r="K76" i="4"/>
  <c r="J76" i="4"/>
  <c r="I76" i="4"/>
  <c r="I51" i="4"/>
  <c r="I10" i="4"/>
  <c r="H76" i="4"/>
  <c r="L32" i="6"/>
  <c r="L33" i="6"/>
  <c r="L34" i="6"/>
  <c r="L35" i="6"/>
  <c r="L36" i="6"/>
  <c r="L37" i="6"/>
  <c r="L38" i="6"/>
  <c r="L39" i="6"/>
  <c r="L40" i="6"/>
  <c r="L41" i="6"/>
  <c r="L42" i="6"/>
  <c r="L43" i="6"/>
  <c r="L44" i="6"/>
  <c r="E32" i="6"/>
  <c r="E33" i="6"/>
  <c r="E34" i="6"/>
  <c r="E35" i="6"/>
  <c r="E36" i="6"/>
  <c r="E37" i="6"/>
  <c r="F28" i="6"/>
  <c r="F30" i="6"/>
  <c r="H44" i="4"/>
  <c r="B150" i="4"/>
  <c r="B119" i="4"/>
  <c r="D147" i="4"/>
  <c r="E147" i="4"/>
  <c r="F147" i="4"/>
  <c r="G147" i="4"/>
  <c r="H147" i="4"/>
  <c r="I147" i="4"/>
  <c r="J147" i="4"/>
  <c r="K147" i="4"/>
  <c r="L147" i="4"/>
  <c r="M147" i="4"/>
  <c r="N147" i="4"/>
  <c r="C147" i="4"/>
  <c r="G46" i="4"/>
  <c r="G76" i="4"/>
  <c r="F76" i="4"/>
  <c r="E76" i="4"/>
  <c r="D76" i="4"/>
  <c r="C76" i="4"/>
  <c r="I13" i="45" l="1"/>
  <c r="I22" i="45" s="1"/>
  <c r="B22" i="45"/>
  <c r="B23" i="45"/>
  <c r="I14" i="45"/>
  <c r="I23" i="45" s="1"/>
  <c r="I11" i="45"/>
  <c r="I20" i="45" s="1"/>
  <c r="B20" i="45"/>
  <c r="B25" i="45"/>
  <c r="I16" i="45"/>
  <c r="I25" i="45" s="1"/>
  <c r="I15" i="45"/>
  <c r="I24" i="45" s="1"/>
  <c r="B24" i="45"/>
  <c r="I18" i="45"/>
  <c r="I27" i="45" s="1"/>
  <c r="B27" i="45"/>
  <c r="I17" i="45"/>
  <c r="I26" i="45" s="1"/>
  <c r="B26" i="45"/>
  <c r="I12" i="45"/>
  <c r="I21" i="45" s="1"/>
  <c r="B21" i="45"/>
  <c r="S3" i="45"/>
  <c r="S7" i="45"/>
  <c r="S2" i="45"/>
  <c r="S4" i="45"/>
  <c r="S6" i="45"/>
  <c r="T6" i="45" s="1"/>
  <c r="S8" i="45"/>
  <c r="S5" i="45"/>
  <c r="S9" i="45"/>
  <c r="I27" i="6"/>
  <c r="G27" i="6"/>
  <c r="F26" i="6"/>
  <c r="D61" i="7"/>
  <c r="T9" i="45" l="1"/>
  <c r="U9" i="45" s="1"/>
  <c r="T4" i="45"/>
  <c r="U4" i="45" s="1"/>
  <c r="T5" i="45"/>
  <c r="U5" i="45" s="1"/>
  <c r="T2" i="45"/>
  <c r="U2" i="45" s="1"/>
  <c r="T8" i="45"/>
  <c r="U8" i="45" s="1"/>
  <c r="T7" i="45"/>
  <c r="U7" i="45" s="1"/>
  <c r="T3" i="45"/>
  <c r="U6" i="45"/>
  <c r="S10" i="45"/>
  <c r="F5" i="4"/>
  <c r="C23" i="41"/>
  <c r="L5" i="41"/>
  <c r="L6" i="41"/>
  <c r="L7" i="41"/>
  <c r="L8" i="41"/>
  <c r="L9" i="41"/>
  <c r="L10" i="41"/>
  <c r="L11" i="41"/>
  <c r="L12" i="41"/>
  <c r="L13" i="41"/>
  <c r="L14" i="41"/>
  <c r="L4" i="41"/>
  <c r="L15" i="41" s="1"/>
  <c r="H22" i="41"/>
  <c r="T10" i="45" l="1"/>
  <c r="U3" i="45"/>
  <c r="U10" i="45" s="1"/>
  <c r="H21" i="41"/>
  <c r="H20" i="41"/>
  <c r="H19" i="41"/>
  <c r="H18" i="41"/>
  <c r="H17" i="41"/>
  <c r="G16" i="41"/>
  <c r="H16" i="41" s="1"/>
  <c r="H15" i="41"/>
  <c r="H6" i="41"/>
  <c r="H7" i="41"/>
  <c r="H8" i="41"/>
  <c r="H9" i="41"/>
  <c r="H10" i="41"/>
  <c r="H11" i="41"/>
  <c r="H12" i="41"/>
  <c r="H13" i="41"/>
  <c r="H14" i="41"/>
  <c r="H5" i="41"/>
  <c r="H3" i="41"/>
  <c r="F3" i="41"/>
  <c r="G3" i="41" s="1"/>
  <c r="G2" i="41"/>
  <c r="H2" i="41" s="1"/>
  <c r="J2" i="41" s="1"/>
  <c r="H23" i="41" l="1"/>
  <c r="D6" i="3"/>
  <c r="E57" i="36"/>
  <c r="F57" i="36"/>
  <c r="D57" i="36" s="1"/>
  <c r="E34" i="36"/>
  <c r="F34" i="36"/>
  <c r="F115" i="4"/>
  <c r="F114" i="4"/>
  <c r="F113" i="4"/>
  <c r="F112" i="4"/>
  <c r="F111" i="4"/>
  <c r="F110" i="4"/>
  <c r="F109" i="4"/>
  <c r="D34" i="36" l="1"/>
  <c r="B57" i="36"/>
  <c r="B34" i="36"/>
  <c r="G57" i="36"/>
  <c r="G34" i="36"/>
  <c r="O24" i="40"/>
  <c r="O20" i="40"/>
  <c r="O16" i="40"/>
  <c r="O12" i="40"/>
  <c r="O13" i="40"/>
  <c r="O14" i="40"/>
  <c r="O21" i="40"/>
  <c r="O22" i="40"/>
  <c r="O25" i="40"/>
  <c r="O26" i="40"/>
  <c r="O17" i="40"/>
  <c r="O18" i="40"/>
  <c r="M8" i="40"/>
  <c r="M9" i="40" s="1"/>
  <c r="L8" i="40"/>
  <c r="L9" i="40" s="1"/>
  <c r="K8" i="40"/>
  <c r="K9" i="40" s="1"/>
  <c r="J8" i="40"/>
  <c r="J9" i="40" s="1"/>
  <c r="I8" i="40"/>
  <c r="I9" i="40" s="1"/>
  <c r="H8" i="40"/>
  <c r="H9" i="40" s="1"/>
  <c r="G8" i="40"/>
  <c r="G9" i="40" s="1"/>
  <c r="F8" i="40"/>
  <c r="F9" i="40" s="1"/>
  <c r="E8" i="40"/>
  <c r="E9" i="40" s="1"/>
  <c r="D8" i="40"/>
  <c r="D9" i="40" s="1"/>
  <c r="C8" i="40"/>
  <c r="C9" i="40" s="1"/>
  <c r="B8" i="40"/>
  <c r="B9" i="40" s="1"/>
  <c r="F23" i="40"/>
  <c r="G23" i="40" s="1"/>
  <c r="H23" i="40" s="1"/>
  <c r="I23" i="40" s="1"/>
  <c r="J23" i="40" s="1"/>
  <c r="K23" i="40" s="1"/>
  <c r="L23" i="40" s="1"/>
  <c r="M23" i="40" s="1"/>
  <c r="N23" i="40" s="1"/>
  <c r="C3" i="40"/>
  <c r="C4" i="40" s="1"/>
  <c r="D3" i="40"/>
  <c r="D4" i="40" s="1"/>
  <c r="B3" i="40"/>
  <c r="B4" i="40" s="1"/>
  <c r="O15" i="40" l="1"/>
  <c r="O30" i="40" s="1"/>
  <c r="O11" i="40"/>
  <c r="O19" i="40"/>
  <c r="O31" i="40" s="1"/>
  <c r="O23" i="40"/>
  <c r="O32" i="40" s="1"/>
  <c r="O9" i="40"/>
  <c r="O28" i="40" s="1"/>
  <c r="O4" i="40"/>
  <c r="O29" i="40" s="1"/>
  <c r="O33" i="40" l="1"/>
  <c r="E51" i="4" l="1"/>
  <c r="B44" i="39"/>
  <c r="I54" i="39"/>
  <c r="H54" i="39"/>
  <c r="G54" i="39"/>
  <c r="F54" i="39"/>
  <c r="E54" i="39"/>
  <c r="D54" i="39"/>
  <c r="C54" i="39"/>
  <c r="B54" i="39"/>
  <c r="C44" i="39"/>
  <c r="E17" i="7"/>
  <c r="C22" i="7"/>
  <c r="B15" i="7"/>
  <c r="D4" i="39"/>
  <c r="G4" i="39"/>
  <c r="I4" i="39"/>
  <c r="D5" i="39"/>
  <c r="F5" i="39"/>
  <c r="G5" i="39"/>
  <c r="H5" i="39"/>
  <c r="I5" i="39"/>
  <c r="D6" i="39"/>
  <c r="F6" i="39"/>
  <c r="G6" i="39"/>
  <c r="H6" i="39"/>
  <c r="I6" i="39"/>
  <c r="D7" i="39"/>
  <c r="F7" i="39"/>
  <c r="G7" i="39"/>
  <c r="H7" i="39"/>
  <c r="I7" i="39"/>
  <c r="D8" i="39"/>
  <c r="F8" i="39"/>
  <c r="G8" i="39"/>
  <c r="H8" i="39"/>
  <c r="I8" i="39"/>
  <c r="D9" i="39"/>
  <c r="F9" i="39"/>
  <c r="G9" i="39"/>
  <c r="H9" i="39"/>
  <c r="I9" i="39"/>
  <c r="D10" i="39"/>
  <c r="F10" i="39"/>
  <c r="G10" i="39"/>
  <c r="H10" i="39"/>
  <c r="I10" i="39"/>
  <c r="C11" i="39"/>
  <c r="D11" i="39"/>
  <c r="E11" i="39"/>
  <c r="F11" i="39"/>
  <c r="G11" i="39"/>
  <c r="H11" i="39"/>
  <c r="I11" i="39"/>
  <c r="B5" i="39"/>
  <c r="B6" i="39"/>
  <c r="B7" i="39"/>
  <c r="B8" i="39"/>
  <c r="B9" i="39"/>
  <c r="B10" i="39"/>
  <c r="B11" i="39"/>
  <c r="D44" i="39"/>
  <c r="E44" i="39"/>
  <c r="G44" i="39"/>
  <c r="I44" i="39"/>
  <c r="F36" i="39"/>
  <c r="F4" i="39" s="1"/>
  <c r="F3" i="39" s="1"/>
  <c r="F55" i="39" s="1"/>
  <c r="H36" i="39"/>
  <c r="H4" i="39" s="1"/>
  <c r="H3" i="39" s="1"/>
  <c r="H55" i="39" s="1"/>
  <c r="D33" i="4"/>
  <c r="E10" i="39"/>
  <c r="D3" i="39" l="1"/>
  <c r="D55" i="39" s="1"/>
  <c r="I3" i="39"/>
  <c r="I55" i="39" s="1"/>
  <c r="G3" i="39"/>
  <c r="G55" i="39" s="1"/>
  <c r="H44" i="39"/>
  <c r="F44" i="39"/>
  <c r="F25" i="6"/>
  <c r="L25" i="6" s="1"/>
  <c r="L24" i="6"/>
  <c r="L23" i="6"/>
  <c r="F22" i="6"/>
  <c r="L22" i="6" s="1"/>
  <c r="K44" i="39" l="1"/>
  <c r="E125" i="7"/>
  <c r="E7" i="1"/>
  <c r="H7" i="1" s="1"/>
  <c r="E26" i="39"/>
  <c r="E6" i="39" s="1"/>
  <c r="C8" i="4"/>
  <c r="B24" i="39"/>
  <c r="B4" i="39" s="1"/>
  <c r="F7" i="1" l="1"/>
  <c r="K7" i="1"/>
  <c r="G7" i="1"/>
  <c r="N7" i="1"/>
  <c r="J7" i="1"/>
  <c r="P51" i="4"/>
  <c r="O7" i="1" l="1"/>
  <c r="E15" i="7"/>
  <c r="C15" i="7"/>
  <c r="C14" i="7" s="1"/>
  <c r="E1" i="4" l="1"/>
  <c r="D44" i="4"/>
  <c r="B16" i="7"/>
  <c r="C24" i="39"/>
  <c r="C4" i="39" s="1"/>
  <c r="E24" i="39"/>
  <c r="E4" i="39" s="1"/>
  <c r="F17" i="6"/>
  <c r="I13" i="39"/>
  <c r="H13" i="39"/>
  <c r="G13" i="39"/>
  <c r="F13" i="39"/>
  <c r="E13" i="39"/>
  <c r="D13" i="39"/>
  <c r="C13" i="39"/>
  <c r="B13" i="39"/>
  <c r="C29" i="39"/>
  <c r="C9" i="39" s="1"/>
  <c r="C28" i="39"/>
  <c r="C8" i="39" s="1"/>
  <c r="C27" i="39"/>
  <c r="C7" i="39" s="1"/>
  <c r="K21" i="6"/>
  <c r="C30" i="39" s="1"/>
  <c r="C10" i="39" s="1"/>
  <c r="G21" i="6"/>
  <c r="C26" i="39" s="1"/>
  <c r="C6" i="39" s="1"/>
  <c r="E29" i="39"/>
  <c r="E9" i="39" s="1"/>
  <c r="E27" i="39"/>
  <c r="E7" i="39" s="1"/>
  <c r="D23" i="39"/>
  <c r="B23" i="39"/>
  <c r="I23" i="39"/>
  <c r="H23" i="39"/>
  <c r="G23" i="39"/>
  <c r="F23" i="39"/>
  <c r="F20" i="6"/>
  <c r="E25" i="39" s="1"/>
  <c r="E5" i="39" s="1"/>
  <c r="F21" i="6"/>
  <c r="C25" i="39" s="1"/>
  <c r="I20" i="6"/>
  <c r="E28" i="39" s="1"/>
  <c r="E8" i="39" s="1"/>
  <c r="K18" i="6"/>
  <c r="F32" i="39" l="1"/>
  <c r="C5" i="39"/>
  <c r="C3" i="39" s="1"/>
  <c r="C55" i="39" s="1"/>
  <c r="C23" i="39"/>
  <c r="E3" i="39"/>
  <c r="E55" i="39" s="1"/>
  <c r="G32" i="39"/>
  <c r="B32" i="39"/>
  <c r="K13" i="39"/>
  <c r="D32" i="39"/>
  <c r="H32" i="39"/>
  <c r="I32" i="39"/>
  <c r="B3" i="39"/>
  <c r="B55" i="39" s="1"/>
  <c r="E23" i="39"/>
  <c r="C7" i="38"/>
  <c r="C5" i="38"/>
  <c r="B4" i="38"/>
  <c r="C2" i="38"/>
  <c r="D3" i="38" s="1"/>
  <c r="D4" i="38" s="1"/>
  <c r="E3" i="1"/>
  <c r="F3" i="1" s="1"/>
  <c r="W8" i="1"/>
  <c r="L16" i="3" s="1"/>
  <c r="DC59" i="36"/>
  <c r="CR60" i="36"/>
  <c r="CQ59" i="36" s="1"/>
  <c r="E38" i="36"/>
  <c r="H59" i="36"/>
  <c r="L60" i="36"/>
  <c r="K59" i="36" s="1"/>
  <c r="X60" i="36"/>
  <c r="W59" i="36" s="1"/>
  <c r="AJ60" i="36"/>
  <c r="AI59" i="36" s="1"/>
  <c r="AV60" i="36"/>
  <c r="AU59" i="36" s="1"/>
  <c r="BH60" i="36"/>
  <c r="BG59" i="36" s="1"/>
  <c r="BT60" i="36"/>
  <c r="BS59" i="36" s="1"/>
  <c r="CF60" i="36"/>
  <c r="CE59" i="36" s="1"/>
  <c r="DB60" i="36"/>
  <c r="DA59" i="36" s="1"/>
  <c r="K15" i="6"/>
  <c r="L15" i="6" s="1"/>
  <c r="L14" i="6"/>
  <c r="E8" i="1"/>
  <c r="L17" i="6"/>
  <c r="F16" i="6"/>
  <c r="L16" i="6" s="1"/>
  <c r="F38" i="36"/>
  <c r="D38" i="36" s="1"/>
  <c r="B149" i="4"/>
  <c r="B148" i="4"/>
  <c r="B145" i="4"/>
  <c r="B146" i="4"/>
  <c r="B144" i="4"/>
  <c r="B141" i="4"/>
  <c r="B142" i="4"/>
  <c r="B140" i="4"/>
  <c r="B137" i="4"/>
  <c r="B138" i="4"/>
  <c r="B136" i="4"/>
  <c r="B132" i="4"/>
  <c r="B133" i="4"/>
  <c r="B134" i="4"/>
  <c r="B131" i="4"/>
  <c r="B128" i="4"/>
  <c r="B129" i="4"/>
  <c r="D126" i="4"/>
  <c r="E126" i="4"/>
  <c r="F126" i="4"/>
  <c r="G126" i="4"/>
  <c r="H126" i="4"/>
  <c r="I126" i="4"/>
  <c r="J126" i="4"/>
  <c r="K126" i="4"/>
  <c r="L126" i="4"/>
  <c r="M126" i="4"/>
  <c r="N126" i="4"/>
  <c r="C126" i="4"/>
  <c r="D122" i="4"/>
  <c r="E122" i="4"/>
  <c r="F122" i="4"/>
  <c r="G122" i="4"/>
  <c r="H122" i="4"/>
  <c r="I122" i="4"/>
  <c r="J122" i="4"/>
  <c r="K122" i="4"/>
  <c r="L122" i="4"/>
  <c r="M122" i="4"/>
  <c r="N122" i="4"/>
  <c r="C122" i="4"/>
  <c r="B127" i="4"/>
  <c r="B125" i="4"/>
  <c r="B124" i="4"/>
  <c r="B123" i="4"/>
  <c r="B121" i="4"/>
  <c r="B120" i="4"/>
  <c r="F58" i="36"/>
  <c r="E58" i="36"/>
  <c r="F56" i="36"/>
  <c r="E56" i="36"/>
  <c r="F55" i="36"/>
  <c r="E55" i="36"/>
  <c r="F54" i="36"/>
  <c r="E54" i="36"/>
  <c r="F53" i="36"/>
  <c r="E53" i="36"/>
  <c r="F52" i="36"/>
  <c r="E52" i="36"/>
  <c r="F51" i="36"/>
  <c r="E51" i="36"/>
  <c r="F50" i="36"/>
  <c r="D50" i="36" s="1"/>
  <c r="E50" i="36"/>
  <c r="F49" i="36"/>
  <c r="E49" i="36"/>
  <c r="F48" i="36"/>
  <c r="E48" i="36"/>
  <c r="F47" i="36"/>
  <c r="E47" i="36"/>
  <c r="F46" i="36"/>
  <c r="D46" i="36" s="1"/>
  <c r="E46" i="36"/>
  <c r="F45" i="36"/>
  <c r="E45" i="36"/>
  <c r="F44" i="36"/>
  <c r="D44" i="36" s="1"/>
  <c r="E44" i="36"/>
  <c r="F43" i="36"/>
  <c r="E43" i="36"/>
  <c r="F42" i="36"/>
  <c r="E42" i="36"/>
  <c r="F41" i="36"/>
  <c r="E41" i="36"/>
  <c r="F40" i="36"/>
  <c r="E40" i="36"/>
  <c r="F39" i="36"/>
  <c r="E39" i="36"/>
  <c r="F37" i="36"/>
  <c r="D37" i="36" s="1"/>
  <c r="E37" i="36"/>
  <c r="F32" i="36"/>
  <c r="E32" i="36"/>
  <c r="F31" i="36"/>
  <c r="E31" i="36"/>
  <c r="F30" i="36"/>
  <c r="E30" i="36"/>
  <c r="F29" i="36"/>
  <c r="E29" i="36"/>
  <c r="F28" i="36"/>
  <c r="E28" i="36"/>
  <c r="F27" i="36"/>
  <c r="E27" i="36"/>
  <c r="F36" i="36"/>
  <c r="E36" i="36"/>
  <c r="F35" i="36"/>
  <c r="D35" i="36" s="1"/>
  <c r="E35" i="36"/>
  <c r="F33" i="36"/>
  <c r="E33" i="36"/>
  <c r="F26" i="36"/>
  <c r="E26" i="36"/>
  <c r="F25" i="36"/>
  <c r="E25" i="36"/>
  <c r="F24" i="36"/>
  <c r="E24" i="36"/>
  <c r="F23" i="36"/>
  <c r="E23" i="36"/>
  <c r="F22" i="36"/>
  <c r="E22" i="36"/>
  <c r="F21" i="36"/>
  <c r="E21" i="36"/>
  <c r="F20" i="36"/>
  <c r="E20" i="36"/>
  <c r="F19" i="36"/>
  <c r="E19" i="36"/>
  <c r="F18" i="36"/>
  <c r="E18" i="36"/>
  <c r="F17" i="36"/>
  <c r="E17" i="36"/>
  <c r="F16" i="36"/>
  <c r="E16" i="36"/>
  <c r="F15" i="36"/>
  <c r="E15" i="36"/>
  <c r="F14" i="36"/>
  <c r="E14" i="36"/>
  <c r="F13" i="36"/>
  <c r="E13" i="36"/>
  <c r="F12" i="36"/>
  <c r="E12" i="36"/>
  <c r="F11" i="36"/>
  <c r="E11" i="36"/>
  <c r="F10" i="36"/>
  <c r="E10" i="36"/>
  <c r="F9" i="36"/>
  <c r="E9" i="36"/>
  <c r="F8" i="36"/>
  <c r="E8" i="36"/>
  <c r="F7" i="36"/>
  <c r="E7" i="36"/>
  <c r="F6" i="36"/>
  <c r="E6" i="36"/>
  <c r="F5" i="36"/>
  <c r="E5" i="36"/>
  <c r="F4" i="36"/>
  <c r="E4" i="36"/>
  <c r="A4" i="36"/>
  <c r="F3" i="36"/>
  <c r="E3" i="36"/>
  <c r="DA1" i="36"/>
  <c r="CO1" i="36"/>
  <c r="CC1" i="36"/>
  <c r="BP1" i="36"/>
  <c r="BD1" i="36"/>
  <c r="AR1" i="36"/>
  <c r="AF1" i="36"/>
  <c r="T1" i="36"/>
  <c r="H1" i="36"/>
  <c r="E6" i="3"/>
  <c r="C18" i="3"/>
  <c r="C27" i="3"/>
  <c r="D48" i="36" l="1"/>
  <c r="D52" i="36"/>
  <c r="D42" i="36"/>
  <c r="D40" i="36"/>
  <c r="B37" i="36"/>
  <c r="B5" i="36"/>
  <c r="B7" i="36"/>
  <c r="B9" i="36"/>
  <c r="B17" i="36"/>
  <c r="B21" i="36"/>
  <c r="B23" i="36"/>
  <c r="B28" i="36"/>
  <c r="B30" i="36"/>
  <c r="B32" i="36"/>
  <c r="B39" i="36"/>
  <c r="B38" i="36"/>
  <c r="B58" i="36"/>
  <c r="B51" i="36"/>
  <c r="B49" i="36"/>
  <c r="B47" i="36"/>
  <c r="B45" i="36"/>
  <c r="B43" i="36"/>
  <c r="B41" i="36"/>
  <c r="B36" i="36"/>
  <c r="D54" i="36"/>
  <c r="B53" i="36"/>
  <c r="B55" i="36"/>
  <c r="B56" i="36"/>
  <c r="B54" i="36"/>
  <c r="B52" i="36"/>
  <c r="B50" i="36"/>
  <c r="B48" i="36"/>
  <c r="B46" i="36"/>
  <c r="B44" i="36"/>
  <c r="B42" i="36"/>
  <c r="B40" i="36"/>
  <c r="D36" i="36"/>
  <c r="B35" i="36"/>
  <c r="B33" i="36"/>
  <c r="B6" i="36"/>
  <c r="B8" i="36"/>
  <c r="B10" i="36"/>
  <c r="B16" i="36"/>
  <c r="B18" i="36"/>
  <c r="B22" i="36"/>
  <c r="B27" i="36"/>
  <c r="B29" i="36"/>
  <c r="B31" i="36"/>
  <c r="G8" i="1"/>
  <c r="N8" i="1"/>
  <c r="I8" i="1"/>
  <c r="J8" i="1"/>
  <c r="D33" i="36"/>
  <c r="D39" i="36"/>
  <c r="D56" i="36"/>
  <c r="D58" i="36"/>
  <c r="D41" i="36"/>
  <c r="D43" i="36"/>
  <c r="D45" i="36"/>
  <c r="D47" i="36"/>
  <c r="D49" i="36"/>
  <c r="D51" i="36"/>
  <c r="E59" i="36"/>
  <c r="D53" i="36"/>
  <c r="F59" i="36"/>
  <c r="D55" i="36"/>
  <c r="H8" i="1"/>
  <c r="K55" i="39"/>
  <c r="K3" i="39"/>
  <c r="K23" i="39"/>
  <c r="K54" i="39" s="1"/>
  <c r="E32" i="39"/>
  <c r="C32" i="39"/>
  <c r="G2" i="38"/>
  <c r="D7" i="38"/>
  <c r="D5" i="38"/>
  <c r="H3" i="1"/>
  <c r="K3" i="1"/>
  <c r="G3" i="1"/>
  <c r="DC1" i="36"/>
  <c r="B11" i="36"/>
  <c r="B13" i="36"/>
  <c r="B19" i="36"/>
  <c r="B15" i="36"/>
  <c r="B4" i="36"/>
  <c r="B14" i="36"/>
  <c r="B20" i="36"/>
  <c r="B26" i="36"/>
  <c r="B12" i="36"/>
  <c r="B24" i="36"/>
  <c r="G38" i="36"/>
  <c r="B25" i="36"/>
  <c r="G54" i="36"/>
  <c r="G40" i="36"/>
  <c r="G52" i="36"/>
  <c r="G36" i="36"/>
  <c r="G39" i="36"/>
  <c r="G41" i="36"/>
  <c r="G49" i="36"/>
  <c r="G51" i="36"/>
  <c r="G28" i="36"/>
  <c r="G32" i="36"/>
  <c r="G26" i="36"/>
  <c r="G12" i="36"/>
  <c r="F1" i="36"/>
  <c r="G5" i="36"/>
  <c r="G7" i="36"/>
  <c r="G9" i="36"/>
  <c r="G11" i="36"/>
  <c r="G6" i="36"/>
  <c r="G8" i="36"/>
  <c r="G16" i="36"/>
  <c r="G22" i="36"/>
  <c r="G24" i="36"/>
  <c r="G35" i="36"/>
  <c r="G27" i="36"/>
  <c r="G47" i="36"/>
  <c r="G10" i="36"/>
  <c r="G17" i="36"/>
  <c r="G19" i="36"/>
  <c r="G21" i="36"/>
  <c r="G23" i="36"/>
  <c r="G29" i="36"/>
  <c r="G31" i="36"/>
  <c r="G37" i="36"/>
  <c r="G42" i="36"/>
  <c r="G46" i="36"/>
  <c r="G48" i="36"/>
  <c r="G15" i="36"/>
  <c r="A1" i="36"/>
  <c r="G14" i="36"/>
  <c r="G45" i="36"/>
  <c r="G55" i="36"/>
  <c r="G58" i="36"/>
  <c r="G25" i="36"/>
  <c r="G30" i="36"/>
  <c r="B3" i="36"/>
  <c r="G4" i="36"/>
  <c r="G13" i="36"/>
  <c r="G18" i="36"/>
  <c r="G20" i="36"/>
  <c r="G33" i="36"/>
  <c r="G53" i="36"/>
  <c r="F8" i="1"/>
  <c r="K8" i="1"/>
  <c r="G3" i="36"/>
  <c r="G43" i="36"/>
  <c r="G44" i="36"/>
  <c r="G50" i="36"/>
  <c r="G56" i="36"/>
  <c r="E1" i="36"/>
  <c r="V4" i="3"/>
  <c r="U4" i="3" s="1"/>
  <c r="V5" i="3"/>
  <c r="V6" i="3"/>
  <c r="U6" i="3" s="1"/>
  <c r="V7" i="3"/>
  <c r="U7" i="3" s="1"/>
  <c r="V8" i="3"/>
  <c r="U8" i="3" s="1"/>
  <c r="V9" i="3"/>
  <c r="U9" i="3" s="1"/>
  <c r="V10" i="3"/>
  <c r="U10" i="3" s="1"/>
  <c r="V11" i="3"/>
  <c r="U11" i="3" s="1"/>
  <c r="D8" i="3"/>
  <c r="P3" i="3"/>
  <c r="O3" i="3"/>
  <c r="Q28" i="3"/>
  <c r="P28" i="3"/>
  <c r="P16" i="3"/>
  <c r="P17" i="3" s="1"/>
  <c r="P19" i="3" s="1"/>
  <c r="P15" i="3"/>
  <c r="P14" i="3"/>
  <c r="N10" i="3"/>
  <c r="P11" i="3"/>
  <c r="Q4" i="3"/>
  <c r="O11" i="3"/>
  <c r="G27" i="3"/>
  <c r="G25" i="3"/>
  <c r="G26" i="3"/>
  <c r="Q40" i="14"/>
  <c r="P36" i="14"/>
  <c r="Q41" i="14" s="1"/>
  <c r="I36" i="14"/>
  <c r="J41" i="14" s="1"/>
  <c r="L10" i="14"/>
  <c r="K10" i="14"/>
  <c r="J10" i="14"/>
  <c r="L9" i="14"/>
  <c r="K9" i="14"/>
  <c r="J9" i="14"/>
  <c r="L8" i="14"/>
  <c r="K8" i="14"/>
  <c r="J8" i="14"/>
  <c r="L7" i="14"/>
  <c r="K7" i="14"/>
  <c r="J7" i="14"/>
  <c r="L6" i="14"/>
  <c r="K6" i="14"/>
  <c r="J6" i="14"/>
  <c r="L5" i="14"/>
  <c r="K5" i="14"/>
  <c r="J5" i="14"/>
  <c r="L23" i="14"/>
  <c r="K23" i="14"/>
  <c r="J23" i="14"/>
  <c r="L15" i="14"/>
  <c r="K15" i="14"/>
  <c r="J15" i="14"/>
  <c r="L14" i="14"/>
  <c r="K14" i="14"/>
  <c r="J14" i="14"/>
  <c r="L29" i="14"/>
  <c r="K29" i="14"/>
  <c r="J29" i="14"/>
  <c r="L4" i="14"/>
  <c r="K4" i="14"/>
  <c r="J4" i="14"/>
  <c r="L3" i="14"/>
  <c r="K3" i="14"/>
  <c r="J3" i="14"/>
  <c r="L13" i="14"/>
  <c r="K13" i="14"/>
  <c r="J13" i="14"/>
  <c r="L12" i="14"/>
  <c r="K12" i="14"/>
  <c r="J12" i="14"/>
  <c r="L11" i="14"/>
  <c r="K11" i="14"/>
  <c r="J11" i="14"/>
  <c r="L16" i="14"/>
  <c r="K16" i="14"/>
  <c r="J16" i="14"/>
  <c r="L19" i="14"/>
  <c r="K19" i="14"/>
  <c r="J19" i="14"/>
  <c r="L18" i="14"/>
  <c r="K18" i="14"/>
  <c r="J18" i="14"/>
  <c r="L17" i="14"/>
  <c r="K17" i="14"/>
  <c r="J17" i="14"/>
  <c r="L22" i="14"/>
  <c r="K22" i="14"/>
  <c r="J22" i="14"/>
  <c r="L21" i="14"/>
  <c r="K21" i="14"/>
  <c r="J21" i="14"/>
  <c r="L20" i="14"/>
  <c r="K20" i="14"/>
  <c r="J20" i="14"/>
  <c r="L25" i="14"/>
  <c r="K25" i="14"/>
  <c r="J25" i="14"/>
  <c r="L24" i="14"/>
  <c r="J24" i="14"/>
  <c r="L28" i="14"/>
  <c r="K28" i="14"/>
  <c r="J28" i="14"/>
  <c r="L27" i="14"/>
  <c r="K27" i="14"/>
  <c r="J27" i="14"/>
  <c r="L26" i="14"/>
  <c r="K26" i="14"/>
  <c r="J26" i="14"/>
  <c r="L32" i="14"/>
  <c r="K32" i="14"/>
  <c r="J32" i="14"/>
  <c r="L31" i="14"/>
  <c r="K31" i="14"/>
  <c r="J31" i="14"/>
  <c r="L30" i="14"/>
  <c r="K30" i="14"/>
  <c r="J30" i="14"/>
  <c r="L35" i="14"/>
  <c r="K35" i="14"/>
  <c r="J35" i="14"/>
  <c r="L34" i="14"/>
  <c r="K34" i="14"/>
  <c r="J34" i="14"/>
  <c r="L33" i="14"/>
  <c r="K33" i="14"/>
  <c r="J33" i="14"/>
  <c r="B8" i="32"/>
  <c r="E112" i="4"/>
  <c r="E113" i="4"/>
  <c r="C111" i="4"/>
  <c r="C112" i="4"/>
  <c r="C113" i="4"/>
  <c r="L6" i="28"/>
  <c r="L5" i="28"/>
  <c r="L4" i="28"/>
  <c r="N56" i="1"/>
  <c r="N55" i="1"/>
  <c r="N54" i="1"/>
  <c r="N53" i="1"/>
  <c r="N52" i="1"/>
  <c r="N51" i="1"/>
  <c r="N50" i="1"/>
  <c r="N49" i="1"/>
  <c r="N48" i="1"/>
  <c r="N47" i="1"/>
  <c r="N46" i="1"/>
  <c r="N45" i="1"/>
  <c r="N44" i="1"/>
  <c r="N43" i="1"/>
  <c r="N42" i="1"/>
  <c r="N41" i="1"/>
  <c r="N40" i="1"/>
  <c r="N39" i="1"/>
  <c r="N38" i="1"/>
  <c r="N37" i="1"/>
  <c r="N36" i="1"/>
  <c r="N35" i="1"/>
  <c r="N34" i="1"/>
  <c r="E4" i="1"/>
  <c r="G4" i="1" s="1"/>
  <c r="E5" i="1"/>
  <c r="E6" i="1"/>
  <c r="E9" i="1"/>
  <c r="G9" i="1" s="1"/>
  <c r="E10" i="1"/>
  <c r="G10" i="1" s="1"/>
  <c r="E11" i="1"/>
  <c r="E12" i="1"/>
  <c r="G12" i="1" s="1"/>
  <c r="E13" i="1"/>
  <c r="K13" i="1" s="1"/>
  <c r="E14" i="1"/>
  <c r="G14" i="1" s="1"/>
  <c r="E15" i="1"/>
  <c r="N15" i="1" s="1"/>
  <c r="E16" i="1"/>
  <c r="F16" i="1" s="1"/>
  <c r="E17" i="1"/>
  <c r="G17" i="1" s="1"/>
  <c r="E18" i="1"/>
  <c r="N18" i="1" s="1"/>
  <c r="E19" i="1"/>
  <c r="H19" i="1" s="1"/>
  <c r="E20" i="1"/>
  <c r="H20" i="1" s="1"/>
  <c r="E21" i="1"/>
  <c r="F21" i="1" s="1"/>
  <c r="E22" i="1"/>
  <c r="G22" i="1" s="1"/>
  <c r="E23" i="1"/>
  <c r="E24" i="1"/>
  <c r="N24" i="1" s="1"/>
  <c r="E25" i="1"/>
  <c r="N25" i="1" s="1"/>
  <c r="E26" i="1"/>
  <c r="N26" i="1" s="1"/>
  <c r="E27" i="1"/>
  <c r="E28" i="1"/>
  <c r="F28" i="1" s="1"/>
  <c r="E29" i="1"/>
  <c r="E30" i="1"/>
  <c r="E31" i="1"/>
  <c r="H31" i="1" s="1"/>
  <c r="E32" i="1"/>
  <c r="E33" i="1"/>
  <c r="L33" i="1" s="1"/>
  <c r="E34" i="1"/>
  <c r="F34" i="1"/>
  <c r="G34" i="1"/>
  <c r="H34" i="1"/>
  <c r="I34" i="1"/>
  <c r="J34" i="1"/>
  <c r="K34" i="1"/>
  <c r="E35" i="1"/>
  <c r="F35" i="1"/>
  <c r="G35" i="1"/>
  <c r="H35" i="1"/>
  <c r="I35" i="1"/>
  <c r="J35" i="1"/>
  <c r="K35" i="1"/>
  <c r="E36" i="1"/>
  <c r="F36" i="1"/>
  <c r="G36" i="1"/>
  <c r="H36" i="1"/>
  <c r="I36" i="1"/>
  <c r="J36" i="1"/>
  <c r="K36" i="1"/>
  <c r="E37" i="1"/>
  <c r="F37" i="1"/>
  <c r="G37" i="1"/>
  <c r="H37" i="1"/>
  <c r="I37" i="1"/>
  <c r="J37" i="1"/>
  <c r="K37" i="1"/>
  <c r="E38" i="1"/>
  <c r="F38" i="1"/>
  <c r="G38" i="1"/>
  <c r="H38" i="1"/>
  <c r="I38" i="1"/>
  <c r="J38" i="1"/>
  <c r="K38" i="1"/>
  <c r="E39" i="1"/>
  <c r="F39" i="1"/>
  <c r="G39" i="1"/>
  <c r="H39" i="1"/>
  <c r="I39" i="1"/>
  <c r="J39" i="1"/>
  <c r="K39" i="1"/>
  <c r="E40" i="1"/>
  <c r="F40" i="1"/>
  <c r="G40" i="1"/>
  <c r="H40" i="1"/>
  <c r="I40" i="1"/>
  <c r="J40" i="1"/>
  <c r="K40" i="1"/>
  <c r="E41" i="1"/>
  <c r="F41" i="1"/>
  <c r="G41" i="1"/>
  <c r="H41" i="1"/>
  <c r="I41" i="1"/>
  <c r="J41" i="1"/>
  <c r="K41" i="1"/>
  <c r="E42" i="1"/>
  <c r="F42" i="1"/>
  <c r="G42" i="1"/>
  <c r="H42" i="1"/>
  <c r="I42" i="1"/>
  <c r="J42" i="1"/>
  <c r="K42" i="1"/>
  <c r="E43" i="1"/>
  <c r="F43" i="1"/>
  <c r="G43" i="1"/>
  <c r="H43" i="1"/>
  <c r="I43" i="1"/>
  <c r="J43" i="1"/>
  <c r="K43" i="1"/>
  <c r="E44" i="1"/>
  <c r="F44" i="1"/>
  <c r="G44" i="1"/>
  <c r="H44" i="1"/>
  <c r="I44" i="1"/>
  <c r="J44" i="1"/>
  <c r="K44" i="1"/>
  <c r="E45" i="1"/>
  <c r="F45" i="1"/>
  <c r="G45" i="1"/>
  <c r="H45" i="1"/>
  <c r="I45" i="1"/>
  <c r="J45" i="1"/>
  <c r="K45" i="1"/>
  <c r="E42" i="3"/>
  <c r="E31" i="6"/>
  <c r="E38" i="6"/>
  <c r="N44" i="4"/>
  <c r="G44" i="4"/>
  <c r="F44" i="4"/>
  <c r="E44" i="4"/>
  <c r="C44" i="4"/>
  <c r="J33" i="1" l="1"/>
  <c r="F33" i="1"/>
  <c r="N33" i="1"/>
  <c r="I33" i="1"/>
  <c r="O33" i="1" s="1"/>
  <c r="H33" i="1"/>
  <c r="K33" i="1"/>
  <c r="G33" i="1"/>
  <c r="H32" i="1"/>
  <c r="J32" i="1"/>
  <c r="F32" i="1"/>
  <c r="I32" i="1"/>
  <c r="K32" i="1"/>
  <c r="G32" i="1"/>
  <c r="K31" i="1"/>
  <c r="G31" i="1"/>
  <c r="N31" i="1"/>
  <c r="J31" i="1"/>
  <c r="F31" i="1"/>
  <c r="I31" i="1"/>
  <c r="O29" i="1"/>
  <c r="O28" i="1"/>
  <c r="I27" i="1"/>
  <c r="J27" i="1"/>
  <c r="F27" i="1"/>
  <c r="K27" i="1"/>
  <c r="G27" i="1"/>
  <c r="N27" i="1"/>
  <c r="L27" i="1"/>
  <c r="I26" i="1"/>
  <c r="J26" i="1"/>
  <c r="F26" i="1"/>
  <c r="K26" i="1"/>
  <c r="G26" i="1"/>
  <c r="L26" i="1"/>
  <c r="H12" i="1"/>
  <c r="F12" i="1"/>
  <c r="N21" i="1"/>
  <c r="J12" i="1"/>
  <c r="I24" i="1"/>
  <c r="J24" i="1"/>
  <c r="O3" i="1"/>
  <c r="G25" i="1"/>
  <c r="I25" i="1"/>
  <c r="J25" i="1"/>
  <c r="K25" i="1"/>
  <c r="H25" i="1"/>
  <c r="G24" i="1"/>
  <c r="K24" i="1"/>
  <c r="F24" i="1"/>
  <c r="H24" i="1"/>
  <c r="H22" i="1"/>
  <c r="F22" i="1"/>
  <c r="J22" i="1"/>
  <c r="K22" i="1"/>
  <c r="H21" i="1"/>
  <c r="K21" i="1"/>
  <c r="G21" i="1"/>
  <c r="J21" i="1"/>
  <c r="K20" i="1"/>
  <c r="G20" i="1"/>
  <c r="J20" i="1"/>
  <c r="N20" i="1"/>
  <c r="I20" i="1"/>
  <c r="G19" i="1"/>
  <c r="K19" i="1"/>
  <c r="J19" i="1"/>
  <c r="F19" i="1"/>
  <c r="N19" i="1"/>
  <c r="I19" i="1"/>
  <c r="J18" i="1"/>
  <c r="H18" i="1"/>
  <c r="I18" i="1"/>
  <c r="F18" i="1"/>
  <c r="K18" i="1"/>
  <c r="G18" i="1"/>
  <c r="J17" i="1"/>
  <c r="I17" i="1"/>
  <c r="F17" i="1"/>
  <c r="N17" i="1"/>
  <c r="K17" i="1"/>
  <c r="O44" i="1"/>
  <c r="O43" i="1"/>
  <c r="O42" i="1"/>
  <c r="O41" i="1"/>
  <c r="O40" i="1"/>
  <c r="O39" i="1"/>
  <c r="O38" i="1"/>
  <c r="O37" i="1"/>
  <c r="O36" i="1"/>
  <c r="O35" i="1"/>
  <c r="O34" i="1"/>
  <c r="O30" i="1"/>
  <c r="O45" i="1"/>
  <c r="J15" i="1"/>
  <c r="F15" i="1"/>
  <c r="H15" i="1"/>
  <c r="K15" i="1"/>
  <c r="G15" i="1"/>
  <c r="J14" i="1"/>
  <c r="F14" i="1"/>
  <c r="N14" i="1"/>
  <c r="I14" i="1"/>
  <c r="L14" i="1"/>
  <c r="H14" i="1"/>
  <c r="K14" i="1"/>
  <c r="G13" i="1"/>
  <c r="J13" i="1"/>
  <c r="F13" i="1"/>
  <c r="N13" i="1"/>
  <c r="I13" i="1"/>
  <c r="L13" i="1"/>
  <c r="H55" i="7" s="1"/>
  <c r="H13" i="1"/>
  <c r="Q39" i="14"/>
  <c r="J39" i="14"/>
  <c r="G59" i="36"/>
  <c r="D59" i="36"/>
  <c r="I12" i="1"/>
  <c r="K12" i="1"/>
  <c r="J11" i="1"/>
  <c r="F11" i="1"/>
  <c r="H11" i="1"/>
  <c r="K11" i="1"/>
  <c r="G11" i="1"/>
  <c r="F10" i="1"/>
  <c r="H10" i="1"/>
  <c r="K10" i="1"/>
  <c r="F9" i="1"/>
  <c r="H9" i="1"/>
  <c r="N9" i="1"/>
  <c r="K9" i="1"/>
  <c r="O8" i="1"/>
  <c r="J32" i="39"/>
  <c r="J33" i="39" s="1"/>
  <c r="G6" i="1"/>
  <c r="F6" i="1"/>
  <c r="K6" i="1"/>
  <c r="H6" i="1"/>
  <c r="G4" i="38"/>
  <c r="G7" i="38" s="1"/>
  <c r="K8" i="38"/>
  <c r="F5" i="1"/>
  <c r="K5" i="1"/>
  <c r="G5" i="1"/>
  <c r="J4" i="1"/>
  <c r="I4" i="1"/>
  <c r="L4" i="1"/>
  <c r="H4" i="1"/>
  <c r="N4" i="1"/>
  <c r="K4" i="1"/>
  <c r="C1" i="36"/>
  <c r="B1" i="36"/>
  <c r="V12" i="3"/>
  <c r="U5" i="3"/>
  <c r="U12" i="3" s="1"/>
  <c r="U13" i="3" s="1"/>
  <c r="Q11" i="3"/>
  <c r="P8" i="3"/>
  <c r="P9" i="3" s="1"/>
  <c r="P10" i="3" s="1"/>
  <c r="O8" i="3"/>
  <c r="O9" i="3" s="1"/>
  <c r="O10" i="3" s="1"/>
  <c r="L36" i="14"/>
  <c r="L37" i="14" s="1"/>
  <c r="R36" i="14"/>
  <c r="S36" i="14"/>
  <c r="S37" i="14" s="1"/>
  <c r="K36" i="14"/>
  <c r="K14" i="28"/>
  <c r="J14" i="28"/>
  <c r="I14" i="28"/>
  <c r="H14" i="28"/>
  <c r="G14" i="28"/>
  <c r="F14" i="28"/>
  <c r="E14" i="28"/>
  <c r="L13" i="28"/>
  <c r="L12" i="28"/>
  <c r="L11" i="28"/>
  <c r="L10" i="28"/>
  <c r="L9" i="28"/>
  <c r="L8" i="28"/>
  <c r="L7" i="28"/>
  <c r="L3" i="28"/>
  <c r="E46" i="1"/>
  <c r="F46" i="1"/>
  <c r="G46" i="1"/>
  <c r="H46" i="1"/>
  <c r="I46" i="1"/>
  <c r="J46" i="1"/>
  <c r="K46" i="1"/>
  <c r="E47" i="1"/>
  <c r="F47" i="1"/>
  <c r="G47" i="1"/>
  <c r="H47" i="1"/>
  <c r="I47" i="1"/>
  <c r="J47" i="1"/>
  <c r="K47" i="1"/>
  <c r="E48" i="1"/>
  <c r="F48" i="1"/>
  <c r="G48" i="1"/>
  <c r="H48" i="1"/>
  <c r="I48" i="1"/>
  <c r="J48" i="1"/>
  <c r="K48" i="1"/>
  <c r="E49" i="1"/>
  <c r="F49" i="1"/>
  <c r="G49" i="1"/>
  <c r="H49" i="1"/>
  <c r="I49" i="1"/>
  <c r="J49" i="1"/>
  <c r="K49" i="1"/>
  <c r="E50" i="1"/>
  <c r="F50" i="1"/>
  <c r="G50" i="1"/>
  <c r="H50" i="1"/>
  <c r="I50" i="1"/>
  <c r="J50" i="1"/>
  <c r="K50" i="1"/>
  <c r="E51" i="1"/>
  <c r="F51" i="1"/>
  <c r="G51" i="1"/>
  <c r="H51" i="1"/>
  <c r="I51" i="1"/>
  <c r="J51" i="1"/>
  <c r="K51" i="1"/>
  <c r="E52" i="1"/>
  <c r="F52" i="1"/>
  <c r="G52" i="1"/>
  <c r="H52" i="1"/>
  <c r="I52" i="1"/>
  <c r="J52" i="1"/>
  <c r="K52" i="1"/>
  <c r="E53" i="1"/>
  <c r="F53" i="1"/>
  <c r="G53" i="1"/>
  <c r="H53" i="1"/>
  <c r="I53" i="1"/>
  <c r="J53" i="1"/>
  <c r="K53" i="1"/>
  <c r="E54" i="1"/>
  <c r="F54" i="1"/>
  <c r="G54" i="1"/>
  <c r="H54" i="1"/>
  <c r="I54" i="1"/>
  <c r="J54" i="1"/>
  <c r="K54" i="1"/>
  <c r="E55" i="1"/>
  <c r="F55" i="1"/>
  <c r="G55" i="1"/>
  <c r="H55" i="1"/>
  <c r="I55" i="1"/>
  <c r="J55" i="1"/>
  <c r="K55" i="1"/>
  <c r="O32" i="1" l="1"/>
  <c r="O31" i="1"/>
  <c r="O27" i="1"/>
  <c r="O26" i="1"/>
  <c r="F55" i="7"/>
  <c r="O20" i="1"/>
  <c r="G55" i="7"/>
  <c r="E55" i="7"/>
  <c r="C55" i="7"/>
  <c r="B55" i="7"/>
  <c r="O24" i="1"/>
  <c r="J55" i="7"/>
  <c r="D55" i="7"/>
  <c r="O4" i="1"/>
  <c r="O17" i="1"/>
  <c r="O54" i="1"/>
  <c r="O52" i="1"/>
  <c r="O21" i="1"/>
  <c r="O55" i="1"/>
  <c r="O51" i="1"/>
  <c r="O49" i="1"/>
  <c r="O47" i="1"/>
  <c r="O5" i="1"/>
  <c r="O25" i="1"/>
  <c r="O23" i="1"/>
  <c r="O22" i="1"/>
  <c r="O19" i="1"/>
  <c r="O18" i="1"/>
  <c r="O16" i="1"/>
  <c r="O53" i="1"/>
  <c r="O50" i="1"/>
  <c r="O48" i="1"/>
  <c r="O46" i="1"/>
  <c r="O12" i="1"/>
  <c r="O15" i="1"/>
  <c r="O13" i="1"/>
  <c r="O14" i="1"/>
  <c r="O11" i="1"/>
  <c r="O10" i="1"/>
  <c r="V8" i="1" s="1"/>
  <c r="O9" i="1"/>
  <c r="O6" i="1"/>
  <c r="V14" i="3"/>
  <c r="U14" i="3"/>
  <c r="Q10" i="3"/>
  <c r="Q9" i="3"/>
  <c r="Q8" i="3"/>
  <c r="L38" i="14"/>
  <c r="S38" i="14"/>
  <c r="L14" i="28"/>
  <c r="D14" i="28"/>
  <c r="I22" i="4"/>
  <c r="C10" i="14"/>
  <c r="D10" i="14"/>
  <c r="E10" i="14"/>
  <c r="C40" i="14"/>
  <c r="B36" i="14"/>
  <c r="C41" i="14" s="1"/>
  <c r="E5" i="14"/>
  <c r="D5" i="14"/>
  <c r="C5" i="14"/>
  <c r="E11" i="14"/>
  <c r="D11" i="14"/>
  <c r="C11" i="14"/>
  <c r="E9" i="14"/>
  <c r="D9" i="14"/>
  <c r="C9" i="14"/>
  <c r="E8" i="14"/>
  <c r="D8" i="14"/>
  <c r="C8" i="14"/>
  <c r="E7" i="14"/>
  <c r="D7" i="14"/>
  <c r="C7" i="14"/>
  <c r="E4" i="14"/>
  <c r="D4" i="14"/>
  <c r="C4" i="14"/>
  <c r="E3" i="14"/>
  <c r="D3" i="14"/>
  <c r="C3" i="14"/>
  <c r="E6" i="14"/>
  <c r="D6" i="14"/>
  <c r="C6" i="14"/>
  <c r="M44" i="4"/>
  <c r="L44" i="4"/>
  <c r="K44" i="4"/>
  <c r="I44" i="4"/>
  <c r="Q14" i="3" l="1"/>
  <c r="Q15" i="3"/>
  <c r="Q16" i="3"/>
  <c r="Q17" i="3"/>
  <c r="D36" i="14"/>
  <c r="E36" i="14"/>
  <c r="E37" i="14" s="1"/>
  <c r="C39" i="14"/>
  <c r="J35" i="3"/>
  <c r="S28" i="24"/>
  <c r="J51" i="3"/>
  <c r="P48" i="4"/>
  <c r="S29" i="24" l="1"/>
  <c r="S30" i="24"/>
  <c r="Q19" i="3"/>
  <c r="E8" i="3" s="1"/>
  <c r="E38" i="14"/>
  <c r="J34" i="3"/>
  <c r="N4" i="33" l="1"/>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3" i="33"/>
  <c r="B21" i="32"/>
  <c r="K56" i="1" l="1"/>
  <c r="C108" i="4" l="1"/>
  <c r="C109" i="4"/>
  <c r="C110" i="4"/>
  <c r="C114" i="4"/>
  <c r="C115" i="4"/>
  <c r="D108" i="4"/>
  <c r="E108" i="4"/>
  <c r="F108" i="4"/>
  <c r="G108" i="4"/>
  <c r="H108" i="4"/>
  <c r="I108" i="4"/>
  <c r="J108" i="4"/>
  <c r="K108" i="4"/>
  <c r="L108" i="4"/>
  <c r="M108" i="4"/>
  <c r="N108" i="4"/>
  <c r="D109" i="4"/>
  <c r="E109" i="4"/>
  <c r="G109" i="4"/>
  <c r="H109" i="4"/>
  <c r="I109" i="4"/>
  <c r="J109" i="4"/>
  <c r="K109" i="4"/>
  <c r="L109" i="4"/>
  <c r="M109" i="4"/>
  <c r="N109" i="4"/>
  <c r="D110" i="4"/>
  <c r="E110" i="4"/>
  <c r="G110" i="4"/>
  <c r="H110" i="4"/>
  <c r="I110" i="4"/>
  <c r="J110" i="4"/>
  <c r="K110" i="4"/>
  <c r="L110" i="4"/>
  <c r="M110" i="4"/>
  <c r="N110" i="4"/>
  <c r="D111" i="4"/>
  <c r="E111" i="4"/>
  <c r="G111" i="4"/>
  <c r="H111" i="4"/>
  <c r="I111" i="4"/>
  <c r="J111" i="4"/>
  <c r="K111" i="4"/>
  <c r="L111" i="4"/>
  <c r="M111" i="4"/>
  <c r="N111" i="4"/>
  <c r="D112" i="4"/>
  <c r="G112" i="4"/>
  <c r="H112" i="4"/>
  <c r="I112" i="4"/>
  <c r="J112" i="4"/>
  <c r="K112" i="4"/>
  <c r="L112" i="4"/>
  <c r="M112" i="4"/>
  <c r="N112" i="4"/>
  <c r="D113" i="4"/>
  <c r="G113" i="4"/>
  <c r="H113" i="4"/>
  <c r="I113" i="4"/>
  <c r="J113" i="4"/>
  <c r="K113" i="4"/>
  <c r="L113" i="4"/>
  <c r="M113" i="4"/>
  <c r="N113" i="4"/>
  <c r="D114" i="4"/>
  <c r="E114" i="4"/>
  <c r="G114" i="4"/>
  <c r="H114" i="4"/>
  <c r="I114" i="4"/>
  <c r="J114" i="4"/>
  <c r="K114" i="4"/>
  <c r="L114" i="4"/>
  <c r="M114" i="4"/>
  <c r="N114" i="4"/>
  <c r="D115" i="4"/>
  <c r="E115" i="4"/>
  <c r="G115" i="4"/>
  <c r="H115" i="4"/>
  <c r="I115" i="4"/>
  <c r="J115" i="4"/>
  <c r="K115" i="4"/>
  <c r="L115" i="4"/>
  <c r="M115" i="4"/>
  <c r="N115" i="4"/>
  <c r="D118" i="4"/>
  <c r="E118" i="4"/>
  <c r="F118" i="4"/>
  <c r="G118" i="4"/>
  <c r="H118" i="4"/>
  <c r="I118" i="4"/>
  <c r="J118" i="4"/>
  <c r="K118" i="4"/>
  <c r="L118" i="4"/>
  <c r="M118" i="4"/>
  <c r="N118" i="4"/>
  <c r="D130" i="4"/>
  <c r="E130" i="4"/>
  <c r="F130" i="4"/>
  <c r="G130" i="4"/>
  <c r="H130" i="4"/>
  <c r="I130" i="4"/>
  <c r="J130" i="4"/>
  <c r="K130" i="4"/>
  <c r="L130" i="4"/>
  <c r="M130" i="4"/>
  <c r="N130" i="4"/>
  <c r="D135" i="4"/>
  <c r="E135" i="4"/>
  <c r="F135" i="4"/>
  <c r="G135" i="4"/>
  <c r="H135" i="4"/>
  <c r="I135" i="4"/>
  <c r="J135" i="4"/>
  <c r="K135" i="4"/>
  <c r="L135" i="4"/>
  <c r="M135" i="4"/>
  <c r="N135" i="4"/>
  <c r="D139" i="4"/>
  <c r="E139" i="4"/>
  <c r="F139" i="4"/>
  <c r="G139" i="4"/>
  <c r="H139" i="4"/>
  <c r="I139" i="4"/>
  <c r="J139" i="4"/>
  <c r="K139" i="4"/>
  <c r="L139" i="4"/>
  <c r="M139" i="4"/>
  <c r="N139" i="4"/>
  <c r="D143" i="4"/>
  <c r="E143" i="4"/>
  <c r="F143" i="4"/>
  <c r="G143" i="4"/>
  <c r="H143" i="4"/>
  <c r="I143" i="4"/>
  <c r="J143" i="4"/>
  <c r="K143" i="4"/>
  <c r="L143" i="4"/>
  <c r="M143" i="4"/>
  <c r="N143" i="4"/>
  <c r="C143" i="4"/>
  <c r="C139" i="4"/>
  <c r="C135" i="4"/>
  <c r="C130" i="4"/>
  <c r="C118" i="4"/>
  <c r="P20" i="4"/>
  <c r="S8" i="4"/>
  <c r="H117" i="4" l="1"/>
  <c r="C117" i="4"/>
  <c r="K117" i="4"/>
  <c r="J117" i="4"/>
  <c r="L117" i="4"/>
  <c r="D117" i="4"/>
  <c r="G117" i="4"/>
  <c r="N117" i="4"/>
  <c r="F117" i="4"/>
  <c r="M117" i="4"/>
  <c r="I117" i="4"/>
  <c r="E117" i="4"/>
  <c r="T8" i="4"/>
  <c r="A8" i="4"/>
  <c r="P139" i="4"/>
  <c r="P135" i="4"/>
  <c r="P130" i="4"/>
  <c r="P147" i="4"/>
  <c r="P143" i="4"/>
  <c r="P118" i="4"/>
  <c r="P122" i="4"/>
  <c r="W3" i="1"/>
  <c r="W4" i="1"/>
  <c r="L18" i="3" s="1"/>
  <c r="W5" i="1"/>
  <c r="W6" i="1"/>
  <c r="W7" i="1"/>
  <c r="L17" i="3" s="1"/>
  <c r="V9" i="1"/>
  <c r="J19" i="3" s="1"/>
  <c r="W9" i="1"/>
  <c r="V10" i="1"/>
  <c r="J20" i="3" s="1"/>
  <c r="W10" i="1"/>
  <c r="A24" i="7"/>
  <c r="A34" i="7" s="1"/>
  <c r="A44" i="7" s="1"/>
  <c r="A54" i="7" s="1"/>
  <c r="A64" i="7" s="1"/>
  <c r="A74" i="7" s="1"/>
  <c r="A84" i="7" s="1"/>
  <c r="A94" i="7" s="1"/>
  <c r="A104" i="7" s="1"/>
  <c r="A114" i="7" s="1"/>
  <c r="A14" i="7"/>
  <c r="D34" i="3"/>
  <c r="D35" i="3" s="1"/>
  <c r="B5" i="3"/>
  <c r="D5" i="3"/>
  <c r="E5" i="3" s="1"/>
  <c r="B6" i="3"/>
  <c r="D7" i="3"/>
  <c r="E7" i="3" s="1"/>
  <c r="S4" i="4"/>
  <c r="S5" i="4"/>
  <c r="S6" i="4"/>
  <c r="S7" i="4"/>
  <c r="S10" i="4"/>
  <c r="S3" i="4"/>
  <c r="A32" i="4"/>
  <c r="L18" i="6"/>
  <c r="L19" i="6"/>
  <c r="L20" i="6"/>
  <c r="L21" i="6"/>
  <c r="L26" i="6"/>
  <c r="L27" i="6"/>
  <c r="L28" i="6"/>
  <c r="L29" i="6"/>
  <c r="L30" i="6"/>
  <c r="L31" i="6"/>
  <c r="AP1" i="24"/>
  <c r="AM1" i="24"/>
  <c r="T5" i="4" l="1"/>
  <c r="A5" i="4"/>
  <c r="T7" i="4"/>
  <c r="A7" i="4"/>
  <c r="T4" i="4"/>
  <c r="A4" i="4"/>
  <c r="T10" i="4"/>
  <c r="A10" i="4"/>
  <c r="T3" i="4"/>
  <c r="A3" i="4"/>
  <c r="T6" i="4"/>
  <c r="A6" i="4"/>
  <c r="V4" i="1"/>
  <c r="J18" i="3" s="1"/>
  <c r="W11" i="1"/>
  <c r="E9" i="3"/>
  <c r="S9" i="4"/>
  <c r="A9" i="4" s="1"/>
  <c r="AJ38" i="24"/>
  <c r="AJ32" i="24"/>
  <c r="AJ33" i="24"/>
  <c r="AJ34" i="24"/>
  <c r="AJ35" i="24"/>
  <c r="AJ36" i="24"/>
  <c r="AJ37" i="24"/>
  <c r="AJ31" i="24"/>
  <c r="S11" i="4" l="1"/>
  <c r="T9" i="4"/>
  <c r="E123" i="7"/>
  <c r="G123" i="7"/>
  <c r="N50" i="24"/>
  <c r="P52" i="4"/>
  <c r="P53" i="4"/>
  <c r="P54" i="4"/>
  <c r="P55" i="4"/>
  <c r="P56" i="4"/>
  <c r="P57" i="4"/>
  <c r="J75" i="3"/>
  <c r="B76" i="3" s="1"/>
  <c r="B124" i="7"/>
  <c r="C124" i="7"/>
  <c r="D124" i="7"/>
  <c r="E124" i="7"/>
  <c r="F124" i="7"/>
  <c r="G124" i="7"/>
  <c r="H124" i="7"/>
  <c r="I124" i="7"/>
  <c r="J124" i="7"/>
  <c r="B125" i="7"/>
  <c r="C125" i="7"/>
  <c r="D125" i="7"/>
  <c r="F125" i="7"/>
  <c r="G125" i="7"/>
  <c r="H125" i="7"/>
  <c r="I125" i="7"/>
  <c r="J125" i="7"/>
  <c r="B126" i="7"/>
  <c r="C126" i="7"/>
  <c r="D126" i="7"/>
  <c r="E126" i="7"/>
  <c r="F126" i="7"/>
  <c r="G126" i="7"/>
  <c r="H126" i="7"/>
  <c r="I126" i="7"/>
  <c r="J126" i="7"/>
  <c r="B127" i="7"/>
  <c r="C127" i="7"/>
  <c r="D127" i="7"/>
  <c r="E127" i="7"/>
  <c r="F127" i="7"/>
  <c r="G127" i="7"/>
  <c r="H127" i="7"/>
  <c r="I127" i="7"/>
  <c r="J127" i="7"/>
  <c r="B128" i="7"/>
  <c r="C128" i="7"/>
  <c r="D128" i="7"/>
  <c r="E128" i="7"/>
  <c r="F128" i="7"/>
  <c r="G128" i="7"/>
  <c r="H128" i="7"/>
  <c r="I128" i="7"/>
  <c r="J128" i="7"/>
  <c r="B129" i="7"/>
  <c r="C129" i="7"/>
  <c r="D129" i="7"/>
  <c r="E129" i="7"/>
  <c r="F129" i="7"/>
  <c r="G129" i="7"/>
  <c r="H129" i="7"/>
  <c r="I129" i="7"/>
  <c r="J129" i="7"/>
  <c r="D123" i="7"/>
  <c r="F123" i="7"/>
  <c r="I123" i="7"/>
  <c r="J123" i="7"/>
  <c r="H123" i="7"/>
  <c r="B2" i="6"/>
  <c r="D2" i="6"/>
  <c r="F2" i="6"/>
  <c r="G2" i="6"/>
  <c r="H2" i="6"/>
  <c r="I2" i="6"/>
  <c r="J2" i="6"/>
  <c r="K2" i="6"/>
  <c r="B5" i="6"/>
  <c r="D5" i="6"/>
  <c r="F5" i="6"/>
  <c r="G5" i="6"/>
  <c r="H5" i="6"/>
  <c r="I5" i="6"/>
  <c r="J5" i="6"/>
  <c r="K5" i="6"/>
  <c r="B7" i="6"/>
  <c r="D7" i="6"/>
  <c r="F7" i="6"/>
  <c r="G7" i="6"/>
  <c r="H7" i="6"/>
  <c r="I7" i="6"/>
  <c r="J7" i="6"/>
  <c r="K7" i="6"/>
  <c r="B123" i="7"/>
  <c r="B12" i="6"/>
  <c r="P1" i="1"/>
  <c r="AD20" i="24" l="1"/>
  <c r="AP3" i="24" s="1"/>
  <c r="M128" i="7"/>
  <c r="L14" i="3"/>
  <c r="L19" i="3"/>
  <c r="L20" i="3"/>
  <c r="L15" i="3"/>
  <c r="M124" i="7"/>
  <c r="M126" i="7"/>
  <c r="M129" i="7"/>
  <c r="M127" i="7"/>
  <c r="M125" i="7"/>
  <c r="L13" i="3"/>
  <c r="L2" i="6"/>
  <c r="L5" i="6"/>
  <c r="L7" i="6"/>
  <c r="L21" i="3" l="1"/>
  <c r="T11" i="4"/>
  <c r="I6" i="24"/>
  <c r="P69" i="4" l="1"/>
  <c r="N51" i="24" s="1"/>
  <c r="D32" i="4"/>
  <c r="C4" i="7" l="1"/>
  <c r="C123" i="7"/>
  <c r="M123" i="7" l="1"/>
  <c r="E56" i="1"/>
  <c r="C131" i="7" l="1"/>
  <c r="D131" i="7"/>
  <c r="E131" i="7"/>
  <c r="F131" i="7"/>
  <c r="G131" i="7"/>
  <c r="H131" i="7"/>
  <c r="I131" i="7"/>
  <c r="J131" i="7"/>
  <c r="B131" i="7"/>
  <c r="J114" i="7"/>
  <c r="I114" i="7"/>
  <c r="H114" i="7"/>
  <c r="G114" i="7"/>
  <c r="F114" i="7"/>
  <c r="E114" i="7"/>
  <c r="D114" i="7"/>
  <c r="C114" i="7"/>
  <c r="B114" i="7"/>
  <c r="J104" i="7"/>
  <c r="I104" i="7"/>
  <c r="H104" i="7"/>
  <c r="G104" i="7"/>
  <c r="F104" i="7"/>
  <c r="E104" i="7"/>
  <c r="D104" i="7"/>
  <c r="C104" i="7"/>
  <c r="B104" i="7"/>
  <c r="J94" i="7"/>
  <c r="I94" i="7"/>
  <c r="H94" i="7"/>
  <c r="G94" i="7"/>
  <c r="F94" i="7"/>
  <c r="E94" i="7"/>
  <c r="D94" i="7"/>
  <c r="C94" i="7"/>
  <c r="B94" i="7"/>
  <c r="J84" i="7"/>
  <c r="I84" i="7"/>
  <c r="H84" i="7"/>
  <c r="G84" i="7"/>
  <c r="F84" i="7"/>
  <c r="E84" i="7"/>
  <c r="D84" i="7"/>
  <c r="C84" i="7"/>
  <c r="B84" i="7"/>
  <c r="J74" i="7"/>
  <c r="I74" i="7"/>
  <c r="H74" i="7"/>
  <c r="G74" i="7"/>
  <c r="F74" i="7"/>
  <c r="E74" i="7"/>
  <c r="D74" i="7"/>
  <c r="C74" i="7"/>
  <c r="B74" i="7"/>
  <c r="J64" i="7"/>
  <c r="I64" i="7"/>
  <c r="H64" i="7"/>
  <c r="G64" i="7"/>
  <c r="F64" i="7"/>
  <c r="E64" i="7"/>
  <c r="D64" i="7"/>
  <c r="C64" i="7"/>
  <c r="B64" i="7"/>
  <c r="J54" i="7"/>
  <c r="I54" i="7"/>
  <c r="H54" i="7"/>
  <c r="G54" i="7"/>
  <c r="F54" i="7"/>
  <c r="E54" i="7"/>
  <c r="D54" i="7"/>
  <c r="C54" i="7"/>
  <c r="B54" i="7"/>
  <c r="J44" i="7"/>
  <c r="I44" i="7"/>
  <c r="H44" i="7"/>
  <c r="G44" i="7"/>
  <c r="F44" i="7"/>
  <c r="E44" i="7"/>
  <c r="D44" i="7"/>
  <c r="C44" i="7"/>
  <c r="B44" i="7"/>
  <c r="J34" i="7"/>
  <c r="I34" i="7"/>
  <c r="H34" i="7"/>
  <c r="G34" i="7"/>
  <c r="F34" i="7"/>
  <c r="E34" i="7"/>
  <c r="D34" i="7"/>
  <c r="C34" i="7"/>
  <c r="B34" i="7"/>
  <c r="J24" i="7"/>
  <c r="I24" i="7"/>
  <c r="H24" i="7"/>
  <c r="G24" i="7"/>
  <c r="F24" i="7"/>
  <c r="E24" i="7"/>
  <c r="D24" i="7"/>
  <c r="C24" i="7"/>
  <c r="B24" i="7"/>
  <c r="J14" i="7"/>
  <c r="I14" i="7"/>
  <c r="H14" i="7"/>
  <c r="G14" i="7"/>
  <c r="F14" i="7"/>
  <c r="E14" i="7"/>
  <c r="D14" i="7"/>
  <c r="B14" i="7"/>
  <c r="J4" i="7"/>
  <c r="I4" i="7"/>
  <c r="H4" i="7"/>
  <c r="G4" i="7"/>
  <c r="F4" i="7"/>
  <c r="E4" i="7"/>
  <c r="D4" i="7"/>
  <c r="H9" i="38" s="1"/>
  <c r="H10" i="38" s="1"/>
  <c r="G10" i="38" s="1"/>
  <c r="B4" i="7"/>
  <c r="J56" i="1"/>
  <c r="I56" i="1"/>
  <c r="H56" i="1"/>
  <c r="G56" i="1"/>
  <c r="F56" i="1"/>
  <c r="O56" i="1" l="1"/>
  <c r="E130" i="7"/>
  <c r="F130" i="7"/>
  <c r="H130" i="7"/>
  <c r="G130" i="7"/>
  <c r="I130" i="7"/>
  <c r="C130" i="7"/>
  <c r="D130" i="7"/>
  <c r="B130" i="7"/>
  <c r="J130" i="7"/>
  <c r="E1" i="34"/>
  <c r="L1" i="33"/>
  <c r="K1" i="33"/>
  <c r="J1" i="33"/>
  <c r="I1" i="33"/>
  <c r="H1" i="33"/>
  <c r="G1" i="33"/>
  <c r="N34" i="32"/>
  <c r="H34" i="32"/>
  <c r="B34" i="32"/>
  <c r="N21" i="32"/>
  <c r="H21" i="32"/>
  <c r="N8" i="32"/>
  <c r="H8" i="32"/>
  <c r="M1" i="33" l="1"/>
  <c r="N1" i="33"/>
  <c r="E52" i="3" l="1"/>
  <c r="I45" i="24" s="1"/>
  <c r="D101" i="4"/>
  <c r="D107" i="4" s="1"/>
  <c r="E101" i="4"/>
  <c r="E107" i="4" s="1"/>
  <c r="F101" i="4"/>
  <c r="F107" i="4" s="1"/>
  <c r="G101" i="4"/>
  <c r="G107" i="4" s="1"/>
  <c r="H101" i="4"/>
  <c r="H107" i="4" s="1"/>
  <c r="I101" i="4"/>
  <c r="I107" i="4" s="1"/>
  <c r="J101" i="4"/>
  <c r="J107" i="4" s="1"/>
  <c r="K101" i="4"/>
  <c r="K107" i="4" s="1"/>
  <c r="L101" i="4"/>
  <c r="L107" i="4" s="1"/>
  <c r="M101" i="4"/>
  <c r="M107" i="4" s="1"/>
  <c r="N101" i="4"/>
  <c r="N107" i="4" s="1"/>
  <c r="C101" i="4"/>
  <c r="C107" i="4" s="1"/>
  <c r="H45" i="24"/>
  <c r="R45" i="24" s="1"/>
  <c r="M122" i="7"/>
  <c r="M121" i="7"/>
  <c r="N43" i="4" s="1"/>
  <c r="M120" i="7"/>
  <c r="N42" i="4" s="1"/>
  <c r="M119" i="7"/>
  <c r="N41" i="4" s="1"/>
  <c r="M118" i="7"/>
  <c r="N40" i="4" s="1"/>
  <c r="M117" i="7"/>
  <c r="N39" i="4" s="1"/>
  <c r="M116" i="7"/>
  <c r="N38" i="4" s="1"/>
  <c r="M115" i="7"/>
  <c r="M112" i="7"/>
  <c r="M111" i="7"/>
  <c r="M43" i="4" s="1"/>
  <c r="M110" i="7"/>
  <c r="M42" i="4" s="1"/>
  <c r="M109" i="7"/>
  <c r="M41" i="4" s="1"/>
  <c r="M108" i="7"/>
  <c r="M40" i="4" s="1"/>
  <c r="M107" i="7"/>
  <c r="M39" i="4" s="1"/>
  <c r="M106" i="7"/>
  <c r="M38" i="4" s="1"/>
  <c r="M105" i="7"/>
  <c r="M102" i="7"/>
  <c r="M101" i="7"/>
  <c r="L43" i="4" s="1"/>
  <c r="M100" i="7"/>
  <c r="L42" i="4" s="1"/>
  <c r="M99" i="7"/>
  <c r="L41" i="4" s="1"/>
  <c r="M98" i="7"/>
  <c r="L40" i="4" s="1"/>
  <c r="M97" i="7"/>
  <c r="L39" i="4" s="1"/>
  <c r="M96" i="7"/>
  <c r="L38" i="4" s="1"/>
  <c r="M95" i="7"/>
  <c r="M92" i="7"/>
  <c r="M91" i="7"/>
  <c r="K43" i="4" s="1"/>
  <c r="M90" i="7"/>
  <c r="K42" i="4" s="1"/>
  <c r="M89" i="7"/>
  <c r="K41" i="4" s="1"/>
  <c r="M88" i="7"/>
  <c r="K40" i="4" s="1"/>
  <c r="M87" i="7"/>
  <c r="K39" i="4" s="1"/>
  <c r="M86" i="7"/>
  <c r="K38" i="4" s="1"/>
  <c r="M85" i="7"/>
  <c r="M82" i="7"/>
  <c r="M81" i="7"/>
  <c r="M80" i="7"/>
  <c r="M79" i="7"/>
  <c r="M78" i="7"/>
  <c r="M77" i="7"/>
  <c r="J39" i="4" s="1"/>
  <c r="M76" i="7"/>
  <c r="M75" i="7"/>
  <c r="M72" i="7"/>
  <c r="M71" i="7"/>
  <c r="I43" i="4" s="1"/>
  <c r="M70" i="7"/>
  <c r="I42" i="4" s="1"/>
  <c r="M69" i="7"/>
  <c r="I41" i="4" s="1"/>
  <c r="M68" i="7"/>
  <c r="M67" i="7"/>
  <c r="M66" i="7"/>
  <c r="I38" i="4" s="1"/>
  <c r="M65" i="7"/>
  <c r="M62" i="7"/>
  <c r="M61" i="7"/>
  <c r="H43" i="4" s="1"/>
  <c r="M60" i="7"/>
  <c r="H42" i="4" s="1"/>
  <c r="M59" i="7"/>
  <c r="H41" i="4" s="1"/>
  <c r="M58" i="7"/>
  <c r="H40" i="4" s="1"/>
  <c r="M57" i="7"/>
  <c r="H39" i="4" s="1"/>
  <c r="M56" i="7"/>
  <c r="H38" i="4" s="1"/>
  <c r="M55" i="7"/>
  <c r="H37" i="4" s="1"/>
  <c r="M52" i="7"/>
  <c r="M51" i="7"/>
  <c r="G43" i="4" s="1"/>
  <c r="H26" i="41" s="1"/>
  <c r="M50" i="7"/>
  <c r="G42" i="4" s="1"/>
  <c r="M49" i="7"/>
  <c r="G41" i="4" s="1"/>
  <c r="M48" i="7"/>
  <c r="G40" i="4" s="1"/>
  <c r="M47" i="7"/>
  <c r="G39" i="4" s="1"/>
  <c r="M46" i="7"/>
  <c r="G38" i="4" s="1"/>
  <c r="M45" i="7"/>
  <c r="M42" i="7"/>
  <c r="M41" i="7"/>
  <c r="M40" i="7"/>
  <c r="F42" i="4" s="1"/>
  <c r="M39" i="7"/>
  <c r="F41" i="4" s="1"/>
  <c r="M38" i="7"/>
  <c r="F40" i="4" s="1"/>
  <c r="M37" i="7"/>
  <c r="F39" i="4" s="1"/>
  <c r="M36" i="7"/>
  <c r="F38" i="4" s="1"/>
  <c r="M35" i="7"/>
  <c r="M32" i="7"/>
  <c r="M31" i="7"/>
  <c r="E43" i="4" s="1"/>
  <c r="M30" i="7"/>
  <c r="E42" i="4" s="1"/>
  <c r="M29" i="7"/>
  <c r="E41" i="4" s="1"/>
  <c r="M28" i="7"/>
  <c r="E40" i="4" s="1"/>
  <c r="M27" i="7"/>
  <c r="E39" i="4" s="1"/>
  <c r="M26" i="7"/>
  <c r="E38" i="4" s="1"/>
  <c r="M25" i="7"/>
  <c r="M22" i="7"/>
  <c r="M21" i="7"/>
  <c r="D43" i="4" s="1"/>
  <c r="M20" i="7"/>
  <c r="D42" i="4" s="1"/>
  <c r="M19" i="7"/>
  <c r="D41" i="4" s="1"/>
  <c r="M18" i="7"/>
  <c r="D40" i="4" s="1"/>
  <c r="M17" i="7"/>
  <c r="D39" i="4" s="1"/>
  <c r="M16" i="7"/>
  <c r="D38" i="4" s="1"/>
  <c r="M15" i="7"/>
  <c r="M12" i="7"/>
  <c r="D9" i="6"/>
  <c r="D8" i="6"/>
  <c r="D6" i="6"/>
  <c r="E14" i="6" s="1"/>
  <c r="D4" i="6"/>
  <c r="D3" i="6"/>
  <c r="P61" i="4"/>
  <c r="E22" i="6" l="1"/>
  <c r="E16" i="6"/>
  <c r="E20" i="6"/>
  <c r="E30" i="6"/>
  <c r="E29" i="6"/>
  <c r="E21" i="6"/>
  <c r="E24" i="6"/>
  <c r="E17" i="6"/>
  <c r="E28" i="6"/>
  <c r="E19" i="6"/>
  <c r="E18" i="6"/>
  <c r="E23" i="6"/>
  <c r="E26" i="6"/>
  <c r="E25" i="6"/>
  <c r="E27" i="6"/>
  <c r="E15" i="6"/>
  <c r="N37" i="4"/>
  <c r="N45" i="4" s="1"/>
  <c r="M114" i="7"/>
  <c r="M104" i="7"/>
  <c r="L37" i="4"/>
  <c r="L45" i="4" s="1"/>
  <c r="M94" i="7"/>
  <c r="M84" i="7"/>
  <c r="J45" i="4"/>
  <c r="M74" i="7"/>
  <c r="M64" i="7"/>
  <c r="N72" i="7" s="1"/>
  <c r="M54" i="7"/>
  <c r="G37" i="4"/>
  <c r="G45" i="4" s="1"/>
  <c r="M44" i="7"/>
  <c r="M34" i="7"/>
  <c r="N42" i="7" s="1"/>
  <c r="M24" i="7"/>
  <c r="M14" i="7"/>
  <c r="J52" i="3"/>
  <c r="K52" i="3" s="1"/>
  <c r="D37" i="4"/>
  <c r="E37" i="4"/>
  <c r="E45" i="4" s="1"/>
  <c r="H45" i="4"/>
  <c r="K37" i="4"/>
  <c r="K45" i="4" s="1"/>
  <c r="M37" i="4"/>
  <c r="M45" i="4" s="1"/>
  <c r="I40" i="4"/>
  <c r="I39" i="4"/>
  <c r="M131" i="7"/>
  <c r="M132" i="7" s="1"/>
  <c r="I37" i="4"/>
  <c r="F43" i="4"/>
  <c r="F37" i="4"/>
  <c r="S45" i="24"/>
  <c r="N41" i="7" l="1"/>
  <c r="N39" i="7"/>
  <c r="N36" i="7"/>
  <c r="N35" i="7"/>
  <c r="D45" i="4"/>
  <c r="F45" i="4"/>
  <c r="N112" i="7"/>
  <c r="N110" i="7"/>
  <c r="N108" i="7"/>
  <c r="N106" i="7"/>
  <c r="N111" i="7"/>
  <c r="N109" i="7"/>
  <c r="N107" i="7"/>
  <c r="N105" i="7"/>
  <c r="N92" i="7"/>
  <c r="N90" i="7"/>
  <c r="N88" i="7"/>
  <c r="N86" i="7"/>
  <c r="N89" i="7"/>
  <c r="N85" i="7"/>
  <c r="N91" i="7"/>
  <c r="N87" i="7"/>
  <c r="N62" i="7"/>
  <c r="N60" i="7"/>
  <c r="N58" i="7"/>
  <c r="N56" i="7"/>
  <c r="N59" i="7"/>
  <c r="N55" i="7"/>
  <c r="N61" i="7"/>
  <c r="N57" i="7"/>
  <c r="N32" i="7"/>
  <c r="N30" i="7"/>
  <c r="N28" i="7"/>
  <c r="N26" i="7"/>
  <c r="N29" i="7"/>
  <c r="N25" i="7"/>
  <c r="N31" i="7"/>
  <c r="N27" i="7"/>
  <c r="N22" i="7"/>
  <c r="N20" i="7"/>
  <c r="N18" i="7"/>
  <c r="N16" i="7"/>
  <c r="N19" i="7"/>
  <c r="N15" i="7"/>
  <c r="N21" i="7"/>
  <c r="N17" i="7"/>
  <c r="N38" i="7"/>
  <c r="N37" i="7"/>
  <c r="N40" i="7"/>
  <c r="I45" i="4"/>
  <c r="N122" i="7"/>
  <c r="N120" i="7"/>
  <c r="N118" i="7"/>
  <c r="N116" i="7"/>
  <c r="N121" i="7"/>
  <c r="N119" i="7"/>
  <c r="N117" i="7"/>
  <c r="N115" i="7"/>
  <c r="N102" i="7"/>
  <c r="N100" i="7"/>
  <c r="N98" i="7"/>
  <c r="N96" i="7"/>
  <c r="N99" i="7"/>
  <c r="N95" i="7"/>
  <c r="N101" i="7"/>
  <c r="N97" i="7"/>
  <c r="N82" i="7"/>
  <c r="N80" i="7"/>
  <c r="N78" i="7"/>
  <c r="N76" i="7"/>
  <c r="N79" i="7"/>
  <c r="N75" i="7"/>
  <c r="N81" i="7"/>
  <c r="N77" i="7"/>
  <c r="N52" i="7"/>
  <c r="N50" i="7"/>
  <c r="N48" i="7"/>
  <c r="N46" i="7"/>
  <c r="N49" i="7"/>
  <c r="N45" i="7"/>
  <c r="N51" i="7"/>
  <c r="N47" i="7"/>
  <c r="N66" i="7"/>
  <c r="N71" i="7"/>
  <c r="N70" i="7"/>
  <c r="N67" i="7"/>
  <c r="N68" i="7"/>
  <c r="N69" i="7"/>
  <c r="N65" i="7"/>
  <c r="C68" i="4" l="1"/>
  <c r="R28" i="24" l="1"/>
  <c r="R29" i="24"/>
  <c r="R7" i="24"/>
  <c r="R5" i="24"/>
  <c r="H6" i="24"/>
  <c r="R6" i="24" s="1"/>
  <c r="H3" i="24"/>
  <c r="H16" i="24"/>
  <c r="R16" i="24" s="1"/>
  <c r="H15" i="24"/>
  <c r="R15" i="24" s="1"/>
  <c r="H14" i="24"/>
  <c r="R14" i="24" s="1"/>
  <c r="H13" i="24"/>
  <c r="R13" i="24" s="1"/>
  <c r="H12" i="24"/>
  <c r="R12" i="24" s="1"/>
  <c r="H11" i="24"/>
  <c r="R11" i="24" s="1"/>
  <c r="H10" i="24"/>
  <c r="R10" i="24" s="1"/>
  <c r="H9" i="24"/>
  <c r="R9" i="24" s="1"/>
  <c r="H22" i="24"/>
  <c r="R22" i="24" s="1"/>
  <c r="H23" i="24"/>
  <c r="R23" i="24" s="1"/>
  <c r="H21" i="24"/>
  <c r="R21" i="24" s="1"/>
  <c r="H20" i="24"/>
  <c r="R20" i="24" s="1"/>
  <c r="H19" i="24"/>
  <c r="R19" i="24" s="1"/>
  <c r="H37" i="24"/>
  <c r="R37" i="24" s="1"/>
  <c r="H38" i="24"/>
  <c r="R38" i="24" s="1"/>
  <c r="H39" i="24"/>
  <c r="R39" i="24" s="1"/>
  <c r="H40" i="24"/>
  <c r="R40" i="24" s="1"/>
  <c r="H41" i="24"/>
  <c r="R41" i="24" s="1"/>
  <c r="H42" i="24"/>
  <c r="R42" i="24" s="1"/>
  <c r="H43" i="24"/>
  <c r="R43" i="24" s="1"/>
  <c r="H44" i="24"/>
  <c r="R44" i="24" s="1"/>
  <c r="H33" i="24"/>
  <c r="R33" i="24" s="1"/>
  <c r="H34" i="24"/>
  <c r="R34" i="24" s="1"/>
  <c r="H35" i="24"/>
  <c r="R35" i="24" s="1"/>
  <c r="H36" i="24"/>
  <c r="R36" i="24" s="1"/>
  <c r="H32" i="24"/>
  <c r="R32" i="24" s="1"/>
  <c r="H48" i="24"/>
  <c r="R48" i="24" s="1"/>
  <c r="H49" i="24"/>
  <c r="R49" i="24" s="1"/>
  <c r="H50" i="24"/>
  <c r="R50" i="24" s="1"/>
  <c r="H51" i="24"/>
  <c r="R51" i="24" s="1"/>
  <c r="H52" i="24"/>
  <c r="R52" i="24" s="1"/>
  <c r="H47" i="24"/>
  <c r="R47" i="24" s="1"/>
  <c r="E51" i="3"/>
  <c r="I44" i="24" s="1"/>
  <c r="D57" i="3"/>
  <c r="D58" i="3"/>
  <c r="D59" i="3"/>
  <c r="D60" i="3"/>
  <c r="D61" i="3"/>
  <c r="D56" i="3"/>
  <c r="I47" i="24" s="1"/>
  <c r="N15" i="6"/>
  <c r="O15" i="6" s="1"/>
  <c r="N16" i="6"/>
  <c r="O16" i="6" s="1"/>
  <c r="N17" i="6"/>
  <c r="O17" i="6" s="1"/>
  <c r="N18" i="6"/>
  <c r="O18" i="6" s="1"/>
  <c r="N19" i="6"/>
  <c r="O19" i="6" s="1"/>
  <c r="N20" i="6"/>
  <c r="O20" i="6" s="1"/>
  <c r="N21" i="6"/>
  <c r="O21" i="6" s="1"/>
  <c r="N22" i="6"/>
  <c r="O22" i="6" s="1"/>
  <c r="N14" i="6"/>
  <c r="O14" i="6" s="1"/>
  <c r="G13" i="3"/>
  <c r="P48" i="24"/>
  <c r="F48" i="24" s="1"/>
  <c r="P37" i="24"/>
  <c r="P27" i="24"/>
  <c r="F27" i="24" s="1"/>
  <c r="P11" i="24"/>
  <c r="F11" i="24" s="1"/>
  <c r="P20" i="24"/>
  <c r="F20" i="24" s="1"/>
  <c r="H27" i="24"/>
  <c r="R27" i="24" s="1"/>
  <c r="I35" i="24"/>
  <c r="U2" i="1"/>
  <c r="G16" i="3"/>
  <c r="H16" i="3" s="1"/>
  <c r="I12" i="24" s="1"/>
  <c r="G14" i="3"/>
  <c r="H14" i="3" s="1"/>
  <c r="I10" i="24" s="1"/>
  <c r="E41" i="3"/>
  <c r="K41" i="3" s="1"/>
  <c r="H4" i="24" l="1"/>
  <c r="R4" i="24" s="1"/>
  <c r="I34" i="24"/>
  <c r="D45" i="6" l="1"/>
  <c r="A12" i="6" s="1"/>
  <c r="A2" i="6" s="1"/>
  <c r="F45" i="6"/>
  <c r="F12" i="6" s="1"/>
  <c r="G45" i="6"/>
  <c r="G12" i="6" s="1"/>
  <c r="H45" i="6"/>
  <c r="H12" i="6" s="1"/>
  <c r="I45" i="6"/>
  <c r="I12" i="6" s="1"/>
  <c r="J45" i="6"/>
  <c r="J12" i="6" s="1"/>
  <c r="K45" i="6"/>
  <c r="K12" i="6" s="1"/>
  <c r="E44" i="6"/>
  <c r="E43" i="6"/>
  <c r="E42" i="6"/>
  <c r="E41" i="6"/>
  <c r="E40" i="6"/>
  <c r="E39" i="6"/>
  <c r="L34" i="7"/>
  <c r="L4" i="7"/>
  <c r="A7" i="6" l="1"/>
  <c r="A5" i="6"/>
  <c r="A4" i="6"/>
  <c r="A10" i="6"/>
  <c r="A3" i="6"/>
  <c r="A6" i="6"/>
  <c r="A8" i="6"/>
  <c r="A9" i="6"/>
  <c r="L45" i="6"/>
  <c r="L24" i="7"/>
  <c r="L14" i="7"/>
  <c r="L12" i="6" l="1"/>
  <c r="L44" i="7"/>
  <c r="L54" i="7" l="1"/>
  <c r="L64" i="7" l="1"/>
  <c r="L74" i="7" l="1"/>
  <c r="L84" i="7" l="1"/>
  <c r="L94" i="7" l="1"/>
  <c r="L114" i="7" l="1"/>
  <c r="L104" i="7"/>
  <c r="P58" i="4" l="1"/>
  <c r="P59" i="4"/>
  <c r="P60" i="4"/>
  <c r="S44" i="24" s="1"/>
  <c r="P62" i="4"/>
  <c r="P63" i="4"/>
  <c r="P64" i="4"/>
  <c r="N68" i="4"/>
  <c r="N70" i="4" s="1"/>
  <c r="N103" i="4" s="1"/>
  <c r="M68" i="4"/>
  <c r="M70" i="4" s="1"/>
  <c r="M103" i="4" s="1"/>
  <c r="L68" i="4"/>
  <c r="L70" i="4" s="1"/>
  <c r="L103" i="4" s="1"/>
  <c r="J68" i="4"/>
  <c r="J70" i="4" s="1"/>
  <c r="J103" i="4" s="1"/>
  <c r="I68" i="4"/>
  <c r="I70" i="4" s="1"/>
  <c r="I103" i="4" s="1"/>
  <c r="H68" i="4"/>
  <c r="H70" i="4" s="1"/>
  <c r="H103" i="4" s="1"/>
  <c r="G68" i="4"/>
  <c r="G70" i="4" s="1"/>
  <c r="G103" i="4" s="1"/>
  <c r="F68" i="4"/>
  <c r="F70" i="4" s="1"/>
  <c r="F103" i="4" s="1"/>
  <c r="E68" i="4"/>
  <c r="E70" i="4" s="1"/>
  <c r="E103" i="4" s="1"/>
  <c r="D68" i="4"/>
  <c r="P67" i="4"/>
  <c r="P66" i="4"/>
  <c r="P65" i="4"/>
  <c r="P50" i="4"/>
  <c r="P49" i="4"/>
  <c r="P44" i="4"/>
  <c r="P47" i="4"/>
  <c r="E34" i="3"/>
  <c r="E33" i="3"/>
  <c r="I27" i="24" s="1"/>
  <c r="E35" i="3"/>
  <c r="K35" i="3" s="1"/>
  <c r="D70" i="4" l="1"/>
  <c r="D103" i="4" s="1"/>
  <c r="Q61" i="4"/>
  <c r="Q44" i="4"/>
  <c r="J56" i="3"/>
  <c r="K56" i="3" s="1"/>
  <c r="J60" i="3"/>
  <c r="J61" i="3"/>
  <c r="J59" i="3"/>
  <c r="J58" i="3"/>
  <c r="K51" i="3"/>
  <c r="I29" i="24"/>
  <c r="J57" i="3"/>
  <c r="S43" i="24"/>
  <c r="J50" i="3"/>
  <c r="S40" i="24"/>
  <c r="J47" i="3"/>
  <c r="S42" i="24"/>
  <c r="J49" i="3"/>
  <c r="S41" i="24"/>
  <c r="J48" i="3"/>
  <c r="S39" i="24"/>
  <c r="J46" i="3"/>
  <c r="S38" i="24"/>
  <c r="J45" i="3"/>
  <c r="J42" i="3"/>
  <c r="K42" i="3" s="1"/>
  <c r="J43" i="3"/>
  <c r="J44" i="3"/>
  <c r="S37" i="24"/>
  <c r="S36" i="24"/>
  <c r="S35" i="24"/>
  <c r="J41" i="3"/>
  <c r="S34" i="24"/>
  <c r="S51" i="24"/>
  <c r="S52" i="24"/>
  <c r="S50" i="24"/>
  <c r="J39" i="3"/>
  <c r="S32" i="24"/>
  <c r="S48" i="24"/>
  <c r="S47" i="24"/>
  <c r="Q67" i="4"/>
  <c r="S49" i="24"/>
  <c r="J40" i="3"/>
  <c r="S33" i="24"/>
  <c r="K34" i="3"/>
  <c r="I28" i="24"/>
  <c r="P39" i="24" l="1"/>
  <c r="T45" i="24" s="1"/>
  <c r="P50" i="24"/>
  <c r="T48" i="24" s="1"/>
  <c r="J53" i="3"/>
  <c r="J69" i="3" s="1"/>
  <c r="J62" i="3"/>
  <c r="E50" i="3"/>
  <c r="E49" i="3"/>
  <c r="E48" i="3"/>
  <c r="E43" i="3"/>
  <c r="I36" i="24" s="1"/>
  <c r="E44" i="3"/>
  <c r="E45" i="3"/>
  <c r="E46" i="3"/>
  <c r="E47" i="3"/>
  <c r="E40" i="3"/>
  <c r="E39" i="3"/>
  <c r="B70" i="3"/>
  <c r="G70" i="3" s="1"/>
  <c r="B69" i="3"/>
  <c r="G69" i="3" s="1"/>
  <c r="B68" i="3"/>
  <c r="G68" i="3" s="1"/>
  <c r="B67" i="3"/>
  <c r="G67" i="3" s="1"/>
  <c r="B66" i="3"/>
  <c r="G66" i="3" s="1"/>
  <c r="G72" i="3"/>
  <c r="G71" i="3"/>
  <c r="I3" i="24"/>
  <c r="J70" i="3" l="1"/>
  <c r="E53" i="3"/>
  <c r="H54" i="3" s="1"/>
  <c r="G54" i="3" s="1"/>
  <c r="T42" i="24"/>
  <c r="T40" i="24"/>
  <c r="T34" i="24"/>
  <c r="T38" i="24"/>
  <c r="T35" i="24"/>
  <c r="T36" i="24"/>
  <c r="T32" i="24"/>
  <c r="T39" i="24"/>
  <c r="T37" i="24"/>
  <c r="T33" i="24"/>
  <c r="T43" i="24"/>
  <c r="T41" i="24"/>
  <c r="T44" i="24"/>
  <c r="T52" i="24"/>
  <c r="T50" i="24"/>
  <c r="T49" i="24"/>
  <c r="T47" i="24"/>
  <c r="T51" i="24"/>
  <c r="K49" i="3"/>
  <c r="I42" i="24"/>
  <c r="K48" i="3"/>
  <c r="I41" i="24"/>
  <c r="K47" i="3"/>
  <c r="I40" i="24"/>
  <c r="K40" i="3"/>
  <c r="I33" i="24"/>
  <c r="K44" i="3"/>
  <c r="I37" i="24"/>
  <c r="K50" i="3"/>
  <c r="I43" i="24"/>
  <c r="K39" i="3"/>
  <c r="I32" i="24"/>
  <c r="K45" i="3"/>
  <c r="I38" i="24"/>
  <c r="K46" i="3"/>
  <c r="I39" i="24"/>
  <c r="K43" i="3"/>
  <c r="H27" i="3"/>
  <c r="H26" i="3"/>
  <c r="G29" i="3"/>
  <c r="H29" i="3" s="1"/>
  <c r="G28" i="3"/>
  <c r="H28" i="3" s="1"/>
  <c r="H25" i="3"/>
  <c r="G20" i="3"/>
  <c r="H20" i="3" s="1"/>
  <c r="G19" i="3"/>
  <c r="H19" i="3" s="1"/>
  <c r="H13" i="3"/>
  <c r="G18" i="3"/>
  <c r="H18" i="3" s="1"/>
  <c r="G17" i="3"/>
  <c r="H17" i="3" s="1"/>
  <c r="G15" i="3"/>
  <c r="H15" i="3" s="1"/>
  <c r="I11" i="4"/>
  <c r="L11" i="4"/>
  <c r="P34" i="4"/>
  <c r="P33" i="4"/>
  <c r="B104" i="4"/>
  <c r="B103" i="4"/>
  <c r="B102" i="4"/>
  <c r="N32" i="4"/>
  <c r="M32" i="4"/>
  <c r="L32" i="4"/>
  <c r="K32" i="4"/>
  <c r="J32" i="4"/>
  <c r="I32" i="4"/>
  <c r="H32" i="4"/>
  <c r="G32" i="4"/>
  <c r="F32" i="4"/>
  <c r="E32" i="4"/>
  <c r="C32" i="4"/>
  <c r="P31" i="4"/>
  <c r="P30" i="4"/>
  <c r="P29" i="4"/>
  <c r="P28" i="4"/>
  <c r="P27" i="4"/>
  <c r="P26" i="4"/>
  <c r="P25" i="4"/>
  <c r="P24" i="4"/>
  <c r="P23" i="4"/>
  <c r="N22" i="4"/>
  <c r="M22" i="4"/>
  <c r="L22" i="4"/>
  <c r="K22" i="4"/>
  <c r="J22" i="4"/>
  <c r="H22" i="4"/>
  <c r="G22" i="4"/>
  <c r="I23" i="41" s="1"/>
  <c r="J23" i="41" s="1"/>
  <c r="F22" i="4"/>
  <c r="E22" i="4"/>
  <c r="D22" i="4"/>
  <c r="C22" i="4"/>
  <c r="P21" i="4"/>
  <c r="P19" i="4"/>
  <c r="P18" i="4"/>
  <c r="P17" i="4"/>
  <c r="P16" i="4"/>
  <c r="P15" i="4"/>
  <c r="P14" i="4"/>
  <c r="P13" i="4"/>
  <c r="P12" i="4"/>
  <c r="N11" i="4"/>
  <c r="M11" i="4"/>
  <c r="K11" i="4"/>
  <c r="J11" i="4"/>
  <c r="H11" i="4"/>
  <c r="G11" i="4"/>
  <c r="F11" i="4"/>
  <c r="E11" i="4"/>
  <c r="D11" i="4"/>
  <c r="P9" i="4"/>
  <c r="P8" i="4"/>
  <c r="P7" i="4"/>
  <c r="P6" i="4"/>
  <c r="P5" i="4"/>
  <c r="P4" i="4"/>
  <c r="P3" i="4"/>
  <c r="E36" i="3"/>
  <c r="E35" i="4" l="1"/>
  <c r="E102" i="4" s="1"/>
  <c r="J10" i="3"/>
  <c r="S7" i="24"/>
  <c r="G35" i="4"/>
  <c r="G102" i="4" s="1"/>
  <c r="F35" i="4"/>
  <c r="F102" i="4" s="1"/>
  <c r="N35" i="4"/>
  <c r="N102" i="4" s="1"/>
  <c r="H35" i="4"/>
  <c r="H102" i="4" s="1"/>
  <c r="I35" i="4"/>
  <c r="I102" i="4" s="1"/>
  <c r="J35" i="4"/>
  <c r="J102" i="4" s="1"/>
  <c r="K35" i="4"/>
  <c r="K102" i="4" s="1"/>
  <c r="D35" i="4"/>
  <c r="D102" i="4" s="1"/>
  <c r="L35" i="4"/>
  <c r="L102" i="4" s="1"/>
  <c r="M35" i="4"/>
  <c r="M102" i="4" s="1"/>
  <c r="I5" i="24"/>
  <c r="S6" i="24"/>
  <c r="I22" i="24"/>
  <c r="C8" i="6"/>
  <c r="I19" i="24"/>
  <c r="C4" i="6"/>
  <c r="I23" i="24"/>
  <c r="C9" i="6"/>
  <c r="I21" i="24"/>
  <c r="C3" i="6"/>
  <c r="I20" i="24"/>
  <c r="C6" i="6"/>
  <c r="I14" i="24"/>
  <c r="I13" i="24"/>
  <c r="I11" i="24"/>
  <c r="I16" i="24"/>
  <c r="I15" i="24"/>
  <c r="F39" i="24"/>
  <c r="C69" i="3"/>
  <c r="K69" i="3" s="1"/>
  <c r="K61" i="3"/>
  <c r="I52" i="24"/>
  <c r="K58" i="3"/>
  <c r="I49" i="24"/>
  <c r="K60" i="3"/>
  <c r="I51" i="24"/>
  <c r="K57" i="3"/>
  <c r="I48" i="24"/>
  <c r="D62" i="3"/>
  <c r="K59" i="3"/>
  <c r="I50" i="24"/>
  <c r="I9" i="24"/>
  <c r="I4" i="24"/>
  <c r="F29" i="24"/>
  <c r="J8" i="3"/>
  <c r="K8" i="3" s="1"/>
  <c r="K53" i="3"/>
  <c r="C68" i="3"/>
  <c r="H30" i="3"/>
  <c r="H21" i="3"/>
  <c r="C11" i="4"/>
  <c r="P10" i="4"/>
  <c r="Q32" i="4"/>
  <c r="Q22" i="4"/>
  <c r="F50" i="24" l="1"/>
  <c r="J52" i="24" s="1"/>
  <c r="H63" i="3"/>
  <c r="G63" i="3" s="1"/>
  <c r="F13" i="24"/>
  <c r="J11" i="24" s="1"/>
  <c r="Q11" i="4"/>
  <c r="J5" i="3" s="1"/>
  <c r="C10" i="6"/>
  <c r="C35" i="4"/>
  <c r="C102" i="4" s="1"/>
  <c r="J38" i="24"/>
  <c r="J45" i="24"/>
  <c r="AD4" i="24"/>
  <c r="S4" i="24"/>
  <c r="J6" i="3"/>
  <c r="K6" i="3" s="1"/>
  <c r="F23" i="24"/>
  <c r="J23" i="24" s="1"/>
  <c r="C67" i="3"/>
  <c r="J32" i="24"/>
  <c r="J44" i="24"/>
  <c r="J33" i="24"/>
  <c r="P40" i="24"/>
  <c r="J41" i="24"/>
  <c r="J34" i="24"/>
  <c r="J40" i="24"/>
  <c r="J42" i="24"/>
  <c r="J39" i="24"/>
  <c r="J36" i="24"/>
  <c r="J35" i="24"/>
  <c r="J43" i="24"/>
  <c r="J37" i="24"/>
  <c r="J27" i="24"/>
  <c r="J28" i="24"/>
  <c r="J29" i="24"/>
  <c r="J7" i="3"/>
  <c r="K7" i="3" s="1"/>
  <c r="S5" i="24"/>
  <c r="J8" i="6"/>
  <c r="G8" i="6"/>
  <c r="I8" i="6"/>
  <c r="K8" i="6"/>
  <c r="H8" i="6"/>
  <c r="F8" i="6"/>
  <c r="H6" i="6"/>
  <c r="J6" i="6"/>
  <c r="F6" i="6"/>
  <c r="G6" i="6"/>
  <c r="I6" i="6"/>
  <c r="K6" i="6"/>
  <c r="K3" i="6"/>
  <c r="G3" i="6"/>
  <c r="H3" i="6"/>
  <c r="J3" i="6"/>
  <c r="F3" i="6"/>
  <c r="I3" i="6"/>
  <c r="G9" i="6"/>
  <c r="I9" i="6"/>
  <c r="H9" i="6"/>
  <c r="J9" i="6"/>
  <c r="F9" i="6"/>
  <c r="K9" i="6"/>
  <c r="K4" i="6"/>
  <c r="G4" i="6"/>
  <c r="I4" i="6"/>
  <c r="J4" i="6"/>
  <c r="F4" i="6"/>
  <c r="H4" i="6"/>
  <c r="C66" i="3"/>
  <c r="C70" i="3"/>
  <c r="K70" i="3" s="1"/>
  <c r="K62" i="3"/>
  <c r="M1" i="1"/>
  <c r="Y15" i="24" s="1"/>
  <c r="I1" i="1"/>
  <c r="Y11" i="24" s="1"/>
  <c r="V3" i="1"/>
  <c r="V6" i="1"/>
  <c r="J14" i="3" s="1"/>
  <c r="N73" i="4"/>
  <c r="J73" i="4"/>
  <c r="E73" i="4"/>
  <c r="E104" i="4" s="1"/>
  <c r="M73" i="4"/>
  <c r="L73" i="4"/>
  <c r="I73" i="4"/>
  <c r="D73" i="4"/>
  <c r="D104" i="4" s="1"/>
  <c r="F73" i="4"/>
  <c r="F104" i="4" s="1"/>
  <c r="G73" i="4"/>
  <c r="H73" i="4"/>
  <c r="J50" i="24" l="1"/>
  <c r="J47" i="24"/>
  <c r="J49" i="24"/>
  <c r="J51" i="24"/>
  <c r="J48" i="24"/>
  <c r="P51" i="24"/>
  <c r="J10" i="24"/>
  <c r="J9" i="24"/>
  <c r="J13" i="24"/>
  <c r="J16" i="24"/>
  <c r="J15" i="24"/>
  <c r="J12" i="24"/>
  <c r="V5" i="1"/>
  <c r="J15" i="3" s="1"/>
  <c r="J104" i="4"/>
  <c r="L104" i="4"/>
  <c r="N104" i="4"/>
  <c r="M104" i="4"/>
  <c r="I104" i="4"/>
  <c r="G104" i="4"/>
  <c r="H104" i="4"/>
  <c r="J14" i="24"/>
  <c r="S3" i="24"/>
  <c r="V7" i="1"/>
  <c r="J9" i="3"/>
  <c r="J72" i="3" s="1"/>
  <c r="AJ3" i="24"/>
  <c r="D5" i="24"/>
  <c r="G10" i="6"/>
  <c r="Y19" i="24" s="1"/>
  <c r="J10" i="6"/>
  <c r="Y22" i="24" s="1"/>
  <c r="H10" i="6"/>
  <c r="Y20" i="24" s="1"/>
  <c r="I10" i="6"/>
  <c r="Y21" i="24" s="1"/>
  <c r="F10" i="6"/>
  <c r="Y18" i="24" s="1"/>
  <c r="K10" i="6"/>
  <c r="K10" i="3"/>
  <c r="C72" i="3"/>
  <c r="J22" i="24"/>
  <c r="J21" i="24"/>
  <c r="J20" i="24"/>
  <c r="J19" i="24"/>
  <c r="K5" i="3"/>
  <c r="L4" i="6"/>
  <c r="J25" i="3" s="1"/>
  <c r="L9" i="6"/>
  <c r="L6" i="6"/>
  <c r="L3" i="6"/>
  <c r="L8" i="6"/>
  <c r="L10" i="6"/>
  <c r="Q35" i="4"/>
  <c r="P102" i="4"/>
  <c r="C71" i="3"/>
  <c r="N1" i="1"/>
  <c r="Y16" i="24" s="1"/>
  <c r="H1" i="1"/>
  <c r="Y10" i="24" s="1"/>
  <c r="K1" i="1"/>
  <c r="Y13" i="24" s="1"/>
  <c r="G1" i="1"/>
  <c r="Y9" i="24" s="1"/>
  <c r="L1" i="1"/>
  <c r="Y14" i="24" s="1"/>
  <c r="J1" i="1"/>
  <c r="Y12" i="24" s="1"/>
  <c r="F1" i="1"/>
  <c r="Y8" i="24" s="1"/>
  <c r="J16" i="3" l="1"/>
  <c r="J17" i="3"/>
  <c r="V11" i="1"/>
  <c r="V13" i="24"/>
  <c r="Y23" i="24"/>
  <c r="V22" i="24" s="1"/>
  <c r="N5" i="24"/>
  <c r="AD6" i="24"/>
  <c r="AK3" i="24" s="1"/>
  <c r="K72" i="3"/>
  <c r="J6" i="24"/>
  <c r="J4" i="24"/>
  <c r="J5" i="24"/>
  <c r="J3" i="24"/>
  <c r="S16" i="24"/>
  <c r="S20" i="24"/>
  <c r="S23" i="24"/>
  <c r="S22" i="24"/>
  <c r="S21" i="24"/>
  <c r="D72" i="3"/>
  <c r="D66" i="3"/>
  <c r="D68" i="3"/>
  <c r="D67" i="3"/>
  <c r="D70" i="3"/>
  <c r="D69" i="3"/>
  <c r="D22" i="24"/>
  <c r="AD12" i="24" s="1"/>
  <c r="AM3" i="24" s="1"/>
  <c r="S19" i="24"/>
  <c r="K20" i="3"/>
  <c r="J29" i="3"/>
  <c r="K29" i="3" s="1"/>
  <c r="B9" i="6"/>
  <c r="J27" i="3"/>
  <c r="K27" i="3" s="1"/>
  <c r="B3" i="6"/>
  <c r="J26" i="3"/>
  <c r="K26" i="3" s="1"/>
  <c r="B6" i="6"/>
  <c r="J28" i="3"/>
  <c r="K28" i="3" s="1"/>
  <c r="B8" i="6"/>
  <c r="B4" i="6"/>
  <c r="O1" i="1"/>
  <c r="P22" i="24" l="1"/>
  <c r="AD7" i="24"/>
  <c r="AL2" i="24" s="1"/>
  <c r="AD8" i="24"/>
  <c r="AE5" i="24"/>
  <c r="AK1" i="24" s="1"/>
  <c r="S13" i="24"/>
  <c r="N6" i="24"/>
  <c r="Z13" i="24"/>
  <c r="T4" i="24"/>
  <c r="T6" i="24"/>
  <c r="T7" i="24"/>
  <c r="T5" i="24"/>
  <c r="T3" i="24"/>
  <c r="K18" i="3"/>
  <c r="S14" i="24"/>
  <c r="S10" i="24"/>
  <c r="S15" i="24"/>
  <c r="S12" i="24"/>
  <c r="S9" i="24"/>
  <c r="S11" i="24"/>
  <c r="K19" i="3"/>
  <c r="K16" i="3"/>
  <c r="K14" i="3"/>
  <c r="D71" i="3"/>
  <c r="D13" i="24"/>
  <c r="F51" i="24"/>
  <c r="F40" i="24"/>
  <c r="F30" i="24"/>
  <c r="F24" i="24"/>
  <c r="F14" i="24"/>
  <c r="J13" i="3"/>
  <c r="K13" i="3" s="1"/>
  <c r="D6" i="24"/>
  <c r="K25" i="3"/>
  <c r="J30" i="3"/>
  <c r="H31" i="3" l="1"/>
  <c r="G31" i="3" s="1"/>
  <c r="J67" i="3"/>
  <c r="P13" i="24"/>
  <c r="AE7" i="24"/>
  <c r="AL3" i="24"/>
  <c r="D14" i="24"/>
  <c r="Z15" i="24"/>
  <c r="Z12" i="24"/>
  <c r="Z8" i="24"/>
  <c r="Z11" i="24"/>
  <c r="Z14" i="24"/>
  <c r="Z16" i="24"/>
  <c r="Z10" i="24"/>
  <c r="Z9" i="24"/>
  <c r="K15" i="3"/>
  <c r="K17" i="3"/>
  <c r="K30" i="3"/>
  <c r="J21" i="3"/>
  <c r="H22" i="3" l="1"/>
  <c r="G22" i="3" s="1"/>
  <c r="P14" i="24"/>
  <c r="T15" i="24"/>
  <c r="T12" i="24"/>
  <c r="T10" i="24"/>
  <c r="T11" i="24"/>
  <c r="T13" i="24"/>
  <c r="T9" i="24"/>
  <c r="T16" i="24"/>
  <c r="V14" i="24"/>
  <c r="T14" i="24"/>
  <c r="K21" i="3"/>
  <c r="C73" i="3" l="1"/>
  <c r="H6" i="3" l="1"/>
  <c r="C77" i="3"/>
  <c r="B77" i="3"/>
  <c r="D73" i="3"/>
  <c r="B73" i="3"/>
  <c r="G6" i="3" l="1"/>
  <c r="M9" i="7"/>
  <c r="M10" i="7"/>
  <c r="C42" i="4" s="1"/>
  <c r="P42" i="4" s="1"/>
  <c r="M8" i="7"/>
  <c r="C40" i="4" s="1"/>
  <c r="P40" i="4" s="1"/>
  <c r="M6" i="7"/>
  <c r="M7" i="7"/>
  <c r="C39" i="4" s="1"/>
  <c r="P39" i="4" s="1"/>
  <c r="M11" i="7"/>
  <c r="M5" i="7"/>
  <c r="M4" i="7" l="1"/>
  <c r="C37" i="4"/>
  <c r="P37" i="4" s="1"/>
  <c r="J66" i="3"/>
  <c r="K66" i="3" s="1"/>
  <c r="C43" i="4"/>
  <c r="C38" i="4"/>
  <c r="P38" i="4" s="1"/>
  <c r="S133" i="7"/>
  <c r="C41" i="4"/>
  <c r="S132" i="7"/>
  <c r="P43" i="4" l="1"/>
  <c r="C45" i="4"/>
  <c r="C70" i="4" s="1"/>
  <c r="P53" i="24"/>
  <c r="K67" i="3"/>
  <c r="P41" i="4"/>
  <c r="Q37" i="4"/>
  <c r="N8" i="7"/>
  <c r="N6" i="7"/>
  <c r="M1" i="7"/>
  <c r="N11" i="7"/>
  <c r="M130" i="7"/>
  <c r="N10" i="7"/>
  <c r="N12" i="7"/>
  <c r="N7" i="7"/>
  <c r="N9" i="7"/>
  <c r="N5" i="7"/>
  <c r="Q43" i="4" l="1"/>
  <c r="Q45" i="4" s="1"/>
  <c r="C73" i="4"/>
  <c r="C103" i="4"/>
  <c r="N74" i="7"/>
  <c r="N84" i="7"/>
  <c r="N64" i="7"/>
  <c r="N114" i="7"/>
  <c r="N34" i="7"/>
  <c r="N94" i="7"/>
  <c r="N104" i="7"/>
  <c r="N54" i="7"/>
  <c r="N44" i="7"/>
  <c r="N14" i="7"/>
  <c r="N4" i="7"/>
  <c r="N24" i="7"/>
  <c r="Z19" i="24"/>
  <c r="Z23" i="24"/>
  <c r="Z22" i="24"/>
  <c r="Z18" i="24"/>
  <c r="P23" i="24"/>
  <c r="Z21" i="24"/>
  <c r="Z20" i="24"/>
  <c r="C104" i="4" l="1"/>
  <c r="C74" i="4"/>
  <c r="D74" i="4" s="1"/>
  <c r="D75" i="4" s="1"/>
  <c r="T19" i="24"/>
  <c r="T20" i="24"/>
  <c r="V23" i="24"/>
  <c r="T22" i="24"/>
  <c r="T21" i="24"/>
  <c r="T23" i="24"/>
  <c r="C75" i="4" l="1"/>
  <c r="E74" i="4"/>
  <c r="F74" i="4" l="1"/>
  <c r="E75" i="4"/>
  <c r="G74" i="4" l="1"/>
  <c r="F75" i="4"/>
  <c r="D77" i="4"/>
  <c r="D78" i="4" s="1"/>
  <c r="G75" i="4" l="1"/>
  <c r="H74" i="4"/>
  <c r="E77" i="4"/>
  <c r="E78" i="4" s="1"/>
  <c r="H75" i="4" l="1"/>
  <c r="H77" i="4" s="1"/>
  <c r="H78" i="4" s="1"/>
  <c r="I74" i="4"/>
  <c r="F77" i="4"/>
  <c r="F78" i="4" s="1"/>
  <c r="G77" i="4"/>
  <c r="G78" i="4" s="1"/>
  <c r="I75" i="4" l="1"/>
  <c r="I77" i="4" s="1"/>
  <c r="I78" i="4" s="1"/>
  <c r="J74" i="4"/>
  <c r="N78" i="4"/>
  <c r="K9" i="3"/>
  <c r="J75" i="4" l="1"/>
  <c r="J77" i="4" s="1"/>
  <c r="J78" i="4" s="1"/>
  <c r="AJ1" i="24"/>
  <c r="AL1" i="24"/>
  <c r="C77" i="4" l="1"/>
  <c r="C78" i="4" s="1"/>
  <c r="P46" i="4" l="1"/>
  <c r="K68" i="4"/>
  <c r="K70" i="4" s="1"/>
  <c r="K103" i="4" s="1"/>
  <c r="P103" i="4" s="1"/>
  <c r="Q48" i="4" l="1"/>
  <c r="Q68" i="4" s="1"/>
  <c r="Q70" i="4" s="1"/>
  <c r="AD14" i="24" s="1"/>
  <c r="K73" i="4"/>
  <c r="K104" i="4" s="1"/>
  <c r="P104" i="4" s="1"/>
  <c r="S27" i="24"/>
  <c r="P29" i="24" s="1"/>
  <c r="T28" i="24" s="1"/>
  <c r="J33" i="3"/>
  <c r="K33" i="3" s="1"/>
  <c r="P72" i="4"/>
  <c r="J36" i="3" l="1"/>
  <c r="J68" i="3" s="1"/>
  <c r="J71" i="3" s="1"/>
  <c r="T27" i="24"/>
  <c r="K74" i="4"/>
  <c r="K75" i="4" s="1"/>
  <c r="K77" i="4" s="1"/>
  <c r="K78" i="4" s="1"/>
  <c r="P73" i="4"/>
  <c r="P75" i="4" s="1"/>
  <c r="I1" i="4" s="1"/>
  <c r="N22" i="24"/>
  <c r="N52" i="24" s="1"/>
  <c r="P30" i="24"/>
  <c r="T29" i="24"/>
  <c r="T30" i="24"/>
  <c r="AD16" i="24"/>
  <c r="AD24" i="24"/>
  <c r="AD15" i="24"/>
  <c r="AO2" i="24" s="1"/>
  <c r="AE13" i="24"/>
  <c r="AN1" i="24" s="1"/>
  <c r="AN3" i="24"/>
  <c r="H37" i="3" l="1"/>
  <c r="G37" i="3" s="1"/>
  <c r="J1" i="4"/>
  <c r="J76" i="3"/>
  <c r="J77" i="3" s="1"/>
  <c r="G77" i="3" s="1"/>
  <c r="K36" i="3"/>
  <c r="L74" i="4"/>
  <c r="N13" i="24"/>
  <c r="N14" i="24" s="1"/>
  <c r="N23" i="24"/>
  <c r="P76" i="4"/>
  <c r="M1" i="4"/>
  <c r="N1" i="4" s="1"/>
  <c r="Q73" i="4"/>
  <c r="AR3" i="24"/>
  <c r="AD22" i="24"/>
  <c r="AE23" i="24"/>
  <c r="AR1" i="24" s="1"/>
  <c r="AO3" i="24"/>
  <c r="AE15" i="24"/>
  <c r="AO1" i="24" s="1"/>
  <c r="K68" i="3"/>
  <c r="F1" i="4" l="1"/>
  <c r="L75" i="4"/>
  <c r="M74" i="4"/>
  <c r="K77" i="3"/>
  <c r="AE21" i="24"/>
  <c r="AQ1" i="24" s="1"/>
  <c r="AQ3" i="24"/>
  <c r="K71" i="3"/>
  <c r="J73" i="3"/>
  <c r="M75" i="4" l="1"/>
  <c r="M77" i="4" s="1"/>
  <c r="M78" i="4" s="1"/>
  <c r="N74" i="4"/>
  <c r="N75" i="4" s="1"/>
  <c r="N77" i="4" s="1"/>
  <c r="L77" i="4"/>
  <c r="L78" i="4" s="1"/>
  <c r="K73" i="3"/>
  <c r="G73" i="3"/>
  <c r="P74" i="4" l="1"/>
  <c r="P126" i="4" l="1"/>
  <c r="P117"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retro  pc</author>
  </authors>
  <commentList>
    <comment ref="D33" authorId="0" shapeId="0" xr:uid="{00000000-0006-0000-0500-000001000000}">
      <text>
        <r>
          <rPr>
            <b/>
            <sz val="9"/>
            <color indexed="81"/>
            <rFont val="Tahoma"/>
            <family val="2"/>
          </rPr>
          <t>C torres: Ingreso 2024 trebol</t>
        </r>
        <r>
          <rPr>
            <sz val="9"/>
            <color indexed="81"/>
            <rFont val="Tahoma"/>
            <family val="2"/>
          </rPr>
          <t xml:space="preserve">
</t>
        </r>
      </text>
    </comment>
    <comment ref="E33" authorId="0" shapeId="0" xr:uid="{00000000-0006-0000-0500-000002000000}">
      <text>
        <r>
          <rPr>
            <b/>
            <sz val="9"/>
            <color indexed="81"/>
            <rFont val="Tahoma"/>
            <family val="2"/>
          </rPr>
          <t>C torres: Ingreso mayo 25 trebol</t>
        </r>
        <r>
          <rPr>
            <sz val="9"/>
            <color indexed="81"/>
            <rFont val="Tahoma"/>
            <family val="2"/>
          </rPr>
          <t xml:space="preserve">
</t>
        </r>
      </text>
    </comment>
    <comment ref="J58" authorId="0" shapeId="0" xr:uid="{B8E33C70-FE4E-4C98-AD53-01035B4EC527}">
      <text>
        <r>
          <rPr>
            <b/>
            <sz val="9"/>
            <color indexed="81"/>
            <rFont val="Tahoma"/>
            <family val="2"/>
          </rPr>
          <t>viatico Abogados visita las cruces nov 25</t>
        </r>
        <r>
          <rPr>
            <sz val="9"/>
            <color indexed="81"/>
            <rFont val="Tahoma"/>
            <family val="2"/>
          </rPr>
          <t xml:space="preserve">
</t>
        </r>
      </text>
    </comment>
  </commentList>
</comments>
</file>

<file path=xl/sharedStrings.xml><?xml version="1.0" encoding="utf-8"?>
<sst xmlns="http://schemas.openxmlformats.org/spreadsheetml/2006/main" count="9036" uniqueCount="1774">
  <si>
    <t>FECHA</t>
  </si>
  <si>
    <t>INICIO</t>
  </si>
  <si>
    <t>FINAL</t>
  </si>
  <si>
    <t>CITACION</t>
  </si>
  <si>
    <t>TIPO</t>
  </si>
  <si>
    <t>COSTO</t>
  </si>
  <si>
    <t>MOTIVO</t>
  </si>
  <si>
    <t>REMUNERACION</t>
  </si>
  <si>
    <t>N° DE DIAS</t>
  </si>
  <si>
    <t>VALOR DIA</t>
  </si>
  <si>
    <t>VALOR MES</t>
  </si>
  <si>
    <t>TOTAL ANUAL</t>
  </si>
  <si>
    <t>ZOOM</t>
  </si>
  <si>
    <t>ASAMBLEAS PLENARIAS ZOOM</t>
  </si>
  <si>
    <t>REUNIONES DIRECTORIO ZOOM (2H)</t>
  </si>
  <si>
    <t>PRESENCIAL</t>
  </si>
  <si>
    <t>REUNION EJECUTIVO PRESENCIAL</t>
  </si>
  <si>
    <t>REUNIONES ZOOM (2 HR)</t>
  </si>
  <si>
    <t>REUNIONES ESPECIALES</t>
  </si>
  <si>
    <t>PLENARIAS DIRECTOR S/SB</t>
  </si>
  <si>
    <t>VISITAS ZONA NORTE</t>
  </si>
  <si>
    <t>VISITAS ZONA SUR</t>
  </si>
  <si>
    <t>FEDERACION DE SINDICATOS DE TRABAJADORES DEL HOLDING FALABELLA</t>
  </si>
  <si>
    <t>DETALLE</t>
  </si>
  <si>
    <t>ANUAL</t>
  </si>
  <si>
    <t>TOTAL DIRECTORES</t>
  </si>
  <si>
    <t>REUNION DE DIRECTORES</t>
  </si>
  <si>
    <t>TOTAL VIATICOS</t>
  </si>
  <si>
    <t>TOTAL</t>
  </si>
  <si>
    <t>ASESORIA NEGOCIACION</t>
  </si>
  <si>
    <t>ASESORIA (ABOGADO)</t>
  </si>
  <si>
    <t>ANIVERSARIO</t>
  </si>
  <si>
    <t>CAJA CHICA</t>
  </si>
  <si>
    <t>REPRESENTACION</t>
  </si>
  <si>
    <t>UNIFORMES</t>
  </si>
  <si>
    <t>ATENCION INVITADOS</t>
  </si>
  <si>
    <t>CAPACITACION</t>
  </si>
  <si>
    <t>GASTOS VARIOS</t>
  </si>
  <si>
    <t>TOTAL INGRESOS</t>
  </si>
  <si>
    <t xml:space="preserve">CARTOLA MENSUAL </t>
  </si>
  <si>
    <t>SALDO INICIAL:</t>
  </si>
  <si>
    <t>SALDO FINAL:</t>
  </si>
  <si>
    <t>CUADRATURA FINAL</t>
  </si>
  <si>
    <t>ENE</t>
  </si>
  <si>
    <t>FEB</t>
  </si>
  <si>
    <t>MAR</t>
  </si>
  <si>
    <t>ABR</t>
  </si>
  <si>
    <t>MAY</t>
  </si>
  <si>
    <t>JUN</t>
  </si>
  <si>
    <t>JUL</t>
  </si>
  <si>
    <t>AGO</t>
  </si>
  <si>
    <t>SEP</t>
  </si>
  <si>
    <t>OCT</t>
  </si>
  <si>
    <t>NOV</t>
  </si>
  <si>
    <t>DIC</t>
  </si>
  <si>
    <t>1 IQUIQUE</t>
  </si>
  <si>
    <t>PATRICIO BUSTOS</t>
  </si>
  <si>
    <t>INGRESO SINDICATOS</t>
  </si>
  <si>
    <t>APORTE EMPRESA</t>
  </si>
  <si>
    <t>INGRESOS PLENARIAS</t>
  </si>
  <si>
    <t>APORTE DIRECTORES</t>
  </si>
  <si>
    <t>PASAJES</t>
  </si>
  <si>
    <t>COLACION</t>
  </si>
  <si>
    <t>METRO</t>
  </si>
  <si>
    <t>TAXI / COLECTIVO</t>
  </si>
  <si>
    <t>HOTEL</t>
  </si>
  <si>
    <t>CELULAR PRESIDENTE</t>
  </si>
  <si>
    <t>REEMBOLSO</t>
  </si>
  <si>
    <t>GASTO DIRECTOR</t>
  </si>
  <si>
    <t>COLACION / BREAK</t>
  </si>
  <si>
    <t>MATERIAL OFICINA</t>
  </si>
  <si>
    <t>GASTO FEDERACION</t>
  </si>
  <si>
    <t>TOTAL GASTOS</t>
  </si>
  <si>
    <t>AHORRO O DÉFICIT</t>
  </si>
  <si>
    <t>VARIACIONES TESORERIA</t>
  </si>
  <si>
    <t>SALDO DISPONIBLE</t>
  </si>
  <si>
    <t>CARTOLA</t>
  </si>
  <si>
    <t>CONTROL</t>
  </si>
  <si>
    <t xml:space="preserve">COMISIONES </t>
  </si>
  <si>
    <t>Ingresos por demandas</t>
  </si>
  <si>
    <t>TOTAL COMISIONES</t>
  </si>
  <si>
    <t>COSTO PLENARIAS</t>
  </si>
  <si>
    <t>TOTAL GASTO x GESTION</t>
  </si>
  <si>
    <t>TOTAL PLENARIAS</t>
  </si>
  <si>
    <t xml:space="preserve">REMUNERACION DIRECTORES </t>
  </si>
  <si>
    <t xml:space="preserve">VIATICOS DE DIRECTORES </t>
  </si>
  <si>
    <t xml:space="preserve">GASTOS GESTION </t>
  </si>
  <si>
    <t>PROPINA</t>
  </si>
  <si>
    <t>% Part Gasto</t>
  </si>
  <si>
    <t>% Cump Gasto</t>
  </si>
  <si>
    <t>ALMUERZO EJECUTIVO (6)</t>
  </si>
  <si>
    <t xml:space="preserve">PLENARIA </t>
  </si>
  <si>
    <t>REVISORA DE CUENTAS (PLENARIAS 3p)</t>
  </si>
  <si>
    <t>DISCIPLINA (3p)</t>
  </si>
  <si>
    <t>BIENESTAR SOCIAL (3p)</t>
  </si>
  <si>
    <t>CONFLICTO, COMUNICACIÓN Y DIFUSION (3p)</t>
  </si>
  <si>
    <t>DEPORTE, CULTURA Y RECREACION (3p)</t>
  </si>
  <si>
    <t xml:space="preserve">CONFL, COMUN Y DIFUS </t>
  </si>
  <si>
    <t xml:space="preserve">DISCIPLINA </t>
  </si>
  <si>
    <t xml:space="preserve">CAPACITACION </t>
  </si>
  <si>
    <t xml:space="preserve">BIENESTAR SOCIAL </t>
  </si>
  <si>
    <t>DEPORT, CULT Y RECREA</t>
  </si>
  <si>
    <t>CUOTA</t>
  </si>
  <si>
    <t>Total</t>
  </si>
  <si>
    <t>DIRECTORES</t>
  </si>
  <si>
    <t>PRESIDENTE</t>
  </si>
  <si>
    <t>SECRETARIO</t>
  </si>
  <si>
    <t>TESORERO</t>
  </si>
  <si>
    <t>SEC. ACTA</t>
  </si>
  <si>
    <t>VICE. SUR</t>
  </si>
  <si>
    <t>DIRECTOR 1</t>
  </si>
  <si>
    <t>DIRECTOR 2</t>
  </si>
  <si>
    <t>DIRECTOR 3</t>
  </si>
  <si>
    <t>COMISION</t>
  </si>
  <si>
    <t>MES</t>
  </si>
  <si>
    <t>TOTAL REMUNERACION</t>
  </si>
  <si>
    <t>TOTAL PASAJES</t>
  </si>
  <si>
    <t>TOTAL COLACION</t>
  </si>
  <si>
    <t>TOTAL METRO</t>
  </si>
  <si>
    <t>TAXI-COLEC</t>
  </si>
  <si>
    <t>TOTAL TAXI-COLEC</t>
  </si>
  <si>
    <t>TOTAL HOTEL</t>
  </si>
  <si>
    <t>CELULAR</t>
  </si>
  <si>
    <t>TOTAL REEMBOLSO</t>
  </si>
  <si>
    <t>NOMBRE</t>
  </si>
  <si>
    <t>Patricio Bustos</t>
  </si>
  <si>
    <t>Richard Toloza</t>
  </si>
  <si>
    <t>Christian Torres</t>
  </si>
  <si>
    <t>Xavier Carvajal</t>
  </si>
  <si>
    <t>Andrea Diaz</t>
  </si>
  <si>
    <t>Claudia Villagran</t>
  </si>
  <si>
    <t>Jorge Yañez</t>
  </si>
  <si>
    <t>PLAN</t>
  </si>
  <si>
    <t>%</t>
  </si>
  <si>
    <t>TAXI / COLEC</t>
  </si>
  <si>
    <t>CHEQUE</t>
  </si>
  <si>
    <t>EFECTIVO</t>
  </si>
  <si>
    <t>CHRISTIAN TORRES</t>
  </si>
  <si>
    <t>RICHARD TOLOZA</t>
  </si>
  <si>
    <t>SANTIAGO</t>
  </si>
  <si>
    <t>TRANFER</t>
  </si>
  <si>
    <t>CONCEPCION</t>
  </si>
  <si>
    <t>CARGO</t>
  </si>
  <si>
    <t>SINDICATO</t>
  </si>
  <si>
    <t xml:space="preserve">Marco Toro </t>
  </si>
  <si>
    <t>Yubiza Robledo</t>
  </si>
  <si>
    <t>Corina Coronel</t>
  </si>
  <si>
    <t>Sandra Flores</t>
  </si>
  <si>
    <t xml:space="preserve">Veronica Bonilla </t>
  </si>
  <si>
    <t>Constanza Flores</t>
  </si>
  <si>
    <t>Gonzalo Muñoz</t>
  </si>
  <si>
    <t>Ruth Sanchez</t>
  </si>
  <si>
    <t xml:space="preserve">Alejandro Gonzales </t>
  </si>
  <si>
    <t xml:space="preserve">Cecilia Narea </t>
  </si>
  <si>
    <t xml:space="preserve">Enrique Vilchez </t>
  </si>
  <si>
    <t xml:space="preserve">Carlos Arriagada </t>
  </si>
  <si>
    <t>Maria Eugenia Ortis</t>
  </si>
  <si>
    <t>Carmen Quinchavil</t>
  </si>
  <si>
    <t>Ruben Salamanca</t>
  </si>
  <si>
    <t>Jorge Yañes</t>
  </si>
  <si>
    <t>Victor Trejo</t>
  </si>
  <si>
    <t>Angie Muñoz</t>
  </si>
  <si>
    <t>Pablo Pino</t>
  </si>
  <si>
    <t xml:space="preserve">Patricio Bustos </t>
  </si>
  <si>
    <t>Nicole Maturana</t>
  </si>
  <si>
    <t>Mauricio Pacheco</t>
  </si>
  <si>
    <t xml:space="preserve">Christian Torres </t>
  </si>
  <si>
    <t>Luis Espinoza</t>
  </si>
  <si>
    <t>Pedro Hurtado</t>
  </si>
  <si>
    <t>Giesela Castro</t>
  </si>
  <si>
    <t xml:space="preserve">Viviana Arias </t>
  </si>
  <si>
    <t>Gabriel Burgos</t>
  </si>
  <si>
    <t xml:space="preserve">Ingrid Paredes  </t>
  </si>
  <si>
    <t>Norma Quezada</t>
  </si>
  <si>
    <t>Felipe Salazar</t>
  </si>
  <si>
    <t xml:space="preserve">Luis Hernandez </t>
  </si>
  <si>
    <t>Alejandra Diaz</t>
  </si>
  <si>
    <t>FECHA:</t>
  </si>
  <si>
    <t>JORGE YAÑEZ</t>
  </si>
  <si>
    <t xml:space="preserve">Katherine Kimer </t>
  </si>
  <si>
    <t>REUNION</t>
  </si>
  <si>
    <t>PLENARIA</t>
  </si>
  <si>
    <t>ANDREA DIAZ</t>
  </si>
  <si>
    <t>CLAUDIA VILLAGRAN</t>
  </si>
  <si>
    <t>CAPACITACION Y EXTENSION (3p)</t>
  </si>
  <si>
    <t>RESPONSABLES</t>
  </si>
  <si>
    <t>TIPO DE REUNION</t>
  </si>
  <si>
    <t>DIRECTOR CITADO</t>
  </si>
  <si>
    <t>DIRECTORIO COMPLETO (9 DIRECTORES)</t>
  </si>
  <si>
    <t>PRESIDENTE, SECRETARIO.</t>
  </si>
  <si>
    <t>DIRECTOR ZONA NORTE</t>
  </si>
  <si>
    <t>DIRECTOR ZONA SUR</t>
  </si>
  <si>
    <t>GASTO</t>
  </si>
  <si>
    <t>COMISION ASESORIA NEGOCIACION</t>
  </si>
  <si>
    <t>INGRESO APORTE $ 1000 DIRECTORES</t>
  </si>
  <si>
    <t>VIATICOS RENDIDOS x DIRECTOR</t>
  </si>
  <si>
    <t>REMUNERACION ANUAL x DIRECTORES</t>
  </si>
  <si>
    <t>INGRESO x SINDICATO</t>
  </si>
  <si>
    <t>PROYECTO GASTO</t>
  </si>
  <si>
    <t>TOTAL DE GASTOS</t>
  </si>
  <si>
    <t>RESULTADO PROYECTO</t>
  </si>
  <si>
    <t>PROYECTO INGRESO</t>
  </si>
  <si>
    <t>NEGOCIACION COLECTIVA</t>
  </si>
  <si>
    <t>N°</t>
  </si>
  <si>
    <t>ZONAL NORTE</t>
  </si>
  <si>
    <t>ZONAL SUR</t>
  </si>
  <si>
    <t xml:space="preserve">PATRICIO BUSTOS </t>
  </si>
  <si>
    <t>NEGOCIACION COLECTIVA (3p)</t>
  </si>
  <si>
    <t>INGRESO x APORTE DIRECTORES ($1000)</t>
  </si>
  <si>
    <t>IQUIQUE</t>
  </si>
  <si>
    <t>SAN FELIPE</t>
  </si>
  <si>
    <t>VALPARAISO</t>
  </si>
  <si>
    <t>VIÑA DEL MAR</t>
  </si>
  <si>
    <t>PLAZA NORTE</t>
  </si>
  <si>
    <t>COSTANERA</t>
  </si>
  <si>
    <t>CHILLAN</t>
  </si>
  <si>
    <t>RANCAGUA</t>
  </si>
  <si>
    <t>CURICO</t>
  </si>
  <si>
    <t>TREBOL</t>
  </si>
  <si>
    <t>PUERTO MONTT</t>
  </si>
  <si>
    <t>DIRECTOR</t>
  </si>
  <si>
    <t xml:space="preserve">Cristian Reyes </t>
  </si>
  <si>
    <t>ESTADO</t>
  </si>
  <si>
    <t>VIGENTE</t>
  </si>
  <si>
    <t>Alejandra Becerra</t>
  </si>
  <si>
    <t>Gabriela Pizarro</t>
  </si>
  <si>
    <t>Rosa Vargas</t>
  </si>
  <si>
    <t>LUGAR:</t>
  </si>
  <si>
    <t>TIPO:</t>
  </si>
  <si>
    <t>PROPINA TOTAL</t>
  </si>
  <si>
    <t>NO ASISTE</t>
  </si>
  <si>
    <t>PRESENTES</t>
  </si>
  <si>
    <t>AUSENTES</t>
  </si>
  <si>
    <t>IMPREVISTOS</t>
  </si>
  <si>
    <t>VISITAS ZONA NORTE ZOOM</t>
  </si>
  <si>
    <t xml:space="preserve">VISITAS ZONA SUR ZOOM </t>
  </si>
  <si>
    <t>TOTAL CELULAR</t>
  </si>
  <si>
    <t>NOMBRE:</t>
  </si>
  <si>
    <t>EGRESO:</t>
  </si>
  <si>
    <t>CIUDAD</t>
  </si>
  <si>
    <t>$ DIA</t>
  </si>
  <si>
    <t>TAXI-COLEC.</t>
  </si>
  <si>
    <t>TOTAL x DIA</t>
  </si>
  <si>
    <t>-</t>
  </si>
  <si>
    <t>PAGADO</t>
  </si>
  <si>
    <t>GASTO MES</t>
  </si>
  <si>
    <t>SINDICATOS</t>
  </si>
  <si>
    <t>META</t>
  </si>
  <si>
    <t xml:space="preserve">Iquique </t>
  </si>
  <si>
    <t>San Felipe</t>
  </si>
  <si>
    <t xml:space="preserve">Carolina fredes </t>
  </si>
  <si>
    <t>Gabriela pizarro</t>
  </si>
  <si>
    <t xml:space="preserve">Valparaiso </t>
  </si>
  <si>
    <t xml:space="preserve">Viña del Mar </t>
  </si>
  <si>
    <t xml:space="preserve">Paseo Centro </t>
  </si>
  <si>
    <t>Plaza Norte</t>
  </si>
  <si>
    <t>Costanera</t>
  </si>
  <si>
    <t>Cristian lira</t>
  </si>
  <si>
    <t xml:space="preserve">Rancagua </t>
  </si>
  <si>
    <t xml:space="preserve">Curico </t>
  </si>
  <si>
    <t>Rosa vargas</t>
  </si>
  <si>
    <t xml:space="preserve">Chillan </t>
  </si>
  <si>
    <t xml:space="preserve">Trébol </t>
  </si>
  <si>
    <t>Richard Tolosa</t>
  </si>
  <si>
    <t>Los Angeles</t>
  </si>
  <si>
    <t>Carmen Gloria Rivas</t>
  </si>
  <si>
    <t>Jose Miranda</t>
  </si>
  <si>
    <t>Ruth Lastra</t>
  </si>
  <si>
    <t>Felipe A. Carrasco</t>
  </si>
  <si>
    <t>Daniel A. Torres</t>
  </si>
  <si>
    <t>Concepcion</t>
  </si>
  <si>
    <t>Alejandra becerra</t>
  </si>
  <si>
    <t>Daniel Garces</t>
  </si>
  <si>
    <t xml:space="preserve">Puerto Montt </t>
  </si>
  <si>
    <t>RENDICION BOLETA FEDERACION</t>
  </si>
  <si>
    <t xml:space="preserve">MOTIVO: </t>
  </si>
  <si>
    <t>ASISTENTES:</t>
  </si>
  <si>
    <t>MONTO:</t>
  </si>
  <si>
    <t>PROPINA:</t>
  </si>
  <si>
    <t>TOTAL:</t>
  </si>
  <si>
    <t>CHEQUE:</t>
  </si>
  <si>
    <t>BOLETA:</t>
  </si>
  <si>
    <t>PROPINA PLENARIAS</t>
  </si>
  <si>
    <t>AÑO</t>
  </si>
  <si>
    <t>EGRESO</t>
  </si>
  <si>
    <t>COBRADO</t>
  </si>
  <si>
    <t>Año</t>
  </si>
  <si>
    <t>MONTO</t>
  </si>
  <si>
    <t>DIR</t>
  </si>
  <si>
    <t>BOLETA</t>
  </si>
  <si>
    <t>COD.</t>
  </si>
  <si>
    <t>PATRICIO B.</t>
  </si>
  <si>
    <t>RICHARD T.</t>
  </si>
  <si>
    <t>CHRISTIAN T.</t>
  </si>
  <si>
    <t>ANDREA D.</t>
  </si>
  <si>
    <t>CLAUDIA V.</t>
  </si>
  <si>
    <t>JORGE Y.</t>
  </si>
  <si>
    <t>Patricio B.</t>
  </si>
  <si>
    <t>Richard T.</t>
  </si>
  <si>
    <t>Christian T.</t>
  </si>
  <si>
    <t>Andrea D.</t>
  </si>
  <si>
    <t>Claudia V.</t>
  </si>
  <si>
    <t>Jorge Y.</t>
  </si>
  <si>
    <t>Otros Ingresos</t>
  </si>
  <si>
    <t>Otros Salidas</t>
  </si>
  <si>
    <t>Denegados</t>
  </si>
  <si>
    <t>Aceptados</t>
  </si>
  <si>
    <t>Victor Tejo</t>
  </si>
  <si>
    <t>LICENCIA</t>
  </si>
  <si>
    <t>RENUNCIA</t>
  </si>
  <si>
    <t>Diego Arsola</t>
  </si>
  <si>
    <t>REU</t>
  </si>
  <si>
    <t>Carlos Moncada</t>
  </si>
  <si>
    <t>FALTA</t>
  </si>
  <si>
    <t>GASTOS POR GESTION</t>
  </si>
  <si>
    <t>CELULAR ANUAL</t>
  </si>
  <si>
    <t>REM. TOTAL ANUAL</t>
  </si>
  <si>
    <t>CELULAR TOTAL ANUAL</t>
  </si>
  <si>
    <t xml:space="preserve">GASTO TOTAL </t>
  </si>
  <si>
    <t>GASTO TOTAL ANUAL</t>
  </si>
  <si>
    <t>GASTO ANUAL</t>
  </si>
  <si>
    <t>PASAJES TOTAL ANUAL</t>
  </si>
  <si>
    <t>COLACION TOTAL ANUAL</t>
  </si>
  <si>
    <t>METRO TOTAL ANUAL</t>
  </si>
  <si>
    <t>TAXI-COLEC TOTAL ANUAL</t>
  </si>
  <si>
    <t>REEMBOLSO TOTAL ANUAL</t>
  </si>
  <si>
    <t>PLAN GASTO</t>
  </si>
  <si>
    <t>CAPITAL 2022-2023</t>
  </si>
  <si>
    <t>RENTABILIDAD</t>
  </si>
  <si>
    <t>SALDO CARTOLA</t>
  </si>
  <si>
    <t xml:space="preserve">PLAN INGRESOS </t>
  </si>
  <si>
    <t xml:space="preserve">INGRESOS ACTUAL </t>
  </si>
  <si>
    <t>GASTOS ACTUAL</t>
  </si>
  <si>
    <t>cantidad</t>
  </si>
  <si>
    <t>si se pasan es gratis</t>
  </si>
  <si>
    <t>VIATICOS</t>
  </si>
  <si>
    <t xml:space="preserve">N° EVENTOS </t>
  </si>
  <si>
    <t xml:space="preserve"> $ 2.500 x Hr.</t>
  </si>
  <si>
    <t>N° PARTICIP.</t>
  </si>
  <si>
    <t>PRESID., SECRET., TESORERO, ACTAS, Z. NORTE, Z. SUR</t>
  </si>
  <si>
    <t>TODA LA FEDERACION (COSTO DIRECTOR S S/B)</t>
  </si>
  <si>
    <t>Felipe S.</t>
  </si>
  <si>
    <t>FELIPE S.</t>
  </si>
  <si>
    <t>PROGRESO 23-24</t>
  </si>
  <si>
    <t>RESUMEN 23-24</t>
  </si>
  <si>
    <t xml:space="preserve">INGRESO ACTUAL </t>
  </si>
  <si>
    <t xml:space="preserve">Ing. futuro </t>
  </si>
  <si>
    <t>HOTEL TOTAL ANUAL</t>
  </si>
  <si>
    <t>Oscar Lara</t>
  </si>
  <si>
    <t>Maricela Campos</t>
  </si>
  <si>
    <t>FELIPE SALAZAR</t>
  </si>
  <si>
    <t>falta</t>
  </si>
  <si>
    <t>Cuota</t>
  </si>
  <si>
    <t>mes</t>
  </si>
  <si>
    <t>Se acuerda modificacion estatuitaria (invertir e invertir $10000000+Util)</t>
  </si>
  <si>
    <t>RESULTADO 2024-2025</t>
  </si>
  <si>
    <t>4 PLAZA NORTE</t>
  </si>
  <si>
    <t>5 COSTANERA</t>
  </si>
  <si>
    <t>6 RANCAGUA</t>
  </si>
  <si>
    <t>7 CURICO</t>
  </si>
  <si>
    <t xml:space="preserve">8 TREBOL </t>
  </si>
  <si>
    <t>9 CONCEPCION</t>
  </si>
  <si>
    <t>10 PUERTO MONTT</t>
  </si>
  <si>
    <t>VICE. NORT</t>
  </si>
  <si>
    <t>CAPITAL 2023-2024</t>
  </si>
  <si>
    <t>PRESIDENTE - SECRETARIO - TESORERO (3 DIRECTORES)</t>
  </si>
  <si>
    <t>Licencia</t>
  </si>
  <si>
    <t>AD</t>
  </si>
  <si>
    <t>FS</t>
  </si>
  <si>
    <t>PB</t>
  </si>
  <si>
    <t>ACUMULADO</t>
  </si>
  <si>
    <t>PATRICIO BUSTOS, JORGE YAÑEZ</t>
  </si>
  <si>
    <t>Alejandra B.</t>
  </si>
  <si>
    <t>Eugenia O.</t>
  </si>
  <si>
    <t>PAGINA WEB (TEAMS)</t>
  </si>
  <si>
    <t>AB</t>
  </si>
  <si>
    <t>EO</t>
  </si>
  <si>
    <t>EUGENIA ORTIZ</t>
  </si>
  <si>
    <t>ROTACION</t>
  </si>
  <si>
    <t>ALEJANDRA BECERRA</t>
  </si>
  <si>
    <t>SEC. ACTAS</t>
  </si>
  <si>
    <t>ALEJANDRA B.</t>
  </si>
  <si>
    <t>EUGENIA ORTIS</t>
  </si>
  <si>
    <t>Eugenia Ortiz</t>
  </si>
  <si>
    <t>PROPINA FEDERACION</t>
  </si>
  <si>
    <t>REGISTRO TRABAJO DIRECTOR</t>
  </si>
  <si>
    <t>Presupuesto Restante</t>
  </si>
  <si>
    <t>a)</t>
  </si>
  <si>
    <t>b)</t>
  </si>
  <si>
    <t>c)</t>
  </si>
  <si>
    <t>d)</t>
  </si>
  <si>
    <t>e)</t>
  </si>
  <si>
    <t>f)</t>
  </si>
  <si>
    <t>g)</t>
  </si>
  <si>
    <t>INGRESO POR APORTES</t>
  </si>
  <si>
    <t>ruth</t>
  </si>
  <si>
    <t xml:space="preserve">Gonzalo </t>
  </si>
  <si>
    <t>ASESORIA ABOGADOS</t>
  </si>
  <si>
    <t>CT-PB</t>
  </si>
  <si>
    <t>2025-2026</t>
  </si>
  <si>
    <t>RESULTADO 2025-2026</t>
  </si>
  <si>
    <t>OBJETIVOS (1):</t>
  </si>
  <si>
    <t>Reemplazo Vac.</t>
  </si>
  <si>
    <t>DEUDA 24-25</t>
  </si>
  <si>
    <t>GASTOS 25-26</t>
  </si>
  <si>
    <t>RESULTADO ACTUAL 25-26</t>
  </si>
  <si>
    <t>INGRESOS 25-26</t>
  </si>
  <si>
    <t>(2) EJERCICIO AÑO 2025 - 2026 (INICIO ABRIL 2025)</t>
  </si>
  <si>
    <t>(1) PLAN DE INGRESO Y GASTO AÑO 2025 - 2026 (INICIO ABRIL 2024)5</t>
  </si>
  <si>
    <t>(3) RESULTADO 2025 - 2026</t>
  </si>
  <si>
    <t>DIRECTOR 25-26</t>
  </si>
  <si>
    <t>PERIODO ABRIL 2025-MARZO 2026</t>
  </si>
  <si>
    <t>TESORERIA FEDERACION - PERIODO 2025 / 2026</t>
  </si>
  <si>
    <t>COMPARATIVO 25-26</t>
  </si>
  <si>
    <t>INGRESO x DEMANDAS x APLICACIÓN</t>
  </si>
  <si>
    <t>FED</t>
  </si>
  <si>
    <t>OTROS</t>
  </si>
  <si>
    <t>TODOS</t>
  </si>
  <si>
    <t>PRECIO</t>
  </si>
  <si>
    <t>MEC</t>
  </si>
  <si>
    <t>Usuarios</t>
  </si>
  <si>
    <t>Ingreso 1</t>
  </si>
  <si>
    <t>Ingreso 2</t>
  </si>
  <si>
    <t>Impacto</t>
  </si>
  <si>
    <t>Mensual</t>
  </si>
  <si>
    <t>Anual</t>
  </si>
  <si>
    <t>Ingreso Mensual</t>
  </si>
  <si>
    <t>Ingreso Anual</t>
  </si>
  <si>
    <t>Subtotal</t>
  </si>
  <si>
    <t>Potencial Usuario</t>
  </si>
  <si>
    <t>Utilidad Federación anual</t>
  </si>
  <si>
    <t>Comisión</t>
  </si>
  <si>
    <t>Monto</t>
  </si>
  <si>
    <t>C. Torres (Mantención Plataforma)</t>
  </si>
  <si>
    <t>Método de Pago</t>
  </si>
  <si>
    <t>Khipu</t>
  </si>
  <si>
    <t>Transferencias</t>
  </si>
  <si>
    <t>Flow</t>
  </si>
  <si>
    <t>Tarjeta débito/crédito</t>
  </si>
  <si>
    <t>% Comisión</t>
  </si>
  <si>
    <t>Comisón Khipu (Transferencia)</t>
  </si>
  <si>
    <t>Comisón Flow (Transferencia)</t>
  </si>
  <si>
    <t>Comisón Flow (Debito/Crédito)</t>
  </si>
  <si>
    <t xml:space="preserve">Comisión </t>
  </si>
  <si>
    <t>MEC 20%</t>
  </si>
  <si>
    <t>Socios</t>
  </si>
  <si>
    <t>Utilidad</t>
  </si>
  <si>
    <t>Comisón</t>
  </si>
  <si>
    <t>$350 Socio</t>
  </si>
  <si>
    <t>$700 Otros</t>
  </si>
  <si>
    <t>INGRESOS 2025-2026</t>
  </si>
  <si>
    <t>RESUMEN PROYECTO 2025-2026</t>
  </si>
  <si>
    <t xml:space="preserve">PRESUPUESTO DE GASTO PERIODO 2025-2026 </t>
  </si>
  <si>
    <t>IPC mar24-feb25</t>
  </si>
  <si>
    <t>SE ACUERDA SUBIR CUOTA A $730</t>
  </si>
  <si>
    <t>SE ACUERDA cambio de banco</t>
  </si>
  <si>
    <t>SE ACUERDA INCREMENTO DE IPC APLICADO EN MARZO 2025</t>
  </si>
  <si>
    <t>activar demanda - cambio Banco</t>
  </si>
  <si>
    <t>RUT: 75317600-4</t>
  </si>
  <si>
    <t xml:space="preserve">CUENTA CORRIENTE N°: </t>
  </si>
  <si>
    <t>Demanda</t>
  </si>
  <si>
    <t>15006</t>
  </si>
  <si>
    <t>saldo</t>
  </si>
  <si>
    <t>cuenta</t>
  </si>
  <si>
    <t>abono</t>
  </si>
  <si>
    <t>total</t>
  </si>
  <si>
    <t>cuenta hoy</t>
  </si>
  <si>
    <t>refri</t>
  </si>
  <si>
    <t>fed</t>
  </si>
  <si>
    <t>dif</t>
  </si>
  <si>
    <t>cod. 3fa51008</t>
  </si>
  <si>
    <t>Esperar 24 hrs</t>
  </si>
  <si>
    <t>30 min. sin sol.</t>
  </si>
  <si>
    <t>Perfecto</t>
  </si>
  <si>
    <t>reunion DT stgo, Dir. Zenteno</t>
  </si>
  <si>
    <t>reunion abogados y demandas</t>
  </si>
  <si>
    <t>EUGENIA O.</t>
  </si>
  <si>
    <t>pagado</t>
  </si>
  <si>
    <t>Total mes</t>
  </si>
  <si>
    <t>subtotal mes</t>
  </si>
  <si>
    <t>abogado may 25</t>
  </si>
  <si>
    <t>65000</t>
  </si>
  <si>
    <t>ANALISIS DE REUNIONES DT Y RRLL</t>
  </si>
  <si>
    <t>reunion DT stgo, Mi. Giorgio Boccardo y RRLL</t>
  </si>
  <si>
    <t>8490</t>
  </si>
  <si>
    <t>DEUDA</t>
  </si>
  <si>
    <t>DT, Abogados y federación.</t>
  </si>
  <si>
    <t>2024-2025</t>
  </si>
  <si>
    <t>diferencia</t>
  </si>
  <si>
    <t>socios</t>
  </si>
  <si>
    <t>Monto adeudado periodo 24-25 corresponde a valor de cuota sindical es de:</t>
  </si>
  <si>
    <t>Monto adeudado periodo 25-26 corresponde a valor de cuota sindical es de:</t>
  </si>
  <si>
    <t>Monto adeudado periodo 24-25 corresponde a aporte sindical es de:</t>
  </si>
  <si>
    <t>Monto adeudado periodo 23-24 corresponde a aporte sindical es de:</t>
  </si>
  <si>
    <t>TOTAL MONTO ADEUDADO A FEDERACION</t>
  </si>
  <si>
    <t>Hola chicas, quedo atento a sus comentarios 😎👍</t>
  </si>
  <si>
    <t>preparacion reunion RRHH Falabella</t>
  </si>
  <si>
    <t>V.Herrera Sofia, Pato, richard. Andrea, Felipe y yo</t>
  </si>
  <si>
    <t>19 Agosto Plenaria Concepción 2025</t>
  </si>
  <si>
    <t>Paulina Iturrieta</t>
  </si>
  <si>
    <t>Carolina Saldivia</t>
  </si>
  <si>
    <t>Teresa Campos</t>
  </si>
  <si>
    <t>Yubitza Robledo</t>
  </si>
  <si>
    <t>RRHH- Fed.</t>
  </si>
  <si>
    <t>boleta</t>
  </si>
  <si>
    <t>valor</t>
  </si>
  <si>
    <t>motivo</t>
  </si>
  <si>
    <t>apart hotel</t>
  </si>
  <si>
    <t>richard</t>
  </si>
  <si>
    <t>Christian</t>
  </si>
  <si>
    <t>tierra norteña</t>
  </si>
  <si>
    <t>Patricio</t>
  </si>
  <si>
    <t>Aporte Caja</t>
  </si>
  <si>
    <t>Total Plenaria</t>
  </si>
  <si>
    <t>Richard</t>
  </si>
  <si>
    <t>Break</t>
  </si>
  <si>
    <t>desayuno</t>
  </si>
  <si>
    <t>colacion prep.</t>
  </si>
  <si>
    <t>break</t>
  </si>
  <si>
    <t>combustible</t>
  </si>
  <si>
    <t>estacionamiento</t>
  </si>
  <si>
    <t>costo final</t>
  </si>
  <si>
    <t>felipe</t>
  </si>
  <si>
    <t>aniversario</t>
  </si>
  <si>
    <t>cristian</t>
  </si>
  <si>
    <t>alejandra</t>
  </si>
  <si>
    <t>xxx</t>
  </si>
  <si>
    <t>peaje</t>
  </si>
  <si>
    <t>carlos</t>
  </si>
  <si>
    <t>3 dias plen</t>
  </si>
  <si>
    <t>pago directores</t>
  </si>
  <si>
    <t>DT y Federacion. Flexit</t>
  </si>
  <si>
    <t>Federacion y RRHH, Sofia, Victoria y Javiera</t>
  </si>
  <si>
    <t>Banco Estado</t>
  </si>
  <si>
    <t>Banco Scotiabank</t>
  </si>
  <si>
    <t>federacion y abogados flexit</t>
  </si>
  <si>
    <t>reunion directorio 40 hrs y rebaja horaria</t>
  </si>
  <si>
    <t>reunion directorioRRHH Sofia Guajardo</t>
  </si>
  <si>
    <t>Plenaria zoom acuerdo rebaja horarias a 42 hrs</t>
  </si>
  <si>
    <t>analisis turnos de 42 horas</t>
  </si>
  <si>
    <t>Dir. y Chile Valora</t>
  </si>
  <si>
    <t>OK</t>
  </si>
  <si>
    <t>PARCIAL</t>
  </si>
  <si>
    <t>No se ha hecho</t>
  </si>
  <si>
    <t>Monto $730</t>
  </si>
  <si>
    <t>Nombre Empresa</t>
  </si>
  <si>
    <t>FEDERACION DE SINDICATOS DE TRABAJADORES DEL</t>
  </si>
  <si>
    <t>Número Línea</t>
  </si>
  <si>
    <t>Fecha Consulta</t>
  </si>
  <si>
    <t>17-11-2025</t>
  </si>
  <si>
    <t>Moneda</t>
  </si>
  <si>
    <t>CLP</t>
  </si>
  <si>
    <t>Fecha Desde</t>
  </si>
  <si>
    <t>07-05-2025</t>
  </si>
  <si>
    <t>Fecha Hasta</t>
  </si>
  <si>
    <t>14-11-2025</t>
  </si>
  <si>
    <t>Retenciones</t>
  </si>
  <si>
    <t>Monto Autorizado</t>
  </si>
  <si>
    <t>Monto Utilizado</t>
  </si>
  <si>
    <t>Saldo Disponible</t>
  </si>
  <si>
    <t>Fecha</t>
  </si>
  <si>
    <t>Descripción</t>
  </si>
  <si>
    <t>Sucursal</t>
  </si>
  <si>
    <t>N° Doc.</t>
  </si>
  <si>
    <t>Cargos</t>
  </si>
  <si>
    <t>Abonos</t>
  </si>
  <si>
    <t>Saldo</t>
  </si>
  <si>
    <t>DEPOSITO EN EF FEDERACION DE S</t>
  </si>
  <si>
    <t>PARQUE TITANIUM</t>
  </si>
  <si>
    <t/>
  </si>
  <si>
    <t>12-11-2025</t>
  </si>
  <si>
    <t>TEF 12200837-1 INGRID ELIZABET</t>
  </si>
  <si>
    <t>NUEVA MORANDE</t>
  </si>
  <si>
    <t>10-11-2025</t>
  </si>
  <si>
    <t>TEF 71979800-4 SINDICATO DE</t>
  </si>
  <si>
    <t>CONCEPCION BARROS ARANA</t>
  </si>
  <si>
    <t>23-10-2025</t>
  </si>
  <si>
    <t>17-10-2025</t>
  </si>
  <si>
    <t>TEF 13008915-1 SANDRA JEANNETT</t>
  </si>
  <si>
    <t>15-10-2025</t>
  </si>
  <si>
    <t>TEF 12338954-9 Claudia Isabel</t>
  </si>
  <si>
    <t>TEF 17862085-1 leonardo barra</t>
  </si>
  <si>
    <t>14-10-2025</t>
  </si>
  <si>
    <t>13-10-2025</t>
  </si>
  <si>
    <t>TEF 71979800-4 SIND DE TRABAJA</t>
  </si>
  <si>
    <t>03-10-2025</t>
  </si>
  <si>
    <t>22-09-2025</t>
  </si>
  <si>
    <t>12-09-2025</t>
  </si>
  <si>
    <t>05-09-2025</t>
  </si>
  <si>
    <t>TEF  9078291-6 patricio bustos</t>
  </si>
  <si>
    <t>TEF 13954772-1 richard toloza</t>
  </si>
  <si>
    <t>TEF 10792320-9 christian torre</t>
  </si>
  <si>
    <t>TEF 15651053-K felipe salazar</t>
  </si>
  <si>
    <t>TEF 14030341-0 alejandra becer</t>
  </si>
  <si>
    <t>TEF 10776166-7 andrea diaz are</t>
  </si>
  <si>
    <t>TEF 12338954-9 claudia villagr</t>
  </si>
  <si>
    <t>TEF  9096765-7 maria ortiz</t>
  </si>
  <si>
    <t>TEF 10792320-9 CHRISTIAN GABRI</t>
  </si>
  <si>
    <t>03-09-2025</t>
  </si>
  <si>
    <t>02-09-2025</t>
  </si>
  <si>
    <t>27-08-2025</t>
  </si>
  <si>
    <t>DEPOSITO CON DOCUMENTOS</t>
  </si>
  <si>
    <t>RANCAGUA SAN MARTIN</t>
  </si>
  <si>
    <t>22-08-2025</t>
  </si>
  <si>
    <t>21-08-2025</t>
  </si>
  <si>
    <t>TEF  9096765-7 MARIA EUGENIA O</t>
  </si>
  <si>
    <t>TEF 14319912-6 VICTOR MANUEL T</t>
  </si>
  <si>
    <t>18-08-2025</t>
  </si>
  <si>
    <t>11-08-2025</t>
  </si>
  <si>
    <t>05-08-2025</t>
  </si>
  <si>
    <t>31-07-2025</t>
  </si>
  <si>
    <t>11-07-2025</t>
  </si>
  <si>
    <t>08-07-2025</t>
  </si>
  <si>
    <t>07-07-2025</t>
  </si>
  <si>
    <t>30-06-2025</t>
  </si>
  <si>
    <t>13-06-2025</t>
  </si>
  <si>
    <t>06-06-2025</t>
  </si>
  <si>
    <t>04-06-2025</t>
  </si>
  <si>
    <t>09-05-2025</t>
  </si>
  <si>
    <t>DEPOSITO EN EFECTIVO</t>
  </si>
  <si>
    <t>08-05-2025</t>
  </si>
  <si>
    <t>18 noviembre Plenaria Las Cruces 2025</t>
  </si>
  <si>
    <t>xavier Carvajal</t>
  </si>
  <si>
    <t>Folio</t>
  </si>
  <si>
    <t>Avisa</t>
  </si>
  <si>
    <t>FOLIO</t>
  </si>
  <si>
    <t>ago-sept-oct</t>
  </si>
  <si>
    <t>pago nov 2024</t>
  </si>
  <si>
    <t>PROYECTO MANTIENE GASTOS</t>
  </si>
  <si>
    <t>ASISTE</t>
  </si>
  <si>
    <t xml:space="preserve">Concepcion </t>
  </si>
  <si>
    <t>Las Cruces</t>
  </si>
  <si>
    <t xml:space="preserve">Otros Ingresos </t>
  </si>
  <si>
    <t>Falta tema, asistencia y horario</t>
  </si>
  <si>
    <t>Asiste 2 dias de plenarias</t>
  </si>
  <si>
    <t>CONFIRMA</t>
  </si>
  <si>
    <r>
      <t xml:space="preserve">CANCELAR LAS PLENARIAS OJALA POR MEDIO DE </t>
    </r>
    <r>
      <rPr>
        <sz val="36"/>
        <color rgb="FFFF0000"/>
        <rFont val="Calibri"/>
        <family val="2"/>
        <scheme val="minor"/>
      </rPr>
      <t>TRANFERENCIAS</t>
    </r>
    <r>
      <rPr>
        <sz val="36"/>
        <rFont val="Calibri"/>
        <family val="2"/>
        <scheme val="minor"/>
      </rPr>
      <t>, EFECTIVO, Y CHEQUE.</t>
    </r>
  </si>
  <si>
    <t>RUT</t>
  </si>
  <si>
    <t>PROCEDENCIA</t>
  </si>
  <si>
    <t>MULTA</t>
  </si>
  <si>
    <t>TIPO MONTO</t>
  </si>
  <si>
    <t>ENUNCIADO</t>
  </si>
  <si>
    <t>FALABELLA RETAIL S.A.</t>
  </si>
  <si>
    <t>77261280-K</t>
  </si>
  <si>
    <t>RECLAMO</t>
  </si>
  <si>
    <t>7385/24/247-1</t>
  </si>
  <si>
    <t>PAGADA</t>
  </si>
  <si>
    <t>IMM</t>
  </si>
  <si>
    <t>No comparecer a citación de la Dirección del Trabajo.</t>
  </si>
  <si>
    <t>7906/24/184-1</t>
  </si>
  <si>
    <t>8691/24/052-1</t>
  </si>
  <si>
    <t>UTM</t>
  </si>
  <si>
    <t>No comunicar personalmente o por escrito al trabajador el término de contrato del trabajo en el plazo de (3) – (6) días hábiles.</t>
  </si>
  <si>
    <t>7631/24/255-1</t>
  </si>
  <si>
    <t>8691/24/063-1</t>
  </si>
  <si>
    <t>No contener las liquidaciones de remuneraciones un anexo con, o no contener el anexo, los montos de cada comisión, bono, premio u otro incentivo, junto al detalle de cada operación que le dio origen y la forma empleada para su cálculo.</t>
  </si>
  <si>
    <t>4344/24/215-1</t>
  </si>
  <si>
    <t>1504/24/204-1</t>
  </si>
  <si>
    <t>8064/24/220-1</t>
  </si>
  <si>
    <t>4178/24/217-1</t>
  </si>
  <si>
    <t>1324/24/230-1</t>
  </si>
  <si>
    <t>8064/24/199-1</t>
  </si>
  <si>
    <t>3541/24/240-1</t>
  </si>
  <si>
    <t>4541/24/243-1</t>
  </si>
  <si>
    <t>6220/24/178-1</t>
  </si>
  <si>
    <t>Omitir información obligatoria en aviso escrito de término del contrato.</t>
  </si>
  <si>
    <t>6220/24/183-1</t>
  </si>
  <si>
    <t>1233/24/152-1</t>
  </si>
  <si>
    <t>4541/24/225-1</t>
  </si>
  <si>
    <t>No enviar a la Inspección del Trabajo dentro del plazo de 3 días hábiles copia del aviso de término del contrato de trabajo.</t>
  </si>
  <si>
    <t>4541/24/225-2</t>
  </si>
  <si>
    <t>No exhibir  toda la documentación necesaria para efectuar la conciliación</t>
  </si>
  <si>
    <t>6067/24/065-1</t>
  </si>
  <si>
    <t>6067/24/065-2</t>
  </si>
  <si>
    <t>7794/24/008-1</t>
  </si>
  <si>
    <t>7651/24/228-1</t>
  </si>
  <si>
    <t>3856/24/017-1</t>
  </si>
  <si>
    <t>7651/24/014-1</t>
  </si>
  <si>
    <t>3934/24/021-1</t>
  </si>
  <si>
    <t>4178/24/001-1</t>
  </si>
  <si>
    <t>6100/24/022-1</t>
  </si>
  <si>
    <t>8689/23/179-1</t>
  </si>
  <si>
    <t>No entregar comprobante de pago de remuneraciones o entregar sin las indicaciones legales.</t>
  </si>
  <si>
    <t>8689/23/179-2</t>
  </si>
  <si>
    <t>No escriturar contrato de trabajo.</t>
  </si>
  <si>
    <t>8689/23/179-3</t>
  </si>
  <si>
    <t>No llevar correctamente registro de asistencia y determinación de las horas de trabajo.</t>
  </si>
  <si>
    <t>8689/23/179-4</t>
  </si>
  <si>
    <t>7556/23/128-1</t>
  </si>
  <si>
    <t>No pagar remuneraciones.</t>
  </si>
  <si>
    <t>7556/23/128-2</t>
  </si>
  <si>
    <t>1929/24/037-1</t>
  </si>
  <si>
    <t>4541/24/013-1</t>
  </si>
  <si>
    <t>4353/24/021-1</t>
  </si>
  <si>
    <t>1974/24/111-1</t>
  </si>
  <si>
    <t>8654/24/068-1</t>
  </si>
  <si>
    <t>7819/24/066-1</t>
  </si>
  <si>
    <t>8401/24/054-1</t>
  </si>
  <si>
    <t>1684/24/029-1</t>
  </si>
  <si>
    <t>8517/24/078-1</t>
  </si>
  <si>
    <t>8414/24/080-1</t>
  </si>
  <si>
    <t>7773/24/006-1</t>
  </si>
  <si>
    <t>1507/24/062-1</t>
  </si>
  <si>
    <t>8835/24/014-1</t>
  </si>
  <si>
    <t>1974/24/088-1</t>
  </si>
  <si>
    <t>FISCALIZACION</t>
  </si>
  <si>
    <t>8043/22/029-1</t>
  </si>
  <si>
    <t>No especificar en el contrato de trabajo la determinación precisa de la naturaleza de los servicios.</t>
  </si>
  <si>
    <t>8043/22/029-2</t>
  </si>
  <si>
    <t>1748/22/039-2</t>
  </si>
  <si>
    <t>No exhibir toda la documentación necesaria para efectuar las labores de fiscalización</t>
  </si>
  <si>
    <t>1827/25/007-1</t>
  </si>
  <si>
    <t>No exhibir toda la documentación necesaria para efectuar las labores de fiscalización.</t>
  </si>
  <si>
    <t>7969/21/019-1</t>
  </si>
  <si>
    <t>8479/24/054-1</t>
  </si>
  <si>
    <t>No contener el contrato de trabajo las cláusulas básicas legales.</t>
  </si>
  <si>
    <t>8479/24/054-2</t>
  </si>
  <si>
    <t>No entregar gratuitamente un ejemplar impreso que contenga el texto del reglamento interno de la empresa.</t>
  </si>
  <si>
    <t>8479/24/054-3</t>
  </si>
  <si>
    <t>No proporcionar ropa de trabajo por razones de imagen corporativa libre de costo para el trabajador.</t>
  </si>
  <si>
    <t>1278/24/008-1</t>
  </si>
  <si>
    <t>No pagar las remuneraciones ya devengadas compuestas parcial o totalmente por (comisiones-bonos-premios), conjuntamente con las demás remuneraciones ordinarias.</t>
  </si>
  <si>
    <t>7536/21/017-1</t>
  </si>
  <si>
    <t>7536/21/017-2</t>
  </si>
  <si>
    <t>1827/22/037-2</t>
  </si>
  <si>
    <t>1159/21/009-1</t>
  </si>
  <si>
    <t>3661/21/019-1</t>
  </si>
  <si>
    <t>7935/21/020-1</t>
  </si>
  <si>
    <t>7935/21/020-2</t>
  </si>
  <si>
    <t>No pagar semana corrida.</t>
  </si>
  <si>
    <t>3661/22/025-1</t>
  </si>
  <si>
    <t>No cumplir estipulaciones de instrumento colectivo.</t>
  </si>
  <si>
    <t>1722/20/045-1</t>
  </si>
  <si>
    <t>1722/20/045-2</t>
  </si>
  <si>
    <t>No otorgar descanso de 2 domingo en el mes calendario.</t>
  </si>
  <si>
    <t>1722/20/045-3</t>
  </si>
  <si>
    <t>No tomar todas las medidas necesarias para proteger eficazmente la vida y salud de los trabajadores.</t>
  </si>
  <si>
    <t>3043/21/020-1</t>
  </si>
  <si>
    <t>3043/21/020-2</t>
  </si>
  <si>
    <t>No otorgar beneficio de sala cuna a trabajadoras de una empresa/ centro o complejo comercial (industrial) (servicios).</t>
  </si>
  <si>
    <t>4435/23/028-1</t>
  </si>
  <si>
    <t>7570/24/021-2</t>
  </si>
  <si>
    <t>No adoptar las medidas de resguardo necesarias respecto de los involucrados por acoso sexual.</t>
  </si>
  <si>
    <t>7570/24/021-1</t>
  </si>
  <si>
    <t>No dar cumplimiento a lo dispuesto en el Reglamento Interno de Orden, Higiene y Seguridad.</t>
  </si>
  <si>
    <t>1251/22/027-1</t>
  </si>
  <si>
    <t>7570/23/004-1</t>
  </si>
  <si>
    <t>7570/23/011-1</t>
  </si>
  <si>
    <t>4435/21/001-1</t>
  </si>
  <si>
    <t>6115/21/026-1</t>
  </si>
  <si>
    <t>Exceder máximo de 2 horas extras por día.</t>
  </si>
  <si>
    <t>1736/23/098-1</t>
  </si>
  <si>
    <t>No suprimir los factores de peligro en el lugar de trabajo.</t>
  </si>
  <si>
    <t>1750/24/063-1</t>
  </si>
  <si>
    <t>No mantener las paredes, cielos rasos, puertas y ventanas en buen estado de limpieza y conservación.</t>
  </si>
  <si>
    <t>1736/24/064-1</t>
  </si>
  <si>
    <t>7458/23/016-1</t>
  </si>
  <si>
    <t>No pagar remuneración íntegra durante el feriado.</t>
  </si>
  <si>
    <t>8837/22/034-1</t>
  </si>
  <si>
    <t>8837/22/034-2</t>
  </si>
  <si>
    <t>1306/24/006-1</t>
  </si>
  <si>
    <t>No efectuar las modificaciones que exigió la Dirección del Trabajo.</t>
  </si>
  <si>
    <t>6115/24/083-1</t>
  </si>
  <si>
    <t>6115/24/083-2</t>
  </si>
  <si>
    <t>6115/24/083-3</t>
  </si>
  <si>
    <t>4500/25/007-1</t>
  </si>
  <si>
    <t>8335/20/031-1</t>
  </si>
  <si>
    <t>1462/23/088-1</t>
  </si>
  <si>
    <t>1462/23/088-2</t>
  </si>
  <si>
    <t>4500/24/062-1</t>
  </si>
  <si>
    <t>Pagar sueldo base inferior al ingreso mínimo mensual.</t>
  </si>
  <si>
    <t>4500/24/062-2</t>
  </si>
  <si>
    <t>8132/24/021-1</t>
  </si>
  <si>
    <t>7806/24/033-1</t>
  </si>
  <si>
    <t>3714/24/059-1</t>
  </si>
  <si>
    <t>1629/23/037-1</t>
  </si>
  <si>
    <t>1629/23/037-2</t>
  </si>
  <si>
    <t>No consignar por escrito las modificaciones del contrato de trabajo.</t>
  </si>
  <si>
    <t>1629/23/037-3</t>
  </si>
  <si>
    <t>No llevar registro de asistencia y determinación de las horas de trabajo.</t>
  </si>
  <si>
    <t>8335/23/046-1</t>
  </si>
  <si>
    <t>3714/23/048-1</t>
  </si>
  <si>
    <t>7806/22/019-1</t>
  </si>
  <si>
    <t>8519/23/012-1</t>
  </si>
  <si>
    <t>No contener el reglamento interno las cláusulas mínimas establecida por la ley.</t>
  </si>
  <si>
    <t>8519/23/012-2</t>
  </si>
  <si>
    <t>No disponer y aplicar las medidas o sanciones que corresponden por el acoso sexual.</t>
  </si>
  <si>
    <t>1178/24/063-1</t>
  </si>
  <si>
    <t>1178/24/063-2</t>
  </si>
  <si>
    <t>7729/24/022-1</t>
  </si>
  <si>
    <t>7729/24/014-1</t>
  </si>
  <si>
    <t>7921/24/040-2</t>
  </si>
  <si>
    <t>No contar los lugares de trabajo con elementos estructurales, maquinarias e instalaciones en condiciones seguras.</t>
  </si>
  <si>
    <t>7921/24/040-3</t>
  </si>
  <si>
    <t>No contar con señalización visible y permanente las zonas de peligro.</t>
  </si>
  <si>
    <t>7921/24/040-1</t>
  </si>
  <si>
    <t>No tomar las medidas efectivas para evitar la presencia de insectos (roedores).</t>
  </si>
  <si>
    <t>6351/24/025-1</t>
  </si>
  <si>
    <t>6351/24/025-2</t>
  </si>
  <si>
    <t>6351/24/025-3</t>
  </si>
  <si>
    <t>Efectuar deducciones sobre el 15% de las remuneraciones.</t>
  </si>
  <si>
    <t>4076/24/018-1</t>
  </si>
  <si>
    <t>4076/24/018-2</t>
  </si>
  <si>
    <t>Mantener con llaves u obstáculos las vías de escape.</t>
  </si>
  <si>
    <t>8444/24/011-1</t>
  </si>
  <si>
    <t>1286/21/006-1</t>
  </si>
  <si>
    <t>1286/21/039-1</t>
  </si>
  <si>
    <t>7729/20/046-1</t>
  </si>
  <si>
    <t>No proporcionar mascarilla por riesgo de contagio COVID-19</t>
  </si>
  <si>
    <t>7729/21/031-1</t>
  </si>
  <si>
    <t>No tener actualizado el Reglamento Interno de Orden, Higiene y Seguridad o Reglamento de Higiene y Seguridad, respecto de medidas preventivas y de control respecto al COVID-19</t>
  </si>
  <si>
    <t>1178/21/026-1</t>
  </si>
  <si>
    <t>1178/21/026-2</t>
  </si>
  <si>
    <t>4076/21/027-1</t>
  </si>
  <si>
    <t>7729/21/023-1</t>
  </si>
  <si>
    <t>7729/21/021-1</t>
  </si>
  <si>
    <t>7729/21/022-1</t>
  </si>
  <si>
    <t>No otorgar descanso semanal compensatorio.</t>
  </si>
  <si>
    <t>7729/21/022-2</t>
  </si>
  <si>
    <t>Distribuir jornada semanal ordinaria de 45 horas en más de 6 días (menos de 5 días).</t>
  </si>
  <si>
    <t>7729/21/072-1</t>
  </si>
  <si>
    <t>Dificultar la fiscalización a la empresa</t>
  </si>
  <si>
    <t>1286/21/044-1</t>
  </si>
  <si>
    <t>Iniciar el descanso semanal (dominical) (por días festivos) (bisemanal) después de las 21 horas del día anterior.</t>
  </si>
  <si>
    <t>1286/21/032-1</t>
  </si>
  <si>
    <t>1286/21/053-1</t>
  </si>
  <si>
    <t>1286/21/053-2</t>
  </si>
  <si>
    <t>1286/22/005-1</t>
  </si>
  <si>
    <t>No mantener vías de escape o evacuación libre de obstrucciones.</t>
  </si>
  <si>
    <t>1286/22/024-1</t>
  </si>
  <si>
    <t>7729/22/062-1</t>
  </si>
  <si>
    <t>8569/22/102-1</t>
  </si>
  <si>
    <t>7921/22/038-1</t>
  </si>
  <si>
    <t>8569/22/055-1</t>
  </si>
  <si>
    <t>8569/22/055-2</t>
  </si>
  <si>
    <t>7729/22/059-1</t>
  </si>
  <si>
    <t>7729/22/060-1</t>
  </si>
  <si>
    <t>7729/22/032-1</t>
  </si>
  <si>
    <t>7729/22/032-2</t>
  </si>
  <si>
    <t>7729/22/032-3</t>
  </si>
  <si>
    <t>Poner término al contrato de trabajo de trabajador que goza de licencia médica.</t>
  </si>
  <si>
    <t>1178/22/001-1</t>
  </si>
  <si>
    <t>No otorgar finiquito de trabajo y no poner el pago a disposición del trabajador dentro del plazo de 10 días hábiles.</t>
  </si>
  <si>
    <t>1628/22/031-3</t>
  </si>
  <si>
    <t>No pactar por escrito las horas extraordinarias.</t>
  </si>
  <si>
    <t>1628/22/031-4</t>
  </si>
  <si>
    <t>1628/22/031-1</t>
  </si>
  <si>
    <t>1628/22/031-2</t>
  </si>
  <si>
    <t>4076/22/022-1</t>
  </si>
  <si>
    <t>4076/22/022-2</t>
  </si>
  <si>
    <t>1286/22/037-1</t>
  </si>
  <si>
    <t>No llevar correctamente registro de asistencia y determinación de las horas de trabajo del tipo electrónico computacional.</t>
  </si>
  <si>
    <t>1286/22/038-1</t>
  </si>
  <si>
    <t>7729/22/049-1</t>
  </si>
  <si>
    <t>1286/22/036-1</t>
  </si>
  <si>
    <t>1286/22/036-2</t>
  </si>
  <si>
    <t>1178/22/015-1</t>
  </si>
  <si>
    <t>4050/22/034-1</t>
  </si>
  <si>
    <t>8569/23/010-1</t>
  </si>
  <si>
    <t>Efectuar deducciones de las remuneraciones sin acuerdo de las partes.</t>
  </si>
  <si>
    <t>8569/23/010-2</t>
  </si>
  <si>
    <t>8569/23/018-1</t>
  </si>
  <si>
    <t>8569/23/018-2</t>
  </si>
  <si>
    <t>7729/22/085-1</t>
  </si>
  <si>
    <t>7729/22/090-1</t>
  </si>
  <si>
    <t>7729/22/081-1</t>
  </si>
  <si>
    <t>7921/22/062-2</t>
  </si>
  <si>
    <t>7729/22/093-1</t>
  </si>
  <si>
    <t>7921/23/011-1</t>
  </si>
  <si>
    <t>No pactar modalidad de trabajo a distancia o teletrabajo.</t>
  </si>
  <si>
    <t>7921/23/011-2</t>
  </si>
  <si>
    <t>No implementar registro de control de jornada de teletrabajo o trabajo a distancia.</t>
  </si>
  <si>
    <t>7921/23/011-3</t>
  </si>
  <si>
    <t>1286/23/033-1</t>
  </si>
  <si>
    <t>No mantener protegidas las instalaciones eléctricas o de gas.</t>
  </si>
  <si>
    <t>8569/23/065-1</t>
  </si>
  <si>
    <t>8569/23/065-2</t>
  </si>
  <si>
    <t>8569/23/065-3</t>
  </si>
  <si>
    <t>7729/23/059-1</t>
  </si>
  <si>
    <t>7729/23/031-1</t>
  </si>
  <si>
    <t>UF</t>
  </si>
  <si>
    <t>No declarar oportunamente las cotizaciones previsionales del Seguro de Cesantía.</t>
  </si>
  <si>
    <t>7921/23/131-1</t>
  </si>
  <si>
    <t>7729/23/123-1</t>
  </si>
  <si>
    <t>4076/24/004-1</t>
  </si>
  <si>
    <t>4076/24/004-2</t>
  </si>
  <si>
    <t>8569/24/005-1</t>
  </si>
  <si>
    <t>7729/23/131-1</t>
  </si>
  <si>
    <t>7729/23/131-2</t>
  </si>
  <si>
    <t>1178/23/066-1</t>
  </si>
  <si>
    <t>1178/23/066-2</t>
  </si>
  <si>
    <t>1286/23/038-1</t>
  </si>
  <si>
    <t>1286/23/039-1</t>
  </si>
  <si>
    <t>7729/23/087-1</t>
  </si>
  <si>
    <t>7729/23/083-1</t>
  </si>
  <si>
    <t>7729/23/083-2</t>
  </si>
  <si>
    <t>7729/23/083-3</t>
  </si>
  <si>
    <t>4076/23/056-1</t>
  </si>
  <si>
    <t>No mantener los pisos y pasillos de tránsito libres de obstáculos para un seguro desplazamiento.</t>
  </si>
  <si>
    <t>4076/23/045-1</t>
  </si>
  <si>
    <t>8047/24/013-1</t>
  </si>
  <si>
    <t>8569/20/027-1</t>
  </si>
  <si>
    <t>No vigilar la empresa principal el cumplimiento que corresponde a las empresas contratistas y subcontratistas sobre las medidas de seguridad y prevención en el trabajo.</t>
  </si>
  <si>
    <t>1747/20/047-1</t>
  </si>
  <si>
    <t>1747/24/040-1</t>
  </si>
  <si>
    <t>1747/24/040-2</t>
  </si>
  <si>
    <t>1747/24/040-3</t>
  </si>
  <si>
    <t>1747/24/040-4</t>
  </si>
  <si>
    <t>4296/20/032-1</t>
  </si>
  <si>
    <t>3151/20/023-1</t>
  </si>
  <si>
    <t>8210/21/007-1</t>
  </si>
  <si>
    <t>7576/23/022-1</t>
  </si>
  <si>
    <t>8536/23/032-1</t>
  </si>
  <si>
    <t>7576/21/034-1</t>
  </si>
  <si>
    <t>7576/21/034-2</t>
  </si>
  <si>
    <t>4296/22/021-1</t>
  </si>
  <si>
    <t>4296/22/017-1</t>
  </si>
  <si>
    <t>7576/22/054-1</t>
  </si>
  <si>
    <t>4296/22/046-1</t>
  </si>
  <si>
    <t>4296/22/046-2</t>
  </si>
  <si>
    <t>7576/22/055-1</t>
  </si>
  <si>
    <t>4296/22/032-1</t>
  </si>
  <si>
    <t>7576/22/031-1</t>
  </si>
  <si>
    <t>7576/22/031-2</t>
  </si>
  <si>
    <t>No mantener el número suficiente de asientos o sillas a disposición de los trabajadores.</t>
  </si>
  <si>
    <t>7576/22/031-3</t>
  </si>
  <si>
    <t>7576/22/030-1</t>
  </si>
  <si>
    <t>7576/22/030-2</t>
  </si>
  <si>
    <t>8514/22/022-1</t>
  </si>
  <si>
    <t>7576/22/050-1</t>
  </si>
  <si>
    <t>4296/23/014-1</t>
  </si>
  <si>
    <t>4296/22/077-1</t>
  </si>
  <si>
    <t>1793/25/002-1</t>
  </si>
  <si>
    <t>EN TRÁMITE DE COBRANZA</t>
  </si>
  <si>
    <t>3499/24/072-1</t>
  </si>
  <si>
    <t>8340/24/074-1</t>
  </si>
  <si>
    <t>8340/24/074-2</t>
  </si>
  <si>
    <t>4189/23/073-1</t>
  </si>
  <si>
    <t>3834/20/013-1</t>
  </si>
  <si>
    <t>1473/24/033-1</t>
  </si>
  <si>
    <t>No constituir Comité Bipartito de Capacitación.</t>
  </si>
  <si>
    <t>6158/23/018-1</t>
  </si>
  <si>
    <t>No remitir a la Inspección del Trabajo, dentro de los cinco días las conclusiones de la investigación por acoso sexual.</t>
  </si>
  <si>
    <t>6158/23/018-2</t>
  </si>
  <si>
    <t>1595/21/015-1</t>
  </si>
  <si>
    <t>1595/21/015-2</t>
  </si>
  <si>
    <t>1462/22/051-1</t>
  </si>
  <si>
    <t>9894/25/004-1</t>
  </si>
  <si>
    <t>1982/25/013-1</t>
  </si>
  <si>
    <t>8704/24/079-1</t>
  </si>
  <si>
    <t>8661/23/015-1</t>
  </si>
  <si>
    <t>6373/24/028-1</t>
  </si>
  <si>
    <t>1839/24/063-1</t>
  </si>
  <si>
    <t>6361/24/011-1</t>
  </si>
  <si>
    <t>No mantener en el lugar de trabajo copia del contrato de trabajo y finiquito.</t>
  </si>
  <si>
    <t>3322/22/011-1</t>
  </si>
  <si>
    <t>3322/22/017-1</t>
  </si>
  <si>
    <t>No otorgar descanso dentro de la jornada.</t>
  </si>
  <si>
    <t>8663/22/003-1</t>
  </si>
  <si>
    <t>No remitir copia de reglamento interno de orden higiene y seguridad a la Dirección del Trabajo.</t>
  </si>
  <si>
    <t>8663/22/003-2</t>
  </si>
  <si>
    <t>No informar a los trabajadores acerca de los riesgos laborales.</t>
  </si>
  <si>
    <t>8663/22/003-3</t>
  </si>
  <si>
    <t>8663/22/003-4</t>
  </si>
  <si>
    <t>1901/22/010-1</t>
  </si>
  <si>
    <t>1698/22/027-1</t>
  </si>
  <si>
    <t>8738/23/001-1</t>
  </si>
  <si>
    <t>1843/21/051-1</t>
  </si>
  <si>
    <t>7738/21/015-1</t>
  </si>
  <si>
    <t>9896/20/072-1</t>
  </si>
  <si>
    <t>No otorgar beneficio de sala cuna a trabajadoras de la empresa</t>
  </si>
  <si>
    <t>9896/20/047-1</t>
  </si>
  <si>
    <t>9896/20/058-1</t>
  </si>
  <si>
    <t>9896/20/058-2</t>
  </si>
  <si>
    <t>9896/20/066-1</t>
  </si>
  <si>
    <t>No denunciar al Organismo Administrador respectivo, (el accidente) (enfermedad que pueda ocasionar incapacidad para el trabajo o la muerte).</t>
  </si>
  <si>
    <t>9896/20/066-2</t>
  </si>
  <si>
    <t>8518/24/043-1</t>
  </si>
  <si>
    <t>Exceder de un año el contrato a plazo fijo.</t>
  </si>
  <si>
    <t>8518/24/043-2</t>
  </si>
  <si>
    <t>8689/20/011-1</t>
  </si>
  <si>
    <t>8336/22/060-1</t>
  </si>
  <si>
    <t>8336/23/018-1</t>
  </si>
  <si>
    <t>3920/23/006-1</t>
  </si>
  <si>
    <t>1468/23/049-1</t>
  </si>
  <si>
    <t>3920/23/065-1</t>
  </si>
  <si>
    <t>3920/23/065-3</t>
  </si>
  <si>
    <t>3769/24/020-1</t>
  </si>
  <si>
    <t>Separar ilegalmente de sus funciones a trabajadora amparada por fuero maternal.</t>
  </si>
  <si>
    <t>3769/24/020-2</t>
  </si>
  <si>
    <t>3769/24/020-3</t>
  </si>
  <si>
    <t>3914/23/117-1</t>
  </si>
  <si>
    <t>3914/23/117-2</t>
  </si>
  <si>
    <t>3914/23/019-1</t>
  </si>
  <si>
    <t>3914/22/049-2</t>
  </si>
  <si>
    <t>3914/22/069-1</t>
  </si>
  <si>
    <t>3914/22/068-1</t>
  </si>
  <si>
    <t>1750/21/058-1</t>
  </si>
  <si>
    <t>8081/22/018-1</t>
  </si>
  <si>
    <t>8518/21/020-1</t>
  </si>
  <si>
    <t>No otorgar el descanso semanal en días que no coincida con feriados irrenunciables</t>
  </si>
  <si>
    <t>8370/21/071-1</t>
  </si>
  <si>
    <t>8370/21/071-2</t>
  </si>
  <si>
    <t>1736/21/013-1</t>
  </si>
  <si>
    <t>1736/21/013-2</t>
  </si>
  <si>
    <t>3914/25/010-1</t>
  </si>
  <si>
    <t>3914/24/070-1</t>
  </si>
  <si>
    <t>4312/24/004-1</t>
  </si>
  <si>
    <t>3449/24/069-1</t>
  </si>
  <si>
    <t>3449/24/069-2</t>
  </si>
  <si>
    <t>1227/24/028-1</t>
  </si>
  <si>
    <t>7749/23/065-1</t>
  </si>
  <si>
    <t>1736/22/083-1</t>
  </si>
  <si>
    <t>1736/22/083-2</t>
  </si>
  <si>
    <t>1736/22/083-3</t>
  </si>
  <si>
    <t>Efectuar en forma (errónea) (incompleta) la declaración de las cotizaciones previsionales en AFP.</t>
  </si>
  <si>
    <t>1736/22/083-4</t>
  </si>
  <si>
    <t>Efectuar en forma (errónea) (incompleta) la declaración de las cotizaciones previsionales del Seguro de Cesantía.</t>
  </si>
  <si>
    <t>8370/23/028-1</t>
  </si>
  <si>
    <t>8370/23/028-2</t>
  </si>
  <si>
    <t>No mantener toda la documentación necesaria para efectuar las labores de fiscalización.</t>
  </si>
  <si>
    <t>3449/25/009-1</t>
  </si>
  <si>
    <t>Incumplimiento al contrato de trabajo.</t>
  </si>
  <si>
    <t>1293/24/028-1</t>
  </si>
  <si>
    <t>4172/24/003-1</t>
  </si>
  <si>
    <t>1293/23/032-1</t>
  </si>
  <si>
    <t>1293/23/032-2</t>
  </si>
  <si>
    <t>1213/23/012-2</t>
  </si>
  <si>
    <t>6198/23/018-1</t>
  </si>
  <si>
    <t>6198/23/018-2</t>
  </si>
  <si>
    <t>6198/23/021-1</t>
  </si>
  <si>
    <t>4427/23/039-1</t>
  </si>
  <si>
    <t>1293/21/046-1</t>
  </si>
  <si>
    <t>8409/20/020-1</t>
  </si>
  <si>
    <t>No asesorar y desarrollar el Departamento de Prevención de Riesgos lo pertinente con las funciones mínimas.</t>
  </si>
  <si>
    <t>8409/20/020-2</t>
  </si>
  <si>
    <t>No contar con servicios higiénicos.</t>
  </si>
  <si>
    <t>8409/20/020-3</t>
  </si>
  <si>
    <t>8409/20/020-4</t>
  </si>
  <si>
    <t>8409/20/020-5</t>
  </si>
  <si>
    <t>1991/23/024-1</t>
  </si>
  <si>
    <t>3214/23/004-1</t>
  </si>
  <si>
    <t>1907/23/066-1</t>
  </si>
  <si>
    <t>1907/23/066-2</t>
  </si>
  <si>
    <t>1907/23/066-3</t>
  </si>
  <si>
    <t>1934/24/021-1</t>
  </si>
  <si>
    <t>3663/23/035-1</t>
  </si>
  <si>
    <t>9993/24/057-1</t>
  </si>
  <si>
    <t>9993/22/026-1</t>
  </si>
  <si>
    <t>8593/23/070-1</t>
  </si>
  <si>
    <t>8585/22/013-1</t>
  </si>
  <si>
    <t>8585/22/013-2</t>
  </si>
  <si>
    <t>8585/21/022-1</t>
  </si>
  <si>
    <t>8585/21/022-2</t>
  </si>
  <si>
    <t>Incumplimiento al contrato de trabajo</t>
  </si>
  <si>
    <t>8585/21/022-3</t>
  </si>
  <si>
    <t>8585/21/022-4</t>
  </si>
  <si>
    <t>7457/24/015-1</t>
  </si>
  <si>
    <t>7457/24/015-2</t>
  </si>
  <si>
    <t>1156/22/040-1</t>
  </si>
  <si>
    <t>7457/22/015-1</t>
  </si>
  <si>
    <t>7457/22/015-2</t>
  </si>
  <si>
    <t>1374/22/071-1</t>
  </si>
  <si>
    <t>7863/20/007-1</t>
  </si>
  <si>
    <t>4176/22/017-1</t>
  </si>
  <si>
    <t>8572/22/035-1</t>
  </si>
  <si>
    <t>8572/22/035-2</t>
  </si>
  <si>
    <t>8572/22/035-3</t>
  </si>
  <si>
    <t>1456/22/003-1</t>
  </si>
  <si>
    <t>8572/21/024-1</t>
  </si>
  <si>
    <t>8572/23/028-1</t>
  </si>
  <si>
    <t>8572/23/028-2</t>
  </si>
  <si>
    <t>8572/23/028-3</t>
  </si>
  <si>
    <t>1190/23/018-1</t>
  </si>
  <si>
    <t>4576/23/018-1</t>
  </si>
  <si>
    <t>7716/22/039-1</t>
  </si>
  <si>
    <t>7400/22/006-1</t>
  </si>
  <si>
    <t>1557/22/001-1</t>
  </si>
  <si>
    <t>8572/23/065-1</t>
  </si>
  <si>
    <t>1806/24/019-2</t>
  </si>
  <si>
    <t>1806/24/019-1</t>
  </si>
  <si>
    <t>8287/25/001-1</t>
  </si>
  <si>
    <t>4366/21/008-1</t>
  </si>
  <si>
    <t>8216/21/015-1</t>
  </si>
  <si>
    <t>8216/21/015-2</t>
  </si>
  <si>
    <t>8216/21/015-3</t>
  </si>
  <si>
    <t>8702/24/048-1</t>
  </si>
  <si>
    <t>8702/24/048-2</t>
  </si>
  <si>
    <t>1787/24/034-1</t>
  </si>
  <si>
    <t>8702/25/003-1</t>
  </si>
  <si>
    <t>7831/21/002-1</t>
  </si>
  <si>
    <t>4504/20/015-1</t>
  </si>
  <si>
    <t>1265/20/007-1</t>
  </si>
  <si>
    <t>Efectuar deducciones sobre el 15% de las remuneraciones</t>
  </si>
  <si>
    <t>8702/22/030-1</t>
  </si>
  <si>
    <t>8702/22/030-2</t>
  </si>
  <si>
    <t>8702/22/030-3</t>
  </si>
  <si>
    <t>4504/21/031-1</t>
  </si>
  <si>
    <t>9958/24/017-1</t>
  </si>
  <si>
    <t>9958/24/017-2</t>
  </si>
  <si>
    <t>9958/24/018-1</t>
  </si>
  <si>
    <t>No requerir el acuerdo previo al sindicato de la empresa, por el sistema de distribución de la jornada de trabajo, aplicable a un trabajador afiliado a tal sindicato.</t>
  </si>
  <si>
    <t>8702/24/026-1</t>
  </si>
  <si>
    <t>8702/24/026-2</t>
  </si>
  <si>
    <t>Conclusión de la investigación interna de por acoso sexual en un plazo mayor a los treinta días.</t>
  </si>
  <si>
    <t>8702/23/022-1</t>
  </si>
  <si>
    <t>8702/23/022-2</t>
  </si>
  <si>
    <t>8702/23/012-1</t>
  </si>
  <si>
    <t>8702/23/010-1</t>
  </si>
  <si>
    <t>8702/23/010-2</t>
  </si>
  <si>
    <t>8070/22/007-1</t>
  </si>
  <si>
    <t>No incorporar en el contrato de trabajo de adolescente con edad para trabajar, además de lo establecido en el artículo 10 del Código del Trabajo, la información señalada en las letras a. a la g., del N° 1 del Artículo 6° del D.S. N° 1, de 2021, de los Ministerios del Trabajo y Previsión Social y de Salud.</t>
  </si>
  <si>
    <t>8070/22/007-2</t>
  </si>
  <si>
    <t>No evaluar o no incorporar en la matriz de identificación de peligros y evaluación de riesgos de la empresa, la evaluación del puesto de trabajo en el que se desempeñará un adolescente con edad para trabajar.</t>
  </si>
  <si>
    <t>8509/22/011-1</t>
  </si>
  <si>
    <t>8829/22/052-1</t>
  </si>
  <si>
    <t>8207/20/021-1</t>
  </si>
  <si>
    <t>8207/20/021-2</t>
  </si>
  <si>
    <t>2044/25/008-1</t>
  </si>
  <si>
    <t>Compensar indebidamente las horas extraordinarias por permisos.</t>
  </si>
  <si>
    <t>2044/25/008-2</t>
  </si>
  <si>
    <t>2044/25/008-3</t>
  </si>
  <si>
    <t>1872/24/075-1</t>
  </si>
  <si>
    <t>8070/24/045-1</t>
  </si>
  <si>
    <t>8070/24/045-2</t>
  </si>
  <si>
    <t>7821/24/026-1</t>
  </si>
  <si>
    <t>7821/24/024-1</t>
  </si>
  <si>
    <t>8582/23/001-1</t>
  </si>
  <si>
    <t>7821/23/027-1</t>
  </si>
  <si>
    <t>7821/23/027-2</t>
  </si>
  <si>
    <t>7821/23/027-3</t>
  </si>
  <si>
    <t>1722/23/002-1</t>
  </si>
  <si>
    <t>8645/22/043-1</t>
  </si>
  <si>
    <t>7509/22/023-1</t>
  </si>
  <si>
    <t>8055/24/022-2</t>
  </si>
  <si>
    <t>8055/24/022-3</t>
  </si>
  <si>
    <t>8055/24/022-4</t>
  </si>
  <si>
    <t>8055/24/022-1</t>
  </si>
  <si>
    <t>3370/24/033-1</t>
  </si>
  <si>
    <t>7969/24/030-1</t>
  </si>
  <si>
    <t>8043/24/059-1</t>
  </si>
  <si>
    <t>8043/24/059-2</t>
  </si>
  <si>
    <t>8043/25/006-1</t>
  </si>
  <si>
    <t>3934/24/039-1</t>
  </si>
  <si>
    <t>1684/24/013-1</t>
  </si>
  <si>
    <t>7787/24/030-1</t>
  </si>
  <si>
    <t>6066/24/046-1</t>
  </si>
  <si>
    <t>3119/24/030-1</t>
  </si>
  <si>
    <t>8211/24/059-1</t>
  </si>
  <si>
    <t>3175/24/026-1</t>
  </si>
  <si>
    <t>4541/24/042-1</t>
  </si>
  <si>
    <t>6067/24/010-1</t>
  </si>
  <si>
    <t>3990/24/050-1</t>
  </si>
  <si>
    <t>7832/24/022-1</t>
  </si>
  <si>
    <t>1373/24/114-1</t>
  </si>
  <si>
    <t>8401/24/082-1</t>
  </si>
  <si>
    <t>6170/24/069-1</t>
  </si>
  <si>
    <t>7651/24/051-1</t>
  </si>
  <si>
    <t>3527/24/052-1</t>
  </si>
  <si>
    <t>6112/24/051-1</t>
  </si>
  <si>
    <t>6170/24/066-1</t>
  </si>
  <si>
    <t>7395/24/060-1</t>
  </si>
  <si>
    <t>7395/24/060-2</t>
  </si>
  <si>
    <t>8654/24/078-1</t>
  </si>
  <si>
    <t>3110/24/076-1</t>
  </si>
  <si>
    <t>8517/24/085-1</t>
  </si>
  <si>
    <t>4178/24/064-1</t>
  </si>
  <si>
    <t>7787/24/066-1</t>
  </si>
  <si>
    <t>3057/24/095-1</t>
  </si>
  <si>
    <t>1504/24/098-1</t>
  </si>
  <si>
    <t>4353/24/054-1</t>
  </si>
  <si>
    <t>6307/24/070-1</t>
  </si>
  <si>
    <t>7934/24/101-1</t>
  </si>
  <si>
    <t>3276/24/012-1</t>
  </si>
  <si>
    <t>4081/24/078-1</t>
  </si>
  <si>
    <t>4178/24/047-1</t>
  </si>
  <si>
    <t>1483/24/057-1</t>
  </si>
  <si>
    <t>8094/24/093-1</t>
  </si>
  <si>
    <t>3254/24/128-1</t>
  </si>
  <si>
    <t>1504/24/124-1</t>
  </si>
  <si>
    <t>7713/24/306-1</t>
  </si>
  <si>
    <t>7713/24/306-2</t>
  </si>
  <si>
    <t>No pagar las remuneraciones adeudadas al término del contrato de trabajo.</t>
  </si>
  <si>
    <t>7713/24/305-1</t>
  </si>
  <si>
    <t>1393/24/152-1</t>
  </si>
  <si>
    <t>1143/24/290-1</t>
  </si>
  <si>
    <t>8709/24/357-1</t>
  </si>
  <si>
    <t>1507/24/319-1</t>
  </si>
  <si>
    <t>1504/24/266-1</t>
  </si>
  <si>
    <t>3530/24/159-1</t>
  </si>
  <si>
    <t>3345/24/361-1</t>
  </si>
  <si>
    <t>7971/24/443-1</t>
  </si>
  <si>
    <t>3819/25/009-1</t>
  </si>
  <si>
    <t>3819/25/009-2</t>
  </si>
  <si>
    <t>3819/25/008-1</t>
  </si>
  <si>
    <t>3110/25/026-1</t>
  </si>
  <si>
    <t>1973/25/022-1</t>
  </si>
  <si>
    <t>1684/24/280-1</t>
  </si>
  <si>
    <t>1684/24/284-1</t>
  </si>
  <si>
    <t>3119/24/298-1</t>
  </si>
  <si>
    <t>1726/24/323-1</t>
  </si>
  <si>
    <t>1929/24/314-1</t>
  </si>
  <si>
    <t>8709/24/371-1</t>
  </si>
  <si>
    <t>3057/24/383-1</t>
  </si>
  <si>
    <t>1861/25/056-1</t>
  </si>
  <si>
    <t>8689/25/134-1</t>
  </si>
  <si>
    <t>8188/25/048-1</t>
  </si>
  <si>
    <t>8683/25/120-1</t>
  </si>
  <si>
    <t>4306/25/037-1</t>
  </si>
  <si>
    <t>7906/25/087-1</t>
  </si>
  <si>
    <t>8689/25/153-1</t>
  </si>
  <si>
    <t>6220/25/169-1</t>
  </si>
  <si>
    <t>6220/25/171-1</t>
  </si>
  <si>
    <t>4344/25/115-1</t>
  </si>
  <si>
    <t>1504/25/018-1</t>
  </si>
  <si>
    <t>6112/25/017-1</t>
  </si>
  <si>
    <t>8401/25/033-1</t>
  </si>
  <si>
    <t>1562/25/040-1</t>
  </si>
  <si>
    <t>7736/25/044-1</t>
  </si>
  <si>
    <t>6232/25/027-1</t>
  </si>
  <si>
    <t>6220/25/050-1</t>
  </si>
  <si>
    <t>3042/25/041-1</t>
  </si>
  <si>
    <t>1143/23/220-1</t>
  </si>
  <si>
    <t>6112/23/129-1</t>
  </si>
  <si>
    <t>6112/23/129-2</t>
  </si>
  <si>
    <t>6112/23/129-3</t>
  </si>
  <si>
    <t>No pagar indemnización por feriado proporcional.</t>
  </si>
  <si>
    <t>1504/24/011-1</t>
  </si>
  <si>
    <t>3345/24/010-1</t>
  </si>
  <si>
    <t>8244/23/199-1</t>
  </si>
  <si>
    <t>7819/23/236-1</t>
  </si>
  <si>
    <t>6112/23/130-1</t>
  </si>
  <si>
    <t>6112/23/130-2</t>
  </si>
  <si>
    <t>7906/24/019-1</t>
  </si>
  <si>
    <t>4104/23/058-1</t>
  </si>
  <si>
    <t>1728/24/017-1</t>
  </si>
  <si>
    <t>1504/23/158-1</t>
  </si>
  <si>
    <t>1207/23/066-1</t>
  </si>
  <si>
    <t>1703/23/149-1</t>
  </si>
  <si>
    <t>8848/23/208-1</t>
  </si>
  <si>
    <t>1324/23/153-1</t>
  </si>
  <si>
    <t>1324/23/155-1</t>
  </si>
  <si>
    <t>1483/23/140-1</t>
  </si>
  <si>
    <t>8582/23/216-1</t>
  </si>
  <si>
    <t>4306/23/068-1</t>
  </si>
  <si>
    <t>4178/23/199-1</t>
  </si>
  <si>
    <t>4306/23/078-1</t>
  </si>
  <si>
    <t>6399/23/044-1</t>
  </si>
  <si>
    <t>3934/23/145-1</t>
  </si>
  <si>
    <t>4033/23/136-1</t>
  </si>
  <si>
    <t>1703/23/154-1</t>
  </si>
  <si>
    <t>3099/23/071-1</t>
  </si>
  <si>
    <t>4260/23/117-1</t>
  </si>
  <si>
    <t>3345/23/194-1</t>
  </si>
  <si>
    <t>6170/23/115-1</t>
  </si>
  <si>
    <t>1974/23/184-1</t>
  </si>
  <si>
    <t>7396/23/131-1</t>
  </si>
  <si>
    <t>7396/23/131-2</t>
  </si>
  <si>
    <t>3274/23/174-1</t>
  </si>
  <si>
    <t>No comparecer en forma personal a citación de la Dirección del Trabajo.</t>
  </si>
  <si>
    <t>7638/23/026-1</t>
  </si>
  <si>
    <t>8018/23/115-1</t>
  </si>
  <si>
    <t>6220/23/211-1</t>
  </si>
  <si>
    <t>6220/23/213-1</t>
  </si>
  <si>
    <t>6220/23/213-2</t>
  </si>
  <si>
    <t>7769/23/153-1</t>
  </si>
  <si>
    <t>6220/23/200-1</t>
  </si>
  <si>
    <t>6220/23/200-2</t>
  </si>
  <si>
    <t>4555/23/061-1</t>
  </si>
  <si>
    <t>1703/23/102-1</t>
  </si>
  <si>
    <t>8211/23/121-1</t>
  </si>
  <si>
    <t>4178/23/121-1</t>
  </si>
  <si>
    <t>1233/23/093-1</t>
  </si>
  <si>
    <t>1996/23/123-1</t>
  </si>
  <si>
    <t>3254/23/092-1</t>
  </si>
  <si>
    <t>3990/23/049-1</t>
  </si>
  <si>
    <t>1838/23/040-1</t>
  </si>
  <si>
    <t>1143/23/074-1</t>
  </si>
  <si>
    <t>3550/23/030-1</t>
  </si>
  <si>
    <t>3550/23/030-2</t>
  </si>
  <si>
    <t>3550/23/030-3</t>
  </si>
  <si>
    <t>3550/23/030-4</t>
  </si>
  <si>
    <t>6052/23/044-1</t>
  </si>
  <si>
    <t>3274/23/071-1</t>
  </si>
  <si>
    <t>4555/23/015-1</t>
  </si>
  <si>
    <t>3274/23/061-1</t>
  </si>
  <si>
    <t>1703/23/044-1</t>
  </si>
  <si>
    <t>4497/23/051-1</t>
  </si>
  <si>
    <t>3541/23/058-1</t>
  </si>
  <si>
    <t>8683/23/054-1</t>
  </si>
  <si>
    <t>8129/23/053-1</t>
  </si>
  <si>
    <t>7651/23/018-1</t>
  </si>
  <si>
    <t>1233/23/047-1</t>
  </si>
  <si>
    <t>7906/23/030-1</t>
  </si>
  <si>
    <t>1233/23/032-1</t>
  </si>
  <si>
    <t>3175/23/052-1</t>
  </si>
  <si>
    <t>1703/23/059-1</t>
  </si>
  <si>
    <t>1483/23/038-1</t>
  </si>
  <si>
    <t>3819/23/061-1</t>
  </si>
  <si>
    <t>1233/23/064-1</t>
  </si>
  <si>
    <t>3902/23/015-1</t>
  </si>
  <si>
    <t>8094/23/089-1</t>
  </si>
  <si>
    <t>8689/23/057-1</t>
  </si>
  <si>
    <t>Pagar las remuneraciones por períodos que exceden de un mes.</t>
  </si>
  <si>
    <t>8689/23/057-2</t>
  </si>
  <si>
    <t>8094/23/086-1</t>
  </si>
  <si>
    <t>4353/23/039-1</t>
  </si>
  <si>
    <t>4178/23/102-1</t>
  </si>
  <si>
    <t>4178/23/102-2</t>
  </si>
  <si>
    <t>4178/23/102-3</t>
  </si>
  <si>
    <t>4130/23/057-1</t>
  </si>
  <si>
    <t>1634/23/033-1</t>
  </si>
  <si>
    <t>1703/23/084-1</t>
  </si>
  <si>
    <t>3541/23/116-1</t>
  </si>
  <si>
    <t>3057/23/134-1</t>
  </si>
  <si>
    <t>3057/23/134-2</t>
  </si>
  <si>
    <t>3057/23/134-3</t>
  </si>
  <si>
    <t>3057/23/134-4</t>
  </si>
  <si>
    <t>3274/23/107-1</t>
  </si>
  <si>
    <t>1634/23/025-1</t>
  </si>
  <si>
    <t>7527/23/037-1</t>
  </si>
  <si>
    <t>1529/22/076-1</t>
  </si>
  <si>
    <t>6067/22/064-1</t>
  </si>
  <si>
    <t>6067/22/064-2</t>
  </si>
  <si>
    <t>8646/22/113-1</t>
  </si>
  <si>
    <t>1504/22/043-1</t>
  </si>
  <si>
    <t>3345/22/116-1</t>
  </si>
  <si>
    <t>4353/22/024-1</t>
  </si>
  <si>
    <t>1233/22/120-1</t>
  </si>
  <si>
    <t>1233/22/119-1</t>
  </si>
  <si>
    <t>3345/22/124-1</t>
  </si>
  <si>
    <t>No comunicar personalmente o por escrito al trabajador el término de contrato de trabajo con treinta días de anticipación.</t>
  </si>
  <si>
    <t>3345/22/124-2</t>
  </si>
  <si>
    <t>1233/22/141-1</t>
  </si>
  <si>
    <t>3057/22/181-1</t>
  </si>
  <si>
    <t>3057/22/181-2</t>
  </si>
  <si>
    <t>3057/22/181-3</t>
  </si>
  <si>
    <t>3057/22/181-4</t>
  </si>
  <si>
    <t>3550/22/091-1</t>
  </si>
  <si>
    <t>3819/23/007-1</t>
  </si>
  <si>
    <t>No otorgar fracción de feriado anual de a lo menos 10 días en forma continua.</t>
  </si>
  <si>
    <t>8646/23/010-1</t>
  </si>
  <si>
    <t>3345/23/014-1</t>
  </si>
  <si>
    <t>3995/23/006-1</t>
  </si>
  <si>
    <t>1774/23/007-1</t>
  </si>
  <si>
    <t>1774/23/007-2</t>
  </si>
  <si>
    <t>8687/23/011-1</t>
  </si>
  <si>
    <t>8687/23/007-1</t>
  </si>
  <si>
    <t>1143/22/172-1</t>
  </si>
  <si>
    <t>8646/23/002-1</t>
  </si>
  <si>
    <t>4178/23/070-1</t>
  </si>
  <si>
    <t>4178/23/070-2</t>
  </si>
  <si>
    <t>7773/23/012-1</t>
  </si>
  <si>
    <t>7773/23/012-2</t>
  </si>
  <si>
    <t>4260/23/006-1</t>
  </si>
  <si>
    <t>1143/23/044-1</t>
  </si>
  <si>
    <t>1143/23/044-2</t>
  </si>
  <si>
    <t>3175/23/037-1</t>
  </si>
  <si>
    <t>3175/23/039-1</t>
  </si>
  <si>
    <t>7773/23/008-1</t>
  </si>
  <si>
    <t>4497/23/025-1</t>
  </si>
  <si>
    <t>4497/23/026-1</t>
  </si>
  <si>
    <t>1774/23/033-1</t>
  </si>
  <si>
    <t>7773/23/006-1</t>
  </si>
  <si>
    <t>7949/23/018-1</t>
  </si>
  <si>
    <t>7949/23/018-2</t>
  </si>
  <si>
    <t>3254/23/006-1</t>
  </si>
  <si>
    <t>8211/23/009-1</t>
  </si>
  <si>
    <t>8211/23/009-2</t>
  </si>
  <si>
    <t>8211/23/009-3</t>
  </si>
  <si>
    <t>8699/23/005-1</t>
  </si>
  <si>
    <t>3990/23/008-1</t>
  </si>
  <si>
    <t>3819/23/011-1</t>
  </si>
  <si>
    <t>4194/23/034-1</t>
  </si>
  <si>
    <t>7464/22/046-1</t>
  </si>
  <si>
    <t>1143/22/055-1</t>
  </si>
  <si>
    <t>1143/22/055-2</t>
  </si>
  <si>
    <t>4032/22/046-1</t>
  </si>
  <si>
    <t>8244/22/034-1</t>
  </si>
  <si>
    <t>3119/22/028-1</t>
  </si>
  <si>
    <t>3119/22/028-2</t>
  </si>
  <si>
    <t>3119/22/028-3</t>
  </si>
  <si>
    <t>1233/22/035-1</t>
  </si>
  <si>
    <t>8689/22/024-1</t>
  </si>
  <si>
    <t>6170/22/052-1</t>
  </si>
  <si>
    <t>1425/22/091-1</t>
  </si>
  <si>
    <t>3178/22/031-1</t>
  </si>
  <si>
    <t>1143/22/029-1</t>
  </si>
  <si>
    <t>1143/22/029-2</t>
  </si>
  <si>
    <t>1122/22/040-1</t>
  </si>
  <si>
    <t>3627/22/011-1</t>
  </si>
  <si>
    <t>3527/22/025-1</t>
  </si>
  <si>
    <t>1483/22/034-1</t>
  </si>
  <si>
    <t>1483/22/034-2</t>
  </si>
  <si>
    <t>1774/22/007-1</t>
  </si>
  <si>
    <t>7713/22/053-1</t>
  </si>
  <si>
    <t>8683/22/037-1</t>
  </si>
  <si>
    <t>8683/22/037-2</t>
  </si>
  <si>
    <t>8848/22/028-1</t>
  </si>
  <si>
    <t>1323/22/047-1</t>
  </si>
  <si>
    <t>1323/22/047-2</t>
  </si>
  <si>
    <t>1323/22/047-3</t>
  </si>
  <si>
    <t>1323/22/047-4</t>
  </si>
  <si>
    <t>7385/22/011-1</t>
  </si>
  <si>
    <t>8848/22/037-1</t>
  </si>
  <si>
    <t>1929/22/027-1</t>
  </si>
  <si>
    <t>3178/22/020-1</t>
  </si>
  <si>
    <t>3188/22/002-1</t>
  </si>
  <si>
    <t>1323/22/013-1</t>
  </si>
  <si>
    <t>7971/22/026-1</t>
  </si>
  <si>
    <t>1233/22/015-1</t>
  </si>
  <si>
    <t>1233/22/015-2</t>
  </si>
  <si>
    <t>8284/22/014-1</t>
  </si>
  <si>
    <t>8683/22/020-1</t>
  </si>
  <si>
    <t>8683/22/020-2</t>
  </si>
  <si>
    <t>6067/22/012-1</t>
  </si>
  <si>
    <t>6220/22/014-1</t>
  </si>
  <si>
    <t>6220/22/014-2</t>
  </si>
  <si>
    <t>6220/22/015-1</t>
  </si>
  <si>
    <t>6220/22/015-2</t>
  </si>
  <si>
    <t>8436/22/006-1</t>
  </si>
  <si>
    <t>8436/22/006-2</t>
  </si>
  <si>
    <t>8436/22/006-3</t>
  </si>
  <si>
    <t>8087/22/009-1</t>
  </si>
  <si>
    <t>8087/22/010-1</t>
  </si>
  <si>
    <t>8105/22/016-1</t>
  </si>
  <si>
    <t>6232/22/028-1</t>
  </si>
  <si>
    <t>3099/22/004-1</t>
  </si>
  <si>
    <t>3042/22/028-1</t>
  </si>
  <si>
    <t>3042/22/028-2</t>
  </si>
  <si>
    <t>8848/22/010-1</t>
  </si>
  <si>
    <t>3274/22/021-1</t>
  </si>
  <si>
    <t>7949/22/040-1</t>
  </si>
  <si>
    <t>8683/22/022-1</t>
  </si>
  <si>
    <t>8683/22/022-2</t>
  </si>
  <si>
    <t>3274/22/016-1</t>
  </si>
  <si>
    <t>7556/22/007-1</t>
  </si>
  <si>
    <t>3274/22/017-1</t>
  </si>
  <si>
    <t>1523/21/031-1</t>
  </si>
  <si>
    <t>1483/21/057-1</t>
  </si>
  <si>
    <t>1143/21/067-1</t>
  </si>
  <si>
    <t>1143/21/067-2</t>
  </si>
  <si>
    <t>8683/21/023-1</t>
  </si>
  <si>
    <t>8683/21/023-2</t>
  </si>
  <si>
    <t>4178/22/002-1</t>
  </si>
  <si>
    <t>4178/22/002-2</t>
  </si>
  <si>
    <t>3042/22/003-1</t>
  </si>
  <si>
    <t>3042/22/003-2</t>
  </si>
  <si>
    <t>4178/22/004-1</t>
  </si>
  <si>
    <t>4178/22/004-2</t>
  </si>
  <si>
    <t>1143/22/002-1</t>
  </si>
  <si>
    <t>1143/22/002-2</t>
  </si>
  <si>
    <t>7787/22/003-1</t>
  </si>
  <si>
    <t>7928/22/002-1</t>
  </si>
  <si>
    <t>1233/22/001-1</t>
  </si>
  <si>
    <t>1233/22/001-2</t>
  </si>
  <si>
    <t>8683/22/009-1</t>
  </si>
  <si>
    <t>8683/22/009-2</t>
  </si>
  <si>
    <t>8683/22/002-1</t>
  </si>
  <si>
    <t>8683/22/002-2</t>
  </si>
  <si>
    <t>3487/22/023-1</t>
  </si>
  <si>
    <t>3042/22/016-1</t>
  </si>
  <si>
    <t>3042/22/016-2</t>
  </si>
  <si>
    <t>1233/22/002-1</t>
  </si>
  <si>
    <t>1233/22/002-2</t>
  </si>
  <si>
    <t>6170/22/012-1</t>
  </si>
  <si>
    <t>6170/22/013-1</t>
  </si>
  <si>
    <t>6170/22/011-1</t>
  </si>
  <si>
    <t>8129/22/005-1</t>
  </si>
  <si>
    <t>4194/22/009-1</t>
  </si>
  <si>
    <t>8284/22/011-1</t>
  </si>
  <si>
    <t>6232/22/009-1</t>
  </si>
  <si>
    <t>1523/22/073-1</t>
  </si>
  <si>
    <t>7971/22/084-1</t>
  </si>
  <si>
    <t>8129/22/069-1</t>
  </si>
  <si>
    <t>7464/22/084-1</t>
  </si>
  <si>
    <t>3345/22/045-1</t>
  </si>
  <si>
    <t>3345/22/045-2</t>
  </si>
  <si>
    <t>4080/22/036-1</t>
  </si>
  <si>
    <t>7385/22/030-1</t>
  </si>
  <si>
    <t>3246/22/041-1</t>
  </si>
  <si>
    <t>8414/22/073-1</t>
  </si>
  <si>
    <t>6232/22/059-1</t>
  </si>
  <si>
    <t>7781/22/036-1</t>
  </si>
  <si>
    <t>7773/22/010-1</t>
  </si>
  <si>
    <t>7651/22/072-1</t>
  </si>
  <si>
    <t>6232/22/066-1</t>
  </si>
  <si>
    <t>6232/22/065-1</t>
  </si>
  <si>
    <t>7651/22/073-1</t>
  </si>
  <si>
    <t>7934/22/036-1</t>
  </si>
  <si>
    <t>8285/22/016-1</t>
  </si>
  <si>
    <t>1323/22/066-1</t>
  </si>
  <si>
    <t>6170/22/057-1</t>
  </si>
  <si>
    <t>8436/22/026-1</t>
  </si>
  <si>
    <t>3345/22/014-1</t>
  </si>
  <si>
    <t>3345/22/014-2</t>
  </si>
  <si>
    <t>7787/22/037-1</t>
  </si>
  <si>
    <t>7773/22/008-1</t>
  </si>
  <si>
    <t>3345/22/023-1</t>
  </si>
  <si>
    <t>8779/22/127-1</t>
  </si>
  <si>
    <t>4033/22/072-1</t>
  </si>
  <si>
    <t>1143/22/076-1</t>
  </si>
  <si>
    <t>7713/22/103-1</t>
  </si>
  <si>
    <t>4032/22/085-1</t>
  </si>
  <si>
    <t>7773/22/018-1</t>
  </si>
  <si>
    <t>1323/22/074-1</t>
  </si>
  <si>
    <t>7713/22/101-1</t>
  </si>
  <si>
    <t>4032/22/087-1</t>
  </si>
  <si>
    <t>4032/22/084-1</t>
  </si>
  <si>
    <t>4033/22/067-1</t>
  </si>
  <si>
    <t>4033/22/068-1</t>
  </si>
  <si>
    <t>4033/22/069-1</t>
  </si>
  <si>
    <t>8683/22/048-1</t>
  </si>
  <si>
    <t>8683/22/048-2</t>
  </si>
  <si>
    <t>3119/22/035-1</t>
  </si>
  <si>
    <t>1714/22/024-1</t>
  </si>
  <si>
    <t>7971/22/068-1</t>
  </si>
  <si>
    <t>7971/22/067-1</t>
  </si>
  <si>
    <t>6232/22/092-1</t>
  </si>
  <si>
    <t>3345/22/057-1</t>
  </si>
  <si>
    <t>3345/22/057-2</t>
  </si>
  <si>
    <t>No enviar a la Inspección del Trabajo dentro del plazo de 6 días hábiles copia del aviso de término del contrato de trabajo.</t>
  </si>
  <si>
    <t>3345/22/057-3</t>
  </si>
  <si>
    <t>8683/22/073-1</t>
  </si>
  <si>
    <t>7830/22/045-1</t>
  </si>
  <si>
    <t>4178/22/085-1</t>
  </si>
  <si>
    <t>4178/22/085-2</t>
  </si>
  <si>
    <t>1143/22/105-1</t>
  </si>
  <si>
    <t>4178/22/083-1</t>
  </si>
  <si>
    <t>4178/22/083-2</t>
  </si>
  <si>
    <t>4178/22/083-3</t>
  </si>
  <si>
    <t>4353/22/017-1</t>
  </si>
  <si>
    <t>4353/22/017-2</t>
  </si>
  <si>
    <t>3179/22/030-1</t>
  </si>
  <si>
    <t>3345/22/048-1</t>
  </si>
  <si>
    <t>3345/22/048-2</t>
  </si>
  <si>
    <t>4033/22/091-1</t>
  </si>
  <si>
    <t>3011/22/034-1</t>
  </si>
  <si>
    <t>1233/22/077-1</t>
  </si>
  <si>
    <t>8646/22/054-1</t>
  </si>
  <si>
    <t>8646/22/054-2</t>
  </si>
  <si>
    <t>3744/22/085-1</t>
  </si>
  <si>
    <t>1178/22/045-1</t>
  </si>
  <si>
    <t>1233/22/105-1</t>
  </si>
  <si>
    <t>1233/22/105-2</t>
  </si>
  <si>
    <t>1233/22/105-3</t>
  </si>
  <si>
    <t>4178/22/104-1</t>
  </si>
  <si>
    <t>7388/22/092-1</t>
  </si>
  <si>
    <t>8683/22/104-1</t>
  </si>
  <si>
    <t>1504/22/015-1</t>
  </si>
  <si>
    <t>1504/22/024-1</t>
  </si>
  <si>
    <t>3345/22/092-1</t>
  </si>
  <si>
    <t>1504/22/026-1</t>
  </si>
  <si>
    <t>3345/22/091-1</t>
  </si>
  <si>
    <t>8683/22/108-1</t>
  </si>
  <si>
    <t>1504/22/018-1</t>
  </si>
  <si>
    <t>8646/22/090-1</t>
  </si>
  <si>
    <t>8683/22/109-1</t>
  </si>
  <si>
    <t>8646/22/095-1</t>
  </si>
  <si>
    <t>1504/22/020-1</t>
  </si>
  <si>
    <t>1504/22/035-1</t>
  </si>
  <si>
    <t>3345/22/102-1</t>
  </si>
  <si>
    <t>3345/22/097-1</t>
  </si>
  <si>
    <t>1143/21/030-1</t>
  </si>
  <si>
    <t>7464/21/010-1</t>
  </si>
  <si>
    <t>No otorgar finiquito de trabajo y no poner el pago a disposición del trabajador dentro del plazo de 10 días.</t>
  </si>
  <si>
    <t>3345/21/012-1</t>
  </si>
  <si>
    <t>No comunicar personalmente o por escrito al trabajador el término de contrato con treinta días de anticipación.</t>
  </si>
  <si>
    <t>3345/21/008-1</t>
  </si>
  <si>
    <t>3990/21/007-1</t>
  </si>
  <si>
    <t>No enviar a la Inspección del Trabajo copia del aviso de término del contrato de trabajo por la causal del inciso primero del Art. 161.</t>
  </si>
  <si>
    <t>1122/21/033-1</t>
  </si>
  <si>
    <t>1302/21/004-1</t>
  </si>
  <si>
    <t>1302/21/003-1</t>
  </si>
  <si>
    <t>4306/21/011-1</t>
  </si>
  <si>
    <t>7773/21/037-1</t>
  </si>
  <si>
    <t>7773/21/037-2</t>
  </si>
  <si>
    <t>7773/21/038-1</t>
  </si>
  <si>
    <t>7773/21/038-2</t>
  </si>
  <si>
    <t>1143/21/055-1</t>
  </si>
  <si>
    <t>1143/21/055-2</t>
  </si>
  <si>
    <t>3990/21/010-1</t>
  </si>
  <si>
    <t>3280/21/007-1</t>
  </si>
  <si>
    <t>3274/21/029-1</t>
  </si>
  <si>
    <t>3856/21/021-1</t>
  </si>
  <si>
    <t>No pagar las remuneraciones adeudadas al término del contrato de trabajo</t>
  </si>
  <si>
    <t>3345/20/053-1</t>
  </si>
  <si>
    <t>3632/20/047-1</t>
  </si>
  <si>
    <t>7455/20/014-1</t>
  </si>
  <si>
    <t>3274/20/046-1</t>
  </si>
  <si>
    <t>3137/20/021-1</t>
  </si>
  <si>
    <t>1143/20/053-1</t>
  </si>
  <si>
    <t>4178/20/075-1</t>
  </si>
  <si>
    <t>4306/20/026-1</t>
  </si>
  <si>
    <t>4306/20/026-2</t>
  </si>
  <si>
    <t>7947/21/001-1</t>
  </si>
  <si>
    <t>No indicar, precisamente, en el aviso de término del contrato, el monto total a pagar por indemnización por años de servicios.</t>
  </si>
  <si>
    <t>3174/21/005-1</t>
  </si>
  <si>
    <t>3274/21/007-1</t>
  </si>
  <si>
    <t>3274/21/006-1</t>
  </si>
  <si>
    <t>4178/21/003-1</t>
  </si>
  <si>
    <t>3274/21/012-1</t>
  </si>
  <si>
    <t>7909/21/003-1</t>
  </si>
  <si>
    <t>3174/21/004-1</t>
  </si>
  <si>
    <t>1143/21/003-1</t>
  </si>
  <si>
    <t>8646/21/003-1</t>
  </si>
  <si>
    <t>3632/20/071-1</t>
  </si>
  <si>
    <t>6220/20/078-1</t>
  </si>
  <si>
    <t>7928/25/114-1</t>
  </si>
  <si>
    <t>4178/25/147-1</t>
  </si>
  <si>
    <t>1207/25/216-1</t>
  </si>
  <si>
    <t>4377/25/195-1</t>
  </si>
  <si>
    <t>SERVICIOS GENERALES FALABELLA RETAIL SPA</t>
  </si>
  <si>
    <t>96579870-6</t>
  </si>
  <si>
    <t>8572/20/011-1</t>
  </si>
  <si>
    <t>8582/19/054-1</t>
  </si>
  <si>
    <t>1757/19/047-1</t>
  </si>
  <si>
    <t>No realizar reunión el Comité Paritario de Higiene y Seguridad, de acuerdo con la ley.</t>
  </si>
  <si>
    <t>1757/19/047-2</t>
  </si>
  <si>
    <t>6262/19/024-1</t>
  </si>
  <si>
    <t>Operar cargas superiores a 25 kilogramos mediante manipulación manual.</t>
  </si>
  <si>
    <t>6262/19/026-1</t>
  </si>
  <si>
    <t>8610/19/056-1</t>
  </si>
  <si>
    <t>8585/19/017-1</t>
  </si>
  <si>
    <t>8585/20/003-1</t>
  </si>
  <si>
    <t>No contener las liquidaciones de remuneraciones un anexo con los montos de cada comisión, bono, premio u otro incentivo, junto al detalle de cada operación que le dio origen y la forma empleada para su cálculo.</t>
  </si>
  <si>
    <t>1374/19/048-1</t>
  </si>
  <si>
    <t>1154/20/010-1</t>
  </si>
  <si>
    <t>1154/20/010-2</t>
  </si>
  <si>
    <t>Efectuar en forma (errónea) (incompleta) la declaración de las cotizaciones previsionales.</t>
  </si>
  <si>
    <t>1154/20/010-3</t>
  </si>
  <si>
    <t>1750/20/009-1</t>
  </si>
  <si>
    <t>1750/20/009-2</t>
  </si>
  <si>
    <t>No mantener las condiciones adecuadas de seguridad y salud laboral en las faenas.</t>
  </si>
  <si>
    <t>1371/19/071-1</t>
  </si>
  <si>
    <t>1371/19/071-2</t>
  </si>
  <si>
    <t>No ubicar los extintores en lugares accesibles.</t>
  </si>
  <si>
    <t>4438/19/002-2</t>
  </si>
  <si>
    <t>Disponer y aplicar las medidas o sanciones correspondientes por el acoso sexual fuera del plazo de los quince días legales.</t>
  </si>
  <si>
    <t>1710/20/005-1</t>
  </si>
  <si>
    <t>6201/20/003-1</t>
  </si>
  <si>
    <t>No controlar el riesgo en su origen por exposición a sustancias químicas o a agentes físicos en los lugares de trabajo</t>
  </si>
  <si>
    <t>6201/20/003-2</t>
  </si>
  <si>
    <t>No disponer de un recinto adecuado para almacenar sustancias peligrosas.</t>
  </si>
  <si>
    <t>6201/20/003-3</t>
  </si>
  <si>
    <t>6201/20/005-1</t>
  </si>
  <si>
    <t>4367/21/081-1</t>
  </si>
  <si>
    <t>No realizar la comunicación electrónica durante el mes de enero de cada año a la Dirección del Trabajo.</t>
  </si>
  <si>
    <t>1604/19/048-1</t>
  </si>
  <si>
    <t>8661/20/001-1</t>
  </si>
  <si>
    <t>1178/19/082-1</t>
  </si>
  <si>
    <t>1178/19/083-1</t>
  </si>
  <si>
    <t>1178/19/085-1</t>
  </si>
  <si>
    <t>1178/19/084-1</t>
  </si>
  <si>
    <t>1178/19/084-2</t>
  </si>
  <si>
    <t>1178/19/084-3</t>
  </si>
  <si>
    <t>4076/20/009-1</t>
  </si>
  <si>
    <t>4076/20/009-2</t>
  </si>
  <si>
    <t>No suspender las faenas por accidente fatal y grave.</t>
  </si>
  <si>
    <t>4076/20/009-3</t>
  </si>
  <si>
    <t>4076/20/009-4</t>
  </si>
  <si>
    <t>1286/20/003-1</t>
  </si>
  <si>
    <t>7921/19/032-1</t>
  </si>
  <si>
    <t>1733/19/031-1</t>
  </si>
  <si>
    <t>1175/20/012-1</t>
  </si>
  <si>
    <t>8514/19/032-1</t>
  </si>
  <si>
    <t>8514/19/033-1</t>
  </si>
  <si>
    <t>8514/19/035-1</t>
  </si>
  <si>
    <t>8514/19/035-2</t>
  </si>
  <si>
    <t>8536/20/019-1</t>
  </si>
  <si>
    <t>8536/20/019-2</t>
  </si>
  <si>
    <t>8536/20/019-3</t>
  </si>
  <si>
    <t>8536/20/010-1</t>
  </si>
  <si>
    <t>No contar con comedores completamente separado y con mesas y sillas de material lavable.</t>
  </si>
  <si>
    <t>3151/20/005-1</t>
  </si>
  <si>
    <t>No declarar oportunamente las cotizaciones previsionales.</t>
  </si>
  <si>
    <t>3151/20/005-2</t>
  </si>
  <si>
    <t>8514/19/057-1</t>
  </si>
  <si>
    <t>7576/19/092-1</t>
  </si>
  <si>
    <t>3151/19/075-1</t>
  </si>
  <si>
    <t>3151/19/075-2</t>
  </si>
  <si>
    <t>3151/19/076-1</t>
  </si>
  <si>
    <t>3151/19/076-2</t>
  </si>
  <si>
    <t>8211/23/048-1</t>
  </si>
  <si>
    <t>7729/20/020-1</t>
  </si>
  <si>
    <t>7769/20/012-1</t>
  </si>
  <si>
    <t>7769/20/012-2</t>
  </si>
  <si>
    <t>No comunicar personalmente o por escrito al trabajador el término de contrato en el plazo de (3) – (6) días hábiles</t>
  </si>
  <si>
    <t>8382/20/032-1</t>
  </si>
  <si>
    <t>8382/20/032-2</t>
  </si>
  <si>
    <t>8382/20/032-3</t>
  </si>
  <si>
    <t>8382/20/032-4</t>
  </si>
  <si>
    <t>8371/20/031-1</t>
  </si>
  <si>
    <t>7556/20/016-1</t>
  </si>
  <si>
    <t>4306/20/013-1</t>
  </si>
  <si>
    <t>7556/20/015-1</t>
  </si>
  <si>
    <t>7556/19/119-1</t>
  </si>
  <si>
    <t>1143/20/003-1</t>
  </si>
  <si>
    <t>1143/20/003-2</t>
  </si>
  <si>
    <t>1233/20/004-1</t>
  </si>
  <si>
    <t>7527/20/001-1</t>
  </si>
  <si>
    <t>8414/20/047-1</t>
  </si>
  <si>
    <t>3099/20/003-1</t>
  </si>
  <si>
    <t>6112/20/012-1</t>
  </si>
  <si>
    <t>8687/19/166-1</t>
  </si>
  <si>
    <t>4317/19/063-1</t>
  </si>
  <si>
    <t>4317/19/063-2</t>
  </si>
  <si>
    <t>4317/19/063-3</t>
  </si>
  <si>
    <t>3509/19/007-1</t>
  </si>
  <si>
    <t>8118/19/110-1</t>
  </si>
  <si>
    <t>8033/19/065-1</t>
  </si>
  <si>
    <t>4353/19/061-1</t>
  </si>
  <si>
    <t>1482/19/171-1</t>
  </si>
  <si>
    <t>1482/19/171-2</t>
  </si>
  <si>
    <t>No compensar en dinero el feriado anual a trabajador que dejó de pertenecer a la empresa.</t>
  </si>
  <si>
    <t>4178/20/058-1</t>
  </si>
  <si>
    <t>1143/20/043-1</t>
  </si>
  <si>
    <t>4306/25/003-1</t>
  </si>
  <si>
    <t>1799/22/043-1</t>
  </si>
  <si>
    <t>1604/22/044-1</t>
  </si>
  <si>
    <t>1209/22/046-1</t>
  </si>
  <si>
    <t>1209/22/045-1</t>
  </si>
  <si>
    <t>1209/22/047-1</t>
  </si>
  <si>
    <t>1209/22/047-2</t>
  </si>
  <si>
    <t>1209/21/027-1</t>
  </si>
  <si>
    <t>8507/21/020-1</t>
  </si>
  <si>
    <t>4058/21/011-1</t>
  </si>
  <si>
    <t>8341/21/002-1</t>
  </si>
  <si>
    <t>8341/21/002-2</t>
  </si>
  <si>
    <t>8341/21/001-1</t>
  </si>
  <si>
    <t>8507/20/027-1</t>
  </si>
  <si>
    <t>4253/20/013-1</t>
  </si>
  <si>
    <t>8507/20/026-1</t>
  </si>
  <si>
    <t>4253/23/038-1</t>
  </si>
  <si>
    <t>7740/23/056-1</t>
  </si>
  <si>
    <t>Contratar a trabajador para ejercer la función docente sin ser profesional de la educación en calidad de titulado autorizado o habilitado.</t>
  </si>
  <si>
    <t>1920/23/008-1</t>
  </si>
  <si>
    <t>8507/24/014-1</t>
  </si>
  <si>
    <t>1710/23/069-1</t>
  </si>
  <si>
    <t>1734/23/048-1</t>
  </si>
  <si>
    <t>8674/23/031-1</t>
  </si>
  <si>
    <t>3520/24/051-1</t>
  </si>
  <si>
    <t>No liquidar ni pagar con el recargo de, a lo menos, un 30%, las horas ordinarias trabajadas en día domingo a trabajadores del comercio.</t>
  </si>
  <si>
    <t>1474/23/052-2</t>
  </si>
  <si>
    <t>1474/23/042-1</t>
  </si>
  <si>
    <t>No evaluar de acuerdo a la metodología establecida en el Manual del Método del Cuestionario CEAL-SM / SUSESO instruido en el del Protocolo de Vigilancia de Riesgos Psicosociales en el Trabajo</t>
  </si>
  <si>
    <t>1474/23/042-2</t>
  </si>
  <si>
    <t>No mantener las condiciones adecuadas de seguridad y salud laboral en el centro de trabajo/faena para la Vigilancia de los Riesgos Psicosociales en el Trabajo.</t>
  </si>
  <si>
    <t>1718/24/006-1</t>
  </si>
  <si>
    <t>7818/23/019-1</t>
  </si>
  <si>
    <t>6227/24/068-1</t>
  </si>
  <si>
    <t>6227/24/068-2</t>
  </si>
  <si>
    <t>6227/24/071-1</t>
  </si>
  <si>
    <t>1806/25/014-5</t>
  </si>
  <si>
    <t>1474/21/016-1</t>
  </si>
  <si>
    <t>1474/21/016-2</t>
  </si>
  <si>
    <t>1474/21/016-3</t>
  </si>
  <si>
    <t>1474/21/016-4</t>
  </si>
  <si>
    <t>1474/20/023-1</t>
  </si>
  <si>
    <t>1474/20/023-2</t>
  </si>
  <si>
    <t>1744/22/051-1</t>
  </si>
  <si>
    <t>1134/24/066-1</t>
  </si>
  <si>
    <t>1134/24/066-2</t>
  </si>
  <si>
    <t>1134/24/066-3</t>
  </si>
  <si>
    <t>1134/25/010-1</t>
  </si>
  <si>
    <t>1134/25/010-2</t>
  </si>
  <si>
    <t>No estipular la vigencia o el tiempo de duración del pacto de horas extraordinarias.</t>
  </si>
  <si>
    <t>Razon SOCIAL</t>
  </si>
  <si>
    <t>79000</t>
  </si>
  <si>
    <t>25000</t>
  </si>
  <si>
    <t>16980</t>
  </si>
  <si>
    <t>Fed - DT - Hernan Larrain</t>
  </si>
  <si>
    <t>FED-RRHH (1) Fiscalizaciones (2) Reducc 42 hrs.</t>
  </si>
  <si>
    <t xml:space="preserve">analisis reuniones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</si>
</sst>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6" formatCode="&quot;$&quot;#,##0;[Red]&quot;$&quot;\-#,##0"/>
    <numFmt numFmtId="42" formatCode="_ &quot;$&quot;* #,##0_ ;_ &quot;$&quot;* \-#,##0_ ;_ &quot;$&quot;* &quot;-&quot;_ ;_ @_ "/>
    <numFmt numFmtId="164" formatCode="_(&quot;$&quot;* #,##0_);_(&quot;$&quot;* \(#,##0\);_(&quot;$&quot;* &quot;-&quot;_);_(@_)"/>
    <numFmt numFmtId="165" formatCode="&quot;$&quot;#,##0_);[Red]\(&quot;$&quot;#,##0\)"/>
    <numFmt numFmtId="166" formatCode="_(* #,##0_);_(* \(#,##0\);_(* &quot;-&quot;_);_(@_)"/>
    <numFmt numFmtId="167" formatCode="dd/mm/yy"/>
    <numFmt numFmtId="168" formatCode="0.0%"/>
    <numFmt numFmtId="169" formatCode="_-* #,##0.00_-;\-* #,##0.00_-;_-* &quot;-&quot;??_-;_-@_-"/>
    <numFmt numFmtId="170" formatCode="_-&quot;$&quot;\ * #,##0.00_-;\-&quot;$&quot;\ * #,##0.00_-;_-&quot;$&quot;\ * &quot;-&quot;??_-;_-@_-"/>
    <numFmt numFmtId="171" formatCode="_-&quot;$&quot;\ * #,##0.0_-;\-&quot;$&quot;\ * #,##0.0_-;_-&quot;$&quot;\ * &quot;-&quot;??_-;_-@_-"/>
    <numFmt numFmtId="172" formatCode="_-&quot;$&quot;\ * #,##0_-;\-&quot;$&quot;\ * #,##0_-;_-&quot;$&quot;\ * &quot;-&quot;??_-;_-@_-"/>
    <numFmt numFmtId="173" formatCode="_-* #,##0_-;\-* #,##0_-;_-* &quot;-&quot;??_-;_-@_-"/>
    <numFmt numFmtId="174" formatCode="#,##0_ ;[Red]\-#,##0\ "/>
    <numFmt numFmtId="175" formatCode="&quot;$&quot;\ #,##0;[Red]\-&quot;$&quot;\ #,##0"/>
    <numFmt numFmtId="176" formatCode="&quot;$&quot;#,##0"/>
    <numFmt numFmtId="177" formatCode="0.0&quot; hr.&quot;"/>
    <numFmt numFmtId="178" formatCode="#,##0.0;[Red]\-#,##0.0%"/>
    <numFmt numFmtId="179" formatCode="&quot;$&quot;#,##0_);[White]\(&quot;$&quot;#,##0\)"/>
    <numFmt numFmtId="180" formatCode="mmm"/>
  </numFmts>
  <fonts count="56" x14ac:knownFonts="1">
    <font>
      <sz val="11"/>
      <color theme="1"/>
      <name val="Calibri"/>
      <family val="2"/>
      <scheme val="minor"/>
    </font>
    <font>
      <sz val="11"/>
      <color theme="1"/>
      <name val="Calibri"/>
      <family val="2"/>
      <scheme val="minor"/>
    </font>
    <font>
      <b/>
      <sz val="11"/>
      <color theme="0"/>
      <name val="Calibri"/>
      <family val="2"/>
      <scheme val="minor"/>
    </font>
    <font>
      <b/>
      <sz val="10"/>
      <color theme="1"/>
      <name val="Calibri"/>
      <family val="2"/>
      <scheme val="minor"/>
    </font>
    <font>
      <b/>
      <sz val="10"/>
      <color rgb="FFFF0000"/>
      <name val="Calibri"/>
      <family val="2"/>
      <scheme val="minor"/>
    </font>
    <font>
      <b/>
      <sz val="10"/>
      <name val="Calibri"/>
      <family val="2"/>
      <scheme val="minor"/>
    </font>
    <font>
      <sz val="10"/>
      <name val="Calibri"/>
      <family val="2"/>
      <scheme val="minor"/>
    </font>
    <font>
      <sz val="10"/>
      <color theme="1"/>
      <name val="Calibri"/>
      <family val="2"/>
      <scheme val="minor"/>
    </font>
    <font>
      <b/>
      <sz val="10"/>
      <color indexed="9"/>
      <name val="Calibri"/>
      <family val="2"/>
      <scheme val="minor"/>
    </font>
    <font>
      <sz val="10"/>
      <color rgb="FFFF0000"/>
      <name val="Calibri"/>
      <family val="2"/>
      <scheme val="minor"/>
    </font>
    <font>
      <b/>
      <sz val="10"/>
      <color theme="0"/>
      <name val="Calibri"/>
      <family val="2"/>
      <scheme val="minor"/>
    </font>
    <font>
      <sz val="11"/>
      <name val="Calibri"/>
      <family val="2"/>
      <scheme val="minor"/>
    </font>
    <font>
      <b/>
      <sz val="16"/>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9"/>
      <color theme="1"/>
      <name val="Calibri"/>
      <family val="2"/>
      <scheme val="minor"/>
    </font>
    <font>
      <b/>
      <sz val="9"/>
      <name val="Calibri"/>
      <family val="2"/>
      <scheme val="minor"/>
    </font>
    <font>
      <sz val="8"/>
      <name val="Calibri"/>
      <family val="2"/>
      <scheme val="minor"/>
    </font>
    <font>
      <b/>
      <sz val="12"/>
      <color theme="1"/>
      <name val="Calibri"/>
      <family val="2"/>
      <scheme val="minor"/>
    </font>
    <font>
      <b/>
      <sz val="14"/>
      <color theme="1"/>
      <name val="Calibri"/>
      <family val="2"/>
      <scheme val="minor"/>
    </font>
    <font>
      <i/>
      <sz val="10"/>
      <name val="Calibri"/>
      <family val="2"/>
      <scheme val="minor"/>
    </font>
    <font>
      <b/>
      <sz val="14"/>
      <name val="Calibri"/>
      <family val="2"/>
      <scheme val="minor"/>
    </font>
    <font>
      <sz val="12"/>
      <color theme="1"/>
      <name val="Calibri"/>
      <family val="2"/>
      <scheme val="minor"/>
    </font>
    <font>
      <sz val="24"/>
      <color rgb="FFFF0000"/>
      <name val="Calibri"/>
      <family val="2"/>
      <scheme val="minor"/>
    </font>
    <font>
      <sz val="8"/>
      <color rgb="FF000000"/>
      <name val="Segoe UI"/>
      <family val="2"/>
    </font>
    <font>
      <b/>
      <sz val="10"/>
      <color rgb="FFFF0000"/>
      <name val="Calibri Light"/>
      <family val="2"/>
    </font>
    <font>
      <sz val="10"/>
      <color theme="1"/>
      <name val="Calibri Light"/>
      <family val="2"/>
    </font>
    <font>
      <b/>
      <sz val="10"/>
      <color theme="1"/>
      <name val="Calibri Light"/>
      <family val="2"/>
    </font>
    <font>
      <sz val="10"/>
      <color theme="0"/>
      <name val="Calibri"/>
      <family val="2"/>
      <scheme val="minor"/>
    </font>
    <font>
      <b/>
      <sz val="10"/>
      <color theme="0"/>
      <name val="Calibri Light"/>
      <family val="2"/>
    </font>
    <font>
      <sz val="10"/>
      <color rgb="FFFF0000"/>
      <name val="Stencil"/>
      <family val="5"/>
    </font>
    <font>
      <b/>
      <sz val="11"/>
      <color rgb="FF66FF66"/>
      <name val="Calibri"/>
      <family val="2"/>
      <scheme val="minor"/>
    </font>
    <font>
      <sz val="14"/>
      <name val="Calibri"/>
      <family val="2"/>
      <scheme val="minor"/>
    </font>
    <font>
      <b/>
      <sz val="10"/>
      <color rgb="FFFF0000"/>
      <name val="Arial"/>
      <family val="2"/>
    </font>
    <font>
      <sz val="10"/>
      <name val="Arial"/>
      <family val="2"/>
    </font>
    <font>
      <b/>
      <sz val="11"/>
      <color rgb="FFFFFF00"/>
      <name val="Calibri"/>
      <family val="2"/>
      <scheme val="minor"/>
    </font>
    <font>
      <sz val="26"/>
      <color rgb="FFFF0000"/>
      <name val="Calibri"/>
      <family val="2"/>
      <scheme val="minor"/>
    </font>
    <font>
      <sz val="8"/>
      <color rgb="FF000000"/>
      <name val="Tahoma"/>
      <family val="2"/>
    </font>
    <font>
      <sz val="9"/>
      <color indexed="81"/>
      <name val="Tahoma"/>
      <family val="2"/>
    </font>
    <font>
      <b/>
      <sz val="9"/>
      <color indexed="81"/>
      <name val="Tahoma"/>
      <family val="2"/>
    </font>
    <font>
      <b/>
      <sz val="10"/>
      <name val="Calibri"/>
      <family val="2"/>
    </font>
    <font>
      <b/>
      <sz val="11"/>
      <color theme="1"/>
      <name val="Arial"/>
      <family val="2"/>
    </font>
    <font>
      <sz val="11"/>
      <color theme="1"/>
      <name val="Arial"/>
      <family val="2"/>
    </font>
    <font>
      <b/>
      <sz val="11"/>
      <name val="Arial"/>
      <family val="2"/>
    </font>
    <font>
      <b/>
      <sz val="11"/>
      <color rgb="FFFF0000"/>
      <name val="Arial"/>
      <family val="2"/>
    </font>
    <font>
      <b/>
      <sz val="11"/>
      <color rgb="FF00B050"/>
      <name val="Arial"/>
      <family val="2"/>
    </font>
    <font>
      <b/>
      <sz val="10"/>
      <name val="Arial"/>
      <family val="2"/>
    </font>
    <font>
      <sz val="11"/>
      <color rgb="FF000000"/>
      <name val="Calibri"/>
      <family val="2"/>
    </font>
    <font>
      <sz val="36"/>
      <name val="Calibri"/>
      <family val="2"/>
      <scheme val="minor"/>
    </font>
    <font>
      <b/>
      <sz val="22"/>
      <name val="Calibri"/>
      <family val="2"/>
      <scheme val="minor"/>
    </font>
    <font>
      <sz val="36"/>
      <color rgb="FFFF000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1"/>
        <bgColor indexed="64"/>
      </patternFill>
    </fill>
    <fill>
      <patternFill patternType="solid">
        <fgColor indexed="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CCECFF"/>
        <bgColor indexed="64"/>
      </patternFill>
    </fill>
    <fill>
      <patternFill patternType="solid">
        <fgColor rgb="FFCCFFCC"/>
        <bgColor indexed="64"/>
      </patternFill>
    </fill>
    <fill>
      <patternFill patternType="solid">
        <fgColor theme="2"/>
        <bgColor indexed="64"/>
      </patternFill>
    </fill>
    <fill>
      <patternFill patternType="solid">
        <fgColor theme="9" tint="0.79998168889431442"/>
        <bgColor indexed="64"/>
      </patternFill>
    </fill>
    <fill>
      <patternFill patternType="solid">
        <fgColor rgb="FFFFFFCC"/>
        <bgColor indexed="64"/>
      </patternFill>
    </fill>
    <fill>
      <patternFill patternType="solid">
        <fgColor rgb="FF66CCFF"/>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rgb="FFFFFFCC"/>
      </patternFill>
    </fill>
    <fill>
      <patternFill patternType="solid">
        <fgColor theme="4"/>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rgb="FF30F042"/>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0.499984740745262"/>
        <bgColor indexed="64"/>
      </patternFill>
    </fill>
    <fill>
      <patternFill patternType="solid">
        <fgColor rgb="FF9CE2AE"/>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66FF66"/>
        <bgColor indexed="64"/>
      </patternFill>
    </fill>
    <fill>
      <patternFill patternType="solid">
        <fgColor rgb="FFFFC000"/>
        <bgColor indexed="64"/>
      </patternFill>
    </fill>
    <fill>
      <patternFill patternType="solid">
        <fgColor rgb="FF00206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theme="9"/>
      </top>
      <bottom style="thin">
        <color theme="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166"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0" fontId="1" fillId="0" borderId="0"/>
    <xf numFmtId="0" fontId="17" fillId="0" borderId="0" applyNumberFormat="0" applyFill="0" applyBorder="0" applyAlignment="0" applyProtection="0"/>
    <xf numFmtId="0" fontId="1" fillId="17" borderId="44" applyNumberFormat="0" applyFont="0" applyAlignment="0" applyProtection="0"/>
    <xf numFmtId="0" fontId="39" fillId="0" borderId="0"/>
  </cellStyleXfs>
  <cellXfs count="1147">
    <xf numFmtId="0" fontId="0" fillId="0" borderId="0" xfId="0"/>
    <xf numFmtId="17" fontId="16" fillId="0" borderId="0" xfId="4" applyNumberFormat="1" applyFont="1" applyFill="1" applyAlignment="1" applyProtection="1">
      <alignment horizontal="center"/>
      <protection hidden="1"/>
    </xf>
    <xf numFmtId="0" fontId="16" fillId="0" borderId="0" xfId="0" applyFont="1" applyFill="1" applyAlignment="1" applyProtection="1">
      <alignment horizontal="left"/>
      <protection hidden="1"/>
    </xf>
    <xf numFmtId="172" fontId="16" fillId="0" borderId="0" xfId="5" applyNumberFormat="1" applyFont="1" applyFill="1" applyAlignment="1" applyProtection="1">
      <alignment horizontal="center"/>
      <protection hidden="1"/>
    </xf>
    <xf numFmtId="173" fontId="16" fillId="0" borderId="0" xfId="4" applyNumberFormat="1" applyFont="1" applyFill="1" applyAlignment="1" applyProtection="1">
      <alignment horizontal="center"/>
      <protection hidden="1"/>
    </xf>
    <xf numFmtId="0" fontId="16" fillId="0" borderId="0" xfId="0" applyFont="1" applyFill="1" applyAlignment="1" applyProtection="1">
      <alignment horizontal="center"/>
      <protection hidden="1"/>
    </xf>
    <xf numFmtId="168" fontId="11" fillId="0" borderId="0" xfId="3" applyNumberFormat="1" applyFont="1" applyFill="1" applyProtection="1">
      <protection hidden="1"/>
    </xf>
    <xf numFmtId="0" fontId="11" fillId="0" borderId="0" xfId="0" applyFont="1" applyFill="1" applyProtection="1">
      <protection hidden="1"/>
    </xf>
    <xf numFmtId="174" fontId="11" fillId="0" borderId="0" xfId="4" applyNumberFormat="1" applyFont="1" applyFill="1" applyAlignment="1" applyProtection="1">
      <alignment horizontal="right"/>
      <protection hidden="1"/>
    </xf>
    <xf numFmtId="171" fontId="11" fillId="0" borderId="12" xfId="4" applyNumberFormat="1" applyFont="1" applyFill="1" applyBorder="1" applyAlignment="1" applyProtection="1">
      <alignment horizontal="left"/>
      <protection hidden="1"/>
    </xf>
    <xf numFmtId="172" fontId="11" fillId="0" borderId="13" xfId="5" applyNumberFormat="1" applyFont="1" applyFill="1" applyBorder="1" applyAlignment="1" applyProtection="1">
      <alignment horizontal="right"/>
      <protection hidden="1"/>
    </xf>
    <xf numFmtId="171" fontId="11" fillId="0" borderId="6" xfId="4" applyNumberFormat="1" applyFont="1" applyFill="1" applyBorder="1" applyAlignment="1" applyProtection="1">
      <alignment horizontal="left"/>
      <protection hidden="1"/>
    </xf>
    <xf numFmtId="172" fontId="11" fillId="0" borderId="8" xfId="5" applyNumberFormat="1" applyFont="1" applyFill="1" applyBorder="1" applyAlignment="1" applyProtection="1">
      <alignment horizontal="right"/>
      <protection hidden="1"/>
    </xf>
    <xf numFmtId="17" fontId="11" fillId="0" borderId="0" xfId="0" applyNumberFormat="1" applyFont="1" applyFill="1" applyProtection="1">
      <protection hidden="1"/>
    </xf>
    <xf numFmtId="172" fontId="11" fillId="0" borderId="0" xfId="0" applyNumberFormat="1" applyFont="1" applyFill="1" applyProtection="1">
      <protection hidden="1"/>
    </xf>
    <xf numFmtId="173" fontId="11" fillId="0" borderId="0" xfId="4" applyNumberFormat="1" applyFont="1" applyFill="1" applyProtection="1">
      <protection hidden="1"/>
    </xf>
    <xf numFmtId="164" fontId="11" fillId="0" borderId="0" xfId="2" applyFont="1" applyFill="1" applyProtection="1">
      <protection hidden="1"/>
    </xf>
    <xf numFmtId="0" fontId="11" fillId="0" borderId="0" xfId="0" applyFont="1" applyFill="1" applyAlignment="1" applyProtection="1">
      <alignment horizontal="left"/>
      <protection hidden="1"/>
    </xf>
    <xf numFmtId="0" fontId="11" fillId="0" borderId="0" xfId="0" applyFont="1" applyFill="1" applyAlignment="1" applyProtection="1">
      <alignment horizontal="center"/>
      <protection hidden="1"/>
    </xf>
    <xf numFmtId="0" fontId="0" fillId="0" borderId="0" xfId="0" applyFont="1" applyProtection="1">
      <protection hidden="1"/>
    </xf>
    <xf numFmtId="9" fontId="0" fillId="0" borderId="0" xfId="3" applyFont="1" applyAlignment="1" applyProtection="1">
      <alignment horizontal="center"/>
      <protection hidden="1"/>
    </xf>
    <xf numFmtId="9" fontId="0" fillId="0" borderId="0" xfId="0" applyNumberFormat="1" applyFont="1" applyAlignment="1" applyProtection="1">
      <alignment horizontal="center"/>
      <protection hidden="1"/>
    </xf>
    <xf numFmtId="164" fontId="0" fillId="0" borderId="0" xfId="0" applyNumberFormat="1" applyFont="1" applyProtection="1">
      <protection hidden="1"/>
    </xf>
    <xf numFmtId="0" fontId="0" fillId="0" borderId="0" xfId="0" applyFont="1" applyBorder="1" applyProtection="1">
      <protection hidden="1"/>
    </xf>
    <xf numFmtId="164" fontId="0" fillId="0" borderId="0" xfId="0" applyNumberFormat="1" applyFont="1" applyBorder="1" applyProtection="1">
      <protection hidden="1"/>
    </xf>
    <xf numFmtId="0" fontId="0" fillId="0" borderId="0" xfId="0" applyFont="1" applyBorder="1" applyAlignment="1" applyProtection="1">
      <alignment horizontal="left"/>
      <protection hidden="1"/>
    </xf>
    <xf numFmtId="0" fontId="0" fillId="0" borderId="0" xfId="0" applyFont="1" applyAlignment="1" applyProtection="1">
      <alignment horizontal="center"/>
      <protection hidden="1"/>
    </xf>
    <xf numFmtId="0" fontId="11" fillId="0" borderId="0" xfId="0" applyFont="1" applyBorder="1" applyAlignment="1" applyProtection="1">
      <alignment horizontal="left" vertical="center"/>
      <protection hidden="1"/>
    </xf>
    <xf numFmtId="0" fontId="11" fillId="0" borderId="0" xfId="0" applyFont="1" applyBorder="1" applyAlignment="1" applyProtection="1">
      <alignment horizontal="left"/>
      <protection hidden="1"/>
    </xf>
    <xf numFmtId="0" fontId="0" fillId="0" borderId="0" xfId="0" applyFont="1" applyBorder="1" applyAlignment="1" applyProtection="1">
      <alignment horizontal="center"/>
      <protection hidden="1"/>
    </xf>
    <xf numFmtId="164" fontId="0" fillId="0" borderId="0" xfId="0" applyNumberFormat="1" applyFont="1" applyBorder="1" applyAlignment="1" applyProtection="1">
      <alignment horizontal="center"/>
      <protection hidden="1"/>
    </xf>
    <xf numFmtId="9" fontId="0" fillId="0" borderId="0" xfId="3" applyFont="1" applyBorder="1" applyAlignment="1" applyProtection="1">
      <alignment horizontal="center"/>
      <protection hidden="1"/>
    </xf>
    <xf numFmtId="164" fontId="0" fillId="0" borderId="0" xfId="2" applyFont="1" applyBorder="1" applyProtection="1">
      <protection hidden="1"/>
    </xf>
    <xf numFmtId="0" fontId="11" fillId="0" borderId="0" xfId="0" applyFont="1" applyFill="1" applyBorder="1" applyProtection="1">
      <protection hidden="1"/>
    </xf>
    <xf numFmtId="164" fontId="0" fillId="0" borderId="0" xfId="2" applyFont="1" applyBorder="1" applyAlignment="1" applyProtection="1">
      <alignment horizontal="center"/>
      <protection hidden="1"/>
    </xf>
    <xf numFmtId="164" fontId="14" fillId="0" borderId="0" xfId="2" applyFont="1" applyBorder="1" applyAlignment="1" applyProtection="1">
      <alignment horizontal="center"/>
      <protection hidden="1"/>
    </xf>
    <xf numFmtId="0" fontId="16" fillId="0" borderId="0" xfId="0" applyFont="1" applyFill="1" applyBorder="1" applyAlignment="1" applyProtection="1">
      <alignment horizontal="center"/>
      <protection hidden="1"/>
    </xf>
    <xf numFmtId="0" fontId="0" fillId="0" borderId="0" xfId="0" applyNumberFormat="1" applyFont="1" applyBorder="1" applyAlignment="1" applyProtection="1">
      <alignment horizontal="center"/>
      <protection hidden="1"/>
    </xf>
    <xf numFmtId="0" fontId="13" fillId="0" borderId="0" xfId="0" applyFont="1" applyFill="1" applyBorder="1" applyProtection="1">
      <protection hidden="1"/>
    </xf>
    <xf numFmtId="164" fontId="16" fillId="0" borderId="0" xfId="2" applyFont="1" applyFill="1" applyBorder="1" applyProtection="1">
      <protection hidden="1"/>
    </xf>
    <xf numFmtId="20" fontId="0" fillId="0" borderId="0" xfId="0" applyNumberFormat="1" applyFont="1" applyBorder="1" applyProtection="1">
      <protection hidden="1"/>
    </xf>
    <xf numFmtId="168" fontId="11" fillId="0" borderId="0" xfId="3" applyNumberFormat="1" applyFont="1" applyFill="1" applyAlignment="1" applyProtection="1">
      <alignment horizontal="center"/>
      <protection hidden="1"/>
    </xf>
    <xf numFmtId="0" fontId="16" fillId="0" borderId="0" xfId="0" applyFont="1" applyFill="1" applyBorder="1" applyProtection="1">
      <protection hidden="1"/>
    </xf>
    <xf numFmtId="164" fontId="11" fillId="0" borderId="0" xfId="2" applyFont="1" applyFill="1" applyBorder="1" applyAlignment="1" applyProtection="1">
      <alignment horizontal="center"/>
      <protection hidden="1"/>
    </xf>
    <xf numFmtId="0" fontId="13" fillId="0" borderId="0" xfId="0" applyFont="1" applyProtection="1">
      <protection hidden="1"/>
    </xf>
    <xf numFmtId="0" fontId="0" fillId="0" borderId="0" xfId="0" applyFont="1" applyBorder="1" applyAlignment="1" applyProtection="1">
      <alignment horizontal="left" vertical="center"/>
      <protection hidden="1"/>
    </xf>
    <xf numFmtId="0" fontId="0" fillId="0" borderId="0" xfId="0" applyFont="1" applyBorder="1" applyAlignment="1" applyProtection="1">
      <alignment horizontal="left" vertical="center" wrapText="1"/>
      <protection hidden="1"/>
    </xf>
    <xf numFmtId="0" fontId="0" fillId="0" borderId="0" xfId="0" applyBorder="1"/>
    <xf numFmtId="0" fontId="0" fillId="0" borderId="0" xfId="0" applyProtection="1">
      <protection hidden="1"/>
    </xf>
    <xf numFmtId="0" fontId="0" fillId="0" borderId="0" xfId="0" applyFont="1" applyAlignment="1" applyProtection="1">
      <alignment horizontal="left"/>
      <protection hidden="1"/>
    </xf>
    <xf numFmtId="0" fontId="0" fillId="0" borderId="0" xfId="0" applyBorder="1" applyAlignment="1" applyProtection="1">
      <alignment horizontal="left" vertical="center" wrapText="1"/>
      <protection hidden="1"/>
    </xf>
    <xf numFmtId="0" fontId="14" fillId="0" borderId="0" xfId="0" applyFont="1" applyBorder="1" applyAlignment="1" applyProtection="1">
      <alignment horizontal="left" vertical="center" wrapText="1"/>
      <protection hidden="1"/>
    </xf>
    <xf numFmtId="0" fontId="13" fillId="0" borderId="0" xfId="0" applyFont="1" applyAlignment="1" applyProtection="1">
      <alignment horizontal="center"/>
      <protection hidden="1"/>
    </xf>
    <xf numFmtId="164" fontId="13" fillId="0" borderId="0" xfId="2" applyFont="1" applyProtection="1">
      <protection hidden="1"/>
    </xf>
    <xf numFmtId="0" fontId="3" fillId="0" borderId="0" xfId="0" applyFont="1" applyAlignment="1" applyProtection="1">
      <alignment horizontal="left"/>
      <protection hidden="1"/>
    </xf>
    <xf numFmtId="0" fontId="15" fillId="0" borderId="0" xfId="0" applyFont="1" applyFill="1" applyBorder="1" applyProtection="1">
      <protection hidden="1"/>
    </xf>
    <xf numFmtId="0" fontId="18" fillId="0" borderId="0" xfId="0" applyFont="1" applyBorder="1" applyAlignment="1" applyProtection="1">
      <alignment horizontal="left" vertical="center"/>
      <protection hidden="1"/>
    </xf>
    <xf numFmtId="17" fontId="16" fillId="9" borderId="9" xfId="0" applyNumberFormat="1" applyFont="1" applyFill="1" applyBorder="1" applyAlignment="1" applyProtection="1">
      <alignment horizontal="left"/>
      <protection hidden="1"/>
    </xf>
    <xf numFmtId="172" fontId="16" fillId="9" borderId="11" xfId="5" applyNumberFormat="1" applyFont="1" applyFill="1" applyBorder="1" applyAlignment="1" applyProtection="1">
      <alignment horizontal="center"/>
      <protection hidden="1"/>
    </xf>
    <xf numFmtId="164" fontId="5" fillId="0" borderId="0" xfId="2" applyNumberFormat="1" applyFont="1" applyFill="1" applyBorder="1" applyAlignment="1">
      <alignment horizontal="left"/>
    </xf>
    <xf numFmtId="164" fontId="6" fillId="0" borderId="0" xfId="2" applyNumberFormat="1" applyFont="1" applyFill="1" applyBorder="1" applyAlignment="1">
      <alignment horizontal="left"/>
    </xf>
    <xf numFmtId="0" fontId="6" fillId="0" borderId="0" xfId="0" applyNumberFormat="1" applyFont="1" applyFill="1" applyBorder="1" applyAlignment="1">
      <alignment vertical="center" readingOrder="1"/>
    </xf>
    <xf numFmtId="0" fontId="6" fillId="0" borderId="0" xfId="0" applyFont="1" applyFill="1" applyBorder="1" applyAlignment="1" applyProtection="1">
      <protection hidden="1"/>
    </xf>
    <xf numFmtId="0" fontId="6" fillId="0" borderId="0" xfId="2" applyNumberFormat="1" applyFont="1" applyFill="1" applyBorder="1" applyAlignment="1" applyProtection="1">
      <protection hidden="1"/>
    </xf>
    <xf numFmtId="0" fontId="6" fillId="0" borderId="0" xfId="0" applyFont="1" applyFill="1" applyBorder="1" applyAlignment="1" applyProtection="1">
      <alignment vertical="center"/>
      <protection hidden="1"/>
    </xf>
    <xf numFmtId="0" fontId="6" fillId="0" borderId="0" xfId="0" applyFont="1" applyFill="1" applyBorder="1" applyAlignment="1" applyProtection="1">
      <alignment horizontal="left"/>
      <protection hidden="1"/>
    </xf>
    <xf numFmtId="164" fontId="6" fillId="0" borderId="0" xfId="2" applyFont="1" applyFill="1" applyBorder="1" applyAlignment="1" applyProtection="1">
      <alignment horizontal="center"/>
      <protection hidden="1"/>
    </xf>
    <xf numFmtId="0" fontId="6" fillId="0" borderId="0" xfId="0" applyFont="1" applyFill="1" applyAlignment="1" applyProtection="1">
      <alignment horizontal="center" vertical="center"/>
      <protection hidden="1"/>
    </xf>
    <xf numFmtId="0" fontId="6" fillId="0" borderId="0" xfId="0" applyFont="1" applyFill="1" applyAlignment="1" applyProtection="1">
      <alignment horizontal="center"/>
      <protection hidden="1"/>
    </xf>
    <xf numFmtId="164" fontId="6" fillId="0" borderId="0" xfId="0" applyNumberFormat="1" applyFont="1" applyFill="1" applyAlignment="1" applyProtection="1">
      <alignment horizontal="center"/>
      <protection hidden="1"/>
    </xf>
    <xf numFmtId="0" fontId="5" fillId="0" borderId="16" xfId="0" applyFont="1" applyBorder="1" applyAlignment="1" applyProtection="1">
      <alignment horizontal="left" vertical="center"/>
      <protection hidden="1"/>
    </xf>
    <xf numFmtId="164" fontId="5" fillId="0" borderId="16" xfId="2" applyFont="1" applyBorder="1" applyAlignment="1" applyProtection="1">
      <alignment horizontal="left"/>
      <protection hidden="1"/>
    </xf>
    <xf numFmtId="164" fontId="5" fillId="0" borderId="16" xfId="2" applyFont="1" applyBorder="1" applyAlignment="1" applyProtection="1">
      <alignment horizontal="center"/>
      <protection hidden="1"/>
    </xf>
    <xf numFmtId="0" fontId="0" fillId="12" borderId="0" xfId="0" applyFont="1" applyFill="1" applyProtection="1">
      <protection hidden="1"/>
    </xf>
    <xf numFmtId="0" fontId="6" fillId="0" borderId="0" xfId="0" applyFont="1" applyFill="1" applyBorder="1" applyAlignment="1" applyProtection="1">
      <alignment horizontal="center"/>
      <protection hidden="1"/>
    </xf>
    <xf numFmtId="0" fontId="11" fillId="0" borderId="0" xfId="0" applyFont="1" applyFill="1" applyBorder="1" applyAlignment="1" applyProtection="1">
      <alignment horizontal="center"/>
      <protection hidden="1"/>
    </xf>
    <xf numFmtId="171" fontId="11" fillId="0" borderId="9" xfId="4" applyNumberFormat="1" applyFont="1" applyFill="1" applyBorder="1" applyAlignment="1" applyProtection="1">
      <alignment horizontal="left"/>
      <protection hidden="1"/>
    </xf>
    <xf numFmtId="172" fontId="11" fillId="0" borderId="11" xfId="5" applyNumberFormat="1" applyFont="1" applyFill="1" applyBorder="1" applyAlignment="1" applyProtection="1">
      <alignment horizontal="right"/>
      <protection hidden="1"/>
    </xf>
    <xf numFmtId="0" fontId="0" fillId="0" borderId="0" xfId="0" applyAlignment="1" applyProtection="1">
      <alignment horizontal="center"/>
      <protection hidden="1"/>
    </xf>
    <xf numFmtId="0" fontId="14" fillId="0" borderId="0" xfId="0" applyFont="1" applyProtection="1">
      <protection hidden="1"/>
    </xf>
    <xf numFmtId="172" fontId="5" fillId="0" borderId="1" xfId="4" applyNumberFormat="1" applyFont="1" applyFill="1" applyBorder="1" applyAlignment="1" applyProtection="1">
      <alignment horizontal="right" vertical="center"/>
      <protection hidden="1"/>
    </xf>
    <xf numFmtId="173" fontId="6" fillId="0" borderId="1" xfId="4" applyNumberFormat="1" applyFont="1" applyFill="1" applyBorder="1" applyAlignment="1" applyProtection="1">
      <alignment horizontal="right" vertical="center"/>
      <protection hidden="1"/>
    </xf>
    <xf numFmtId="0" fontId="0" fillId="0" borderId="0" xfId="0" applyAlignment="1">
      <alignment horizontal="center"/>
    </xf>
    <xf numFmtId="0" fontId="14" fillId="0" borderId="0" xfId="0" applyFont="1"/>
    <xf numFmtId="0" fontId="0" fillId="4" borderId="0" xfId="0" applyFont="1" applyFill="1" applyAlignment="1" applyProtection="1">
      <alignment horizontal="center" vertical="center" textRotation="45" wrapText="1"/>
      <protection hidden="1"/>
    </xf>
    <xf numFmtId="0" fontId="0" fillId="4" borderId="0" xfId="0" applyFont="1" applyFill="1" applyAlignment="1" applyProtection="1">
      <alignment horizontal="center" textRotation="45" wrapText="1"/>
      <protection hidden="1"/>
    </xf>
    <xf numFmtId="0" fontId="0" fillId="4" borderId="0" xfId="0" applyFont="1" applyFill="1" applyAlignment="1" applyProtection="1">
      <alignment horizontal="left"/>
      <protection hidden="1"/>
    </xf>
    <xf numFmtId="0" fontId="0" fillId="4" borderId="0" xfId="0" applyFont="1" applyFill="1" applyAlignment="1" applyProtection="1">
      <alignment horizontal="left" vertical="center"/>
      <protection hidden="1"/>
    </xf>
    <xf numFmtId="0" fontId="0" fillId="4" borderId="0" xfId="0" applyFont="1" applyFill="1" applyAlignment="1" applyProtection="1">
      <alignment horizontal="center" vertical="center" wrapText="1"/>
      <protection hidden="1"/>
    </xf>
    <xf numFmtId="0" fontId="0" fillId="4" borderId="0" xfId="0" applyFont="1" applyFill="1" applyAlignment="1" applyProtection="1">
      <alignment horizontal="left" wrapText="1"/>
      <protection hidden="1"/>
    </xf>
    <xf numFmtId="0" fontId="0" fillId="11" borderId="0" xfId="0" applyFont="1" applyFill="1" applyBorder="1" applyAlignment="1" applyProtection="1">
      <alignment vertical="center"/>
      <protection hidden="1"/>
    </xf>
    <xf numFmtId="0" fontId="16" fillId="11" borderId="0" xfId="0" applyFont="1" applyFill="1" applyBorder="1" applyAlignment="1" applyProtection="1">
      <alignment vertical="center"/>
      <protection hidden="1"/>
    </xf>
    <xf numFmtId="0" fontId="16" fillId="11" borderId="0" xfId="0" applyFont="1" applyFill="1" applyBorder="1" applyAlignment="1" applyProtection="1">
      <protection hidden="1"/>
    </xf>
    <xf numFmtId="0" fontId="0" fillId="11" borderId="0" xfId="0" applyFont="1" applyFill="1" applyBorder="1" applyProtection="1">
      <protection hidden="1"/>
    </xf>
    <xf numFmtId="0" fontId="21" fillId="11" borderId="0" xfId="0" applyFont="1" applyFill="1" applyBorder="1" applyAlignment="1" applyProtection="1">
      <alignment vertical="center"/>
      <protection hidden="1"/>
    </xf>
    <xf numFmtId="0" fontId="21" fillId="0" borderId="0" xfId="0" applyFont="1" applyFill="1" applyBorder="1" applyAlignment="1" applyProtection="1">
      <alignment vertical="center"/>
      <protection hidden="1"/>
    </xf>
    <xf numFmtId="0" fontId="19" fillId="0" borderId="0" xfId="0" applyFont="1" applyBorder="1" applyProtection="1">
      <protection hidden="1"/>
    </xf>
    <xf numFmtId="0" fontId="21" fillId="0" borderId="0" xfId="0" applyFont="1" applyBorder="1" applyAlignment="1" applyProtection="1">
      <alignment vertical="center"/>
      <protection hidden="1"/>
    </xf>
    <xf numFmtId="9" fontId="19" fillId="0" borderId="0" xfId="3" applyNumberFormat="1" applyFont="1" applyBorder="1" applyAlignment="1" applyProtection="1">
      <alignment horizontal="right"/>
      <protection hidden="1"/>
    </xf>
    <xf numFmtId="0" fontId="18" fillId="0" borderId="0" xfId="0" applyFont="1" applyFill="1" applyBorder="1" applyAlignment="1" applyProtection="1">
      <alignment vertical="center"/>
      <protection hidden="1"/>
    </xf>
    <xf numFmtId="164" fontId="19" fillId="0" borderId="0" xfId="0" applyNumberFormat="1" applyFont="1" applyBorder="1" applyProtection="1">
      <protection hidden="1"/>
    </xf>
    <xf numFmtId="164" fontId="21" fillId="0" borderId="0" xfId="0" applyNumberFormat="1" applyFont="1" applyBorder="1" applyAlignment="1" applyProtection="1">
      <alignment vertical="center"/>
      <protection hidden="1"/>
    </xf>
    <xf numFmtId="0" fontId="19" fillId="0" borderId="0" xfId="0" applyFont="1" applyBorder="1" applyAlignment="1" applyProtection="1">
      <alignment horizontal="center"/>
      <protection hidden="1"/>
    </xf>
    <xf numFmtId="0" fontId="18" fillId="11" borderId="0" xfId="0" applyFont="1" applyFill="1" applyBorder="1" applyAlignment="1" applyProtection="1">
      <alignment horizontal="left"/>
      <protection hidden="1"/>
    </xf>
    <xf numFmtId="0" fontId="18" fillId="0" borderId="0" xfId="0" applyFont="1" applyFill="1" applyBorder="1" applyAlignment="1" applyProtection="1">
      <alignment horizontal="left"/>
      <protection hidden="1"/>
    </xf>
    <xf numFmtId="0" fontId="19" fillId="0" borderId="0" xfId="0" applyFont="1" applyBorder="1" applyAlignment="1" applyProtection="1">
      <alignment horizontal="left"/>
      <protection hidden="1"/>
    </xf>
    <xf numFmtId="0" fontId="18" fillId="0" borderId="13" xfId="0" applyFont="1" applyFill="1" applyBorder="1" applyAlignment="1" applyProtection="1">
      <alignment horizontal="left"/>
      <protection hidden="1"/>
    </xf>
    <xf numFmtId="9" fontId="19" fillId="0" borderId="0" xfId="3" applyFont="1" applyBorder="1" applyAlignment="1" applyProtection="1">
      <alignment horizontal="right"/>
      <protection hidden="1"/>
    </xf>
    <xf numFmtId="176" fontId="20" fillId="10" borderId="0" xfId="0" applyNumberFormat="1" applyFont="1" applyFill="1" applyBorder="1" applyAlignment="1" applyProtection="1">
      <alignment horizontal="center" vertical="center"/>
      <protection hidden="1"/>
    </xf>
    <xf numFmtId="176" fontId="20" fillId="10" borderId="15" xfId="0" applyNumberFormat="1" applyFont="1" applyFill="1" applyBorder="1" applyAlignment="1" applyProtection="1">
      <alignment horizontal="center" vertical="center"/>
      <protection hidden="1"/>
    </xf>
    <xf numFmtId="10" fontId="19" fillId="0" borderId="0" xfId="3" applyNumberFormat="1" applyFont="1" applyBorder="1" applyAlignment="1" applyProtection="1">
      <alignment horizontal="center" vertical="center"/>
      <protection hidden="1"/>
    </xf>
    <xf numFmtId="9" fontId="19" fillId="0" borderId="0" xfId="3" applyFont="1" applyBorder="1" applyAlignment="1" applyProtection="1">
      <alignment horizontal="center" vertical="center"/>
      <protection hidden="1"/>
    </xf>
    <xf numFmtId="0" fontId="19" fillId="0" borderId="0" xfId="0" applyFont="1" applyBorder="1" applyAlignment="1" applyProtection="1">
      <alignment horizontal="right"/>
      <protection hidden="1"/>
    </xf>
    <xf numFmtId="0" fontId="20" fillId="0" borderId="0" xfId="0" applyFont="1" applyBorder="1" applyAlignment="1" applyProtection="1">
      <protection hidden="1"/>
    </xf>
    <xf numFmtId="176" fontId="19" fillId="0" borderId="0" xfId="0" applyNumberFormat="1" applyFont="1" applyBorder="1" applyAlignment="1" applyProtection="1">
      <alignment horizontal="right"/>
      <protection hidden="1"/>
    </xf>
    <xf numFmtId="0" fontId="19" fillId="0" borderId="0" xfId="0" applyFont="1" applyFill="1" applyBorder="1" applyProtection="1">
      <protection hidden="1"/>
    </xf>
    <xf numFmtId="0" fontId="20" fillId="0" borderId="0" xfId="0" applyFont="1" applyBorder="1" applyAlignment="1" applyProtection="1">
      <alignment horizontal="center"/>
      <protection hidden="1"/>
    </xf>
    <xf numFmtId="176" fontId="19" fillId="0" borderId="0" xfId="0" applyNumberFormat="1" applyFont="1" applyBorder="1" applyProtection="1">
      <protection hidden="1"/>
    </xf>
    <xf numFmtId="176" fontId="21" fillId="7" borderId="0" xfId="0" applyNumberFormat="1" applyFont="1" applyFill="1" applyBorder="1" applyAlignment="1" applyProtection="1">
      <alignment horizontal="center"/>
      <protection hidden="1"/>
    </xf>
    <xf numFmtId="176" fontId="19" fillId="0" borderId="15" xfId="0" applyNumberFormat="1" applyFont="1" applyBorder="1" applyAlignment="1" applyProtection="1">
      <alignment horizontal="center" vertical="center"/>
      <protection hidden="1"/>
    </xf>
    <xf numFmtId="176" fontId="21" fillId="7" borderId="14" xfId="0" applyNumberFormat="1" applyFont="1" applyFill="1" applyBorder="1" applyAlignment="1" applyProtection="1">
      <alignment horizontal="center"/>
      <protection hidden="1"/>
    </xf>
    <xf numFmtId="0" fontId="18" fillId="7" borderId="0" xfId="0" applyFont="1" applyFill="1" applyBorder="1" applyAlignment="1" applyProtection="1">
      <alignment horizontal="center" wrapText="1"/>
      <protection hidden="1"/>
    </xf>
    <xf numFmtId="0" fontId="18" fillId="7" borderId="15" xfId="0" applyFont="1" applyFill="1" applyBorder="1" applyAlignment="1" applyProtection="1">
      <alignment horizontal="center" wrapText="1"/>
      <protection hidden="1"/>
    </xf>
    <xf numFmtId="9" fontId="19" fillId="0" borderId="0" xfId="3" applyNumberFormat="1" applyFont="1" applyBorder="1" applyAlignment="1" applyProtection="1">
      <alignment horizontal="center" vertical="center"/>
      <protection hidden="1"/>
    </xf>
    <xf numFmtId="0" fontId="18" fillId="0" borderId="0" xfId="0" applyFont="1" applyBorder="1" applyProtection="1">
      <protection hidden="1"/>
    </xf>
    <xf numFmtId="164" fontId="18" fillId="0" borderId="0" xfId="0" applyNumberFormat="1" applyFont="1" applyBorder="1" applyProtection="1">
      <protection hidden="1"/>
    </xf>
    <xf numFmtId="9" fontId="18" fillId="0" borderId="0" xfId="3" applyNumberFormat="1" applyFont="1" applyBorder="1" applyAlignment="1" applyProtection="1">
      <alignment horizontal="right"/>
      <protection hidden="1"/>
    </xf>
    <xf numFmtId="0" fontId="18" fillId="0" borderId="0" xfId="0" applyFont="1" applyFill="1" applyBorder="1" applyProtection="1">
      <protection hidden="1"/>
    </xf>
    <xf numFmtId="176" fontId="20" fillId="8" borderId="0" xfId="0" applyNumberFormat="1" applyFont="1" applyFill="1" applyBorder="1" applyAlignment="1" applyProtection="1">
      <alignment horizontal="center"/>
      <protection hidden="1"/>
    </xf>
    <xf numFmtId="176" fontId="20" fillId="8" borderId="15" xfId="0" applyNumberFormat="1" applyFont="1" applyFill="1" applyBorder="1" applyAlignment="1" applyProtection="1">
      <alignment horizontal="center"/>
      <protection hidden="1"/>
    </xf>
    <xf numFmtId="164" fontId="19" fillId="0" borderId="0" xfId="0" applyNumberFormat="1" applyFont="1" applyFill="1" applyBorder="1" applyProtection="1">
      <protection hidden="1"/>
    </xf>
    <xf numFmtId="9" fontId="18" fillId="0" borderId="0" xfId="3" applyFont="1" applyFill="1" applyBorder="1" applyAlignment="1" applyProtection="1">
      <alignment horizontal="right"/>
      <protection hidden="1"/>
    </xf>
    <xf numFmtId="0" fontId="18" fillId="0" borderId="0" xfId="0" applyFont="1" applyFill="1" applyBorder="1" applyAlignment="1" applyProtection="1">
      <alignment horizontal="right"/>
      <protection hidden="1"/>
    </xf>
    <xf numFmtId="0" fontId="19" fillId="0" borderId="0" xfId="3" applyNumberFormat="1" applyFont="1" applyBorder="1" applyAlignment="1" applyProtection="1">
      <alignment horizontal="right"/>
      <protection hidden="1"/>
    </xf>
    <xf numFmtId="0" fontId="19" fillId="11" borderId="0" xfId="0" applyFont="1" applyFill="1" applyBorder="1" applyProtection="1">
      <protection hidden="1"/>
    </xf>
    <xf numFmtId="0" fontId="19" fillId="11" borderId="0" xfId="0" applyFont="1" applyFill="1" applyBorder="1" applyAlignment="1" applyProtection="1">
      <alignment horizontal="right"/>
      <protection hidden="1"/>
    </xf>
    <xf numFmtId="0" fontId="19" fillId="11" borderId="0" xfId="0" applyFont="1" applyFill="1" applyBorder="1" applyAlignment="1" applyProtection="1">
      <alignment horizontal="left"/>
      <protection hidden="1"/>
    </xf>
    <xf numFmtId="0" fontId="18" fillId="11" borderId="0" xfId="0" applyFont="1" applyFill="1" applyBorder="1" applyAlignment="1" applyProtection="1">
      <alignment horizontal="right"/>
      <protection hidden="1"/>
    </xf>
    <xf numFmtId="9" fontId="19" fillId="11" borderId="0" xfId="3" applyFont="1" applyFill="1" applyBorder="1" applyAlignment="1" applyProtection="1">
      <alignment horizontal="right"/>
      <protection hidden="1"/>
    </xf>
    <xf numFmtId="0" fontId="3" fillId="0" borderId="0" xfId="0" applyNumberFormat="1" applyFont="1" applyFill="1" applyAlignment="1" applyProtection="1">
      <alignment vertical="center"/>
      <protection hidden="1"/>
    </xf>
    <xf numFmtId="164" fontId="3" fillId="0" borderId="0" xfId="0" applyNumberFormat="1" applyFont="1" applyFill="1" applyAlignment="1" applyProtection="1">
      <alignment vertical="center"/>
      <protection hidden="1"/>
    </xf>
    <xf numFmtId="0" fontId="5" fillId="0" borderId="0" xfId="0" applyNumberFormat="1" applyFont="1" applyFill="1" applyAlignment="1" applyProtection="1">
      <alignment vertical="center"/>
      <protection hidden="1"/>
    </xf>
    <xf numFmtId="164" fontId="5" fillId="0" borderId="0" xfId="0" applyNumberFormat="1" applyFont="1" applyFill="1" applyBorder="1" applyAlignment="1" applyProtection="1">
      <alignment horizontal="center" vertical="center"/>
      <protection hidden="1"/>
    </xf>
    <xf numFmtId="1" fontId="5" fillId="0" borderId="0" xfId="2" applyNumberFormat="1" applyFont="1" applyFill="1" applyAlignment="1" applyProtection="1">
      <alignment horizontal="center" vertical="center"/>
      <protection hidden="1"/>
    </xf>
    <xf numFmtId="0" fontId="5" fillId="0" borderId="0" xfId="0" applyNumberFormat="1" applyFont="1" applyFill="1" applyAlignment="1" applyProtection="1">
      <alignment horizontal="center" vertical="center"/>
      <protection hidden="1"/>
    </xf>
    <xf numFmtId="0" fontId="6" fillId="0" borderId="5" xfId="0" applyNumberFormat="1" applyFont="1" applyFill="1" applyBorder="1" applyAlignment="1" applyProtection="1">
      <alignment vertical="center" readingOrder="1"/>
      <protection hidden="1"/>
    </xf>
    <xf numFmtId="164" fontId="7" fillId="0" borderId="5" xfId="5" applyNumberFormat="1" applyFont="1" applyFill="1" applyBorder="1" applyAlignment="1" applyProtection="1">
      <alignment vertical="center"/>
      <protection hidden="1"/>
    </xf>
    <xf numFmtId="164" fontId="5" fillId="0" borderId="0" xfId="2" applyNumberFormat="1" applyFont="1" applyFill="1" applyAlignment="1" applyProtection="1">
      <alignment horizontal="center" vertical="center"/>
      <protection hidden="1"/>
    </xf>
    <xf numFmtId="0" fontId="6" fillId="0" borderId="14" xfId="0" applyNumberFormat="1" applyFont="1" applyFill="1" applyBorder="1" applyAlignment="1" applyProtection="1">
      <alignment vertical="center" readingOrder="1"/>
      <protection hidden="1"/>
    </xf>
    <xf numFmtId="164" fontId="7" fillId="0" borderId="14" xfId="5" applyNumberFormat="1" applyFont="1" applyFill="1" applyBorder="1" applyAlignment="1" applyProtection="1">
      <alignment vertical="center"/>
      <protection hidden="1"/>
    </xf>
    <xf numFmtId="0" fontId="6" fillId="0" borderId="15" xfId="0" applyNumberFormat="1" applyFont="1" applyFill="1" applyBorder="1" applyAlignment="1" applyProtection="1">
      <alignment vertical="center" readingOrder="1"/>
      <protection hidden="1"/>
    </xf>
    <xf numFmtId="164" fontId="7" fillId="0" borderId="15" xfId="5" applyNumberFormat="1" applyFont="1" applyFill="1" applyBorder="1" applyAlignment="1" applyProtection="1">
      <alignment vertical="center"/>
      <protection hidden="1"/>
    </xf>
    <xf numFmtId="164" fontId="7" fillId="0" borderId="0" xfId="0" applyNumberFormat="1" applyFont="1" applyFill="1" applyAlignment="1" applyProtection="1">
      <alignment vertical="center"/>
      <protection hidden="1"/>
    </xf>
    <xf numFmtId="164" fontId="5" fillId="0" borderId="0" xfId="2" applyNumberFormat="1" applyFont="1" applyFill="1" applyAlignment="1" applyProtection="1">
      <alignment vertical="center"/>
      <protection hidden="1"/>
    </xf>
    <xf numFmtId="0" fontId="7" fillId="0" borderId="15" xfId="0" applyNumberFormat="1" applyFont="1" applyFill="1" applyBorder="1" applyAlignment="1" applyProtection="1">
      <alignment vertical="center" readingOrder="1"/>
      <protection hidden="1"/>
    </xf>
    <xf numFmtId="164" fontId="3" fillId="0" borderId="0" xfId="0" applyNumberFormat="1" applyFont="1" applyFill="1" applyBorder="1" applyAlignment="1" applyProtection="1">
      <alignment vertical="center"/>
      <protection hidden="1"/>
    </xf>
    <xf numFmtId="164" fontId="3" fillId="0" borderId="0" xfId="5" applyNumberFormat="1" applyFont="1" applyFill="1" applyBorder="1" applyAlignment="1" applyProtection="1">
      <alignment vertical="center"/>
      <protection hidden="1"/>
    </xf>
    <xf numFmtId="164" fontId="5" fillId="0" borderId="0" xfId="5" applyNumberFormat="1" applyFont="1" applyFill="1" applyBorder="1" applyAlignment="1" applyProtection="1">
      <alignment vertical="center"/>
      <protection hidden="1"/>
    </xf>
    <xf numFmtId="164" fontId="3" fillId="0" borderId="0" xfId="5" applyNumberFormat="1" applyFont="1" applyFill="1" applyAlignment="1" applyProtection="1">
      <alignment vertical="center"/>
      <protection hidden="1"/>
    </xf>
    <xf numFmtId="0" fontId="3" fillId="0" borderId="0" xfId="0" applyNumberFormat="1" applyFont="1" applyFill="1" applyBorder="1" applyAlignment="1" applyProtection="1">
      <alignment vertical="center"/>
      <protection hidden="1"/>
    </xf>
    <xf numFmtId="0" fontId="8" fillId="0" borderId="0" xfId="0" applyNumberFormat="1" applyFont="1" applyFill="1" applyBorder="1" applyAlignment="1" applyProtection="1">
      <alignment vertical="center" readingOrder="1"/>
      <protection hidden="1"/>
    </xf>
    <xf numFmtId="164" fontId="5" fillId="0" borderId="0" xfId="2" applyNumberFormat="1" applyFont="1" applyFill="1" applyBorder="1" applyAlignment="1" applyProtection="1">
      <alignment vertical="center"/>
      <protection hidden="1"/>
    </xf>
    <xf numFmtId="164" fontId="9" fillId="0" borderId="1" xfId="5" applyNumberFormat="1" applyFont="1" applyFill="1" applyBorder="1" applyAlignment="1" applyProtection="1">
      <alignment vertical="center"/>
      <protection hidden="1"/>
    </xf>
    <xf numFmtId="0" fontId="3" fillId="0" borderId="0" xfId="3" applyNumberFormat="1" applyFont="1" applyFill="1" applyAlignment="1" applyProtection="1">
      <alignment vertical="center"/>
      <protection hidden="1"/>
    </xf>
    <xf numFmtId="164" fontId="9" fillId="0" borderId="14" xfId="5" applyNumberFormat="1" applyFont="1" applyFill="1" applyBorder="1" applyAlignment="1" applyProtection="1">
      <alignment vertical="center"/>
      <protection hidden="1"/>
    </xf>
    <xf numFmtId="164" fontId="9" fillId="0" borderId="5" xfId="5" applyNumberFormat="1" applyFont="1" applyFill="1" applyBorder="1" applyAlignment="1" applyProtection="1">
      <alignment vertical="center"/>
      <protection hidden="1"/>
    </xf>
    <xf numFmtId="164" fontId="9" fillId="0" borderId="15" xfId="5" applyNumberFormat="1" applyFont="1" applyFill="1" applyBorder="1" applyAlignment="1" applyProtection="1">
      <alignment vertical="center"/>
      <protection hidden="1"/>
    </xf>
    <xf numFmtId="0" fontId="5" fillId="0" borderId="0" xfId="0" applyNumberFormat="1" applyFont="1" applyFill="1" applyAlignment="1" applyProtection="1">
      <alignment vertical="center" readingOrder="1"/>
      <protection hidden="1"/>
    </xf>
    <xf numFmtId="164" fontId="3" fillId="0" borderId="5" xfId="0" applyNumberFormat="1" applyFont="1" applyFill="1" applyBorder="1" applyAlignment="1" applyProtection="1">
      <alignment vertical="center"/>
      <protection hidden="1"/>
    </xf>
    <xf numFmtId="165" fontId="3" fillId="0" borderId="0" xfId="0" applyNumberFormat="1" applyFont="1" applyFill="1" applyAlignment="1" applyProtection="1">
      <alignment vertical="center"/>
      <protection hidden="1"/>
    </xf>
    <xf numFmtId="164" fontId="3" fillId="0" borderId="1" xfId="0" applyNumberFormat="1" applyFont="1" applyFill="1" applyBorder="1" applyAlignment="1" applyProtection="1">
      <alignment vertical="center"/>
      <protection hidden="1"/>
    </xf>
    <xf numFmtId="1" fontId="5" fillId="0" borderId="0" xfId="2" applyNumberFormat="1" applyFont="1" applyFill="1" applyAlignment="1" applyProtection="1">
      <alignment vertical="center"/>
      <protection hidden="1"/>
    </xf>
    <xf numFmtId="164" fontId="5" fillId="0" borderId="0" xfId="0" applyNumberFormat="1" applyFont="1" applyFill="1" applyAlignment="1" applyProtection="1">
      <alignment vertical="center"/>
      <protection hidden="1"/>
    </xf>
    <xf numFmtId="0" fontId="5" fillId="0" borderId="9" xfId="0" applyNumberFormat="1" applyFont="1" applyFill="1" applyBorder="1" applyAlignment="1" applyProtection="1">
      <alignment vertical="center" readingOrder="1"/>
      <protection hidden="1"/>
    </xf>
    <xf numFmtId="164" fontId="5" fillId="0" borderId="10" xfId="5" applyNumberFormat="1" applyFont="1" applyFill="1" applyBorder="1" applyAlignment="1" applyProtection="1">
      <alignment horizontal="center" vertical="center"/>
      <protection hidden="1"/>
    </xf>
    <xf numFmtId="164" fontId="5" fillId="0" borderId="11" xfId="5" applyNumberFormat="1" applyFont="1" applyFill="1" applyBorder="1" applyAlignment="1" applyProtection="1">
      <alignment horizontal="center" vertical="center"/>
      <protection hidden="1"/>
    </xf>
    <xf numFmtId="164" fontId="4" fillId="0" borderId="0" xfId="0" applyNumberFormat="1" applyFont="1" applyFill="1" applyAlignment="1" applyProtection="1">
      <alignment vertical="center"/>
      <protection hidden="1"/>
    </xf>
    <xf numFmtId="0" fontId="4" fillId="0" borderId="0" xfId="3" applyNumberFormat="1" applyFont="1" applyFill="1" applyAlignment="1" applyProtection="1">
      <alignment vertical="center"/>
      <protection hidden="1"/>
    </xf>
    <xf numFmtId="0" fontId="5" fillId="0" borderId="6" xfId="0" applyNumberFormat="1" applyFont="1" applyFill="1" applyBorder="1" applyAlignment="1" applyProtection="1">
      <alignment vertical="center" readingOrder="1"/>
      <protection hidden="1"/>
    </xf>
    <xf numFmtId="164" fontId="5" fillId="0" borderId="7" xfId="5" applyNumberFormat="1" applyFont="1" applyFill="1" applyBorder="1" applyAlignment="1" applyProtection="1">
      <alignment horizontal="center" vertical="center"/>
      <protection hidden="1"/>
    </xf>
    <xf numFmtId="164" fontId="5" fillId="0" borderId="8" xfId="5"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vertical="center" readingOrder="1"/>
      <protection hidden="1"/>
    </xf>
    <xf numFmtId="164" fontId="5" fillId="0" borderId="0" xfId="5" applyNumberFormat="1" applyFont="1" applyFill="1" applyBorder="1" applyAlignment="1" applyProtection="1">
      <alignment horizontal="center" vertical="center"/>
      <protection hidden="1"/>
    </xf>
    <xf numFmtId="9" fontId="3" fillId="0" borderId="0" xfId="3" applyFont="1" applyFill="1" applyAlignment="1" applyProtection="1">
      <alignment horizontal="center" vertical="center"/>
      <protection hidden="1"/>
    </xf>
    <xf numFmtId="164" fontId="7" fillId="0" borderId="0" xfId="2" applyFont="1" applyFill="1" applyBorder="1" applyAlignment="1" applyProtection="1">
      <alignment horizontal="center" vertical="center"/>
      <protection hidden="1"/>
    </xf>
    <xf numFmtId="164" fontId="11" fillId="0" borderId="0" xfId="4" applyNumberFormat="1" applyFont="1" applyFill="1" applyBorder="1" applyAlignment="1" applyProtection="1">
      <alignment horizontal="center"/>
      <protection hidden="1"/>
    </xf>
    <xf numFmtId="164" fontId="11" fillId="0" borderId="13" xfId="4" applyNumberFormat="1" applyFont="1" applyFill="1" applyBorder="1" applyAlignment="1" applyProtection="1">
      <alignment horizontal="center"/>
      <protection hidden="1"/>
    </xf>
    <xf numFmtId="164" fontId="11" fillId="0" borderId="7" xfId="4" applyNumberFormat="1" applyFont="1" applyFill="1" applyBorder="1" applyAlignment="1" applyProtection="1">
      <alignment horizontal="center"/>
      <protection hidden="1"/>
    </xf>
    <xf numFmtId="164" fontId="11" fillId="0" borderId="8" xfId="4" applyNumberFormat="1" applyFont="1" applyFill="1" applyBorder="1" applyAlignment="1" applyProtection="1">
      <alignment horizontal="center"/>
      <protection hidden="1"/>
    </xf>
    <xf numFmtId="167" fontId="0" fillId="0" borderId="0" xfId="0" applyNumberFormat="1" applyFont="1" applyBorder="1" applyAlignment="1" applyProtection="1">
      <alignment horizontal="center"/>
      <protection hidden="1"/>
    </xf>
    <xf numFmtId="20" fontId="0" fillId="0" borderId="0" xfId="0" applyNumberFormat="1" applyFont="1" applyBorder="1" applyAlignment="1" applyProtection="1">
      <alignment horizontal="center"/>
      <protection hidden="1"/>
    </xf>
    <xf numFmtId="164" fontId="13" fillId="0" borderId="0" xfId="2" applyFont="1" applyFill="1" applyBorder="1" applyAlignment="1" applyProtection="1">
      <alignment horizontal="center"/>
      <protection hidden="1"/>
    </xf>
    <xf numFmtId="0" fontId="14" fillId="0" borderId="0" xfId="0" applyFont="1" applyBorder="1" applyAlignment="1" applyProtection="1">
      <alignment horizontal="center" vertical="center" wrapText="1"/>
      <protection hidden="1"/>
    </xf>
    <xf numFmtId="167" fontId="0" fillId="0" borderId="0" xfId="0" applyNumberFormat="1" applyFont="1" applyBorder="1" applyAlignment="1" applyProtection="1">
      <alignment horizontal="left"/>
      <protection hidden="1"/>
    </xf>
    <xf numFmtId="0" fontId="23" fillId="0" borderId="2" xfId="0" applyFont="1" applyFill="1" applyBorder="1" applyProtection="1">
      <protection hidden="1"/>
    </xf>
    <xf numFmtId="0" fontId="25" fillId="0" borderId="1" xfId="0" applyFont="1" applyFill="1" applyBorder="1" applyAlignment="1" applyProtection="1">
      <alignment horizontal="center" vertical="center"/>
      <protection hidden="1"/>
    </xf>
    <xf numFmtId="14" fontId="6" fillId="0" borderId="1" xfId="0" applyNumberFormat="1" applyFont="1" applyFill="1" applyBorder="1" applyAlignment="1" applyProtection="1">
      <alignment horizontal="center" vertical="center"/>
      <protection hidden="1"/>
    </xf>
    <xf numFmtId="0" fontId="6" fillId="0" borderId="1" xfId="0" applyFont="1" applyFill="1" applyBorder="1" applyAlignment="1" applyProtection="1">
      <alignment horizontal="left" vertical="center"/>
      <protection hidden="1"/>
    </xf>
    <xf numFmtId="0" fontId="7" fillId="0" borderId="1" xfId="0" applyFont="1" applyFill="1" applyBorder="1" applyAlignment="1" applyProtection="1">
      <alignment horizontal="left" vertical="center"/>
      <protection hidden="1"/>
    </xf>
    <xf numFmtId="164" fontId="6" fillId="0" borderId="1" xfId="1" applyNumberFormat="1" applyFont="1" applyFill="1" applyBorder="1" applyAlignment="1" applyProtection="1">
      <alignment horizontal="center" vertical="center"/>
      <protection hidden="1"/>
    </xf>
    <xf numFmtId="0" fontId="14" fillId="0" borderId="0" xfId="0" applyFont="1" applyAlignment="1" applyProtection="1">
      <alignment horizontal="left"/>
      <protection hidden="1"/>
    </xf>
    <xf numFmtId="0" fontId="14" fillId="0" borderId="0" xfId="0" applyFont="1" applyAlignment="1" applyProtection="1">
      <alignment horizontal="center"/>
      <protection hidden="1"/>
    </xf>
    <xf numFmtId="167" fontId="14" fillId="0" borderId="0" xfId="0" applyNumberFormat="1" applyFont="1" applyAlignment="1" applyProtection="1">
      <alignment horizontal="center"/>
      <protection hidden="1"/>
    </xf>
    <xf numFmtId="172" fontId="14" fillId="0" borderId="0" xfId="5" applyNumberFormat="1" applyFont="1" applyBorder="1" applyAlignment="1" applyProtection="1">
      <alignment horizontal="right"/>
      <protection hidden="1"/>
    </xf>
    <xf numFmtId="172" fontId="0" fillId="0" borderId="0" xfId="0" applyNumberFormat="1" applyProtection="1">
      <protection hidden="1"/>
    </xf>
    <xf numFmtId="0" fontId="0" fillId="0" borderId="0" xfId="0" applyAlignment="1" applyProtection="1">
      <alignment horizontal="left"/>
      <protection hidden="1"/>
    </xf>
    <xf numFmtId="167" fontId="14" fillId="0" borderId="0" xfId="0" applyNumberFormat="1" applyFont="1" applyAlignment="1" applyProtection="1">
      <alignment horizontal="left"/>
      <protection hidden="1"/>
    </xf>
    <xf numFmtId="164" fontId="14" fillId="0" borderId="0" xfId="2" applyFont="1" applyBorder="1" applyAlignment="1" applyProtection="1">
      <alignment horizontal="left"/>
      <protection hidden="1"/>
    </xf>
    <xf numFmtId="167" fontId="0" fillId="0" borderId="0" xfId="0" applyNumberFormat="1" applyAlignment="1" applyProtection="1">
      <alignment horizontal="center"/>
      <protection hidden="1"/>
    </xf>
    <xf numFmtId="164" fontId="0" fillId="0" borderId="0" xfId="2" applyFont="1" applyBorder="1" applyAlignment="1" applyProtection="1">
      <alignment horizontal="right"/>
      <protection hidden="1"/>
    </xf>
    <xf numFmtId="164" fontId="0" fillId="0" borderId="0" xfId="2" applyFont="1" applyFill="1" applyBorder="1" applyProtection="1">
      <protection hidden="1"/>
    </xf>
    <xf numFmtId="0" fontId="6" fillId="0" borderId="0" xfId="0" applyFont="1" applyFill="1" applyProtection="1">
      <protection hidden="1"/>
    </xf>
    <xf numFmtId="0" fontId="0" fillId="0" borderId="1" xfId="0" applyBorder="1" applyAlignment="1" applyProtection="1">
      <alignment horizontal="center"/>
      <protection hidden="1"/>
    </xf>
    <xf numFmtId="0" fontId="27" fillId="0" borderId="9" xfId="0" applyFont="1" applyBorder="1" applyProtection="1">
      <protection hidden="1"/>
    </xf>
    <xf numFmtId="0" fontId="27" fillId="0" borderId="10" xfId="0" applyFont="1" applyBorder="1" applyProtection="1">
      <protection hidden="1"/>
    </xf>
    <xf numFmtId="0" fontId="27" fillId="0" borderId="11" xfId="0" applyFont="1" applyBorder="1" applyProtection="1">
      <protection hidden="1"/>
    </xf>
    <xf numFmtId="0" fontId="27" fillId="0" borderId="12" xfId="0" applyFont="1" applyBorder="1" applyProtection="1">
      <protection hidden="1"/>
    </xf>
    <xf numFmtId="0" fontId="27" fillId="0" borderId="0" xfId="0" applyFont="1" applyProtection="1">
      <protection hidden="1"/>
    </xf>
    <xf numFmtId="0" fontId="27" fillId="0" borderId="13" xfId="0" applyFont="1" applyBorder="1" applyProtection="1">
      <protection hidden="1"/>
    </xf>
    <xf numFmtId="14" fontId="27" fillId="0" borderId="0" xfId="0" applyNumberFormat="1" applyFont="1" applyAlignment="1" applyProtection="1">
      <alignment horizontal="center"/>
      <protection hidden="1"/>
    </xf>
    <xf numFmtId="172" fontId="27" fillId="0" borderId="0" xfId="5" applyNumberFormat="1" applyFont="1" applyFill="1" applyBorder="1" applyProtection="1">
      <protection hidden="1"/>
    </xf>
    <xf numFmtId="0" fontId="23" fillId="0" borderId="12" xfId="0" applyFont="1" applyBorder="1" applyProtection="1">
      <protection hidden="1"/>
    </xf>
    <xf numFmtId="172" fontId="23" fillId="0" borderId="0" xfId="5" applyNumberFormat="1" applyFont="1" applyFill="1" applyBorder="1" applyProtection="1">
      <protection hidden="1"/>
    </xf>
    <xf numFmtId="0" fontId="27" fillId="0" borderId="0" xfId="0" applyFont="1" applyAlignment="1" applyProtection="1">
      <alignment horizontal="center"/>
      <protection hidden="1"/>
    </xf>
    <xf numFmtId="0" fontId="27" fillId="0" borderId="6" xfId="0" applyFont="1" applyBorder="1" applyProtection="1">
      <protection hidden="1"/>
    </xf>
    <xf numFmtId="0" fontId="27" fillId="0" borderId="7" xfId="0" applyFont="1" applyBorder="1" applyProtection="1">
      <protection hidden="1"/>
    </xf>
    <xf numFmtId="0" fontId="27" fillId="0" borderId="8" xfId="0" applyFont="1" applyBorder="1" applyProtection="1">
      <protection hidden="1"/>
    </xf>
    <xf numFmtId="172" fontId="11" fillId="0" borderId="0" xfId="0" applyNumberFormat="1" applyFont="1" applyAlignment="1" applyProtection="1">
      <alignment horizontal="center"/>
      <protection hidden="1"/>
    </xf>
    <xf numFmtId="172" fontId="11" fillId="0" borderId="0" xfId="0" applyNumberFormat="1" applyFont="1" applyAlignment="1" applyProtection="1">
      <alignment horizontal="left"/>
      <protection hidden="1"/>
    </xf>
    <xf numFmtId="14" fontId="16" fillId="0" borderId="0" xfId="0" applyNumberFormat="1" applyFont="1" applyAlignment="1" applyProtection="1">
      <alignment horizontal="left"/>
      <protection hidden="1"/>
    </xf>
    <xf numFmtId="14" fontId="11" fillId="0" borderId="0" xfId="0" applyNumberFormat="1" applyFont="1" applyAlignment="1" applyProtection="1">
      <alignment horizontal="center"/>
      <protection hidden="1"/>
    </xf>
    <xf numFmtId="164" fontId="0" fillId="0" borderId="0" xfId="2" applyFont="1" applyFill="1" applyBorder="1" applyAlignment="1" applyProtection="1">
      <alignment horizontal="center"/>
      <protection hidden="1"/>
    </xf>
    <xf numFmtId="0" fontId="11" fillId="0" borderId="0" xfId="0" applyFont="1" applyAlignment="1" applyProtection="1">
      <alignment horizontal="left"/>
      <protection hidden="1"/>
    </xf>
    <xf numFmtId="14" fontId="11" fillId="0" borderId="0" xfId="0" applyNumberFormat="1" applyFont="1" applyAlignment="1" applyProtection="1">
      <alignment horizontal="left"/>
      <protection hidden="1"/>
    </xf>
    <xf numFmtId="0" fontId="16" fillId="0" borderId="10" xfId="4" applyNumberFormat="1" applyFont="1" applyFill="1" applyBorder="1" applyAlignment="1" applyProtection="1">
      <alignment horizontal="left"/>
      <protection hidden="1"/>
    </xf>
    <xf numFmtId="0" fontId="16" fillId="0" borderId="11" xfId="4" applyNumberFormat="1" applyFont="1" applyFill="1" applyBorder="1" applyAlignment="1" applyProtection="1">
      <alignment horizontal="left"/>
      <protection hidden="1"/>
    </xf>
    <xf numFmtId="0" fontId="0" fillId="2" borderId="0" xfId="0" applyFill="1"/>
    <xf numFmtId="14" fontId="0" fillId="0" borderId="0" xfId="0" applyNumberFormat="1"/>
    <xf numFmtId="19" fontId="0" fillId="0" borderId="0" xfId="0" applyNumberFormat="1"/>
    <xf numFmtId="0" fontId="6" fillId="0" borderId="0" xfId="0" applyNumberFormat="1" applyFont="1" applyFill="1" applyBorder="1" applyAlignment="1" applyProtection="1">
      <alignment horizontal="left"/>
      <protection hidden="1"/>
    </xf>
    <xf numFmtId="164" fontId="4" fillId="0" borderId="0" xfId="5" applyNumberFormat="1" applyFont="1" applyFill="1" applyBorder="1" applyAlignment="1" applyProtection="1">
      <alignment horizontal="center" vertical="center"/>
      <protection hidden="1"/>
    </xf>
    <xf numFmtId="164" fontId="5" fillId="2" borderId="0" xfId="2" applyNumberFormat="1" applyFont="1" applyFill="1" applyAlignment="1" applyProtection="1">
      <alignment vertical="center"/>
      <protection hidden="1"/>
    </xf>
    <xf numFmtId="1" fontId="3" fillId="0" borderId="0" xfId="3" applyNumberFormat="1" applyFont="1" applyFill="1" applyAlignment="1" applyProtection="1">
      <alignment horizontal="center" vertical="center"/>
      <protection hidden="1"/>
    </xf>
    <xf numFmtId="1" fontId="3" fillId="0" borderId="0" xfId="0" applyNumberFormat="1" applyFont="1" applyFill="1" applyAlignment="1" applyProtection="1">
      <alignment horizontal="center" vertical="center"/>
      <protection hidden="1"/>
    </xf>
    <xf numFmtId="166" fontId="16" fillId="0" borderId="0" xfId="1" applyFont="1" applyFill="1" applyBorder="1" applyAlignment="1" applyProtection="1">
      <alignment horizontal="center"/>
      <protection hidden="1"/>
    </xf>
    <xf numFmtId="166" fontId="0" fillId="0" borderId="0" xfId="1" applyFont="1" applyBorder="1" applyAlignment="1" applyProtection="1">
      <alignment horizontal="left" vertical="center"/>
      <protection hidden="1"/>
    </xf>
    <xf numFmtId="166" fontId="14" fillId="0" borderId="0" xfId="1" applyFont="1" applyBorder="1" applyProtection="1">
      <protection hidden="1"/>
    </xf>
    <xf numFmtId="166" fontId="0" fillId="0" borderId="0" xfId="1" applyFont="1" applyBorder="1" applyProtection="1">
      <protection hidden="1"/>
    </xf>
    <xf numFmtId="166" fontId="0" fillId="0" borderId="0" xfId="1" applyFont="1" applyBorder="1" applyAlignment="1" applyProtection="1">
      <alignment horizontal="left" vertical="center" wrapText="1"/>
      <protection hidden="1"/>
    </xf>
    <xf numFmtId="166" fontId="0" fillId="0" borderId="0" xfId="1" applyFont="1" applyBorder="1" applyAlignment="1" applyProtection="1">
      <alignment horizontal="center"/>
      <protection hidden="1"/>
    </xf>
    <xf numFmtId="0" fontId="15" fillId="0" borderId="0" xfId="0" applyFont="1" applyFill="1" applyProtection="1">
      <protection hidden="1"/>
    </xf>
    <xf numFmtId="168" fontId="19" fillId="0" borderId="0" xfId="3" applyNumberFormat="1" applyFont="1" applyBorder="1" applyProtection="1">
      <protection hidden="1"/>
    </xf>
    <xf numFmtId="168" fontId="19" fillId="0" borderId="0" xfId="3" applyNumberFormat="1" applyFont="1" applyBorder="1" applyAlignment="1" applyProtection="1">
      <alignment horizontal="center"/>
      <protection hidden="1"/>
    </xf>
    <xf numFmtId="175" fontId="11" fillId="0" borderId="0" xfId="0" applyNumberFormat="1" applyFont="1" applyFill="1" applyProtection="1">
      <protection hidden="1"/>
    </xf>
    <xf numFmtId="17" fontId="11" fillId="9" borderId="27" xfId="0" applyNumberFormat="1" applyFont="1" applyFill="1" applyBorder="1" applyAlignment="1" applyProtection="1">
      <alignment horizontal="left"/>
      <protection hidden="1"/>
    </xf>
    <xf numFmtId="164" fontId="11" fillId="9" borderId="3" xfId="0" applyNumberFormat="1" applyFont="1" applyFill="1" applyBorder="1" applyAlignment="1" applyProtection="1">
      <alignment horizontal="center"/>
      <protection hidden="1"/>
    </xf>
    <xf numFmtId="164" fontId="11" fillId="9" borderId="28" xfId="0" applyNumberFormat="1" applyFont="1" applyFill="1" applyBorder="1" applyAlignment="1" applyProtection="1">
      <alignment horizontal="center"/>
      <protection hidden="1"/>
    </xf>
    <xf numFmtId="17" fontId="11" fillId="9" borderId="34" xfId="0" applyNumberFormat="1" applyFont="1" applyFill="1" applyBorder="1" applyAlignment="1" applyProtection="1">
      <alignment horizontal="left"/>
      <protection hidden="1"/>
    </xf>
    <xf numFmtId="164" fontId="11" fillId="9" borderId="10" xfId="0" applyNumberFormat="1" applyFont="1" applyFill="1" applyBorder="1" applyAlignment="1" applyProtection="1">
      <alignment horizontal="center"/>
      <protection hidden="1"/>
    </xf>
    <xf numFmtId="164" fontId="11" fillId="9" borderId="21" xfId="0" applyNumberFormat="1" applyFont="1" applyFill="1" applyBorder="1" applyAlignment="1" applyProtection="1">
      <alignment horizontal="center"/>
      <protection hidden="1"/>
    </xf>
    <xf numFmtId="17" fontId="11" fillId="9" borderId="29" xfId="0" applyNumberFormat="1" applyFont="1" applyFill="1" applyBorder="1" applyAlignment="1" applyProtection="1">
      <alignment horizontal="left"/>
      <protection hidden="1"/>
    </xf>
    <xf numFmtId="172" fontId="11" fillId="9" borderId="28" xfId="5" applyNumberFormat="1" applyFont="1" applyFill="1" applyBorder="1" applyAlignment="1" applyProtection="1">
      <alignment horizontal="center"/>
      <protection hidden="1"/>
    </xf>
    <xf numFmtId="17" fontId="11" fillId="9" borderId="20" xfId="0" applyNumberFormat="1" applyFont="1" applyFill="1" applyBorder="1" applyAlignment="1" applyProtection="1">
      <alignment horizontal="left"/>
      <protection hidden="1"/>
    </xf>
    <xf numFmtId="172" fontId="11" fillId="9" borderId="21" xfId="5" applyNumberFormat="1" applyFont="1" applyFill="1" applyBorder="1" applyAlignment="1" applyProtection="1">
      <alignment horizontal="center"/>
      <protection hidden="1"/>
    </xf>
    <xf numFmtId="17" fontId="11" fillId="9" borderId="35" xfId="0" applyNumberFormat="1" applyFont="1" applyFill="1" applyBorder="1" applyAlignment="1" applyProtection="1">
      <alignment horizontal="left"/>
      <protection hidden="1"/>
    </xf>
    <xf numFmtId="164" fontId="11" fillId="9" borderId="7" xfId="0" applyNumberFormat="1" applyFont="1" applyFill="1" applyBorder="1" applyAlignment="1" applyProtection="1">
      <alignment horizontal="center"/>
      <protection hidden="1"/>
    </xf>
    <xf numFmtId="164" fontId="11" fillId="9" borderId="36" xfId="0" applyNumberFormat="1" applyFont="1" applyFill="1" applyBorder="1" applyAlignment="1" applyProtection="1">
      <alignment horizontal="center"/>
      <protection hidden="1"/>
    </xf>
    <xf numFmtId="17" fontId="16" fillId="9" borderId="30" xfId="0" applyNumberFormat="1" applyFont="1" applyFill="1" applyBorder="1" applyAlignment="1" applyProtection="1">
      <alignment horizontal="left"/>
      <protection hidden="1"/>
    </xf>
    <xf numFmtId="164" fontId="16" fillId="9" borderId="31" xfId="0" applyNumberFormat="1" applyFont="1" applyFill="1" applyBorder="1" applyAlignment="1" applyProtection="1">
      <alignment horizontal="center"/>
      <protection hidden="1"/>
    </xf>
    <xf numFmtId="164" fontId="16" fillId="9" borderId="32" xfId="0" applyNumberFormat="1" applyFont="1" applyFill="1" applyBorder="1" applyAlignment="1" applyProtection="1">
      <alignment horizontal="center"/>
      <protection hidden="1"/>
    </xf>
    <xf numFmtId="17" fontId="11" fillId="9" borderId="37" xfId="0" applyNumberFormat="1" applyFont="1" applyFill="1" applyBorder="1" applyAlignment="1" applyProtection="1">
      <alignment horizontal="left"/>
      <protection hidden="1"/>
    </xf>
    <xf numFmtId="172" fontId="11" fillId="9" borderId="36" xfId="5" applyNumberFormat="1" applyFont="1" applyFill="1" applyBorder="1" applyAlignment="1" applyProtection="1">
      <alignment horizontal="center"/>
      <protection hidden="1"/>
    </xf>
    <xf numFmtId="17" fontId="16" fillId="9" borderId="33" xfId="0" applyNumberFormat="1" applyFont="1" applyFill="1" applyBorder="1" applyAlignment="1" applyProtection="1">
      <alignment horizontal="left"/>
      <protection hidden="1"/>
    </xf>
    <xf numFmtId="172" fontId="16" fillId="9" borderId="32" xfId="5" applyNumberFormat="1" applyFont="1" applyFill="1" applyBorder="1" applyAlignment="1" applyProtection="1">
      <alignment horizontal="center"/>
      <protection hidden="1"/>
    </xf>
    <xf numFmtId="176" fontId="19" fillId="0" borderId="0" xfId="2" applyNumberFormat="1" applyFont="1" applyBorder="1" applyAlignment="1" applyProtection="1">
      <alignment horizontal="center"/>
      <protection hidden="1"/>
    </xf>
    <xf numFmtId="176" fontId="19" fillId="0" borderId="0" xfId="3" applyNumberFormat="1" applyFont="1" applyBorder="1" applyProtection="1">
      <protection hidden="1"/>
    </xf>
    <xf numFmtId="168" fontId="18" fillId="0" borderId="0" xfId="0" applyNumberFormat="1" applyFont="1" applyFill="1" applyBorder="1" applyAlignment="1" applyProtection="1">
      <alignment horizontal="left"/>
      <protection hidden="1"/>
    </xf>
    <xf numFmtId="175" fontId="19" fillId="0" borderId="0" xfId="0" applyNumberFormat="1" applyFont="1" applyBorder="1" applyProtection="1">
      <protection hidden="1"/>
    </xf>
    <xf numFmtId="0" fontId="19" fillId="0" borderId="5" xfId="0" applyFont="1" applyBorder="1" applyAlignment="1" applyProtection="1">
      <alignment horizontal="center"/>
      <protection hidden="1"/>
    </xf>
    <xf numFmtId="164" fontId="19" fillId="0" borderId="15" xfId="0" applyNumberFormat="1" applyFont="1" applyBorder="1" applyProtection="1">
      <protection hidden="1"/>
    </xf>
    <xf numFmtId="0" fontId="14" fillId="10" borderId="5" xfId="0" applyFont="1" applyFill="1" applyBorder="1" applyAlignment="1" applyProtection="1">
      <alignment horizontal="left" vertical="center" wrapText="1"/>
      <protection hidden="1"/>
    </xf>
    <xf numFmtId="175" fontId="16" fillId="10" borderId="15" xfId="0" applyNumberFormat="1" applyFont="1" applyFill="1" applyBorder="1" applyAlignment="1" applyProtection="1">
      <alignment horizontal="left" vertical="center"/>
      <protection hidden="1"/>
    </xf>
    <xf numFmtId="0" fontId="16" fillId="13" borderId="5" xfId="0" applyFont="1" applyFill="1" applyBorder="1" applyAlignment="1" applyProtection="1">
      <alignment horizontal="left" vertical="center" wrapText="1"/>
      <protection hidden="1"/>
    </xf>
    <xf numFmtId="175" fontId="16" fillId="13" borderId="15" xfId="0" applyNumberFormat="1" applyFont="1" applyFill="1" applyBorder="1" applyAlignment="1" applyProtection="1">
      <alignment horizontal="left" vertical="center"/>
      <protection hidden="1"/>
    </xf>
    <xf numFmtId="0" fontId="16" fillId="12" borderId="5" xfId="0" applyFont="1" applyFill="1" applyBorder="1" applyAlignment="1" applyProtection="1">
      <alignment horizontal="left" vertical="center" wrapText="1"/>
      <protection hidden="1"/>
    </xf>
    <xf numFmtId="175" fontId="16" fillId="12" borderId="15" xfId="0" applyNumberFormat="1" applyFont="1" applyFill="1" applyBorder="1" applyAlignment="1" applyProtection="1">
      <alignment horizontal="left" vertical="center"/>
      <protection hidden="1"/>
    </xf>
    <xf numFmtId="0" fontId="16" fillId="9" borderId="5" xfId="0" applyFont="1" applyFill="1" applyBorder="1" applyAlignment="1" applyProtection="1">
      <alignment horizontal="left" vertical="center" wrapText="1"/>
      <protection hidden="1"/>
    </xf>
    <xf numFmtId="175" fontId="16" fillId="9" borderId="15" xfId="0" applyNumberFormat="1" applyFont="1" applyFill="1" applyBorder="1" applyAlignment="1" applyProtection="1">
      <alignment horizontal="left" vertical="center"/>
      <protection hidden="1"/>
    </xf>
    <xf numFmtId="0" fontId="16" fillId="7" borderId="5" xfId="0" applyFont="1" applyFill="1" applyBorder="1" applyAlignment="1" applyProtection="1">
      <alignment horizontal="left" vertical="center" wrapText="1"/>
      <protection hidden="1"/>
    </xf>
    <xf numFmtId="175" fontId="16" fillId="7" borderId="15" xfId="0" applyNumberFormat="1" applyFont="1" applyFill="1" applyBorder="1" applyAlignment="1" applyProtection="1">
      <alignment horizontal="left" vertical="center"/>
      <protection hidden="1"/>
    </xf>
    <xf numFmtId="176" fontId="19" fillId="0" borderId="0" xfId="0" applyNumberFormat="1" applyFont="1" applyBorder="1" applyAlignment="1" applyProtection="1">
      <alignment horizontal="center"/>
      <protection hidden="1"/>
    </xf>
    <xf numFmtId="166" fontId="0" fillId="0" borderId="0" xfId="0" applyNumberFormat="1" applyFont="1" applyBorder="1" applyProtection="1">
      <protection hidden="1"/>
    </xf>
    <xf numFmtId="168" fontId="14" fillId="0" borderId="0" xfId="0" applyNumberFormat="1" applyFont="1" applyBorder="1" applyAlignment="1" applyProtection="1">
      <alignment horizontal="center"/>
      <protection hidden="1"/>
    </xf>
    <xf numFmtId="0" fontId="11" fillId="0" borderId="0" xfId="0" applyFont="1" applyAlignment="1" applyProtection="1">
      <alignment horizontal="left" vertical="center"/>
      <protection hidden="1"/>
    </xf>
    <xf numFmtId="168" fontId="23" fillId="0" borderId="0" xfId="3" applyNumberFormat="1" applyFont="1" applyBorder="1" applyAlignment="1" applyProtection="1">
      <alignment horizontal="center"/>
      <protection hidden="1"/>
    </xf>
    <xf numFmtId="168" fontId="14" fillId="0" borderId="0" xfId="3" applyNumberFormat="1" applyFont="1" applyBorder="1" applyAlignment="1" applyProtection="1">
      <alignment horizontal="center"/>
      <protection hidden="1"/>
    </xf>
    <xf numFmtId="0" fontId="0" fillId="0" borderId="0" xfId="0" applyFill="1"/>
    <xf numFmtId="0" fontId="0" fillId="0" borderId="0" xfId="0" applyFont="1"/>
    <xf numFmtId="164" fontId="19" fillId="0" borderId="0" xfId="2" applyFont="1" applyBorder="1" applyProtection="1">
      <protection hidden="1"/>
    </xf>
    <xf numFmtId="164" fontId="20" fillId="0" borderId="0" xfId="2" applyFont="1" applyBorder="1" applyProtection="1">
      <protection hidden="1"/>
    </xf>
    <xf numFmtId="164" fontId="20" fillId="0" borderId="0" xfId="0" applyNumberFormat="1" applyFont="1" applyBorder="1" applyProtection="1">
      <protection hidden="1"/>
    </xf>
    <xf numFmtId="164" fontId="5" fillId="0" borderId="0" xfId="2" applyFont="1" applyFill="1" applyAlignment="1" applyProtection="1">
      <alignment vertical="center"/>
      <protection hidden="1"/>
    </xf>
    <xf numFmtId="175" fontId="19" fillId="0" borderId="0" xfId="0" applyNumberFormat="1" applyFont="1" applyBorder="1" applyAlignment="1" applyProtection="1">
      <alignment horizontal="left"/>
      <protection hidden="1"/>
    </xf>
    <xf numFmtId="0" fontId="23" fillId="0" borderId="0" xfId="0" applyFont="1" applyBorder="1" applyAlignment="1" applyProtection="1">
      <alignment horizontal="left"/>
      <protection hidden="1"/>
    </xf>
    <xf numFmtId="164" fontId="3" fillId="0" borderId="0" xfId="2" applyFont="1" applyFill="1" applyAlignment="1" applyProtection="1">
      <alignment vertical="center"/>
      <protection hidden="1"/>
    </xf>
    <xf numFmtId="0" fontId="15" fillId="2" borderId="33" xfId="0" applyFont="1" applyFill="1" applyBorder="1" applyProtection="1">
      <protection hidden="1"/>
    </xf>
    <xf numFmtId="175" fontId="15" fillId="2" borderId="32" xfId="0" applyNumberFormat="1" applyFont="1" applyFill="1" applyBorder="1" applyProtection="1">
      <protection hidden="1"/>
    </xf>
    <xf numFmtId="17" fontId="16" fillId="14" borderId="30" xfId="0" applyNumberFormat="1" applyFont="1" applyFill="1" applyBorder="1" applyAlignment="1" applyProtection="1">
      <alignment horizontal="left"/>
      <protection hidden="1"/>
    </xf>
    <xf numFmtId="164" fontId="16" fillId="14" borderId="31" xfId="0" applyNumberFormat="1" applyFont="1" applyFill="1" applyBorder="1" applyAlignment="1" applyProtection="1">
      <alignment horizontal="center"/>
      <protection hidden="1"/>
    </xf>
    <xf numFmtId="164" fontId="16" fillId="14" borderId="32" xfId="0" applyNumberFormat="1" applyFont="1" applyFill="1" applyBorder="1" applyAlignment="1" applyProtection="1">
      <alignment horizontal="center"/>
      <protection hidden="1"/>
    </xf>
    <xf numFmtId="17" fontId="16" fillId="14" borderId="33" xfId="0" applyNumberFormat="1" applyFont="1" applyFill="1" applyBorder="1" applyAlignment="1" applyProtection="1">
      <alignment horizontal="left"/>
      <protection hidden="1"/>
    </xf>
    <xf numFmtId="172" fontId="16" fillId="14" borderId="32" xfId="5" applyNumberFormat="1" applyFont="1" applyFill="1" applyBorder="1" applyAlignment="1" applyProtection="1">
      <alignment horizontal="center"/>
      <protection hidden="1"/>
    </xf>
    <xf numFmtId="0" fontId="19" fillId="0" borderId="38" xfId="0" applyFont="1" applyBorder="1" applyAlignment="1" applyProtection="1">
      <alignment horizontal="center" vertical="center"/>
      <protection hidden="1"/>
    </xf>
    <xf numFmtId="0" fontId="19" fillId="0" borderId="39" xfId="0" applyFont="1" applyBorder="1" applyAlignment="1" applyProtection="1">
      <alignment horizontal="center" vertical="center"/>
      <protection hidden="1"/>
    </xf>
    <xf numFmtId="0" fontId="19" fillId="0" borderId="40" xfId="0" applyFont="1" applyBorder="1" applyAlignment="1" applyProtection="1">
      <alignment horizontal="center" vertical="center"/>
      <protection hidden="1"/>
    </xf>
    <xf numFmtId="175" fontId="19" fillId="0" borderId="41" xfId="0" applyNumberFormat="1" applyFont="1" applyBorder="1" applyAlignment="1" applyProtection="1">
      <alignment horizontal="center"/>
      <protection hidden="1"/>
    </xf>
    <xf numFmtId="175" fontId="19" fillId="0" borderId="42" xfId="0" applyNumberFormat="1" applyFont="1" applyBorder="1" applyAlignment="1" applyProtection="1">
      <alignment horizontal="center"/>
      <protection hidden="1"/>
    </xf>
    <xf numFmtId="175" fontId="19" fillId="0" borderId="43" xfId="0" applyNumberFormat="1" applyFont="1" applyBorder="1" applyAlignment="1" applyProtection="1">
      <alignment horizontal="center"/>
      <protection hidden="1"/>
    </xf>
    <xf numFmtId="0" fontId="5" fillId="15" borderId="0" xfId="0" applyNumberFormat="1" applyFont="1" applyFill="1" applyAlignment="1" applyProtection="1">
      <alignment horizontal="center" vertical="center"/>
      <protection hidden="1"/>
    </xf>
    <xf numFmtId="1" fontId="3" fillId="15" borderId="0" xfId="3" applyNumberFormat="1" applyFont="1" applyFill="1" applyAlignment="1" applyProtection="1">
      <alignment horizontal="center" vertical="center"/>
      <protection hidden="1"/>
    </xf>
    <xf numFmtId="1" fontId="3" fillId="15" borderId="0" xfId="0" applyNumberFormat="1" applyFont="1" applyFill="1" applyAlignment="1" applyProtection="1">
      <alignment horizontal="center" vertical="center"/>
      <protection hidden="1"/>
    </xf>
    <xf numFmtId="164" fontId="3" fillId="0" borderId="0" xfId="2" applyFont="1" applyFill="1" applyAlignment="1" applyProtection="1">
      <alignment horizontal="center" vertical="center"/>
      <protection hidden="1"/>
    </xf>
    <xf numFmtId="0" fontId="6" fillId="0" borderId="0" xfId="0" applyNumberFormat="1" applyFont="1" applyFill="1" applyAlignment="1" applyProtection="1">
      <alignment vertical="center"/>
      <protection hidden="1"/>
    </xf>
    <xf numFmtId="0" fontId="5" fillId="7" borderId="0" xfId="0" applyNumberFormat="1" applyFont="1" applyFill="1" applyAlignment="1" applyProtection="1">
      <alignment vertical="center"/>
      <protection hidden="1"/>
    </xf>
    <xf numFmtId="164" fontId="3" fillId="7" borderId="0" xfId="0" applyNumberFormat="1" applyFont="1" applyFill="1" applyAlignment="1" applyProtection="1">
      <alignment vertical="center"/>
      <protection hidden="1"/>
    </xf>
    <xf numFmtId="42" fontId="6" fillId="0" borderId="12" xfId="0" applyNumberFormat="1" applyFont="1" applyFill="1" applyBorder="1" applyAlignment="1" applyProtection="1">
      <alignment horizontal="right" vertical="center"/>
      <protection hidden="1"/>
    </xf>
    <xf numFmtId="42" fontId="6" fillId="0" borderId="6" xfId="0" applyNumberFormat="1" applyFont="1" applyFill="1" applyBorder="1" applyAlignment="1" applyProtection="1">
      <alignment horizontal="right" vertical="center"/>
      <protection hidden="1"/>
    </xf>
    <xf numFmtId="42" fontId="6" fillId="0" borderId="0" xfId="0" applyNumberFormat="1" applyFont="1" applyFill="1" applyAlignment="1" applyProtection="1">
      <alignment horizontal="right" vertical="center"/>
      <protection hidden="1"/>
    </xf>
    <xf numFmtId="42" fontId="6" fillId="0" borderId="0" xfId="0" applyNumberFormat="1" applyFont="1" applyFill="1" applyBorder="1" applyAlignment="1" applyProtection="1">
      <alignment horizontal="right" vertical="center"/>
      <protection hidden="1"/>
    </xf>
    <xf numFmtId="42" fontId="6" fillId="0" borderId="7" xfId="0" applyNumberFormat="1" applyFont="1" applyFill="1" applyBorder="1" applyAlignment="1" applyProtection="1">
      <alignment horizontal="right" vertical="center"/>
      <protection hidden="1"/>
    </xf>
    <xf numFmtId="42" fontId="6" fillId="0" borderId="10" xfId="0" applyNumberFormat="1" applyFont="1" applyFill="1" applyBorder="1" applyAlignment="1" applyProtection="1">
      <alignment horizontal="right" vertical="center"/>
      <protection hidden="1"/>
    </xf>
    <xf numFmtId="42" fontId="6" fillId="0" borderId="11" xfId="0" applyNumberFormat="1" applyFont="1" applyFill="1" applyBorder="1" applyAlignment="1" applyProtection="1">
      <alignment horizontal="right" vertical="center"/>
      <protection hidden="1"/>
    </xf>
    <xf numFmtId="42" fontId="6" fillId="0" borderId="0" xfId="0" applyNumberFormat="1" applyFont="1" applyFill="1" applyBorder="1" applyAlignment="1" applyProtection="1">
      <alignment horizontal="center" vertical="center"/>
      <protection hidden="1"/>
    </xf>
    <xf numFmtId="42" fontId="6" fillId="0" borderId="13" xfId="0" applyNumberFormat="1" applyFont="1" applyFill="1" applyBorder="1" applyAlignment="1" applyProtection="1">
      <alignment horizontal="right" vertical="center"/>
      <protection hidden="1"/>
    </xf>
    <xf numFmtId="42" fontId="6" fillId="0" borderId="8" xfId="0" applyNumberFormat="1" applyFont="1" applyFill="1" applyBorder="1" applyAlignment="1" applyProtection="1">
      <alignment horizontal="right" vertical="center"/>
      <protection hidden="1"/>
    </xf>
    <xf numFmtId="9" fontId="3" fillId="15" borderId="0" xfId="3" applyFont="1" applyFill="1" applyAlignment="1" applyProtection="1">
      <alignment horizontal="center" vertical="center"/>
      <protection hidden="1"/>
    </xf>
    <xf numFmtId="0" fontId="5" fillId="16" borderId="0" xfId="0" applyNumberFormat="1" applyFont="1" applyFill="1" applyAlignment="1" applyProtection="1">
      <alignment vertical="center"/>
      <protection hidden="1"/>
    </xf>
    <xf numFmtId="164" fontId="3" fillId="16" borderId="0" xfId="0" applyNumberFormat="1" applyFont="1" applyFill="1" applyAlignment="1" applyProtection="1">
      <alignment vertical="center"/>
      <protection hidden="1"/>
    </xf>
    <xf numFmtId="3" fontId="6" fillId="0" borderId="14" xfId="0" applyNumberFormat="1" applyFont="1" applyFill="1" applyBorder="1" applyAlignment="1" applyProtection="1">
      <alignment horizontal="center"/>
      <protection hidden="1"/>
    </xf>
    <xf numFmtId="3" fontId="6" fillId="0" borderId="15" xfId="0" applyNumberFormat="1" applyFont="1" applyFill="1" applyBorder="1" applyAlignment="1" applyProtection="1">
      <alignment horizontal="center"/>
      <protection hidden="1"/>
    </xf>
    <xf numFmtId="3" fontId="6" fillId="0" borderId="5" xfId="0" applyNumberFormat="1" applyFont="1" applyFill="1" applyBorder="1" applyAlignment="1" applyProtection="1">
      <alignment horizontal="center"/>
      <protection hidden="1"/>
    </xf>
    <xf numFmtId="0" fontId="5" fillId="0" borderId="5" xfId="0" applyNumberFormat="1" applyFont="1" applyFill="1" applyBorder="1" applyAlignment="1" applyProtection="1">
      <alignment vertical="center"/>
      <protection hidden="1"/>
    </xf>
    <xf numFmtId="0" fontId="3" fillId="0" borderId="14" xfId="0" applyNumberFormat="1" applyFont="1" applyFill="1" applyBorder="1" applyAlignment="1" applyProtection="1">
      <alignment vertical="center"/>
      <protection hidden="1"/>
    </xf>
    <xf numFmtId="0" fontId="3" fillId="0" borderId="15" xfId="0" applyNumberFormat="1" applyFont="1" applyFill="1" applyBorder="1" applyAlignment="1" applyProtection="1">
      <alignment vertical="center"/>
      <protection hidden="1"/>
    </xf>
    <xf numFmtId="165" fontId="6" fillId="0" borderId="5" xfId="2" applyNumberFormat="1" applyFont="1" applyFill="1" applyBorder="1" applyAlignment="1" applyProtection="1">
      <alignment horizontal="center" vertical="center"/>
      <protection hidden="1"/>
    </xf>
    <xf numFmtId="165" fontId="7" fillId="0" borderId="14" xfId="2" applyNumberFormat="1" applyFont="1" applyFill="1" applyBorder="1" applyAlignment="1" applyProtection="1">
      <alignment horizontal="center" vertical="center"/>
      <protection hidden="1"/>
    </xf>
    <xf numFmtId="165" fontId="7" fillId="0" borderId="15" xfId="2" applyNumberFormat="1" applyFont="1" applyFill="1" applyBorder="1" applyAlignment="1" applyProtection="1">
      <alignment horizontal="center" vertical="center"/>
      <protection hidden="1"/>
    </xf>
    <xf numFmtId="0" fontId="2" fillId="3" borderId="0" xfId="0" applyFont="1" applyFill="1" applyAlignment="1" applyProtection="1">
      <alignment horizontal="center" vertical="center"/>
      <protection hidden="1"/>
    </xf>
    <xf numFmtId="42" fontId="26" fillId="0" borderId="1" xfId="0" applyNumberFormat="1" applyFont="1" applyFill="1" applyBorder="1" applyAlignment="1" applyProtection="1">
      <alignment horizontal="center" vertical="center"/>
      <protection hidden="1"/>
    </xf>
    <xf numFmtId="0" fontId="15" fillId="0" borderId="0" xfId="0" applyFont="1" applyProtection="1">
      <protection hidden="1"/>
    </xf>
    <xf numFmtId="0" fontId="0" fillId="0" borderId="0" xfId="0" applyFill="1" applyAlignment="1" applyProtection="1">
      <alignment horizontal="center"/>
      <protection hidden="1"/>
    </xf>
    <xf numFmtId="0" fontId="14" fillId="0" borderId="0" xfId="0" applyFont="1" applyFill="1" applyAlignment="1" applyProtection="1">
      <alignment horizontal="left"/>
      <protection hidden="1"/>
    </xf>
    <xf numFmtId="0" fontId="15" fillId="0" borderId="0" xfId="0" applyFont="1" applyAlignment="1" applyProtection="1">
      <alignment horizontal="left"/>
      <protection hidden="1"/>
    </xf>
    <xf numFmtId="42" fontId="0" fillId="0" borderId="0" xfId="0" applyNumberFormat="1" applyAlignment="1" applyProtection="1">
      <alignment horizontal="right"/>
      <protection hidden="1"/>
    </xf>
    <xf numFmtId="42" fontId="14" fillId="0" borderId="0" xfId="5" applyNumberFormat="1" applyFont="1" applyBorder="1" applyAlignment="1" applyProtection="1">
      <alignment horizontal="right"/>
      <protection hidden="1"/>
    </xf>
    <xf numFmtId="42" fontId="14" fillId="0" borderId="0" xfId="0" applyNumberFormat="1" applyFont="1" applyAlignment="1" applyProtection="1">
      <alignment horizontal="left"/>
      <protection hidden="1"/>
    </xf>
    <xf numFmtId="14" fontId="14" fillId="0" borderId="0" xfId="0" applyNumberFormat="1" applyFont="1" applyAlignment="1" applyProtection="1">
      <alignment horizontal="center"/>
      <protection hidden="1"/>
    </xf>
    <xf numFmtId="14" fontId="14" fillId="0" borderId="0" xfId="0" applyNumberFormat="1" applyFont="1" applyFill="1" applyAlignment="1" applyProtection="1">
      <alignment horizontal="left"/>
      <protection hidden="1"/>
    </xf>
    <xf numFmtId="14" fontId="0" fillId="0" borderId="0" xfId="0" applyNumberFormat="1" applyFill="1" applyAlignment="1" applyProtection="1">
      <alignment horizontal="center"/>
      <protection hidden="1"/>
    </xf>
    <xf numFmtId="42" fontId="0" fillId="0" borderId="0" xfId="0" applyNumberFormat="1" applyAlignment="1" applyProtection="1">
      <alignment horizontal="center"/>
      <protection hidden="1"/>
    </xf>
    <xf numFmtId="175" fontId="5" fillId="0" borderId="10" xfId="0" applyNumberFormat="1" applyFont="1" applyFill="1" applyBorder="1" applyAlignment="1" applyProtection="1">
      <alignment horizontal="right" vertical="center"/>
      <protection hidden="1"/>
    </xf>
    <xf numFmtId="175" fontId="5" fillId="0" borderId="11" xfId="0" applyNumberFormat="1" applyFont="1" applyFill="1" applyBorder="1" applyAlignment="1" applyProtection="1">
      <alignment horizontal="right" vertical="center"/>
      <protection hidden="1"/>
    </xf>
    <xf numFmtId="164" fontId="15" fillId="0" borderId="0" xfId="2" applyFont="1" applyFill="1" applyBorder="1" applyAlignment="1" applyProtection="1">
      <alignment horizontal="center"/>
      <protection hidden="1"/>
    </xf>
    <xf numFmtId="0" fontId="0" fillId="0" borderId="0" xfId="0" applyFill="1" applyProtection="1">
      <protection hidden="1"/>
    </xf>
    <xf numFmtId="176" fontId="19" fillId="0" borderId="0" xfId="3" applyNumberFormat="1" applyFont="1" applyBorder="1" applyAlignment="1" applyProtection="1">
      <alignment horizontal="center"/>
      <protection hidden="1"/>
    </xf>
    <xf numFmtId="0" fontId="16" fillId="0" borderId="0" xfId="0" applyFont="1" applyBorder="1" applyAlignment="1" applyProtection="1">
      <alignment horizontal="left"/>
      <protection hidden="1"/>
    </xf>
    <xf numFmtId="0" fontId="16" fillId="0" borderId="0" xfId="0" applyFont="1" applyBorder="1" applyAlignment="1" applyProtection="1">
      <alignment horizontal="center"/>
      <protection hidden="1"/>
    </xf>
    <xf numFmtId="166" fontId="0" fillId="0" borderId="0" xfId="1" applyFont="1" applyFill="1" applyBorder="1" applyAlignment="1" applyProtection="1">
      <alignment horizontal="center"/>
      <protection hidden="1"/>
    </xf>
    <xf numFmtId="1" fontId="3" fillId="0" borderId="0" xfId="0" applyNumberFormat="1" applyFont="1" applyFill="1" applyAlignment="1" applyProtection="1">
      <alignment vertical="center"/>
      <protection hidden="1"/>
    </xf>
    <xf numFmtId="42" fontId="0" fillId="0" borderId="0" xfId="0" applyNumberFormat="1" applyFill="1" applyAlignment="1" applyProtection="1">
      <alignment horizontal="right"/>
      <protection hidden="1"/>
    </xf>
    <xf numFmtId="0" fontId="0" fillId="0" borderId="0" xfId="0" applyFill="1" applyAlignment="1" applyProtection="1">
      <alignment horizontal="left"/>
      <protection hidden="1"/>
    </xf>
    <xf numFmtId="167" fontId="0" fillId="0" borderId="0" xfId="0" applyNumberFormat="1" applyFill="1" applyAlignment="1" applyProtection="1">
      <alignment horizontal="center"/>
      <protection hidden="1"/>
    </xf>
    <xf numFmtId="0" fontId="0" fillId="12" borderId="0" xfId="0" applyFont="1" applyFill="1" applyAlignment="1" applyProtection="1">
      <alignment horizontal="left"/>
      <protection hidden="1"/>
    </xf>
    <xf numFmtId="0" fontId="23" fillId="0" borderId="2" xfId="0" applyFont="1" applyFill="1" applyBorder="1" applyAlignment="1" applyProtection="1">
      <alignment horizontal="left"/>
      <protection hidden="1"/>
    </xf>
    <xf numFmtId="14" fontId="11" fillId="0" borderId="0" xfId="0" applyNumberFormat="1" applyFont="1" applyFill="1" applyAlignment="1" applyProtection="1">
      <alignment horizontal="left"/>
      <protection hidden="1"/>
    </xf>
    <xf numFmtId="164" fontId="0" fillId="0" borderId="0" xfId="2" applyFont="1" applyFill="1" applyBorder="1" applyAlignment="1" applyProtection="1">
      <alignment horizontal="right"/>
      <protection hidden="1"/>
    </xf>
    <xf numFmtId="0" fontId="6" fillId="0" borderId="9" xfId="0" applyNumberFormat="1" applyFont="1" applyFill="1" applyBorder="1" applyAlignment="1" applyProtection="1">
      <alignment vertical="center" readingOrder="1"/>
      <protection hidden="1"/>
    </xf>
    <xf numFmtId="0" fontId="23" fillId="0" borderId="2" xfId="0" applyFont="1" applyFill="1" applyBorder="1" applyAlignment="1" applyProtection="1">
      <alignment horizontal="center"/>
      <protection hidden="1"/>
    </xf>
    <xf numFmtId="0" fontId="23" fillId="0" borderId="4" xfId="0" applyFont="1" applyFill="1" applyBorder="1" applyAlignment="1" applyProtection="1">
      <alignment horizontal="center"/>
      <protection hidden="1"/>
    </xf>
    <xf numFmtId="0" fontId="0" fillId="0" borderId="0" xfId="0" applyFont="1" applyFill="1" applyBorder="1" applyAlignment="1" applyProtection="1">
      <alignment horizontal="left"/>
      <protection hidden="1"/>
    </xf>
    <xf numFmtId="0" fontId="0" fillId="12" borderId="0" xfId="0" applyFont="1" applyFill="1" applyAlignment="1" applyProtection="1">
      <alignment horizontal="left"/>
      <protection hidden="1"/>
    </xf>
    <xf numFmtId="167" fontId="0" fillId="0" borderId="0" xfId="0" applyNumberFormat="1" applyFont="1" applyFill="1" applyBorder="1" applyAlignment="1" applyProtection="1">
      <alignment horizontal="center"/>
      <protection hidden="1"/>
    </xf>
    <xf numFmtId="20" fontId="0" fillId="0" borderId="0" xfId="0" applyNumberFormat="1" applyFont="1" applyFill="1" applyBorder="1" applyAlignment="1" applyProtection="1">
      <alignment horizontal="center"/>
      <protection hidden="1"/>
    </xf>
    <xf numFmtId="14" fontId="11" fillId="0" borderId="0" xfId="0" applyNumberFormat="1" applyFont="1" applyFill="1" applyAlignment="1" applyProtection="1">
      <alignment horizontal="center"/>
      <protection hidden="1"/>
    </xf>
    <xf numFmtId="0" fontId="15" fillId="0" borderId="0" xfId="0" applyFont="1" applyFill="1" applyAlignment="1" applyProtection="1">
      <alignment horizontal="left"/>
      <protection hidden="1"/>
    </xf>
    <xf numFmtId="0" fontId="15" fillId="0" borderId="0" xfId="0" applyFont="1" applyFill="1" applyAlignment="1" applyProtection="1">
      <alignment horizontal="center"/>
      <protection hidden="1"/>
    </xf>
    <xf numFmtId="14" fontId="15" fillId="0" borderId="0" xfId="0" applyNumberFormat="1" applyFont="1" applyFill="1" applyAlignment="1" applyProtection="1">
      <alignment horizontal="center"/>
      <protection hidden="1"/>
    </xf>
    <xf numFmtId="0" fontId="6" fillId="7" borderId="0" xfId="0" applyFont="1" applyFill="1" applyProtection="1">
      <protection hidden="1"/>
    </xf>
    <xf numFmtId="164" fontId="6" fillId="0" borderId="0" xfId="2" applyFont="1" applyFill="1" applyProtection="1">
      <protection hidden="1"/>
    </xf>
    <xf numFmtId="0" fontId="5" fillId="0" borderId="0" xfId="0" applyFont="1" applyFill="1" applyAlignment="1" applyProtection="1">
      <alignment horizontal="center"/>
      <protection hidden="1"/>
    </xf>
    <xf numFmtId="0" fontId="6" fillId="0" borderId="0" xfId="0" applyFont="1" applyFill="1" applyAlignment="1" applyProtection="1">
      <protection hidden="1"/>
    </xf>
    <xf numFmtId="168" fontId="6" fillId="0" borderId="0" xfId="3" applyNumberFormat="1" applyFont="1" applyFill="1" applyAlignment="1" applyProtection="1">
      <alignment horizontal="center"/>
      <protection hidden="1"/>
    </xf>
    <xf numFmtId="0" fontId="5" fillId="7" borderId="17" xfId="0" applyFont="1" applyFill="1" applyBorder="1" applyProtection="1">
      <protection hidden="1"/>
    </xf>
    <xf numFmtId="0" fontId="5" fillId="7" borderId="18" xfId="0" applyFont="1" applyFill="1" applyBorder="1" applyAlignment="1" applyProtection="1">
      <alignment horizontal="center"/>
      <protection hidden="1"/>
    </xf>
    <xf numFmtId="0" fontId="5" fillId="7" borderId="19" xfId="0" applyFont="1" applyFill="1" applyBorder="1" applyAlignment="1" applyProtection="1">
      <alignment horizontal="center"/>
      <protection hidden="1"/>
    </xf>
    <xf numFmtId="176" fontId="30" fillId="0" borderId="0" xfId="2" applyNumberFormat="1" applyFont="1" applyBorder="1" applyAlignment="1">
      <alignment horizontal="left"/>
    </xf>
    <xf numFmtId="0" fontId="31" fillId="0" borderId="0" xfId="0" applyFont="1"/>
    <xf numFmtId="0" fontId="5" fillId="0" borderId="0" xfId="0" applyFont="1" applyFill="1" applyProtection="1">
      <protection hidden="1"/>
    </xf>
    <xf numFmtId="166" fontId="5" fillId="0" borderId="0" xfId="1" applyFont="1" applyFill="1" applyAlignment="1" applyProtection="1">
      <alignment horizontal="center"/>
      <protection hidden="1"/>
    </xf>
    <xf numFmtId="0" fontId="4" fillId="0" borderId="27" xfId="0" applyFont="1" applyFill="1" applyBorder="1" applyProtection="1">
      <protection hidden="1"/>
    </xf>
    <xf numFmtId="176" fontId="4" fillId="0" borderId="1" xfId="2" applyNumberFormat="1" applyFont="1" applyFill="1" applyBorder="1" applyAlignment="1" applyProtection="1">
      <alignment horizontal="center"/>
      <protection hidden="1"/>
    </xf>
    <xf numFmtId="0" fontId="6" fillId="0" borderId="45" xfId="0" applyFont="1" applyFill="1" applyBorder="1" applyProtection="1">
      <protection hidden="1"/>
    </xf>
    <xf numFmtId="0" fontId="30" fillId="0" borderId="0" xfId="0" applyFont="1" applyBorder="1" applyAlignment="1">
      <alignment horizontal="left"/>
    </xf>
    <xf numFmtId="42" fontId="32" fillId="0" borderId="0" xfId="2" applyNumberFormat="1" applyFont="1" applyBorder="1" applyAlignment="1">
      <alignment horizontal="center"/>
    </xf>
    <xf numFmtId="0" fontId="32" fillId="0" borderId="0" xfId="0" applyFont="1" applyBorder="1" applyAlignment="1">
      <alignment horizontal="center"/>
    </xf>
    <xf numFmtId="0" fontId="32" fillId="0" borderId="0" xfId="0" applyFont="1" applyAlignment="1">
      <alignment horizontal="center"/>
    </xf>
    <xf numFmtId="0" fontId="4" fillId="0" borderId="0" xfId="0" applyFont="1" applyFill="1" applyBorder="1" applyAlignment="1" applyProtection="1">
      <alignment horizontal="left"/>
      <protection hidden="1"/>
    </xf>
    <xf numFmtId="0" fontId="5" fillId="0" borderId="0" xfId="0" applyFont="1" applyFill="1" applyBorder="1" applyAlignment="1" applyProtection="1">
      <alignment horizontal="center"/>
      <protection hidden="1"/>
    </xf>
    <xf numFmtId="0" fontId="6" fillId="0" borderId="27" xfId="0" applyFont="1" applyFill="1" applyBorder="1" applyAlignment="1" applyProtection="1">
      <protection hidden="1"/>
    </xf>
    <xf numFmtId="1" fontId="6" fillId="0" borderId="1" xfId="0" applyNumberFormat="1" applyFont="1" applyFill="1" applyBorder="1" applyAlignment="1" applyProtection="1">
      <alignment horizontal="center"/>
      <protection hidden="1"/>
    </xf>
    <xf numFmtId="1" fontId="6" fillId="0" borderId="45" xfId="0" applyNumberFormat="1" applyFont="1" applyFill="1" applyBorder="1" applyAlignment="1" applyProtection="1">
      <alignment horizontal="center"/>
      <protection hidden="1"/>
    </xf>
    <xf numFmtId="0" fontId="31" fillId="0" borderId="0" xfId="0" applyFont="1" applyBorder="1" applyAlignment="1">
      <alignment vertical="center"/>
    </xf>
    <xf numFmtId="1" fontId="31" fillId="0" borderId="0" xfId="2" applyNumberFormat="1" applyFont="1" applyBorder="1" applyAlignment="1">
      <alignment horizontal="center"/>
    </xf>
    <xf numFmtId="164" fontId="31" fillId="0" borderId="0" xfId="2" applyFont="1" applyBorder="1"/>
    <xf numFmtId="164" fontId="31" fillId="0" borderId="0" xfId="2" applyFont="1" applyFill="1" applyBorder="1" applyAlignment="1">
      <alignment horizontal="center"/>
    </xf>
    <xf numFmtId="0" fontId="6" fillId="0" borderId="1" xfId="0" applyFont="1" applyFill="1" applyBorder="1" applyProtection="1">
      <protection hidden="1"/>
    </xf>
    <xf numFmtId="1" fontId="6" fillId="0" borderId="1" xfId="1" applyNumberFormat="1" applyFont="1" applyFill="1" applyBorder="1" applyAlignment="1" applyProtection="1">
      <alignment horizontal="center"/>
      <protection hidden="1"/>
    </xf>
    <xf numFmtId="164" fontId="6" fillId="0" borderId="1" xfId="2" applyFont="1" applyFill="1" applyBorder="1" applyProtection="1">
      <protection hidden="1"/>
    </xf>
    <xf numFmtId="164" fontId="5" fillId="0" borderId="1" xfId="2" applyFont="1" applyFill="1" applyBorder="1" applyProtection="1">
      <protection hidden="1"/>
    </xf>
    <xf numFmtId="0" fontId="5" fillId="0" borderId="1" xfId="0" applyFont="1" applyFill="1" applyBorder="1" applyAlignment="1" applyProtection="1">
      <alignment horizontal="left"/>
      <protection hidden="1"/>
    </xf>
    <xf numFmtId="42" fontId="5" fillId="0" borderId="1" xfId="2" applyNumberFormat="1" applyFont="1" applyFill="1" applyBorder="1" applyAlignment="1" applyProtection="1">
      <alignment horizontal="center"/>
      <protection hidden="1"/>
    </xf>
    <xf numFmtId="164" fontId="6" fillId="7" borderId="0" xfId="0" applyNumberFormat="1" applyFont="1" applyFill="1" applyBorder="1" applyProtection="1">
      <protection hidden="1"/>
    </xf>
    <xf numFmtId="168" fontId="6" fillId="7" borderId="0" xfId="3" applyNumberFormat="1" applyFont="1" applyFill="1" applyBorder="1" applyAlignment="1" applyProtection="1">
      <alignment horizontal="right"/>
      <protection hidden="1"/>
    </xf>
    <xf numFmtId="0" fontId="5" fillId="0" borderId="0" xfId="0" applyFont="1" applyFill="1" applyAlignment="1" applyProtection="1">
      <alignment horizontal="left"/>
      <protection hidden="1"/>
    </xf>
    <xf numFmtId="0" fontId="6" fillId="0" borderId="41" xfId="0" applyFont="1" applyFill="1" applyBorder="1" applyProtection="1">
      <protection hidden="1"/>
    </xf>
    <xf numFmtId="1" fontId="6" fillId="0" borderId="0" xfId="0" applyNumberFormat="1" applyFont="1" applyFill="1" applyAlignment="1" applyProtection="1">
      <alignment horizontal="center"/>
      <protection hidden="1"/>
    </xf>
    <xf numFmtId="164" fontId="6" fillId="0" borderId="0" xfId="0" applyNumberFormat="1" applyFont="1" applyFill="1" applyProtection="1">
      <protection hidden="1"/>
    </xf>
    <xf numFmtId="0" fontId="6" fillId="0" borderId="1" xfId="0" applyFont="1" applyFill="1" applyBorder="1" applyAlignment="1" applyProtection="1">
      <alignment horizontal="left"/>
      <protection hidden="1"/>
    </xf>
    <xf numFmtId="168" fontId="33" fillId="4" borderId="0" xfId="3" applyNumberFormat="1" applyFont="1" applyFill="1" applyBorder="1" applyAlignment="1" applyProtection="1">
      <protection hidden="1"/>
    </xf>
    <xf numFmtId="166" fontId="33" fillId="4" borderId="0" xfId="1" applyFont="1" applyFill="1" applyBorder="1" applyAlignment="1" applyProtection="1">
      <alignment horizontal="right"/>
      <protection hidden="1"/>
    </xf>
    <xf numFmtId="0" fontId="5" fillId="14" borderId="17" xfId="0" applyFont="1" applyFill="1" applyBorder="1" applyProtection="1">
      <protection hidden="1"/>
    </xf>
    <xf numFmtId="0" fontId="5" fillId="14" borderId="18" xfId="0" applyFont="1" applyFill="1" applyBorder="1" applyAlignment="1" applyProtection="1">
      <alignment horizontal="center"/>
      <protection hidden="1"/>
    </xf>
    <xf numFmtId="0" fontId="5" fillId="14" borderId="19" xfId="0" applyFont="1" applyFill="1" applyBorder="1" applyAlignment="1" applyProtection="1">
      <alignment horizontal="center"/>
      <protection hidden="1"/>
    </xf>
    <xf numFmtId="0" fontId="6" fillId="0" borderId="5" xfId="0" applyFont="1" applyFill="1" applyBorder="1" applyProtection="1">
      <protection hidden="1"/>
    </xf>
    <xf numFmtId="164" fontId="6" fillId="0" borderId="5" xfId="2" applyFont="1" applyFill="1" applyBorder="1" applyAlignment="1" applyProtection="1">
      <alignment horizontal="center"/>
      <protection hidden="1"/>
    </xf>
    <xf numFmtId="168" fontId="9" fillId="0" borderId="0" xfId="3" applyNumberFormat="1" applyFont="1" applyFill="1" applyBorder="1" applyAlignment="1" applyProtection="1">
      <protection hidden="1"/>
    </xf>
    <xf numFmtId="168" fontId="9" fillId="0" borderId="0" xfId="3" applyNumberFormat="1" applyFont="1" applyFill="1" applyBorder="1" applyAlignment="1" applyProtection="1">
      <alignment horizontal="right"/>
      <protection hidden="1"/>
    </xf>
    <xf numFmtId="0" fontId="6" fillId="0" borderId="29" xfId="0" applyFont="1" applyFill="1" applyBorder="1" applyProtection="1">
      <protection hidden="1"/>
    </xf>
    <xf numFmtId="164" fontId="6" fillId="0" borderId="1" xfId="2" applyFont="1" applyFill="1" applyBorder="1" applyAlignment="1" applyProtection="1">
      <alignment horizontal="center"/>
      <protection hidden="1"/>
    </xf>
    <xf numFmtId="164" fontId="6" fillId="0" borderId="45" xfId="0" applyNumberFormat="1" applyFont="1" applyFill="1" applyBorder="1" applyAlignment="1" applyProtection="1">
      <alignment horizontal="center"/>
      <protection hidden="1"/>
    </xf>
    <xf numFmtId="0" fontId="5" fillId="7" borderId="2" xfId="0" applyFont="1" applyFill="1" applyBorder="1" applyProtection="1">
      <protection hidden="1"/>
    </xf>
    <xf numFmtId="164" fontId="5" fillId="7" borderId="3" xfId="2" applyFont="1" applyFill="1" applyBorder="1" applyProtection="1">
      <protection hidden="1"/>
    </xf>
    <xf numFmtId="164" fontId="5" fillId="7" borderId="4" xfId="2" applyFont="1" applyFill="1" applyBorder="1" applyProtection="1">
      <protection hidden="1"/>
    </xf>
    <xf numFmtId="168" fontId="4" fillId="0" borderId="0" xfId="3" applyNumberFormat="1" applyFont="1" applyFill="1" applyBorder="1" applyAlignment="1" applyProtection="1">
      <alignment wrapText="1"/>
      <protection hidden="1"/>
    </xf>
    <xf numFmtId="164" fontId="5" fillId="7" borderId="0" xfId="0" applyNumberFormat="1" applyFont="1" applyFill="1" applyBorder="1" applyProtection="1">
      <protection hidden="1"/>
    </xf>
    <xf numFmtId="168" fontId="5" fillId="7" borderId="0" xfId="3" applyNumberFormat="1" applyFont="1" applyFill="1" applyBorder="1" applyAlignment="1" applyProtection="1">
      <alignment horizontal="right"/>
      <protection hidden="1"/>
    </xf>
    <xf numFmtId="164" fontId="5" fillId="0" borderId="0" xfId="2" applyFont="1" applyFill="1" applyProtection="1">
      <protection hidden="1"/>
    </xf>
    <xf numFmtId="164" fontId="9" fillId="0" borderId="0" xfId="2" applyFont="1" applyFill="1" applyBorder="1" applyAlignment="1" applyProtection="1">
      <alignment horizontal="right"/>
      <protection hidden="1"/>
    </xf>
    <xf numFmtId="0" fontId="5" fillId="0" borderId="29" xfId="0" applyFont="1" applyFill="1" applyBorder="1" applyProtection="1">
      <protection hidden="1"/>
    </xf>
    <xf numFmtId="164" fontId="5" fillId="0" borderId="1" xfId="2" applyFont="1" applyFill="1" applyBorder="1" applyAlignment="1" applyProtection="1">
      <alignment horizontal="center"/>
      <protection hidden="1"/>
    </xf>
    <xf numFmtId="164" fontId="5" fillId="0" borderId="45" xfId="2" applyFont="1" applyFill="1" applyBorder="1" applyAlignment="1" applyProtection="1">
      <alignment horizontal="center"/>
      <protection hidden="1"/>
    </xf>
    <xf numFmtId="0" fontId="6" fillId="0" borderId="0" xfId="0" applyFont="1" applyFill="1" applyBorder="1" applyProtection="1">
      <protection hidden="1"/>
    </xf>
    <xf numFmtId="0" fontId="5" fillId="0" borderId="49" xfId="0" applyFont="1" applyFill="1" applyBorder="1" applyProtection="1">
      <protection hidden="1"/>
    </xf>
    <xf numFmtId="0" fontId="5" fillId="0" borderId="42" xfId="0" applyFont="1" applyFill="1" applyBorder="1" applyAlignment="1" applyProtection="1">
      <alignment horizontal="center"/>
      <protection hidden="1"/>
    </xf>
    <xf numFmtId="1" fontId="5" fillId="0" borderId="43" xfId="2" applyNumberFormat="1"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164" fontId="6" fillId="0" borderId="0" xfId="0" applyNumberFormat="1" applyFont="1" applyFill="1" applyBorder="1" applyProtection="1">
      <protection hidden="1"/>
    </xf>
    <xf numFmtId="168" fontId="6" fillId="0" borderId="0" xfId="3" applyNumberFormat="1" applyFont="1" applyFill="1" applyBorder="1" applyAlignment="1" applyProtection="1">
      <alignment horizontal="right"/>
      <protection hidden="1"/>
    </xf>
    <xf numFmtId="164" fontId="32" fillId="13" borderId="0" xfId="0" applyNumberFormat="1" applyFont="1" applyFill="1"/>
    <xf numFmtId="0" fontId="6" fillId="0" borderId="1" xfId="0" applyFont="1" applyFill="1" applyBorder="1" applyAlignment="1" applyProtection="1">
      <alignment horizontal="center"/>
      <protection hidden="1"/>
    </xf>
    <xf numFmtId="164" fontId="5" fillId="0" borderId="0" xfId="2" applyFont="1" applyFill="1" applyBorder="1" applyAlignment="1" applyProtection="1">
      <alignment horizontal="center"/>
      <protection hidden="1"/>
    </xf>
    <xf numFmtId="0" fontId="5" fillId="8" borderId="17" xfId="0" applyFont="1" applyFill="1" applyBorder="1" applyProtection="1">
      <protection hidden="1"/>
    </xf>
    <xf numFmtId="0" fontId="5" fillId="8" borderId="18" xfId="0" applyFont="1" applyFill="1" applyBorder="1" applyProtection="1">
      <protection hidden="1"/>
    </xf>
    <xf numFmtId="0" fontId="5" fillId="8" borderId="18" xfId="0" applyFont="1" applyFill="1" applyBorder="1" applyAlignment="1" applyProtection="1">
      <alignment horizontal="center"/>
      <protection hidden="1"/>
    </xf>
    <xf numFmtId="0" fontId="5" fillId="8" borderId="19" xfId="0" applyFont="1" applyFill="1" applyBorder="1" applyAlignment="1" applyProtection="1">
      <alignment horizontal="center"/>
      <protection hidden="1"/>
    </xf>
    <xf numFmtId="9" fontId="31" fillId="0" borderId="0" xfId="0" applyNumberFormat="1" applyFont="1"/>
    <xf numFmtId="9" fontId="31" fillId="0" borderId="0" xfId="0" applyNumberFormat="1" applyFont="1" applyAlignment="1">
      <alignment horizontal="center"/>
    </xf>
    <xf numFmtId="164" fontId="31" fillId="0" borderId="0" xfId="2" applyFont="1" applyFill="1" applyBorder="1"/>
    <xf numFmtId="168" fontId="6" fillId="0" borderId="1" xfId="3" applyNumberFormat="1" applyFont="1" applyFill="1" applyBorder="1" applyAlignment="1" applyProtection="1">
      <alignment horizontal="center"/>
      <protection hidden="1"/>
    </xf>
    <xf numFmtId="164" fontId="6" fillId="0" borderId="45" xfId="0" applyNumberFormat="1" applyFont="1" applyFill="1" applyBorder="1" applyProtection="1">
      <protection hidden="1"/>
    </xf>
    <xf numFmtId="0" fontId="34" fillId="3" borderId="0" xfId="0" applyFont="1" applyFill="1" applyBorder="1" applyAlignment="1">
      <alignment vertical="center"/>
    </xf>
    <xf numFmtId="164" fontId="34" fillId="3" borderId="0" xfId="0" applyNumberFormat="1" applyFont="1" applyFill="1"/>
    <xf numFmtId="168" fontId="5" fillId="0" borderId="42" xfId="3" applyNumberFormat="1" applyFont="1" applyFill="1" applyBorder="1" applyAlignment="1" applyProtection="1">
      <alignment horizontal="center"/>
      <protection hidden="1"/>
    </xf>
    <xf numFmtId="164" fontId="5" fillId="0" borderId="43" xfId="0" applyNumberFormat="1" applyFont="1" applyFill="1" applyBorder="1" applyProtection="1">
      <protection hidden="1"/>
    </xf>
    <xf numFmtId="0" fontId="10" fillId="3" borderId="30" xfId="0" applyFont="1" applyFill="1" applyBorder="1" applyAlignment="1" applyProtection="1">
      <protection hidden="1"/>
    </xf>
    <xf numFmtId="0" fontId="10" fillId="3" borderId="50" xfId="0" applyFont="1" applyFill="1" applyBorder="1" applyAlignment="1" applyProtection="1">
      <protection hidden="1"/>
    </xf>
    <xf numFmtId="10" fontId="10" fillId="3" borderId="50" xfId="0" applyNumberFormat="1" applyFont="1" applyFill="1" applyBorder="1" applyAlignment="1" applyProtection="1">
      <alignment horizontal="center"/>
      <protection hidden="1"/>
    </xf>
    <xf numFmtId="164" fontId="10" fillId="3" borderId="51" xfId="0" applyNumberFormat="1" applyFont="1" applyFill="1" applyBorder="1" applyProtection="1">
      <protection hidden="1"/>
    </xf>
    <xf numFmtId="0" fontId="6" fillId="0" borderId="5" xfId="0" applyFont="1" applyFill="1" applyBorder="1" applyAlignment="1" applyProtection="1">
      <alignment horizontal="center"/>
      <protection hidden="1"/>
    </xf>
    <xf numFmtId="164" fontId="5" fillId="0" borderId="5" xfId="2" applyFont="1" applyFill="1" applyBorder="1" applyAlignment="1" applyProtection="1">
      <alignment horizontal="center"/>
      <protection hidden="1"/>
    </xf>
    <xf numFmtId="9" fontId="6" fillId="0" borderId="0" xfId="0" applyNumberFormat="1" applyFont="1" applyFill="1" applyProtection="1">
      <protection hidden="1"/>
    </xf>
    <xf numFmtId="166" fontId="5" fillId="7" borderId="2" xfId="1" applyFont="1" applyFill="1" applyBorder="1" applyProtection="1">
      <protection hidden="1"/>
    </xf>
    <xf numFmtId="0" fontId="6" fillId="7" borderId="3" xfId="0" applyFont="1" applyFill="1" applyBorder="1" applyProtection="1">
      <protection hidden="1"/>
    </xf>
    <xf numFmtId="164" fontId="6" fillId="7" borderId="3" xfId="2" applyFont="1" applyFill="1" applyBorder="1" applyProtection="1">
      <protection hidden="1"/>
    </xf>
    <xf numFmtId="164" fontId="5" fillId="0" borderId="0" xfId="2" applyFont="1" applyFill="1" applyBorder="1" applyProtection="1">
      <protection hidden="1"/>
    </xf>
    <xf numFmtId="166" fontId="5" fillId="0" borderId="0" xfId="1" applyFont="1" applyFill="1" applyBorder="1" applyProtection="1">
      <protection hidden="1"/>
    </xf>
    <xf numFmtId="0" fontId="4" fillId="0" borderId="0" xfId="0" applyFont="1" applyFill="1" applyAlignment="1" applyProtection="1">
      <alignment horizontal="right"/>
      <protection hidden="1"/>
    </xf>
    <xf numFmtId="168" fontId="4" fillId="0" borderId="0" xfId="3" applyNumberFormat="1" applyFont="1" applyFill="1" applyAlignment="1" applyProtection="1">
      <alignment horizontal="center"/>
      <protection hidden="1"/>
    </xf>
    <xf numFmtId="164" fontId="4" fillId="0" borderId="0" xfId="2" applyFont="1" applyFill="1" applyBorder="1" applyProtection="1">
      <protection hidden="1"/>
    </xf>
    <xf numFmtId="164" fontId="6" fillId="0" borderId="0" xfId="2" applyFont="1" applyFill="1" applyBorder="1" applyProtection="1">
      <protection hidden="1"/>
    </xf>
    <xf numFmtId="9" fontId="6" fillId="0" borderId="1" xfId="0" applyNumberFormat="1" applyFont="1" applyFill="1" applyBorder="1" applyAlignment="1" applyProtection="1">
      <alignment horizontal="center"/>
      <protection hidden="1"/>
    </xf>
    <xf numFmtId="6" fontId="6" fillId="0" borderId="1" xfId="0" applyNumberFormat="1" applyFont="1" applyFill="1" applyBorder="1" applyAlignment="1" applyProtection="1">
      <alignment horizontal="center"/>
      <protection hidden="1"/>
    </xf>
    <xf numFmtId="10" fontId="6" fillId="0" borderId="1" xfId="0" applyNumberFormat="1" applyFont="1" applyFill="1" applyBorder="1" applyAlignment="1" applyProtection="1">
      <alignment horizontal="center"/>
      <protection hidden="1"/>
    </xf>
    <xf numFmtId="10" fontId="5" fillId="0" borderId="1" xfId="0" applyNumberFormat="1" applyFont="1" applyFill="1" applyBorder="1" applyAlignment="1" applyProtection="1">
      <alignment horizontal="center"/>
      <protection hidden="1"/>
    </xf>
    <xf numFmtId="6" fontId="5" fillId="0" borderId="1" xfId="0" applyNumberFormat="1" applyFont="1" applyFill="1" applyBorder="1" applyAlignment="1" applyProtection="1">
      <alignment horizontal="center"/>
      <protection hidden="1"/>
    </xf>
    <xf numFmtId="6" fontId="6" fillId="0" borderId="0" xfId="0" applyNumberFormat="1" applyFont="1" applyFill="1" applyAlignment="1" applyProtection="1">
      <alignment horizontal="center"/>
      <protection hidden="1"/>
    </xf>
    <xf numFmtId="166" fontId="6" fillId="0" borderId="0" xfId="0" applyNumberFormat="1" applyFont="1" applyFill="1" applyProtection="1">
      <protection hidden="1"/>
    </xf>
    <xf numFmtId="166" fontId="6" fillId="0" borderId="0" xfId="1" applyFont="1" applyFill="1" applyProtection="1">
      <protection hidden="1"/>
    </xf>
    <xf numFmtId="168" fontId="5" fillId="0" borderId="0" xfId="3" applyNumberFormat="1" applyFont="1" applyFill="1" applyAlignment="1" applyProtection="1">
      <alignment horizontal="center"/>
      <protection hidden="1"/>
    </xf>
    <xf numFmtId="168" fontId="6" fillId="0" borderId="0" xfId="3" applyNumberFormat="1" applyFont="1" applyFill="1" applyProtection="1">
      <protection hidden="1"/>
    </xf>
    <xf numFmtId="166" fontId="4" fillId="0" borderId="0" xfId="1" applyFont="1" applyFill="1" applyBorder="1" applyProtection="1">
      <protection hidden="1"/>
    </xf>
    <xf numFmtId="0" fontId="5" fillId="0" borderId="0" xfId="0" applyFont="1" applyFill="1" applyBorder="1" applyProtection="1">
      <protection hidden="1"/>
    </xf>
    <xf numFmtId="0" fontId="6" fillId="0" borderId="2" xfId="0" applyFont="1" applyFill="1" applyBorder="1" applyProtection="1">
      <protection hidden="1"/>
    </xf>
    <xf numFmtId="0" fontId="6" fillId="0" borderId="15" xfId="0" applyFont="1" applyFill="1" applyBorder="1" applyProtection="1">
      <protection hidden="1"/>
    </xf>
    <xf numFmtId="164" fontId="9" fillId="0" borderId="0" xfId="2" applyFont="1" applyFill="1" applyProtection="1">
      <protection hidden="1"/>
    </xf>
    <xf numFmtId="10" fontId="6" fillId="0" borderId="0" xfId="3" applyNumberFormat="1" applyFont="1" applyFill="1" applyProtection="1">
      <protection hidden="1"/>
    </xf>
    <xf numFmtId="0" fontId="6" fillId="0" borderId="1" xfId="0" applyFont="1" applyFill="1" applyBorder="1" applyAlignment="1" applyProtection="1">
      <alignment wrapText="1"/>
      <protection hidden="1"/>
    </xf>
    <xf numFmtId="177" fontId="6" fillId="0" borderId="1" xfId="2" applyNumberFormat="1" applyFont="1" applyFill="1" applyBorder="1" applyAlignment="1" applyProtection="1">
      <alignment horizontal="center"/>
      <protection hidden="1"/>
    </xf>
    <xf numFmtId="0" fontId="6" fillId="7" borderId="3" xfId="0" applyFont="1" applyFill="1" applyBorder="1" applyAlignment="1" applyProtection="1">
      <alignment horizontal="center"/>
      <protection hidden="1"/>
    </xf>
    <xf numFmtId="164" fontId="7" fillId="0" borderId="0" xfId="0" applyNumberFormat="1" applyFont="1" applyFill="1" applyProtection="1">
      <protection hidden="1"/>
    </xf>
    <xf numFmtId="168" fontId="6" fillId="0" borderId="0" xfId="3" applyNumberFormat="1" applyFont="1" applyFill="1" applyAlignment="1" applyProtection="1">
      <alignment horizontal="right"/>
      <protection hidden="1"/>
    </xf>
    <xf numFmtId="0" fontId="7" fillId="0" borderId="0" xfId="0" applyFont="1" applyProtection="1">
      <protection hidden="1"/>
    </xf>
    <xf numFmtId="0" fontId="9" fillId="0" borderId="0" xfId="0" applyFont="1" applyAlignment="1" applyProtection="1">
      <alignment horizontal="center"/>
      <protection hidden="1"/>
    </xf>
    <xf numFmtId="0" fontId="3" fillId="0" borderId="0" xfId="0" applyFont="1" applyFill="1" applyBorder="1" applyAlignment="1" applyProtection="1">
      <protection hidden="1"/>
    </xf>
    <xf numFmtId="0" fontId="9" fillId="0" borderId="0" xfId="0" applyFont="1" applyAlignment="1" applyProtection="1">
      <alignment horizontal="right"/>
      <protection hidden="1"/>
    </xf>
    <xf numFmtId="0" fontId="7" fillId="0" borderId="5" xfId="0" applyFont="1" applyBorder="1" applyProtection="1">
      <protection hidden="1"/>
    </xf>
    <xf numFmtId="164" fontId="7" fillId="0" borderId="5" xfId="2" applyFont="1" applyBorder="1" applyProtection="1">
      <protection hidden="1"/>
    </xf>
    <xf numFmtId="0" fontId="35" fillId="0" borderId="0" xfId="0" applyFont="1" applyFill="1" applyProtection="1">
      <protection hidden="1"/>
    </xf>
    <xf numFmtId="0" fontId="7" fillId="0" borderId="14" xfId="0" applyFont="1" applyBorder="1" applyProtection="1">
      <protection hidden="1"/>
    </xf>
    <xf numFmtId="164" fontId="7" fillId="0" borderId="14" xfId="2" applyFont="1" applyBorder="1" applyProtection="1">
      <protection hidden="1"/>
    </xf>
    <xf numFmtId="0" fontId="7" fillId="0" borderId="15" xfId="0" applyFont="1" applyBorder="1" applyProtection="1">
      <protection hidden="1"/>
    </xf>
    <xf numFmtId="164" fontId="7" fillId="0" borderId="15" xfId="2" applyFont="1" applyBorder="1" applyProtection="1">
      <protection hidden="1"/>
    </xf>
    <xf numFmtId="0" fontId="3" fillId="0" borderId="5" xfId="0" applyFont="1" applyBorder="1" applyProtection="1">
      <protection hidden="1"/>
    </xf>
    <xf numFmtId="164" fontId="3" fillId="0" borderId="5" xfId="2" applyFont="1" applyBorder="1" applyProtection="1">
      <protection hidden="1"/>
    </xf>
    <xf numFmtId="0" fontId="3" fillId="0" borderId="15" xfId="0" applyFont="1" applyFill="1" applyBorder="1" applyProtection="1">
      <protection hidden="1"/>
    </xf>
    <xf numFmtId="164" fontId="3" fillId="0" borderId="15" xfId="2" applyFont="1" applyBorder="1" applyProtection="1">
      <protection hidden="1"/>
    </xf>
    <xf numFmtId="42" fontId="3" fillId="0" borderId="8" xfId="0" applyNumberFormat="1" applyFont="1" applyFill="1" applyBorder="1" applyProtection="1">
      <protection hidden="1"/>
    </xf>
    <xf numFmtId="164" fontId="5" fillId="0" borderId="0" xfId="2" applyFont="1" applyFill="1" applyAlignment="1" applyProtection="1">
      <alignment horizontal="center"/>
      <protection hidden="1"/>
    </xf>
    <xf numFmtId="0" fontId="10" fillId="3" borderId="0" xfId="0" applyFont="1" applyFill="1" applyProtection="1">
      <protection hidden="1"/>
    </xf>
    <xf numFmtId="164" fontId="10" fillId="3" borderId="0" xfId="2" applyFont="1" applyFill="1" applyProtection="1">
      <protection hidden="1"/>
    </xf>
    <xf numFmtId="164" fontId="7" fillId="0" borderId="0" xfId="0" applyNumberFormat="1" applyFont="1" applyProtection="1">
      <protection hidden="1"/>
    </xf>
    <xf numFmtId="168" fontId="5" fillId="0" borderId="0" xfId="3" applyNumberFormat="1" applyFont="1" applyFill="1" applyAlignment="1" applyProtection="1">
      <alignment horizontal="right"/>
      <protection hidden="1"/>
    </xf>
    <xf numFmtId="168" fontId="7" fillId="0" borderId="0" xfId="3" applyNumberFormat="1" applyFont="1" applyProtection="1">
      <protection hidden="1"/>
    </xf>
    <xf numFmtId="0" fontId="4" fillId="2" borderId="9" xfId="0" applyFont="1" applyFill="1" applyBorder="1" applyAlignment="1" applyProtection="1">
      <protection hidden="1"/>
    </xf>
    <xf numFmtId="0" fontId="4" fillId="2" borderId="11" xfId="0" applyFont="1" applyFill="1" applyBorder="1" applyAlignment="1" applyProtection="1">
      <protection hidden="1"/>
    </xf>
    <xf numFmtId="42" fontId="7" fillId="0" borderId="0" xfId="0" applyNumberFormat="1" applyFont="1" applyAlignment="1" applyProtection="1">
      <alignment horizontal="right"/>
      <protection hidden="1"/>
    </xf>
    <xf numFmtId="164" fontId="6" fillId="2" borderId="12" xfId="0" applyNumberFormat="1" applyFont="1" applyFill="1" applyBorder="1" applyAlignment="1" applyProtection="1">
      <alignment horizontal="center"/>
      <protection hidden="1"/>
    </xf>
    <xf numFmtId="0" fontId="6" fillId="2" borderId="13" xfId="0" applyFont="1" applyFill="1" applyBorder="1" applyProtection="1">
      <protection hidden="1"/>
    </xf>
    <xf numFmtId="164" fontId="5" fillId="2" borderId="6" xfId="0" applyNumberFormat="1" applyFont="1" applyFill="1" applyBorder="1" applyAlignment="1" applyProtection="1">
      <alignment horizontal="center"/>
      <protection hidden="1"/>
    </xf>
    <xf numFmtId="168" fontId="5" fillId="2" borderId="8" xfId="3" applyNumberFormat="1" applyFont="1" applyFill="1" applyBorder="1" applyAlignment="1" applyProtection="1">
      <alignment horizontal="center"/>
      <protection hidden="1"/>
    </xf>
    <xf numFmtId="0" fontId="10" fillId="4" borderId="33" xfId="0" applyFont="1" applyFill="1" applyBorder="1" applyProtection="1">
      <protection hidden="1"/>
    </xf>
    <xf numFmtId="0" fontId="10" fillId="4" borderId="31" xfId="0" applyFont="1" applyFill="1" applyBorder="1" applyProtection="1">
      <protection hidden="1"/>
    </xf>
    <xf numFmtId="164" fontId="10" fillId="4" borderId="31" xfId="0" applyNumberFormat="1" applyFont="1" applyFill="1" applyBorder="1" applyProtection="1">
      <protection hidden="1"/>
    </xf>
    <xf numFmtId="168" fontId="10" fillId="4" borderId="31" xfId="3" applyNumberFormat="1" applyFont="1" applyFill="1" applyBorder="1" applyAlignment="1" applyProtection="1">
      <alignment horizontal="center"/>
      <protection hidden="1"/>
    </xf>
    <xf numFmtId="0" fontId="10" fillId="4" borderId="31" xfId="0" applyFont="1" applyFill="1" applyBorder="1" applyAlignment="1" applyProtection="1">
      <alignment horizontal="center"/>
      <protection hidden="1"/>
    </xf>
    <xf numFmtId="0" fontId="5" fillId="6" borderId="1" xfId="0" applyFont="1" applyFill="1" applyBorder="1" applyProtection="1">
      <protection hidden="1"/>
    </xf>
    <xf numFmtId="0" fontId="6" fillId="0" borderId="9" xfId="0" applyFont="1" applyFill="1" applyBorder="1" applyAlignment="1" applyProtection="1">
      <alignment vertical="center"/>
      <protection hidden="1"/>
    </xf>
    <xf numFmtId="0" fontId="6" fillId="0" borderId="12" xfId="0" applyFont="1" applyFill="1" applyBorder="1" applyAlignment="1" applyProtection="1">
      <alignment vertical="center"/>
      <protection hidden="1"/>
    </xf>
    <xf numFmtId="0" fontId="6" fillId="0" borderId="6" xfId="0" applyFont="1" applyFill="1" applyBorder="1" applyAlignment="1" applyProtection="1">
      <alignment vertical="center"/>
      <protection hidden="1"/>
    </xf>
    <xf numFmtId="0" fontId="5" fillId="6" borderId="2" xfId="0" applyFont="1" applyFill="1" applyBorder="1" applyProtection="1">
      <protection hidden="1"/>
    </xf>
    <xf numFmtId="0" fontId="5" fillId="6" borderId="3" xfId="0" applyFont="1" applyFill="1" applyBorder="1" applyProtection="1">
      <protection hidden="1"/>
    </xf>
    <xf numFmtId="0" fontId="5" fillId="6" borderId="4" xfId="0" applyFont="1" applyFill="1" applyBorder="1" applyProtection="1">
      <protection hidden="1"/>
    </xf>
    <xf numFmtId="0" fontId="7" fillId="0" borderId="9" xfId="0" applyFont="1" applyBorder="1" applyProtection="1">
      <protection hidden="1"/>
    </xf>
    <xf numFmtId="0" fontId="6" fillId="0" borderId="12" xfId="0" applyFont="1" applyFill="1" applyBorder="1" applyProtection="1">
      <protection hidden="1"/>
    </xf>
    <xf numFmtId="0" fontId="6" fillId="0" borderId="12" xfId="0" applyFont="1" applyFill="1" applyBorder="1" applyAlignment="1" applyProtection="1">
      <alignment wrapText="1"/>
      <protection hidden="1"/>
    </xf>
    <xf numFmtId="0" fontId="6" fillId="0" borderId="6" xfId="0" applyFont="1" applyFill="1" applyBorder="1" applyAlignment="1" applyProtection="1">
      <alignment wrapText="1"/>
      <protection hidden="1"/>
    </xf>
    <xf numFmtId="0" fontId="5" fillId="6" borderId="3" xfId="0" applyFont="1" applyFill="1" applyBorder="1" applyAlignment="1" applyProtection="1">
      <alignment horizontal="center"/>
      <protection hidden="1"/>
    </xf>
    <xf numFmtId="14" fontId="6" fillId="6" borderId="3" xfId="0" applyNumberFormat="1" applyFont="1" applyFill="1" applyBorder="1" applyAlignment="1" applyProtection="1">
      <alignment horizontal="center"/>
      <protection hidden="1"/>
    </xf>
    <xf numFmtId="0" fontId="6" fillId="6" borderId="4" xfId="0" applyFont="1" applyFill="1" applyBorder="1" applyProtection="1">
      <protection hidden="1"/>
    </xf>
    <xf numFmtId="0" fontId="6" fillId="0" borderId="9" xfId="0" applyFont="1" applyFill="1" applyBorder="1" applyProtection="1">
      <protection hidden="1"/>
    </xf>
    <xf numFmtId="14" fontId="6" fillId="0" borderId="10" xfId="0" applyNumberFormat="1" applyFont="1" applyFill="1" applyBorder="1" applyAlignment="1" applyProtection="1">
      <alignment horizontal="center"/>
      <protection hidden="1"/>
    </xf>
    <xf numFmtId="1" fontId="6" fillId="0" borderId="10" xfId="0" applyNumberFormat="1" applyFont="1" applyFill="1" applyBorder="1" applyAlignment="1" applyProtection="1">
      <alignment horizontal="center"/>
      <protection hidden="1"/>
    </xf>
    <xf numFmtId="0" fontId="6" fillId="0" borderId="11" xfId="0" applyFont="1" applyFill="1" applyBorder="1" applyProtection="1">
      <protection hidden="1"/>
    </xf>
    <xf numFmtId="0" fontId="6" fillId="0" borderId="14" xfId="0" applyFont="1" applyFill="1" applyBorder="1" applyProtection="1">
      <protection hidden="1"/>
    </xf>
    <xf numFmtId="14" fontId="6" fillId="0" borderId="0" xfId="0" applyNumberFormat="1" applyFont="1" applyFill="1" applyBorder="1" applyAlignment="1" applyProtection="1">
      <alignment horizontal="center"/>
      <protection hidden="1"/>
    </xf>
    <xf numFmtId="1" fontId="6" fillId="0" borderId="0" xfId="0" applyNumberFormat="1" applyFont="1" applyFill="1" applyBorder="1" applyAlignment="1" applyProtection="1">
      <alignment horizontal="center"/>
      <protection hidden="1"/>
    </xf>
    <xf numFmtId="0" fontId="6" fillId="0" borderId="13" xfId="0" applyFont="1" applyFill="1" applyBorder="1" applyProtection="1">
      <protection hidden="1"/>
    </xf>
    <xf numFmtId="0" fontId="4" fillId="0" borderId="14" xfId="0" applyFont="1" applyFill="1" applyBorder="1" applyProtection="1">
      <protection hidden="1"/>
    </xf>
    <xf numFmtId="0" fontId="9" fillId="0" borderId="12" xfId="0" applyFont="1" applyFill="1" applyBorder="1" applyProtection="1">
      <protection hidden="1"/>
    </xf>
    <xf numFmtId="0" fontId="6" fillId="0" borderId="6" xfId="0" applyFont="1" applyFill="1" applyBorder="1" applyProtection="1">
      <protection hidden="1"/>
    </xf>
    <xf numFmtId="14" fontId="6" fillId="0" borderId="7" xfId="0" applyNumberFormat="1" applyFont="1" applyFill="1" applyBorder="1" applyAlignment="1" applyProtection="1">
      <alignment horizontal="center"/>
      <protection hidden="1"/>
    </xf>
    <xf numFmtId="1" fontId="6" fillId="0" borderId="7" xfId="0" applyNumberFormat="1" applyFont="1" applyFill="1" applyBorder="1" applyAlignment="1" applyProtection="1">
      <alignment horizontal="center"/>
      <protection hidden="1"/>
    </xf>
    <xf numFmtId="0" fontId="6" fillId="0" borderId="8" xfId="0" applyFont="1" applyFill="1" applyBorder="1" applyProtection="1">
      <protection hidden="1"/>
    </xf>
    <xf numFmtId="0" fontId="4" fillId="0" borderId="0" xfId="0" applyFont="1" applyFill="1" applyProtection="1">
      <protection hidden="1"/>
    </xf>
    <xf numFmtId="168" fontId="6" fillId="0" borderId="5" xfId="3" applyNumberFormat="1" applyFont="1" applyFill="1" applyBorder="1" applyAlignment="1" applyProtection="1">
      <alignment horizontal="center"/>
      <protection hidden="1"/>
    </xf>
    <xf numFmtId="164" fontId="6" fillId="0" borderId="52" xfId="0" applyNumberFormat="1" applyFont="1" applyFill="1" applyBorder="1" applyProtection="1">
      <protection hidden="1"/>
    </xf>
    <xf numFmtId="168" fontId="5" fillId="0" borderId="39" xfId="3" applyNumberFormat="1" applyFont="1" applyFill="1" applyBorder="1" applyAlignment="1" applyProtection="1">
      <alignment horizontal="center"/>
      <protection hidden="1"/>
    </xf>
    <xf numFmtId="164" fontId="5" fillId="0" borderId="40" xfId="0" applyNumberFormat="1" applyFont="1" applyFill="1" applyBorder="1" applyProtection="1">
      <protection hidden="1"/>
    </xf>
    <xf numFmtId="10" fontId="22" fillId="0" borderId="0" xfId="0" applyNumberFormat="1" applyFont="1" applyFill="1" applyAlignment="1" applyProtection="1">
      <alignment horizontal="center"/>
      <protection hidden="1"/>
    </xf>
    <xf numFmtId="0" fontId="14" fillId="0" borderId="0" xfId="0" applyNumberFormat="1" applyFont="1" applyFill="1" applyAlignment="1" applyProtection="1">
      <alignment horizontal="center" vertical="center"/>
      <protection hidden="1"/>
    </xf>
    <xf numFmtId="0" fontId="6" fillId="0" borderId="0" xfId="0" applyFont="1" applyProtection="1">
      <protection hidden="1"/>
    </xf>
    <xf numFmtId="0" fontId="6" fillId="7" borderId="0" xfId="0" applyFont="1" applyFill="1" applyAlignment="1" applyProtection="1">
      <alignment horizontal="left"/>
      <protection hidden="1"/>
    </xf>
    <xf numFmtId="0" fontId="6" fillId="6" borderId="10" xfId="0" applyFont="1" applyFill="1" applyBorder="1" applyAlignment="1" applyProtection="1">
      <alignment horizontal="center"/>
      <protection hidden="1"/>
    </xf>
    <xf numFmtId="0" fontId="6" fillId="6" borderId="11" xfId="0" applyFont="1" applyFill="1" applyBorder="1" applyAlignment="1" applyProtection="1">
      <alignment horizontal="center"/>
      <protection hidden="1"/>
    </xf>
    <xf numFmtId="0" fontId="6" fillId="0" borderId="9" xfId="0" applyFont="1" applyBorder="1" applyAlignment="1" applyProtection="1">
      <alignment horizontal="center"/>
      <protection hidden="1"/>
    </xf>
    <xf numFmtId="0" fontId="6" fillId="0" borderId="10" xfId="0" applyFont="1" applyBorder="1" applyAlignment="1" applyProtection="1">
      <alignment horizontal="center"/>
      <protection hidden="1"/>
    </xf>
    <xf numFmtId="0" fontId="6" fillId="0" borderId="11" xfId="0" applyFont="1" applyBorder="1" applyAlignment="1" applyProtection="1">
      <alignment horizontal="center"/>
      <protection hidden="1"/>
    </xf>
    <xf numFmtId="0" fontId="6" fillId="0" borderId="22" xfId="0" applyFont="1" applyBorder="1" applyAlignment="1" applyProtection="1">
      <alignment horizontal="center"/>
      <protection hidden="1"/>
    </xf>
    <xf numFmtId="0" fontId="6" fillId="0" borderId="0" xfId="0" applyFont="1" applyAlignment="1" applyProtection="1">
      <alignment horizontal="center"/>
      <protection hidden="1"/>
    </xf>
    <xf numFmtId="0" fontId="6" fillId="6" borderId="0" xfId="0" applyFont="1" applyFill="1" applyAlignment="1" applyProtection="1">
      <alignment horizontal="center"/>
      <protection hidden="1"/>
    </xf>
    <xf numFmtId="0" fontId="6" fillId="6" borderId="23" xfId="0" applyFont="1" applyFill="1" applyBorder="1" applyAlignment="1" applyProtection="1">
      <alignment horizontal="center"/>
      <protection hidden="1"/>
    </xf>
    <xf numFmtId="0" fontId="6" fillId="6" borderId="22" xfId="0" applyFont="1" applyFill="1" applyBorder="1" applyAlignment="1" applyProtection="1">
      <alignment horizontal="center"/>
      <protection hidden="1"/>
    </xf>
    <xf numFmtId="0" fontId="6" fillId="0" borderId="13" xfId="0" applyFont="1" applyBorder="1" applyAlignment="1" applyProtection="1">
      <alignment horizontal="center"/>
      <protection hidden="1"/>
    </xf>
    <xf numFmtId="0" fontId="6" fillId="0" borderId="12" xfId="0" applyFont="1" applyBorder="1" applyAlignment="1" applyProtection="1">
      <alignment horizontal="center"/>
      <protection hidden="1"/>
    </xf>
    <xf numFmtId="0" fontId="6" fillId="6" borderId="12" xfId="0" applyFont="1" applyFill="1" applyBorder="1" applyAlignment="1" applyProtection="1">
      <alignment horizontal="center"/>
      <protection hidden="1"/>
    </xf>
    <xf numFmtId="0" fontId="6" fillId="6" borderId="13" xfId="0" applyFont="1" applyFill="1" applyBorder="1" applyAlignment="1" applyProtection="1">
      <alignment horizontal="center"/>
      <protection hidden="1"/>
    </xf>
    <xf numFmtId="0" fontId="6" fillId="0" borderId="23" xfId="0" applyFont="1" applyBorder="1" applyAlignment="1" applyProtection="1">
      <alignment horizontal="center"/>
      <protection hidden="1"/>
    </xf>
    <xf numFmtId="0" fontId="6" fillId="0" borderId="7" xfId="0" applyFont="1" applyBorder="1" applyAlignment="1" applyProtection="1">
      <alignment horizontal="center"/>
      <protection hidden="1"/>
    </xf>
    <xf numFmtId="0" fontId="6" fillId="0" borderId="8" xfId="0" applyFont="1" applyBorder="1" applyAlignment="1" applyProtection="1">
      <alignment horizontal="center"/>
      <protection hidden="1"/>
    </xf>
    <xf numFmtId="0" fontId="6" fillId="0" borderId="6" xfId="0" applyFont="1" applyBorder="1" applyAlignment="1" applyProtection="1">
      <alignment horizontal="center"/>
      <protection hidden="1"/>
    </xf>
    <xf numFmtId="0" fontId="6" fillId="0" borderId="24" xfId="0" applyFont="1" applyBorder="1" applyAlignment="1" applyProtection="1">
      <alignment horizontal="center"/>
      <protection hidden="1"/>
    </xf>
    <xf numFmtId="0" fontId="6" fillId="0" borderId="25" xfId="0" applyFont="1" applyBorder="1" applyAlignment="1" applyProtection="1">
      <alignment horizontal="center"/>
      <protection hidden="1"/>
    </xf>
    <xf numFmtId="0" fontId="6" fillId="0" borderId="26" xfId="0" applyFont="1" applyBorder="1" applyAlignment="1" applyProtection="1">
      <alignment horizontal="center"/>
      <protection hidden="1"/>
    </xf>
    <xf numFmtId="0" fontId="6" fillId="0" borderId="0" xfId="0" applyFont="1" applyAlignment="1" applyProtection="1">
      <alignment horizontal="left"/>
      <protection hidden="1"/>
    </xf>
    <xf numFmtId="0" fontId="6" fillId="0" borderId="0" xfId="0" applyFont="1" applyAlignment="1" applyProtection="1">
      <alignment horizontal="right"/>
      <protection hidden="1"/>
    </xf>
    <xf numFmtId="164" fontId="6" fillId="0" borderId="0" xfId="2" applyFont="1" applyFill="1" applyBorder="1" applyAlignment="1" applyProtection="1">
      <alignment horizontal="left"/>
      <protection hidden="1"/>
    </xf>
    <xf numFmtId="0" fontId="6" fillId="0" borderId="0" xfId="0" applyFont="1" applyAlignment="1" applyProtection="1">
      <alignment horizontal="left" vertical="center"/>
      <protection hidden="1"/>
    </xf>
    <xf numFmtId="168" fontId="6" fillId="0" borderId="0" xfId="8" applyNumberFormat="1" applyFont="1" applyFill="1" applyBorder="1" applyAlignment="1" applyProtection="1">
      <alignment horizontal="left" vertical="center"/>
      <protection hidden="1"/>
    </xf>
    <xf numFmtId="0" fontId="6" fillId="7" borderId="0" xfId="0" applyFont="1" applyFill="1" applyAlignment="1" applyProtection="1">
      <alignment horizontal="left" vertical="center"/>
      <protection hidden="1"/>
    </xf>
    <xf numFmtId="0" fontId="6" fillId="7" borderId="0" xfId="0" applyFont="1" applyFill="1" applyAlignment="1" applyProtection="1">
      <alignment vertical="center"/>
      <protection hidden="1"/>
    </xf>
    <xf numFmtId="0" fontId="5" fillId="0" borderId="0" xfId="0" applyFont="1" applyFill="1" applyAlignment="1" applyProtection="1">
      <alignment horizontal="left" vertical="center"/>
      <protection hidden="1"/>
    </xf>
    <xf numFmtId="17" fontId="5" fillId="0" borderId="0" xfId="0" applyNumberFormat="1" applyFont="1" applyFill="1" applyAlignment="1" applyProtection="1">
      <alignment horizontal="left" vertical="center"/>
      <protection hidden="1"/>
    </xf>
    <xf numFmtId="17" fontId="5" fillId="0" borderId="17" xfId="0" applyNumberFormat="1" applyFont="1" applyFill="1" applyBorder="1" applyAlignment="1" applyProtection="1">
      <alignment horizontal="left" vertical="center"/>
      <protection hidden="1"/>
    </xf>
    <xf numFmtId="17" fontId="5" fillId="0" borderId="18" xfId="0" applyNumberFormat="1" applyFont="1" applyFill="1" applyBorder="1" applyAlignment="1" applyProtection="1">
      <alignment horizontal="left" vertical="center"/>
      <protection hidden="1"/>
    </xf>
    <xf numFmtId="17" fontId="5" fillId="0" borderId="19" xfId="0" applyNumberFormat="1" applyFont="1" applyFill="1" applyBorder="1" applyAlignment="1" applyProtection="1">
      <alignment horizontal="left" vertical="center"/>
      <protection hidden="1"/>
    </xf>
    <xf numFmtId="164" fontId="10" fillId="18" borderId="0" xfId="2" applyFont="1" applyFill="1" applyBorder="1" applyAlignment="1" applyProtection="1">
      <alignment horizontal="left"/>
      <protection hidden="1"/>
    </xf>
    <xf numFmtId="164" fontId="10" fillId="18" borderId="0" xfId="2" applyFont="1" applyFill="1" applyBorder="1" applyProtection="1">
      <protection hidden="1"/>
    </xf>
    <xf numFmtId="9" fontId="10" fillId="18" borderId="0" xfId="3" applyFont="1" applyFill="1" applyBorder="1" applyAlignment="1" applyProtection="1">
      <alignment horizontal="center" vertical="center"/>
      <protection hidden="1"/>
    </xf>
    <xf numFmtId="9" fontId="10" fillId="18" borderId="0" xfId="3" applyFont="1" applyFill="1" applyBorder="1" applyProtection="1">
      <protection hidden="1"/>
    </xf>
    <xf numFmtId="0" fontId="6" fillId="0" borderId="12" xfId="0" applyFont="1" applyFill="1" applyBorder="1" applyAlignment="1" applyProtection="1">
      <alignment horizontal="center"/>
      <protection hidden="1"/>
    </xf>
    <xf numFmtId="164" fontId="10" fillId="0" borderId="0" xfId="2" applyFont="1" applyFill="1" applyBorder="1" applyProtection="1">
      <protection hidden="1"/>
    </xf>
    <xf numFmtId="9" fontId="9" fillId="7" borderId="0" xfId="0" applyNumberFormat="1" applyFont="1" applyFill="1" applyAlignment="1" applyProtection="1">
      <alignment horizontal="center" vertical="center"/>
      <protection hidden="1"/>
    </xf>
    <xf numFmtId="0" fontId="9" fillId="7" borderId="0" xfId="0" applyFont="1" applyFill="1" applyProtection="1">
      <protection hidden="1"/>
    </xf>
    <xf numFmtId="164" fontId="9" fillId="7" borderId="0" xfId="0" applyNumberFormat="1" applyFont="1" applyFill="1" applyProtection="1">
      <protection hidden="1"/>
    </xf>
    <xf numFmtId="164" fontId="9" fillId="7" borderId="0" xfId="0" applyNumberFormat="1" applyFont="1" applyFill="1" applyAlignment="1" applyProtection="1">
      <alignment horizontal="right"/>
      <protection hidden="1"/>
    </xf>
    <xf numFmtId="0" fontId="4" fillId="7" borderId="0" xfId="0" applyFont="1" applyFill="1" applyProtection="1">
      <protection hidden="1"/>
    </xf>
    <xf numFmtId="164" fontId="4" fillId="7" borderId="0" xfId="2" applyFont="1" applyFill="1" applyBorder="1" applyAlignment="1" applyProtection="1">
      <protection hidden="1"/>
    </xf>
    <xf numFmtId="164" fontId="4" fillId="0" borderId="0" xfId="2" applyFont="1" applyFill="1" applyBorder="1" applyAlignment="1" applyProtection="1">
      <protection hidden="1"/>
    </xf>
    <xf numFmtId="0" fontId="9" fillId="0" borderId="0" xfId="0" applyFont="1" applyFill="1" applyProtection="1">
      <protection hidden="1"/>
    </xf>
    <xf numFmtId="0" fontId="14" fillId="0" borderId="0" xfId="0" applyNumberFormat="1" applyFont="1" applyFill="1" applyAlignment="1" applyProtection="1">
      <alignment vertical="center"/>
      <protection hidden="1"/>
    </xf>
    <xf numFmtId="164" fontId="16" fillId="0" borderId="0" xfId="0" applyNumberFormat="1" applyFont="1" applyFill="1" applyAlignment="1" applyProtection="1">
      <alignment vertical="center"/>
      <protection hidden="1"/>
    </xf>
    <xf numFmtId="1" fontId="15" fillId="0" borderId="0" xfId="2"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vertical="center"/>
      <protection hidden="1"/>
    </xf>
    <xf numFmtId="164" fontId="5" fillId="0" borderId="0" xfId="0" applyNumberFormat="1" applyFont="1" applyFill="1" applyBorder="1" applyAlignment="1" applyProtection="1">
      <alignment horizontal="center"/>
      <protection hidden="1"/>
    </xf>
    <xf numFmtId="0" fontId="6" fillId="0" borderId="5" xfId="0" applyFont="1" applyFill="1" applyBorder="1" applyAlignment="1" applyProtection="1">
      <alignment horizontal="left" wrapText="1"/>
      <protection hidden="1"/>
    </xf>
    <xf numFmtId="0" fontId="6" fillId="0" borderId="14" xfId="0" applyFont="1" applyFill="1" applyBorder="1" applyAlignment="1" applyProtection="1">
      <alignment horizontal="left" wrapText="1"/>
      <protection hidden="1"/>
    </xf>
    <xf numFmtId="0" fontId="6" fillId="0" borderId="15" xfId="0" applyFont="1" applyFill="1" applyBorder="1" applyAlignment="1" applyProtection="1">
      <alignment horizontal="left" wrapText="1"/>
      <protection hidden="1"/>
    </xf>
    <xf numFmtId="1" fontId="10" fillId="0" borderId="0" xfId="0" applyNumberFormat="1" applyFont="1" applyFill="1" applyAlignment="1" applyProtection="1">
      <alignment horizontal="right" vertical="center"/>
      <protection hidden="1"/>
    </xf>
    <xf numFmtId="0" fontId="10" fillId="19" borderId="6" xfId="0" applyNumberFormat="1" applyFont="1" applyFill="1" applyBorder="1" applyAlignment="1" applyProtection="1">
      <alignment vertical="center" readingOrder="1"/>
      <protection hidden="1"/>
    </xf>
    <xf numFmtId="164" fontId="10" fillId="19" borderId="7" xfId="2" applyNumberFormat="1" applyFont="1" applyFill="1" applyBorder="1" applyAlignment="1" applyProtection="1">
      <alignment horizontal="right" vertical="center"/>
      <protection hidden="1"/>
    </xf>
    <xf numFmtId="0" fontId="2" fillId="19" borderId="0" xfId="0" applyNumberFormat="1" applyFont="1" applyFill="1" applyBorder="1" applyAlignment="1" applyProtection="1">
      <alignment horizontal="center" vertical="center" readingOrder="1"/>
      <protection hidden="1"/>
    </xf>
    <xf numFmtId="164" fontId="2" fillId="19" borderId="0" xfId="1" applyNumberFormat="1" applyFont="1" applyFill="1" applyBorder="1" applyAlignment="1" applyProtection="1">
      <alignment horizontal="center" vertical="center"/>
      <protection hidden="1"/>
    </xf>
    <xf numFmtId="9" fontId="2" fillId="19" borderId="0" xfId="3" applyNumberFormat="1" applyFont="1" applyFill="1" applyBorder="1" applyAlignment="1" applyProtection="1">
      <alignment horizontal="center" vertical="center"/>
      <protection hidden="1"/>
    </xf>
    <xf numFmtId="164" fontId="2" fillId="19" borderId="0" xfId="5" applyNumberFormat="1" applyFont="1" applyFill="1" applyBorder="1" applyAlignment="1" applyProtection="1">
      <alignment horizontal="center" vertical="center"/>
      <protection hidden="1"/>
    </xf>
    <xf numFmtId="168" fontId="2" fillId="19" borderId="0" xfId="3" applyNumberFormat="1" applyFont="1" applyFill="1" applyBorder="1" applyAlignment="1" applyProtection="1">
      <alignment horizontal="center" vertical="center"/>
      <protection hidden="1"/>
    </xf>
    <xf numFmtId="179" fontId="2" fillId="19" borderId="0" xfId="3" applyNumberFormat="1" applyFont="1" applyFill="1" applyBorder="1" applyAlignment="1" applyProtection="1">
      <alignment horizontal="center" vertical="center"/>
      <protection hidden="1"/>
    </xf>
    <xf numFmtId="0" fontId="10" fillId="19" borderId="0" xfId="0" applyNumberFormat="1" applyFont="1" applyFill="1" applyBorder="1" applyAlignment="1" applyProtection="1">
      <alignment horizontal="center" readingOrder="1"/>
      <protection hidden="1"/>
    </xf>
    <xf numFmtId="164" fontId="10" fillId="19" borderId="0" xfId="2" applyNumberFormat="1" applyFont="1" applyFill="1" applyBorder="1" applyAlignment="1" applyProtection="1">
      <alignment horizontal="center" readingOrder="1"/>
      <protection hidden="1"/>
    </xf>
    <xf numFmtId="9" fontId="36" fillId="19" borderId="0" xfId="3" applyFont="1" applyFill="1" applyAlignment="1" applyProtection="1">
      <alignment horizontal="center" vertical="center"/>
      <protection hidden="1"/>
    </xf>
    <xf numFmtId="0" fontId="3" fillId="20" borderId="12" xfId="0" applyNumberFormat="1" applyFont="1" applyFill="1" applyBorder="1" applyAlignment="1" applyProtection="1">
      <alignment vertical="center" readingOrder="1"/>
      <protection hidden="1"/>
    </xf>
    <xf numFmtId="164" fontId="5" fillId="20" borderId="7" xfId="2" applyNumberFormat="1" applyFont="1" applyFill="1" applyBorder="1" applyAlignment="1" applyProtection="1">
      <alignment horizontal="right" vertical="center"/>
      <protection hidden="1"/>
    </xf>
    <xf numFmtId="164" fontId="5" fillId="20" borderId="8" xfId="2" applyNumberFormat="1" applyFont="1" applyFill="1" applyBorder="1" applyAlignment="1" applyProtection="1">
      <alignment horizontal="right" vertical="center"/>
      <protection hidden="1"/>
    </xf>
    <xf numFmtId="0" fontId="3" fillId="20" borderId="2" xfId="0" applyNumberFormat="1" applyFont="1" applyFill="1" applyBorder="1" applyAlignment="1" applyProtection="1">
      <alignment vertical="center" readingOrder="1"/>
      <protection hidden="1"/>
    </xf>
    <xf numFmtId="164" fontId="5" fillId="20" borderId="3" xfId="2" applyNumberFormat="1" applyFont="1" applyFill="1" applyBorder="1" applyAlignment="1" applyProtection="1">
      <alignment horizontal="right" vertical="center"/>
      <protection hidden="1"/>
    </xf>
    <xf numFmtId="164" fontId="5" fillId="20" borderId="4" xfId="2" applyNumberFormat="1" applyFont="1" applyFill="1" applyBorder="1" applyAlignment="1" applyProtection="1">
      <alignment horizontal="right" vertical="center"/>
      <protection hidden="1"/>
    </xf>
    <xf numFmtId="0" fontId="10" fillId="19" borderId="2" xfId="0" applyNumberFormat="1" applyFont="1" applyFill="1" applyBorder="1" applyAlignment="1" applyProtection="1">
      <alignment vertical="center" readingOrder="1"/>
      <protection hidden="1"/>
    </xf>
    <xf numFmtId="164" fontId="10" fillId="19" borderId="3" xfId="2" applyNumberFormat="1" applyFont="1" applyFill="1" applyBorder="1" applyAlignment="1" applyProtection="1">
      <alignment horizontal="right" vertical="center"/>
      <protection hidden="1"/>
    </xf>
    <xf numFmtId="164" fontId="10" fillId="19" borderId="4" xfId="2" applyNumberFormat="1" applyFont="1" applyFill="1" applyBorder="1" applyAlignment="1" applyProtection="1">
      <alignment horizontal="right" vertical="center"/>
      <protection hidden="1"/>
    </xf>
    <xf numFmtId="0" fontId="4" fillId="7" borderId="2" xfId="0" applyNumberFormat="1" applyFont="1" applyFill="1" applyBorder="1" applyAlignment="1" applyProtection="1">
      <alignment vertical="center" readingOrder="1"/>
      <protection hidden="1"/>
    </xf>
    <xf numFmtId="164" fontId="4" fillId="7" borderId="3" xfId="2" applyNumberFormat="1" applyFont="1" applyFill="1" applyBorder="1" applyAlignment="1" applyProtection="1">
      <alignment horizontal="right" vertical="center"/>
      <protection hidden="1"/>
    </xf>
    <xf numFmtId="164" fontId="4" fillId="7" borderId="4" xfId="2" applyNumberFormat="1" applyFont="1" applyFill="1" applyBorder="1" applyAlignment="1" applyProtection="1">
      <alignment horizontal="right" vertical="center"/>
      <protection hidden="1"/>
    </xf>
    <xf numFmtId="164" fontId="10" fillId="19" borderId="8" xfId="2" applyNumberFormat="1" applyFont="1" applyFill="1" applyBorder="1" applyAlignment="1" applyProtection="1">
      <alignment horizontal="right" vertical="center"/>
      <protection hidden="1"/>
    </xf>
    <xf numFmtId="42" fontId="6" fillId="0" borderId="0" xfId="1" applyNumberFormat="1" applyFont="1" applyFill="1" applyBorder="1" applyAlignment="1" applyProtection="1">
      <alignment horizontal="right" vertical="center"/>
      <protection hidden="1"/>
    </xf>
    <xf numFmtId="0" fontId="6" fillId="5" borderId="9" xfId="0" applyNumberFormat="1" applyFont="1" applyFill="1" applyBorder="1" applyAlignment="1" applyProtection="1">
      <alignment vertical="center" readingOrder="1"/>
      <protection hidden="1"/>
    </xf>
    <xf numFmtId="42" fontId="6" fillId="0" borderId="10" xfId="1" applyNumberFormat="1" applyFont="1" applyFill="1" applyBorder="1" applyAlignment="1" applyProtection="1">
      <alignment horizontal="right" vertical="center"/>
      <protection hidden="1"/>
    </xf>
    <xf numFmtId="42" fontId="6" fillId="0" borderId="11" xfId="1" applyNumberFormat="1" applyFont="1" applyFill="1" applyBorder="1" applyAlignment="1" applyProtection="1">
      <alignment horizontal="right" vertical="center"/>
      <protection hidden="1"/>
    </xf>
    <xf numFmtId="0" fontId="6" fillId="5" borderId="12" xfId="0" applyNumberFormat="1" applyFont="1" applyFill="1" applyBorder="1" applyAlignment="1" applyProtection="1">
      <alignment vertical="center" readingOrder="1"/>
      <protection hidden="1"/>
    </xf>
    <xf numFmtId="0" fontId="6" fillId="0" borderId="6" xfId="0" applyNumberFormat="1" applyFont="1" applyFill="1" applyBorder="1" applyAlignment="1" applyProtection="1">
      <alignment vertical="center" readingOrder="1"/>
      <protection hidden="1"/>
    </xf>
    <xf numFmtId="42" fontId="6" fillId="0" borderId="12" xfId="2" applyNumberFormat="1" applyFont="1" applyFill="1" applyBorder="1" applyProtection="1">
      <protection hidden="1"/>
    </xf>
    <xf numFmtId="42" fontId="6" fillId="0" borderId="13" xfId="1" applyNumberFormat="1" applyFont="1" applyFill="1" applyBorder="1" applyAlignment="1" applyProtection="1">
      <alignment horizontal="right" vertical="center"/>
      <protection hidden="1"/>
    </xf>
    <xf numFmtId="42" fontId="6" fillId="0" borderId="7" xfId="1" applyNumberFormat="1" applyFont="1" applyFill="1" applyBorder="1" applyAlignment="1" applyProtection="1">
      <alignment horizontal="right" vertical="center"/>
      <protection hidden="1"/>
    </xf>
    <xf numFmtId="42" fontId="6" fillId="0" borderId="8" xfId="1" applyNumberFormat="1" applyFont="1" applyFill="1" applyBorder="1" applyAlignment="1" applyProtection="1">
      <alignment horizontal="right" vertical="center"/>
      <protection hidden="1"/>
    </xf>
    <xf numFmtId="0" fontId="5" fillId="21" borderId="2" xfId="0" applyNumberFormat="1" applyFont="1" applyFill="1" applyBorder="1" applyAlignment="1" applyProtection="1">
      <alignment vertical="center" readingOrder="1"/>
      <protection hidden="1"/>
    </xf>
    <xf numFmtId="164" fontId="5" fillId="21" borderId="3" xfId="2" applyNumberFormat="1" applyFont="1" applyFill="1" applyBorder="1" applyAlignment="1" applyProtection="1">
      <alignment horizontal="right" vertical="center"/>
      <protection hidden="1"/>
    </xf>
    <xf numFmtId="164" fontId="5" fillId="21" borderId="4" xfId="2" applyNumberFormat="1" applyFont="1" applyFill="1" applyBorder="1" applyAlignment="1" applyProtection="1">
      <alignment horizontal="right" vertical="center"/>
      <protection hidden="1"/>
    </xf>
    <xf numFmtId="0" fontId="11" fillId="22" borderId="53" xfId="0" applyFont="1" applyFill="1" applyBorder="1"/>
    <xf numFmtId="42" fontId="6" fillId="0" borderId="12" xfId="0" quotePrefix="1" applyNumberFormat="1" applyFont="1" applyFill="1" applyBorder="1" applyAlignment="1" applyProtection="1">
      <alignment horizontal="right" vertical="center"/>
      <protection hidden="1"/>
    </xf>
    <xf numFmtId="0" fontId="0" fillId="0" borderId="17" xfId="0" applyBorder="1"/>
    <xf numFmtId="0" fontId="0" fillId="0" borderId="18" xfId="0" applyBorder="1"/>
    <xf numFmtId="0" fontId="0" fillId="0" borderId="19" xfId="0" applyBorder="1"/>
    <xf numFmtId="0" fontId="0" fillId="0" borderId="22" xfId="0" applyBorder="1"/>
    <xf numFmtId="164" fontId="0" fillId="0" borderId="0" xfId="2" applyFont="1" applyBorder="1"/>
    <xf numFmtId="0" fontId="0" fillId="0" borderId="23" xfId="0" applyBorder="1"/>
    <xf numFmtId="164" fontId="14" fillId="0" borderId="0" xfId="2" applyFont="1" applyBorder="1"/>
    <xf numFmtId="164" fontId="14" fillId="2" borderId="0" xfId="2" applyFont="1" applyFill="1" applyBorder="1"/>
    <xf numFmtId="164" fontId="0" fillId="0" borderId="0" xfId="0" applyNumberFormat="1" applyBorder="1"/>
    <xf numFmtId="0" fontId="0" fillId="0" borderId="24" xfId="0" applyBorder="1"/>
    <xf numFmtId="0" fontId="0" fillId="0" borderId="25" xfId="0" applyBorder="1"/>
    <xf numFmtId="0" fontId="0" fillId="0" borderId="26" xfId="0" applyBorder="1"/>
    <xf numFmtId="0" fontId="0" fillId="23" borderId="19" xfId="0" applyFill="1" applyBorder="1"/>
    <xf numFmtId="0" fontId="0" fillId="23" borderId="23" xfId="0" applyFill="1" applyBorder="1"/>
    <xf numFmtId="0" fontId="0" fillId="23" borderId="26" xfId="0" applyFill="1" applyBorder="1"/>
    <xf numFmtId="0" fontId="0" fillId="23" borderId="17" xfId="0" applyFill="1" applyBorder="1"/>
    <xf numFmtId="0" fontId="0" fillId="23" borderId="22" xfId="0" applyFill="1" applyBorder="1"/>
    <xf numFmtId="0" fontId="0" fillId="23" borderId="24" xfId="0" applyFill="1" applyBorder="1"/>
    <xf numFmtId="0" fontId="0" fillId="23" borderId="18" xfId="0" applyFill="1" applyBorder="1"/>
    <xf numFmtId="0" fontId="0" fillId="23" borderId="25" xfId="0" applyFill="1" applyBorder="1"/>
    <xf numFmtId="0" fontId="0" fillId="23" borderId="0" xfId="0" applyFill="1" applyBorder="1"/>
    <xf numFmtId="164" fontId="0" fillId="0" borderId="18" xfId="2" applyFont="1" applyBorder="1"/>
    <xf numFmtId="164" fontId="0" fillId="0" borderId="23" xfId="2" applyFont="1" applyBorder="1"/>
    <xf numFmtId="0" fontId="14" fillId="0" borderId="22" xfId="0" applyFont="1" applyBorder="1"/>
    <xf numFmtId="164" fontId="14" fillId="2" borderId="23" xfId="2" applyFont="1" applyFill="1" applyBorder="1"/>
    <xf numFmtId="164" fontId="0" fillId="0" borderId="23" xfId="0" applyNumberFormat="1" applyBorder="1"/>
    <xf numFmtId="164" fontId="15" fillId="0" borderId="25" xfId="0" applyNumberFormat="1" applyFont="1" applyBorder="1"/>
    <xf numFmtId="164" fontId="14" fillId="0" borderId="25" xfId="0" applyNumberFormat="1" applyFont="1" applyBorder="1"/>
    <xf numFmtId="0" fontId="14" fillId="0" borderId="26" xfId="0" applyFont="1" applyBorder="1"/>
    <xf numFmtId="0" fontId="0" fillId="0" borderId="54" xfId="0" applyBorder="1"/>
    <xf numFmtId="14" fontId="0" fillId="0" borderId="55" xfId="0" applyNumberFormat="1" applyBorder="1"/>
    <xf numFmtId="20" fontId="0" fillId="0" borderId="55" xfId="0" applyNumberFormat="1" applyBorder="1"/>
    <xf numFmtId="0" fontId="0" fillId="0" borderId="55" xfId="0" applyBorder="1"/>
    <xf numFmtId="0" fontId="0" fillId="0" borderId="56" xfId="0" applyBorder="1"/>
    <xf numFmtId="164" fontId="0" fillId="23" borderId="0" xfId="0" applyNumberFormat="1" applyFill="1" applyBorder="1"/>
    <xf numFmtId="164" fontId="14" fillId="0" borderId="0" xfId="2" applyFont="1"/>
    <xf numFmtId="17" fontId="15" fillId="0" borderId="0" xfId="0" applyNumberFormat="1" applyFont="1" applyAlignment="1">
      <alignment horizontal="center"/>
    </xf>
    <xf numFmtId="14" fontId="14" fillId="0" borderId="0" xfId="0" applyNumberFormat="1" applyFont="1" applyAlignment="1">
      <alignment horizontal="center"/>
    </xf>
    <xf numFmtId="14" fontId="14" fillId="0" borderId="1" xfId="0" applyNumberFormat="1" applyFont="1" applyBorder="1" applyAlignment="1">
      <alignment horizontal="center"/>
    </xf>
    <xf numFmtId="0" fontId="0" fillId="0" borderId="1" xfId="0" applyBorder="1"/>
    <xf numFmtId="164" fontId="0" fillId="0" borderId="1" xfId="2" applyFont="1" applyBorder="1"/>
    <xf numFmtId="14" fontId="0" fillId="0" borderId="1" xfId="0" applyNumberFormat="1" applyFont="1" applyBorder="1" applyAlignment="1">
      <alignment horizontal="center"/>
    </xf>
    <xf numFmtId="167" fontId="0" fillId="13" borderId="0" xfId="0" applyNumberFormat="1" applyFill="1" applyAlignment="1" applyProtection="1">
      <alignment horizontal="center"/>
      <protection hidden="1"/>
    </xf>
    <xf numFmtId="20" fontId="0" fillId="13" borderId="0" xfId="0" applyNumberFormat="1" applyFill="1" applyAlignment="1" applyProtection="1">
      <alignment horizontal="center"/>
      <protection hidden="1"/>
    </xf>
    <xf numFmtId="0" fontId="0" fillId="13" borderId="0" xfId="0" applyFill="1" applyAlignment="1" applyProtection="1">
      <alignment horizontal="left"/>
      <protection hidden="1"/>
    </xf>
    <xf numFmtId="0" fontId="0" fillId="13" borderId="0" xfId="0" applyNumberFormat="1" applyFont="1" applyFill="1" applyBorder="1" applyAlignment="1" applyProtection="1">
      <alignment horizontal="center"/>
      <protection hidden="1"/>
    </xf>
    <xf numFmtId="166" fontId="0" fillId="13" borderId="0" xfId="1" applyFont="1" applyFill="1" applyBorder="1" applyAlignment="1" applyProtection="1">
      <alignment horizontal="center"/>
      <protection hidden="1"/>
    </xf>
    <xf numFmtId="167" fontId="0" fillId="13" borderId="0" xfId="0" applyNumberFormat="1" applyFont="1" applyFill="1" applyBorder="1" applyAlignment="1" applyProtection="1">
      <alignment horizontal="center"/>
      <protection hidden="1"/>
    </xf>
    <xf numFmtId="20" fontId="0" fillId="13" borderId="0" xfId="0" applyNumberFormat="1" applyFont="1" applyFill="1" applyBorder="1" applyAlignment="1" applyProtection="1">
      <alignment horizontal="center"/>
      <protection hidden="1"/>
    </xf>
    <xf numFmtId="0" fontId="0" fillId="13" borderId="0" xfId="0" applyFont="1" applyFill="1" applyBorder="1" applyAlignment="1" applyProtection="1">
      <alignment horizontal="left"/>
      <protection hidden="1"/>
    </xf>
    <xf numFmtId="0" fontId="14" fillId="0" borderId="0" xfId="0" applyFont="1" applyAlignment="1">
      <alignment horizontal="center"/>
    </xf>
    <xf numFmtId="0" fontId="11" fillId="0" borderId="14" xfId="4" applyNumberFormat="1" applyFont="1" applyFill="1" applyBorder="1" applyAlignment="1" applyProtection="1">
      <alignment horizontal="left"/>
      <protection hidden="1"/>
    </xf>
    <xf numFmtId="0" fontId="11" fillId="0" borderId="15" xfId="4" applyNumberFormat="1" applyFont="1" applyFill="1" applyBorder="1" applyAlignment="1" applyProtection="1">
      <alignment horizontal="left"/>
      <protection hidden="1"/>
    </xf>
    <xf numFmtId="42" fontId="6" fillId="0" borderId="0" xfId="0" quotePrefix="1" applyNumberFormat="1" applyFont="1" applyFill="1" applyBorder="1" applyAlignment="1" applyProtection="1">
      <alignment horizontal="right" vertical="center"/>
      <protection hidden="1"/>
    </xf>
    <xf numFmtId="164" fontId="0" fillId="0" borderId="0" xfId="0" applyNumberFormat="1"/>
    <xf numFmtId="164" fontId="33" fillId="19" borderId="0" xfId="2" applyNumberFormat="1" applyFont="1" applyFill="1" applyBorder="1" applyAlignment="1" applyProtection="1">
      <alignment horizontal="center" readingOrder="1"/>
      <protection hidden="1"/>
    </xf>
    <xf numFmtId="164" fontId="0" fillId="7" borderId="1" xfId="2" applyFont="1" applyFill="1" applyBorder="1"/>
    <xf numFmtId="164" fontId="15" fillId="0" borderId="0" xfId="0" applyNumberFormat="1" applyFont="1"/>
    <xf numFmtId="164" fontId="15" fillId="0" borderId="0" xfId="2" applyFont="1"/>
    <xf numFmtId="164" fontId="14" fillId="0" borderId="0" xfId="0" applyNumberFormat="1" applyFont="1"/>
    <xf numFmtId="0" fontId="37" fillId="0" borderId="0" xfId="0" applyFont="1"/>
    <xf numFmtId="164" fontId="13" fillId="7" borderId="1" xfId="2" applyFont="1" applyFill="1" applyBorder="1"/>
    <xf numFmtId="164" fontId="13" fillId="0" borderId="1" xfId="2" applyFont="1" applyBorder="1"/>
    <xf numFmtId="164" fontId="15" fillId="2" borderId="0" xfId="2" applyFont="1" applyFill="1"/>
    <xf numFmtId="164" fontId="14" fillId="10" borderId="1" xfId="2" applyFont="1" applyFill="1" applyBorder="1"/>
    <xf numFmtId="42" fontId="11" fillId="0" borderId="0" xfId="0" applyNumberFormat="1" applyFont="1" applyFill="1" applyAlignment="1" applyProtection="1">
      <alignment horizontal="right"/>
      <protection hidden="1"/>
    </xf>
    <xf numFmtId="42" fontId="11" fillId="0" borderId="0" xfId="0" quotePrefix="1" applyNumberFormat="1" applyFont="1" applyFill="1" applyAlignment="1" applyProtection="1">
      <alignment horizontal="right"/>
      <protection hidden="1"/>
    </xf>
    <xf numFmtId="0" fontId="6" fillId="7" borderId="0" xfId="0" applyFont="1" applyFill="1" applyAlignment="1" applyProtection="1">
      <alignment horizontal="left" vertical="center"/>
      <protection hidden="1"/>
    </xf>
    <xf numFmtId="164" fontId="6" fillId="0" borderId="0" xfId="0" applyNumberFormat="1" applyFont="1" applyAlignment="1" applyProtection="1">
      <alignment horizontal="left"/>
      <protection hidden="1"/>
    </xf>
    <xf numFmtId="167" fontId="11" fillId="7" borderId="0" xfId="0" applyNumberFormat="1" applyFont="1" applyFill="1" applyAlignment="1" applyProtection="1">
      <alignment horizontal="left"/>
      <protection hidden="1"/>
    </xf>
    <xf numFmtId="0" fontId="11" fillId="7" borderId="0" xfId="0" applyFont="1" applyFill="1" applyBorder="1" applyProtection="1">
      <protection hidden="1"/>
    </xf>
    <xf numFmtId="0" fontId="11" fillId="7" borderId="0" xfId="0" applyFont="1" applyFill="1" applyProtection="1">
      <protection hidden="1"/>
    </xf>
    <xf numFmtId="0" fontId="11" fillId="7" borderId="0" xfId="0" applyFont="1" applyFill="1" applyAlignment="1" applyProtection="1">
      <alignment horizontal="center"/>
      <protection hidden="1"/>
    </xf>
    <xf numFmtId="164" fontId="11" fillId="7" borderId="0" xfId="2" applyFont="1" applyFill="1" applyBorder="1" applyAlignment="1" applyProtection="1">
      <alignment horizontal="center"/>
      <protection hidden="1"/>
    </xf>
    <xf numFmtId="164" fontId="11" fillId="7" borderId="0" xfId="0" applyNumberFormat="1" applyFont="1" applyFill="1" applyProtection="1">
      <protection hidden="1"/>
    </xf>
    <xf numFmtId="167" fontId="11" fillId="7" borderId="0" xfId="0" applyNumberFormat="1" applyFont="1" applyFill="1" applyBorder="1" applyAlignment="1" applyProtection="1">
      <alignment horizontal="left"/>
      <protection hidden="1"/>
    </xf>
    <xf numFmtId="0" fontId="11" fillId="7" borderId="0" xfId="0" applyFont="1" applyFill="1" applyBorder="1" applyAlignment="1" applyProtection="1">
      <alignment horizontal="center"/>
      <protection hidden="1"/>
    </xf>
    <xf numFmtId="164" fontId="11" fillId="7" borderId="0" xfId="0" applyNumberFormat="1" applyFont="1" applyFill="1" applyBorder="1" applyProtection="1">
      <protection hidden="1"/>
    </xf>
    <xf numFmtId="0" fontId="11" fillId="0" borderId="0" xfId="0" applyFont="1" applyAlignment="1" applyProtection="1">
      <alignment horizontal="center" vertical="center"/>
      <protection hidden="1"/>
    </xf>
    <xf numFmtId="0" fontId="11" fillId="0" borderId="0" xfId="0" applyFont="1" applyBorder="1" applyAlignment="1" applyProtection="1">
      <alignment horizontal="center"/>
      <protection hidden="1"/>
    </xf>
    <xf numFmtId="0" fontId="11" fillId="6" borderId="0" xfId="0" applyFont="1" applyFill="1" applyBorder="1" applyAlignment="1" applyProtection="1">
      <alignment horizontal="center"/>
      <protection hidden="1"/>
    </xf>
    <xf numFmtId="0" fontId="0" fillId="0" borderId="0" xfId="0" applyAlignment="1">
      <alignment horizontal="left"/>
    </xf>
    <xf numFmtId="0" fontId="0" fillId="0" borderId="0" xfId="0" applyBorder="1" applyAlignment="1">
      <alignment horizontal="center"/>
    </xf>
    <xf numFmtId="0" fontId="0" fillId="0" borderId="13" xfId="0" applyBorder="1"/>
    <xf numFmtId="0" fontId="0" fillId="0" borderId="7" xfId="0" applyBorder="1" applyAlignment="1">
      <alignment horizontal="center"/>
    </xf>
    <xf numFmtId="0" fontId="0" fillId="0" borderId="7" xfId="0" applyBorder="1"/>
    <xf numFmtId="164" fontId="2" fillId="4" borderId="8" xfId="2" applyFont="1" applyFill="1" applyBorder="1"/>
    <xf numFmtId="0" fontId="0" fillId="0" borderId="13" xfId="0" applyBorder="1" applyAlignment="1">
      <alignment horizontal="center"/>
    </xf>
    <xf numFmtId="0" fontId="39" fillId="0" borderId="12" xfId="0" applyFont="1" applyBorder="1" applyAlignment="1" applyProtection="1">
      <alignment horizontal="left"/>
      <protection hidden="1"/>
    </xf>
    <xf numFmtId="0" fontId="0" fillId="0" borderId="0" xfId="0" applyBorder="1" applyProtection="1">
      <protection hidden="1"/>
    </xf>
    <xf numFmtId="164" fontId="2" fillId="24" borderId="13" xfId="2" applyFont="1" applyFill="1" applyBorder="1"/>
    <xf numFmtId="0" fontId="39" fillId="0" borderId="6" xfId="0" applyFont="1" applyBorder="1" applyAlignment="1" applyProtection="1">
      <alignment horizontal="left" vertical="center"/>
      <protection hidden="1"/>
    </xf>
    <xf numFmtId="0" fontId="11" fillId="0" borderId="7" xfId="0" applyFont="1" applyBorder="1" applyAlignment="1" applyProtection="1">
      <alignment horizontal="center"/>
      <protection hidden="1"/>
    </xf>
    <xf numFmtId="164" fontId="2" fillId="24" borderId="8" xfId="2" applyFont="1" applyFill="1" applyBorder="1"/>
    <xf numFmtId="0" fontId="0" fillId="0" borderId="7" xfId="0" applyBorder="1" applyProtection="1">
      <protection hidden="1"/>
    </xf>
    <xf numFmtId="0" fontId="0" fillId="0" borderId="8" xfId="0" applyBorder="1"/>
    <xf numFmtId="0" fontId="2" fillId="4" borderId="0" xfId="0" applyFont="1" applyFill="1" applyBorder="1" applyAlignment="1"/>
    <xf numFmtId="164" fontId="2" fillId="4" borderId="0" xfId="2" applyFont="1" applyFill="1" applyBorder="1"/>
    <xf numFmtId="0" fontId="2" fillId="24" borderId="0" xfId="0" applyFont="1" applyFill="1" applyBorder="1" applyAlignment="1"/>
    <xf numFmtId="164" fontId="2" fillId="24" borderId="0" xfId="2" applyFont="1" applyFill="1" applyBorder="1"/>
    <xf numFmtId="0" fontId="40" fillId="24" borderId="0" xfId="0" applyFont="1" applyFill="1" applyBorder="1" applyAlignment="1"/>
    <xf numFmtId="0" fontId="0" fillId="0" borderId="0" xfId="0" applyBorder="1" applyAlignment="1">
      <alignment horizontal="left"/>
    </xf>
    <xf numFmtId="164" fontId="16" fillId="0" borderId="0" xfId="2" applyFont="1" applyFill="1" applyBorder="1"/>
    <xf numFmtId="0" fontId="14" fillId="7" borderId="0" xfId="0" applyFont="1" applyFill="1" applyAlignment="1">
      <alignment horizontal="left"/>
    </xf>
    <xf numFmtId="0" fontId="0" fillId="7" borderId="0" xfId="0" applyFill="1"/>
    <xf numFmtId="164" fontId="14" fillId="7" borderId="0" xfId="0" applyNumberFormat="1" applyFont="1" applyFill="1"/>
    <xf numFmtId="0" fontId="0" fillId="0" borderId="14" xfId="0" applyBorder="1" applyAlignment="1">
      <alignment horizontal="left"/>
    </xf>
    <xf numFmtId="0" fontId="0" fillId="0" borderId="15" xfId="0" applyBorder="1" applyAlignment="1">
      <alignment horizontal="left"/>
    </xf>
    <xf numFmtId="0" fontId="14" fillId="0" borderId="1" xfId="0" applyFont="1" applyBorder="1" applyAlignment="1">
      <alignment horizontal="left"/>
    </xf>
    <xf numFmtId="17" fontId="15" fillId="13" borderId="3" xfId="0" applyNumberFormat="1" applyFont="1" applyFill="1" applyBorder="1" applyAlignment="1" applyProtection="1">
      <alignment horizontal="center" vertical="center"/>
      <protection hidden="1"/>
    </xf>
    <xf numFmtId="0" fontId="0" fillId="0" borderId="3" xfId="0" applyBorder="1"/>
    <xf numFmtId="0" fontId="0" fillId="0" borderId="4" xfId="0" applyBorder="1"/>
    <xf numFmtId="0" fontId="0" fillId="0" borderId="3" xfId="0" applyBorder="1" applyAlignment="1">
      <alignment horizontal="center"/>
    </xf>
    <xf numFmtId="0" fontId="39" fillId="0" borderId="13" xfId="0" applyFont="1" applyBorder="1" applyAlignment="1" applyProtection="1">
      <alignment horizontal="left"/>
      <protection hidden="1"/>
    </xf>
    <xf numFmtId="0" fontId="39" fillId="0" borderId="8" xfId="0" applyFont="1" applyBorder="1" applyAlignment="1" applyProtection="1">
      <alignment horizontal="left" vertical="center"/>
      <protection hidden="1"/>
    </xf>
    <xf numFmtId="0" fontId="38" fillId="13" borderId="2" xfId="0" applyFont="1" applyFill="1" applyBorder="1" applyAlignment="1" applyProtection="1">
      <alignment horizontal="left" vertical="center"/>
      <protection hidden="1"/>
    </xf>
    <xf numFmtId="0" fontId="38" fillId="13" borderId="4" xfId="0" applyFont="1" applyFill="1" applyBorder="1" applyAlignment="1" applyProtection="1">
      <alignment horizontal="center" vertical="center"/>
      <protection hidden="1"/>
    </xf>
    <xf numFmtId="0" fontId="38" fillId="13" borderId="3" xfId="0" applyFont="1" applyFill="1" applyBorder="1" applyAlignment="1" applyProtection="1">
      <alignment horizontal="center" vertical="center"/>
      <protection hidden="1"/>
    </xf>
    <xf numFmtId="164" fontId="2" fillId="4" borderId="4" xfId="2" applyFont="1" applyFill="1" applyBorder="1"/>
    <xf numFmtId="164" fontId="36" fillId="24" borderId="13" xfId="2" applyFont="1" applyFill="1" applyBorder="1"/>
    <xf numFmtId="0" fontId="0" fillId="7" borderId="0" xfId="0" applyFill="1" applyAlignment="1">
      <alignment horizontal="left"/>
    </xf>
    <xf numFmtId="164" fontId="6" fillId="7" borderId="0" xfId="2" applyFont="1" applyFill="1" applyProtection="1">
      <protection hidden="1"/>
    </xf>
    <xf numFmtId="164" fontId="4" fillId="7" borderId="0" xfId="0" applyNumberFormat="1" applyFont="1" applyFill="1" applyProtection="1">
      <protection hidden="1"/>
    </xf>
    <xf numFmtId="168" fontId="6" fillId="7" borderId="0" xfId="3" applyNumberFormat="1" applyFont="1" applyFill="1" applyAlignment="1" applyProtection="1">
      <alignment horizontal="center"/>
      <protection hidden="1"/>
    </xf>
    <xf numFmtId="166" fontId="0" fillId="3" borderId="0" xfId="1" applyFont="1" applyFill="1" applyBorder="1" applyAlignment="1" applyProtection="1">
      <alignment horizontal="center"/>
      <protection hidden="1"/>
    </xf>
    <xf numFmtId="164" fontId="0" fillId="0" borderId="0" xfId="2" applyFont="1"/>
    <xf numFmtId="164" fontId="13" fillId="0" borderId="0" xfId="0" applyNumberFormat="1" applyFont="1"/>
    <xf numFmtId="164" fontId="0" fillId="0" borderId="5" xfId="2" applyFont="1" applyBorder="1"/>
    <xf numFmtId="164" fontId="0" fillId="0" borderId="14" xfId="2" applyFont="1" applyBorder="1"/>
    <xf numFmtId="164" fontId="0" fillId="0" borderId="15" xfId="2" applyFont="1" applyBorder="1"/>
    <xf numFmtId="0" fontId="14" fillId="0" borderId="0" xfId="0" applyFont="1" applyAlignment="1">
      <alignment horizontal="left"/>
    </xf>
    <xf numFmtId="164" fontId="13" fillId="0" borderId="5" xfId="2" applyFont="1" applyBorder="1"/>
    <xf numFmtId="164" fontId="13" fillId="0" borderId="14" xfId="2" applyFont="1" applyBorder="1"/>
    <xf numFmtId="164" fontId="13" fillId="0" borderId="15" xfId="2" applyFont="1" applyBorder="1"/>
    <xf numFmtId="164" fontId="13" fillId="0" borderId="1" xfId="0" applyNumberFormat="1" applyFont="1" applyBorder="1"/>
    <xf numFmtId="164" fontId="2" fillId="4" borderId="0" xfId="0" applyNumberFormat="1" applyFont="1" applyFill="1"/>
    <xf numFmtId="0" fontId="0" fillId="9" borderId="0" xfId="0" applyFill="1"/>
    <xf numFmtId="0" fontId="0" fillId="12" borderId="0" xfId="0" applyFill="1"/>
    <xf numFmtId="0" fontId="0" fillId="25" borderId="0" xfId="0" applyFill="1"/>
    <xf numFmtId="0" fontId="0" fillId="26" borderId="0" xfId="0" applyFill="1"/>
    <xf numFmtId="0" fontId="0" fillId="27" borderId="0" xfId="0" applyFill="1"/>
    <xf numFmtId="0" fontId="0" fillId="28" borderId="0" xfId="0" applyFill="1"/>
    <xf numFmtId="42" fontId="6" fillId="0" borderId="9" xfId="0" applyNumberFormat="1" applyFont="1" applyFill="1" applyBorder="1" applyAlignment="1" applyProtection="1">
      <alignment horizontal="right" vertical="center"/>
      <protection hidden="1"/>
    </xf>
    <xf numFmtId="42" fontId="6" fillId="0" borderId="12" xfId="0" quotePrefix="1" applyNumberFormat="1" applyFont="1" applyFill="1" applyBorder="1" applyAlignment="1" applyProtection="1">
      <alignment horizontal="center" vertical="center"/>
      <protection hidden="1"/>
    </xf>
    <xf numFmtId="42" fontId="6" fillId="0" borderId="6" xfId="0" quotePrefix="1" applyNumberFormat="1" applyFont="1" applyFill="1" applyBorder="1" applyAlignment="1" applyProtection="1">
      <alignment horizontal="right" vertical="center"/>
      <protection hidden="1"/>
    </xf>
    <xf numFmtId="42" fontId="0" fillId="2" borderId="0" xfId="0" applyNumberFormat="1" applyFill="1" applyAlignment="1" applyProtection="1">
      <alignment horizontal="right"/>
      <protection hidden="1"/>
    </xf>
    <xf numFmtId="164" fontId="0" fillId="29" borderId="0" xfId="2" applyFont="1" applyFill="1"/>
    <xf numFmtId="164" fontId="0" fillId="29" borderId="0" xfId="0" applyNumberFormat="1" applyFill="1"/>
    <xf numFmtId="0" fontId="0" fillId="0" borderId="5" xfId="0" applyBorder="1"/>
    <xf numFmtId="0" fontId="0" fillId="0" borderId="14" xfId="0" applyBorder="1"/>
    <xf numFmtId="164" fontId="0" fillId="0" borderId="14" xfId="0" applyNumberFormat="1" applyBorder="1"/>
    <xf numFmtId="164" fontId="15" fillId="0" borderId="15" xfId="0" applyNumberFormat="1" applyFont="1" applyBorder="1"/>
    <xf numFmtId="0" fontId="6" fillId="0" borderId="23" xfId="0" applyFont="1" applyFill="1" applyBorder="1" applyAlignment="1" applyProtection="1">
      <alignment horizontal="center"/>
      <protection hidden="1"/>
    </xf>
    <xf numFmtId="9" fontId="10" fillId="18" borderId="0" xfId="3" applyFont="1" applyFill="1" applyBorder="1" applyAlignment="1" applyProtection="1">
      <alignment horizontal="right"/>
      <protection hidden="1"/>
    </xf>
    <xf numFmtId="0" fontId="5" fillId="0" borderId="0" xfId="0" applyFont="1" applyFill="1" applyAlignment="1" applyProtection="1">
      <alignment horizontal="right" vertical="center"/>
      <protection hidden="1"/>
    </xf>
    <xf numFmtId="9" fontId="5" fillId="7" borderId="0" xfId="3" applyFont="1" applyFill="1" applyBorder="1" applyAlignment="1" applyProtection="1">
      <alignment horizontal="right" vertical="center"/>
      <protection hidden="1"/>
    </xf>
    <xf numFmtId="0" fontId="9" fillId="7" borderId="0" xfId="0" applyFont="1" applyFill="1" applyAlignment="1" applyProtection="1">
      <alignment horizontal="right" vertical="center"/>
      <protection hidden="1"/>
    </xf>
    <xf numFmtId="0" fontId="7" fillId="0" borderId="0" xfId="0" applyFont="1" applyAlignment="1" applyProtection="1">
      <alignment horizontal="right"/>
      <protection hidden="1"/>
    </xf>
    <xf numFmtId="0" fontId="6" fillId="0" borderId="0" xfId="0" applyFont="1" applyAlignment="1" applyProtection="1">
      <alignment horizontal="right" vertical="center"/>
      <protection hidden="1"/>
    </xf>
    <xf numFmtId="9" fontId="5" fillId="0" borderId="0" xfId="3" applyFont="1" applyFill="1" applyBorder="1" applyAlignment="1" applyProtection="1">
      <alignment vertical="center"/>
      <protection hidden="1"/>
    </xf>
    <xf numFmtId="9" fontId="5" fillId="0" borderId="10" xfId="3" applyFont="1" applyFill="1" applyBorder="1" applyAlignment="1" applyProtection="1">
      <alignment vertical="center"/>
      <protection hidden="1"/>
    </xf>
    <xf numFmtId="0" fontId="9" fillId="0" borderId="10" xfId="0" applyFont="1" applyBorder="1" applyAlignment="1" applyProtection="1">
      <alignment horizontal="left"/>
      <protection hidden="1"/>
    </xf>
    <xf numFmtId="164" fontId="6" fillId="0" borderId="10" xfId="0" applyNumberFormat="1" applyFont="1" applyBorder="1" applyAlignment="1" applyProtection="1">
      <alignment horizontal="left"/>
      <protection hidden="1"/>
    </xf>
    <xf numFmtId="164" fontId="6" fillId="0" borderId="10" xfId="2" applyFont="1" applyFill="1" applyBorder="1" applyAlignment="1" applyProtection="1">
      <alignment horizontal="left"/>
      <protection hidden="1"/>
    </xf>
    <xf numFmtId="168" fontId="6" fillId="0" borderId="11" xfId="8" applyNumberFormat="1" applyFont="1" applyFill="1" applyBorder="1" applyAlignment="1" applyProtection="1">
      <alignment horizontal="left" vertical="center"/>
      <protection hidden="1"/>
    </xf>
    <xf numFmtId="0" fontId="6" fillId="0" borderId="0" xfId="0" applyFont="1" applyBorder="1" applyAlignment="1" applyProtection="1">
      <alignment horizontal="left"/>
      <protection hidden="1"/>
    </xf>
    <xf numFmtId="164" fontId="6" fillId="0" borderId="0" xfId="0" applyNumberFormat="1" applyFont="1" applyBorder="1" applyAlignment="1" applyProtection="1">
      <alignment horizontal="left"/>
      <protection hidden="1"/>
    </xf>
    <xf numFmtId="168" fontId="6" fillId="0" borderId="13" xfId="8" applyNumberFormat="1" applyFont="1" applyFill="1" applyBorder="1" applyAlignment="1" applyProtection="1">
      <alignment horizontal="left" vertical="center"/>
      <protection hidden="1"/>
    </xf>
    <xf numFmtId="9" fontId="5" fillId="0" borderId="7" xfId="3" applyFont="1" applyFill="1" applyBorder="1" applyAlignment="1" applyProtection="1">
      <alignment vertical="center"/>
      <protection hidden="1"/>
    </xf>
    <xf numFmtId="0" fontId="6" fillId="0" borderId="7" xfId="0" applyFont="1" applyBorder="1" applyAlignment="1" applyProtection="1">
      <alignment horizontal="left" vertical="center"/>
      <protection hidden="1"/>
    </xf>
    <xf numFmtId="164" fontId="6" fillId="0" borderId="7" xfId="0" applyNumberFormat="1" applyFont="1" applyBorder="1" applyAlignment="1" applyProtection="1">
      <alignment horizontal="left"/>
      <protection hidden="1"/>
    </xf>
    <xf numFmtId="164" fontId="6" fillId="0" borderId="7" xfId="2" applyFont="1" applyFill="1" applyBorder="1" applyAlignment="1" applyProtection="1">
      <alignment horizontal="left"/>
      <protection hidden="1"/>
    </xf>
    <xf numFmtId="168" fontId="6" fillId="0" borderId="8" xfId="8" applyNumberFormat="1" applyFont="1" applyFill="1" applyBorder="1" applyAlignment="1" applyProtection="1">
      <alignment horizontal="left" vertical="center"/>
      <protection hidden="1"/>
    </xf>
    <xf numFmtId="0" fontId="6" fillId="0" borderId="10" xfId="0" applyFont="1" applyBorder="1" applyAlignment="1" applyProtection="1">
      <alignment horizontal="left"/>
      <protection hidden="1"/>
    </xf>
    <xf numFmtId="0" fontId="6" fillId="0" borderId="10" xfId="0" applyFont="1" applyBorder="1" applyAlignment="1" applyProtection="1">
      <alignment horizontal="left" vertical="center"/>
      <protection hidden="1"/>
    </xf>
    <xf numFmtId="0" fontId="6" fillId="0" borderId="0" xfId="0" applyFont="1" applyBorder="1" applyAlignment="1" applyProtection="1">
      <alignment horizontal="left" vertical="center"/>
      <protection hidden="1"/>
    </xf>
    <xf numFmtId="0" fontId="6" fillId="0" borderId="9" xfId="0" applyFont="1" applyBorder="1" applyAlignment="1" applyProtection="1">
      <alignment vertical="center"/>
      <protection hidden="1"/>
    </xf>
    <xf numFmtId="0" fontId="6" fillId="0" borderId="7" xfId="0" applyFont="1" applyBorder="1" applyAlignment="1" applyProtection="1">
      <alignment horizontal="left"/>
      <protection hidden="1"/>
    </xf>
    <xf numFmtId="42" fontId="11" fillId="2" borderId="0" xfId="0" quotePrefix="1" applyNumberFormat="1" applyFont="1" applyFill="1" applyAlignment="1" applyProtection="1">
      <alignment horizontal="right"/>
      <protection hidden="1"/>
    </xf>
    <xf numFmtId="164" fontId="11" fillId="2" borderId="7" xfId="4" applyNumberFormat="1" applyFont="1" applyFill="1" applyBorder="1" applyAlignment="1" applyProtection="1">
      <alignment horizontal="center"/>
      <protection hidden="1"/>
    </xf>
    <xf numFmtId="42" fontId="0" fillId="0" borderId="0" xfId="0" applyNumberFormat="1"/>
    <xf numFmtId="3" fontId="6" fillId="7" borderId="14" xfId="0" applyNumberFormat="1" applyFont="1" applyFill="1" applyBorder="1" applyAlignment="1" applyProtection="1">
      <alignment horizontal="center"/>
      <protection hidden="1"/>
    </xf>
    <xf numFmtId="3" fontId="6" fillId="7" borderId="15" xfId="0" applyNumberFormat="1" applyFont="1" applyFill="1" applyBorder="1" applyAlignment="1" applyProtection="1">
      <alignment horizontal="center"/>
      <protection hidden="1"/>
    </xf>
    <xf numFmtId="0" fontId="10" fillId="30" borderId="0" xfId="0" applyNumberFormat="1" applyFont="1" applyFill="1" applyAlignment="1" applyProtection="1">
      <alignment vertical="center" readingOrder="1"/>
      <protection hidden="1"/>
    </xf>
    <xf numFmtId="164" fontId="10" fillId="30" borderId="0" xfId="3" applyNumberFormat="1" applyFont="1" applyFill="1" applyBorder="1" applyAlignment="1" applyProtection="1">
      <alignment horizontal="center" vertical="center"/>
      <protection hidden="1"/>
    </xf>
    <xf numFmtId="164" fontId="10" fillId="30" borderId="0" xfId="0" applyNumberFormat="1" applyFont="1" applyFill="1" applyBorder="1" applyAlignment="1" applyProtection="1">
      <alignment horizontal="center" vertical="center"/>
      <protection hidden="1"/>
    </xf>
    <xf numFmtId="166" fontId="13" fillId="13" borderId="0" xfId="1" applyFont="1" applyFill="1" applyBorder="1" applyAlignment="1" applyProtection="1">
      <alignment horizontal="center"/>
      <protection hidden="1"/>
    </xf>
    <xf numFmtId="167" fontId="13" fillId="13" borderId="0" xfId="0" applyNumberFormat="1" applyFont="1" applyFill="1" applyAlignment="1" applyProtection="1">
      <alignment horizontal="center"/>
      <protection hidden="1"/>
    </xf>
    <xf numFmtId="20" fontId="13" fillId="13" borderId="0" xfId="0" applyNumberFormat="1" applyFont="1" applyFill="1" applyAlignment="1" applyProtection="1">
      <alignment horizontal="center"/>
      <protection hidden="1"/>
    </xf>
    <xf numFmtId="0" fontId="13" fillId="13" borderId="0" xfId="0" applyFont="1" applyFill="1" applyAlignment="1" applyProtection="1">
      <alignment horizontal="left"/>
      <protection hidden="1"/>
    </xf>
    <xf numFmtId="0" fontId="13" fillId="13" borderId="0" xfId="0" applyFont="1" applyFill="1" applyAlignment="1" applyProtection="1">
      <alignment horizontal="center"/>
      <protection hidden="1"/>
    </xf>
    <xf numFmtId="167" fontId="13" fillId="13" borderId="0" xfId="0" applyNumberFormat="1" applyFont="1" applyFill="1" applyBorder="1" applyAlignment="1" applyProtection="1">
      <alignment horizontal="center"/>
      <protection hidden="1"/>
    </xf>
    <xf numFmtId="20" fontId="13" fillId="13" borderId="0" xfId="0" applyNumberFormat="1" applyFont="1" applyFill="1" applyBorder="1" applyAlignment="1" applyProtection="1">
      <alignment horizontal="center"/>
      <protection hidden="1"/>
    </xf>
    <xf numFmtId="0" fontId="13" fillId="13" borderId="0" xfId="0" applyFont="1" applyFill="1" applyBorder="1" applyAlignment="1" applyProtection="1">
      <alignment horizontal="left"/>
      <protection hidden="1"/>
    </xf>
    <xf numFmtId="0" fontId="13" fillId="13" borderId="0" xfId="0" applyNumberFormat="1" applyFont="1" applyFill="1" applyBorder="1" applyAlignment="1" applyProtection="1">
      <alignment horizontal="center"/>
      <protection hidden="1"/>
    </xf>
    <xf numFmtId="42" fontId="13" fillId="0" borderId="0" xfId="0" applyNumberFormat="1" applyFont="1" applyFill="1" applyAlignment="1" applyProtection="1">
      <alignment horizontal="right"/>
      <protection hidden="1"/>
    </xf>
    <xf numFmtId="42" fontId="6" fillId="0" borderId="10" xfId="0" quotePrefix="1" applyNumberFormat="1" applyFont="1" applyFill="1" applyBorder="1" applyAlignment="1" applyProtection="1">
      <alignment horizontal="right" vertical="center"/>
      <protection hidden="1"/>
    </xf>
    <xf numFmtId="42" fontId="4" fillId="0" borderId="0" xfId="0" applyNumberFormat="1" applyFont="1" applyFill="1" applyBorder="1" applyAlignment="1" applyProtection="1">
      <alignment horizontal="right" vertical="center"/>
      <protection hidden="1"/>
    </xf>
    <xf numFmtId="42" fontId="4" fillId="0" borderId="0" xfId="1" applyNumberFormat="1" applyFont="1" applyFill="1" applyBorder="1" applyAlignment="1" applyProtection="1">
      <alignment horizontal="right" vertical="center"/>
      <protection hidden="1"/>
    </xf>
    <xf numFmtId="42" fontId="5" fillId="0" borderId="12" xfId="0" quotePrefix="1" applyNumberFormat="1" applyFont="1" applyFill="1" applyBorder="1" applyAlignment="1" applyProtection="1">
      <alignment horizontal="right" vertical="center"/>
      <protection hidden="1"/>
    </xf>
    <xf numFmtId="42" fontId="5" fillId="0" borderId="0" xfId="0" quotePrefix="1" applyNumberFormat="1" applyFont="1" applyFill="1" applyBorder="1" applyAlignment="1" applyProtection="1">
      <alignment horizontal="right" vertical="center"/>
      <protection hidden="1"/>
    </xf>
    <xf numFmtId="42" fontId="3" fillId="0" borderId="13" xfId="0" applyNumberFormat="1" applyFont="1" applyFill="1" applyBorder="1" applyProtection="1">
      <protection hidden="1"/>
    </xf>
    <xf numFmtId="0" fontId="46" fillId="0" borderId="0" xfId="0" applyFont="1" applyBorder="1"/>
    <xf numFmtId="17" fontId="47" fillId="0" borderId="0" xfId="0" applyNumberFormat="1" applyFont="1" applyBorder="1" applyAlignment="1">
      <alignment horizontal="center"/>
    </xf>
    <xf numFmtId="0" fontId="46" fillId="0" borderId="0" xfId="0" applyFont="1" applyBorder="1" applyAlignment="1">
      <alignment horizontal="center"/>
    </xf>
    <xf numFmtId="0" fontId="47" fillId="0" borderId="0" xfId="0" applyFont="1"/>
    <xf numFmtId="1" fontId="47" fillId="0" borderId="0" xfId="0" applyNumberFormat="1" applyFont="1" applyAlignment="1">
      <alignment horizontal="center"/>
    </xf>
    <xf numFmtId="0" fontId="48" fillId="0" borderId="9" xfId="0" applyFont="1" applyBorder="1"/>
    <xf numFmtId="1" fontId="46" fillId="0" borderId="1" xfId="0" applyNumberFormat="1" applyFont="1" applyBorder="1" applyAlignment="1">
      <alignment horizontal="center"/>
    </xf>
    <xf numFmtId="0" fontId="48" fillId="0" borderId="12" xfId="0" applyFont="1" applyBorder="1"/>
    <xf numFmtId="0" fontId="48" fillId="7" borderId="12" xfId="0" applyFont="1" applyFill="1" applyBorder="1"/>
    <xf numFmtId="0" fontId="48" fillId="0" borderId="6" xfId="0" applyFont="1" applyBorder="1"/>
    <xf numFmtId="1" fontId="47" fillId="0" borderId="0" xfId="0" applyNumberFormat="1" applyFont="1" applyFill="1" applyBorder="1" applyAlignment="1">
      <alignment horizontal="center"/>
    </xf>
    <xf numFmtId="1" fontId="46" fillId="0" borderId="0" xfId="0" applyNumberFormat="1" applyFont="1" applyFill="1" applyBorder="1" applyAlignment="1">
      <alignment horizontal="center"/>
    </xf>
    <xf numFmtId="0" fontId="46" fillId="0" borderId="9" xfId="0" applyFont="1" applyBorder="1"/>
    <xf numFmtId="0" fontId="46" fillId="0" borderId="12" xfId="0" applyFont="1" applyBorder="1"/>
    <xf numFmtId="0" fontId="46" fillId="0" borderId="6" xfId="0" applyFont="1" applyBorder="1"/>
    <xf numFmtId="0" fontId="46" fillId="0" borderId="0" xfId="0" applyFont="1"/>
    <xf numFmtId="17" fontId="46" fillId="0" borderId="0" xfId="0" applyNumberFormat="1" applyFont="1" applyAlignment="1">
      <alignment horizontal="center"/>
    </xf>
    <xf numFmtId="164" fontId="47" fillId="11" borderId="5" xfId="2" applyFont="1" applyFill="1" applyBorder="1" applyAlignment="1">
      <alignment horizontal="center"/>
    </xf>
    <xf numFmtId="0" fontId="47" fillId="11" borderId="14" xfId="0" applyFont="1" applyFill="1" applyBorder="1" applyAlignment="1">
      <alignment horizontal="center"/>
    </xf>
    <xf numFmtId="164" fontId="47" fillId="11" borderId="14" xfId="2" applyFont="1" applyFill="1" applyBorder="1" applyAlignment="1">
      <alignment horizontal="center"/>
    </xf>
    <xf numFmtId="0" fontId="47" fillId="11" borderId="15" xfId="0" applyFont="1" applyFill="1" applyBorder="1" applyAlignment="1">
      <alignment horizontal="center"/>
    </xf>
    <xf numFmtId="164" fontId="47" fillId="11" borderId="15" xfId="2" applyFont="1" applyFill="1" applyBorder="1" applyAlignment="1">
      <alignment horizontal="center"/>
    </xf>
    <xf numFmtId="1" fontId="47" fillId="11" borderId="5" xfId="0" applyNumberFormat="1" applyFont="1" applyFill="1" applyBorder="1" applyAlignment="1">
      <alignment horizontal="center"/>
    </xf>
    <xf numFmtId="1" fontId="47" fillId="11" borderId="14" xfId="0" applyNumberFormat="1" applyFont="1" applyFill="1" applyBorder="1" applyAlignment="1">
      <alignment horizontal="center"/>
    </xf>
    <xf numFmtId="1" fontId="47" fillId="11" borderId="15" xfId="0" applyNumberFormat="1" applyFont="1" applyFill="1" applyBorder="1" applyAlignment="1">
      <alignment horizontal="center"/>
    </xf>
    <xf numFmtId="1" fontId="47" fillId="11" borderId="1" xfId="0" applyNumberFormat="1" applyFont="1" applyFill="1" applyBorder="1" applyAlignment="1">
      <alignment horizontal="center"/>
    </xf>
    <xf numFmtId="0" fontId="49" fillId="11" borderId="5" xfId="0" applyFont="1" applyFill="1" applyBorder="1" applyAlignment="1">
      <alignment horizontal="center"/>
    </xf>
    <xf numFmtId="0" fontId="50" fillId="11" borderId="5" xfId="0" applyFont="1" applyFill="1" applyBorder="1" applyAlignment="1">
      <alignment horizontal="center"/>
    </xf>
    <xf numFmtId="1" fontId="49" fillId="11" borderId="1" xfId="0" applyNumberFormat="1" applyFont="1" applyFill="1" applyBorder="1" applyAlignment="1">
      <alignment horizontal="center"/>
    </xf>
    <xf numFmtId="1" fontId="50" fillId="11" borderId="1" xfId="0" applyNumberFormat="1" applyFont="1" applyFill="1" applyBorder="1" applyAlignment="1">
      <alignment horizontal="center"/>
    </xf>
    <xf numFmtId="1" fontId="46" fillId="7" borderId="1" xfId="0" applyNumberFormat="1" applyFont="1" applyFill="1" applyBorder="1" applyAlignment="1">
      <alignment horizontal="center"/>
    </xf>
    <xf numFmtId="176" fontId="49" fillId="8" borderId="57" xfId="0" applyNumberFormat="1" applyFont="1" applyFill="1" applyBorder="1" applyAlignment="1">
      <alignment horizontal="center"/>
    </xf>
    <xf numFmtId="176" fontId="50" fillId="8" borderId="57" xfId="0" applyNumberFormat="1" applyFont="1" applyFill="1" applyBorder="1" applyAlignment="1">
      <alignment horizontal="center"/>
    </xf>
    <xf numFmtId="176" fontId="46" fillId="8" borderId="57" xfId="0" applyNumberFormat="1" applyFont="1" applyFill="1" applyBorder="1" applyAlignment="1">
      <alignment horizontal="center"/>
    </xf>
    <xf numFmtId="180" fontId="47" fillId="0" borderId="0" xfId="0" applyNumberFormat="1" applyFont="1" applyAlignment="1">
      <alignment horizontal="center"/>
    </xf>
    <xf numFmtId="1" fontId="46" fillId="11" borderId="5" xfId="0" applyNumberFormat="1" applyFont="1" applyFill="1" applyBorder="1" applyAlignment="1">
      <alignment horizontal="center"/>
    </xf>
    <xf numFmtId="164" fontId="46" fillId="11" borderId="5" xfId="2" applyFont="1" applyFill="1" applyBorder="1" applyAlignment="1">
      <alignment horizontal="center"/>
    </xf>
    <xf numFmtId="1" fontId="49" fillId="0" borderId="1" xfId="0" applyNumberFormat="1" applyFont="1" applyFill="1" applyBorder="1" applyAlignment="1">
      <alignment horizontal="center"/>
    </xf>
    <xf numFmtId="0" fontId="50" fillId="11" borderId="14" xfId="0" applyFont="1" applyFill="1" applyBorder="1" applyAlignment="1">
      <alignment horizontal="center"/>
    </xf>
    <xf numFmtId="0" fontId="46" fillId="0" borderId="0" xfId="0" applyFont="1" applyAlignment="1">
      <alignment horizontal="center"/>
    </xf>
    <xf numFmtId="164" fontId="47" fillId="0" borderId="1" xfId="2" applyFont="1" applyFill="1" applyBorder="1" applyAlignment="1">
      <alignment horizontal="center"/>
    </xf>
    <xf numFmtId="164" fontId="47" fillId="0" borderId="1" xfId="0" applyNumberFormat="1" applyFont="1" applyBorder="1"/>
    <xf numFmtId="0" fontId="48" fillId="7" borderId="14" xfId="0" applyFont="1" applyFill="1" applyBorder="1" applyAlignment="1">
      <alignment horizontal="center"/>
    </xf>
    <xf numFmtId="164" fontId="48" fillId="7" borderId="14" xfId="2" applyFont="1" applyFill="1" applyBorder="1" applyAlignment="1">
      <alignment horizontal="center"/>
    </xf>
    <xf numFmtId="0" fontId="48" fillId="0" borderId="0" xfId="0" applyFont="1"/>
    <xf numFmtId="1" fontId="48" fillId="7" borderId="1" xfId="0" applyNumberFormat="1" applyFont="1" applyFill="1" applyBorder="1" applyAlignment="1">
      <alignment horizontal="center"/>
    </xf>
    <xf numFmtId="164" fontId="47" fillId="7" borderId="1" xfId="0" applyNumberFormat="1" applyFont="1" applyFill="1" applyBorder="1"/>
    <xf numFmtId="164" fontId="46" fillId="0" borderId="1" xfId="2" applyFont="1" applyFill="1" applyBorder="1" applyAlignment="1">
      <alignment horizontal="center"/>
    </xf>
    <xf numFmtId="164" fontId="46" fillId="0" borderId="1" xfId="0" applyNumberFormat="1" applyFont="1" applyBorder="1"/>
    <xf numFmtId="1" fontId="47" fillId="7" borderId="14" xfId="0" applyNumberFormat="1" applyFont="1" applyFill="1" applyBorder="1" applyAlignment="1">
      <alignment horizontal="center"/>
    </xf>
    <xf numFmtId="164" fontId="46" fillId="7" borderId="14" xfId="2" applyFont="1" applyFill="1" applyBorder="1" applyAlignment="1">
      <alignment horizontal="center"/>
    </xf>
    <xf numFmtId="0" fontId="6" fillId="0" borderId="0" xfId="0" applyFont="1" applyFill="1" applyAlignment="1" applyProtection="1">
      <alignment horizontal="left"/>
      <protection hidden="1"/>
    </xf>
    <xf numFmtId="0" fontId="0" fillId="12" borderId="0" xfId="0" applyFont="1" applyFill="1" applyAlignment="1" applyProtection="1">
      <alignment horizontal="left"/>
      <protection hidden="1"/>
    </xf>
    <xf numFmtId="0" fontId="39" fillId="0" borderId="0" xfId="9"/>
    <xf numFmtId="1" fontId="39" fillId="0" borderId="0" xfId="9" applyNumberFormat="1"/>
    <xf numFmtId="42" fontId="39" fillId="0" borderId="0" xfId="9" applyNumberFormat="1"/>
    <xf numFmtId="0" fontId="39" fillId="0" borderId="9" xfId="9" applyBorder="1"/>
    <xf numFmtId="0" fontId="39" fillId="0" borderId="10" xfId="9" applyBorder="1"/>
    <xf numFmtId="1" fontId="39" fillId="0" borderId="10" xfId="9" applyNumberFormat="1" applyBorder="1"/>
    <xf numFmtId="42" fontId="39" fillId="0" borderId="10" xfId="9" applyNumberFormat="1" applyBorder="1"/>
    <xf numFmtId="0" fontId="39" fillId="0" borderId="11" xfId="9" applyBorder="1"/>
    <xf numFmtId="0" fontId="39" fillId="0" borderId="12" xfId="9" applyBorder="1"/>
    <xf numFmtId="0" fontId="39" fillId="0" borderId="0" xfId="9" applyBorder="1"/>
    <xf numFmtId="1" fontId="39" fillId="0" borderId="0" xfId="9" applyNumberFormat="1" applyBorder="1"/>
    <xf numFmtId="42" fontId="39" fillId="0" borderId="0" xfId="9" applyNumberFormat="1" applyBorder="1"/>
    <xf numFmtId="0" fontId="39" fillId="0" borderId="13" xfId="9" applyBorder="1"/>
    <xf numFmtId="0" fontId="39" fillId="0" borderId="6" xfId="9" applyBorder="1"/>
    <xf numFmtId="0" fontId="39" fillId="0" borderId="7" xfId="9" applyBorder="1"/>
    <xf numFmtId="1" fontId="39" fillId="0" borderId="7" xfId="9" applyNumberFormat="1" applyBorder="1"/>
    <xf numFmtId="42" fontId="39" fillId="0" borderId="7" xfId="9" applyNumberFormat="1" applyBorder="1"/>
    <xf numFmtId="0" fontId="39" fillId="0" borderId="8" xfId="9" applyBorder="1"/>
    <xf numFmtId="164" fontId="39" fillId="0" borderId="0" xfId="2"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6" xfId="0" applyBorder="1"/>
    <xf numFmtId="0" fontId="16" fillId="12" borderId="0" xfId="0" applyFont="1" applyFill="1" applyAlignment="1" applyProtection="1">
      <alignment horizontal="left"/>
      <protection hidden="1"/>
    </xf>
    <xf numFmtId="0" fontId="6" fillId="0" borderId="0" xfId="2" applyNumberFormat="1" applyFont="1" applyFill="1" applyBorder="1" applyAlignment="1" applyProtection="1">
      <alignment horizontal="left"/>
      <protection hidden="1"/>
    </xf>
    <xf numFmtId="164" fontId="5" fillId="0" borderId="0" xfId="2" applyFont="1" applyBorder="1" applyAlignment="1" applyProtection="1">
      <alignment horizontal="left"/>
      <protection hidden="1"/>
    </xf>
    <xf numFmtId="0" fontId="13" fillId="0" borderId="0" xfId="0" applyFont="1" applyAlignment="1" applyProtection="1">
      <alignment horizontal="left"/>
      <protection hidden="1"/>
    </xf>
    <xf numFmtId="0" fontId="4" fillId="0" borderId="0" xfId="0" applyFont="1" applyFill="1" applyBorder="1" applyAlignment="1" applyProtection="1">
      <alignment vertical="center"/>
      <protection hidden="1"/>
    </xf>
    <xf numFmtId="164" fontId="4" fillId="0" borderId="0" xfId="2" applyFont="1" applyFill="1" applyBorder="1" applyAlignment="1" applyProtection="1">
      <alignment horizontal="center"/>
      <protection hidden="1"/>
    </xf>
    <xf numFmtId="0" fontId="4" fillId="0" borderId="0" xfId="0" applyFont="1" applyFill="1" applyAlignment="1" applyProtection="1">
      <alignment horizontal="left"/>
      <protection hidden="1"/>
    </xf>
    <xf numFmtId="0" fontId="0" fillId="0" borderId="0" xfId="0" applyFont="1" applyFill="1" applyProtection="1">
      <protection hidden="1"/>
    </xf>
    <xf numFmtId="0" fontId="16" fillId="0" borderId="0" xfId="0" applyNumberFormat="1" applyFont="1" applyFill="1" applyBorder="1" applyAlignment="1" applyProtection="1">
      <alignment horizontal="left"/>
      <protection hidden="1"/>
    </xf>
    <xf numFmtId="0" fontId="16" fillId="0" borderId="13" xfId="0" applyNumberFormat="1" applyFont="1" applyFill="1" applyBorder="1" applyAlignment="1" applyProtection="1">
      <alignment horizontal="left"/>
      <protection hidden="1"/>
    </xf>
    <xf numFmtId="17" fontId="16" fillId="9" borderId="2" xfId="0" applyNumberFormat="1" applyFont="1" applyFill="1" applyBorder="1" applyAlignment="1" applyProtection="1">
      <alignment horizontal="left"/>
      <protection hidden="1"/>
    </xf>
    <xf numFmtId="172" fontId="16" fillId="9" borderId="4" xfId="5" applyNumberFormat="1" applyFont="1" applyFill="1" applyBorder="1" applyAlignment="1" applyProtection="1">
      <alignment horizontal="center"/>
      <protection hidden="1"/>
    </xf>
    <xf numFmtId="17" fontId="16" fillId="9" borderId="15" xfId="0" applyNumberFormat="1" applyFont="1" applyFill="1" applyBorder="1" applyAlignment="1" applyProtection="1">
      <alignment horizontal="left"/>
      <protection hidden="1"/>
    </xf>
    <xf numFmtId="164" fontId="16" fillId="9" borderId="6" xfId="0" applyNumberFormat="1" applyFont="1" applyFill="1" applyBorder="1" applyAlignment="1" applyProtection="1">
      <alignment horizontal="center"/>
      <protection hidden="1"/>
    </xf>
    <xf numFmtId="164" fontId="16" fillId="9" borderId="7" xfId="0" applyNumberFormat="1" applyFont="1" applyFill="1" applyBorder="1" applyAlignment="1" applyProtection="1">
      <alignment horizontal="center"/>
      <protection hidden="1"/>
    </xf>
    <xf numFmtId="164" fontId="16" fillId="9" borderId="8" xfId="0" applyNumberFormat="1" applyFont="1" applyFill="1" applyBorder="1" applyAlignment="1" applyProtection="1">
      <alignment horizontal="center"/>
      <protection hidden="1"/>
    </xf>
    <xf numFmtId="0" fontId="15" fillId="9" borderId="5" xfId="0" applyFont="1" applyFill="1" applyBorder="1" applyProtection="1">
      <protection hidden="1"/>
    </xf>
    <xf numFmtId="0" fontId="15" fillId="9" borderId="9" xfId="0" applyNumberFormat="1" applyFont="1" applyFill="1" applyBorder="1" applyAlignment="1" applyProtection="1">
      <alignment horizontal="center"/>
      <protection hidden="1"/>
    </xf>
    <xf numFmtId="0" fontId="15" fillId="9" borderId="10" xfId="0" applyNumberFormat="1" applyFont="1" applyFill="1" applyBorder="1" applyAlignment="1" applyProtection="1">
      <alignment horizontal="center"/>
      <protection hidden="1"/>
    </xf>
    <xf numFmtId="0" fontId="15" fillId="9" borderId="11" xfId="0" applyNumberFormat="1" applyFont="1" applyFill="1" applyBorder="1" applyAlignment="1" applyProtection="1">
      <alignment horizontal="center"/>
      <protection hidden="1"/>
    </xf>
    <xf numFmtId="42" fontId="16" fillId="28" borderId="0" xfId="0" applyNumberFormat="1" applyFont="1" applyFill="1" applyAlignment="1" applyProtection="1">
      <alignment horizontal="right"/>
      <protection hidden="1"/>
    </xf>
    <xf numFmtId="0" fontId="51" fillId="0" borderId="0" xfId="9" applyFont="1"/>
    <xf numFmtId="1" fontId="51" fillId="0" borderId="0" xfId="9" applyNumberFormat="1" applyFont="1"/>
    <xf numFmtId="42" fontId="51" fillId="0" borderId="0" xfId="9" applyNumberFormat="1" applyFont="1"/>
    <xf numFmtId="42" fontId="39" fillId="2" borderId="10" xfId="9" applyNumberFormat="1" applyFill="1" applyBorder="1"/>
    <xf numFmtId="42" fontId="39" fillId="2" borderId="0" xfId="9" applyNumberFormat="1" applyFill="1" applyBorder="1"/>
    <xf numFmtId="42" fontId="39" fillId="2" borderId="7" xfId="9" applyNumberFormat="1" applyFill="1" applyBorder="1"/>
    <xf numFmtId="14" fontId="39" fillId="0" borderId="6" xfId="9" applyNumberFormat="1" applyBorder="1" applyAlignment="1">
      <alignment horizontal="left"/>
    </xf>
    <xf numFmtId="1" fontId="39" fillId="0" borderId="0" xfId="2" applyNumberFormat="1" applyFont="1" applyAlignment="1">
      <alignment horizontal="center"/>
    </xf>
    <xf numFmtId="17" fontId="39" fillId="0" borderId="0" xfId="9" applyNumberFormat="1" applyAlignment="1">
      <alignment horizontal="center"/>
    </xf>
    <xf numFmtId="164" fontId="7" fillId="0" borderId="11" xfId="0" applyNumberFormat="1" applyFont="1" applyFill="1" applyBorder="1" applyProtection="1">
      <protection hidden="1"/>
    </xf>
    <xf numFmtId="164" fontId="7" fillId="0" borderId="13" xfId="0" applyNumberFormat="1" applyFont="1" applyFill="1" applyBorder="1" applyProtection="1">
      <protection hidden="1"/>
    </xf>
    <xf numFmtId="164" fontId="7" fillId="0" borderId="8" xfId="0" applyNumberFormat="1" applyFont="1" applyFill="1" applyBorder="1" applyProtection="1">
      <protection hidden="1"/>
    </xf>
    <xf numFmtId="0" fontId="6" fillId="0" borderId="0" xfId="0" applyFont="1" applyFill="1" applyAlignment="1" applyProtection="1">
      <alignment horizontal="left"/>
      <protection hidden="1"/>
    </xf>
    <xf numFmtId="0" fontId="14" fillId="12" borderId="0" xfId="0" applyFont="1" applyFill="1" applyProtection="1">
      <protection hidden="1"/>
    </xf>
    <xf numFmtId="0" fontId="14" fillId="12" borderId="0" xfId="0" applyFont="1" applyFill="1" applyAlignment="1" applyProtection="1">
      <alignment horizontal="left"/>
      <protection hidden="1"/>
    </xf>
    <xf numFmtId="0" fontId="15" fillId="12" borderId="0" xfId="0" applyFont="1" applyFill="1" applyProtection="1">
      <protection hidden="1"/>
    </xf>
    <xf numFmtId="0" fontId="15" fillId="12" borderId="0" xfId="0" applyFont="1" applyFill="1" applyAlignment="1" applyProtection="1">
      <alignment horizontal="left"/>
      <protection hidden="1"/>
    </xf>
    <xf numFmtId="0" fontId="37" fillId="7" borderId="17" xfId="0" applyFont="1" applyFill="1" applyBorder="1"/>
    <xf numFmtId="0" fontId="37" fillId="7" borderId="18" xfId="0" applyFont="1" applyFill="1" applyBorder="1"/>
    <xf numFmtId="0" fontId="37" fillId="7" borderId="19" xfId="0" applyFont="1" applyFill="1" applyBorder="1"/>
    <xf numFmtId="0" fontId="37" fillId="7" borderId="22" xfId="0" applyFont="1" applyFill="1" applyBorder="1"/>
    <xf numFmtId="0" fontId="37" fillId="7" borderId="0" xfId="0" applyFont="1" applyFill="1" applyBorder="1"/>
    <xf numFmtId="0" fontId="37" fillId="7" borderId="23" xfId="0" applyFont="1" applyFill="1" applyBorder="1"/>
    <xf numFmtId="0" fontId="26" fillId="7" borderId="22" xfId="0" applyFont="1" applyFill="1" applyBorder="1"/>
    <xf numFmtId="0" fontId="12" fillId="7" borderId="0" xfId="0" applyFont="1" applyFill="1" applyBorder="1" applyAlignment="1">
      <alignment vertical="center" wrapText="1"/>
    </xf>
    <xf numFmtId="0" fontId="12" fillId="7" borderId="22" xfId="0" applyFont="1" applyFill="1" applyBorder="1" applyAlignment="1">
      <alignment vertical="center" wrapText="1"/>
    </xf>
    <xf numFmtId="0" fontId="37" fillId="7" borderId="24" xfId="0" applyFont="1" applyFill="1" applyBorder="1"/>
    <xf numFmtId="0" fontId="37" fillId="7" borderId="25" xfId="0" applyFont="1" applyFill="1" applyBorder="1"/>
    <xf numFmtId="0" fontId="37" fillId="7" borderId="26" xfId="0" applyFont="1" applyFill="1" applyBorder="1"/>
    <xf numFmtId="0" fontId="54" fillId="7" borderId="0" xfId="0" applyFont="1" applyFill="1" applyBorder="1" applyAlignment="1">
      <alignment horizontal="center"/>
    </xf>
    <xf numFmtId="0" fontId="54" fillId="7" borderId="22" xfId="0" applyFont="1" applyFill="1" applyBorder="1"/>
    <xf numFmtId="0" fontId="54" fillId="7" borderId="0" xfId="0" applyFont="1" applyFill="1" applyBorder="1"/>
    <xf numFmtId="176" fontId="0" fillId="0" borderId="0" xfId="2" applyNumberFormat="1" applyFont="1" applyAlignment="1">
      <alignment horizontal="left"/>
    </xf>
    <xf numFmtId="42" fontId="6" fillId="2" borderId="0" xfId="0" quotePrefix="1" applyNumberFormat="1" applyFont="1" applyFill="1" applyBorder="1" applyAlignment="1" applyProtection="1">
      <alignment horizontal="right" vertical="center"/>
      <protection hidden="1"/>
    </xf>
    <xf numFmtId="42" fontId="6" fillId="0" borderId="7" xfId="0" quotePrefix="1" applyNumberFormat="1" applyFont="1" applyFill="1" applyBorder="1" applyAlignment="1" applyProtection="1">
      <alignment horizontal="right" vertical="center"/>
      <protection hidden="1"/>
    </xf>
    <xf numFmtId="164" fontId="11" fillId="2" borderId="7" xfId="4" quotePrefix="1" applyNumberFormat="1" applyFont="1" applyFill="1" applyBorder="1" applyAlignment="1" applyProtection="1">
      <alignment horizontal="center"/>
      <protection hidden="1"/>
    </xf>
    <xf numFmtId="42" fontId="0" fillId="2" borderId="0" xfId="0" quotePrefix="1" applyNumberFormat="1" applyFill="1" applyAlignment="1" applyProtection="1">
      <alignment horizontal="right"/>
      <protection hidden="1"/>
    </xf>
    <xf numFmtId="42" fontId="6" fillId="2" borderId="7" xfId="1" applyNumberFormat="1" applyFont="1" applyFill="1" applyBorder="1" applyAlignment="1" applyProtection="1">
      <alignment horizontal="right" vertical="center"/>
      <protection hidden="1"/>
    </xf>
    <xf numFmtId="42" fontId="0" fillId="0" borderId="0" xfId="0" quotePrefix="1" applyNumberFormat="1" applyFill="1" applyAlignment="1" applyProtection="1">
      <alignment horizontal="right"/>
      <protection hidden="1"/>
    </xf>
    <xf numFmtId="167" fontId="11" fillId="0" borderId="0" xfId="0" applyNumberFormat="1" applyFont="1" applyFill="1" applyBorder="1" applyAlignment="1" applyProtection="1">
      <alignment horizontal="center"/>
      <protection hidden="1"/>
    </xf>
    <xf numFmtId="20" fontId="11" fillId="0" borderId="0" xfId="0" applyNumberFormat="1" applyFont="1" applyFill="1" applyBorder="1" applyAlignment="1" applyProtection="1">
      <alignment horizontal="center"/>
      <protection hidden="1"/>
    </xf>
    <xf numFmtId="0" fontId="11" fillId="0" borderId="0" xfId="0" applyFont="1" applyFill="1" applyBorder="1" applyAlignment="1" applyProtection="1">
      <alignment horizontal="left"/>
      <protection hidden="1"/>
    </xf>
    <xf numFmtId="0" fontId="11" fillId="0" borderId="0" xfId="0" applyNumberFormat="1" applyFont="1" applyBorder="1" applyAlignment="1" applyProtection="1">
      <alignment horizontal="center"/>
      <protection hidden="1"/>
    </xf>
    <xf numFmtId="166" fontId="11" fillId="0" borderId="0" xfId="1" applyFont="1" applyBorder="1" applyAlignment="1" applyProtection="1">
      <alignment horizontal="center"/>
      <protection hidden="1"/>
    </xf>
    <xf numFmtId="166" fontId="11" fillId="0" borderId="0" xfId="1" applyFont="1" applyFill="1" applyBorder="1" applyAlignment="1" applyProtection="1">
      <alignment horizontal="center"/>
      <protection hidden="1"/>
    </xf>
    <xf numFmtId="166" fontId="16" fillId="0" borderId="0" xfId="1" applyFont="1" applyBorder="1" applyProtection="1">
      <protection hidden="1"/>
    </xf>
    <xf numFmtId="0" fontId="11" fillId="0" borderId="0" xfId="0" applyFont="1" applyBorder="1" applyProtection="1">
      <protection hidden="1"/>
    </xf>
    <xf numFmtId="0" fontId="5" fillId="0" borderId="1" xfId="0" applyFont="1" applyFill="1" applyBorder="1" applyProtection="1">
      <protection hidden="1"/>
    </xf>
    <xf numFmtId="0" fontId="28" fillId="4" borderId="0" xfId="0" applyFont="1" applyFill="1" applyAlignment="1" applyProtection="1">
      <alignment horizontal="center" vertical="center" wrapText="1"/>
      <protection hidden="1"/>
    </xf>
    <xf numFmtId="0" fontId="12" fillId="7" borderId="0" xfId="0" applyFont="1" applyFill="1" applyBorder="1" applyAlignment="1">
      <alignment horizontal="center" vertical="center" wrapText="1"/>
    </xf>
    <xf numFmtId="0" fontId="54" fillId="7" borderId="22" xfId="0" applyFont="1" applyFill="1" applyBorder="1" applyAlignment="1">
      <alignment horizontal="center"/>
    </xf>
    <xf numFmtId="0" fontId="54" fillId="7" borderId="0" xfId="0" applyFont="1" applyFill="1" applyBorder="1" applyAlignment="1">
      <alignment horizontal="center"/>
    </xf>
    <xf numFmtId="0" fontId="53" fillId="7" borderId="0" xfId="0" applyFont="1" applyFill="1" applyBorder="1" applyAlignment="1">
      <alignment horizontal="center" vertical="center" wrapText="1"/>
    </xf>
    <xf numFmtId="0" fontId="53" fillId="7" borderId="23" xfId="0" applyFont="1" applyFill="1" applyBorder="1" applyAlignment="1">
      <alignment horizontal="center" vertical="center" wrapText="1"/>
    </xf>
    <xf numFmtId="0" fontId="6" fillId="0" borderId="7" xfId="0" applyFont="1" applyFill="1" applyBorder="1" applyAlignment="1" applyProtection="1">
      <alignment horizontal="center"/>
      <protection hidden="1"/>
    </xf>
    <xf numFmtId="9" fontId="5" fillId="0" borderId="46" xfId="3" applyFont="1" applyFill="1" applyBorder="1" applyAlignment="1" applyProtection="1">
      <alignment horizontal="center"/>
      <protection hidden="1"/>
    </xf>
    <xf numFmtId="9" fontId="5" fillId="0" borderId="47" xfId="3" applyFont="1" applyFill="1" applyBorder="1" applyAlignment="1" applyProtection="1">
      <alignment horizontal="center"/>
      <protection hidden="1"/>
    </xf>
    <xf numFmtId="9" fontId="5" fillId="0" borderId="48" xfId="3" applyFont="1" applyFill="1" applyBorder="1" applyAlignment="1" applyProtection="1">
      <alignment horizontal="center"/>
      <protection hidden="1"/>
    </xf>
    <xf numFmtId="0" fontId="6" fillId="0" borderId="27" xfId="0" applyFont="1" applyFill="1" applyBorder="1" applyAlignment="1" applyProtection="1">
      <alignment horizontal="left"/>
      <protection hidden="1"/>
    </xf>
    <xf numFmtId="0" fontId="6" fillId="0" borderId="1" xfId="0" applyFont="1" applyFill="1" applyBorder="1" applyAlignment="1" applyProtection="1">
      <alignment horizontal="left"/>
      <protection hidden="1"/>
    </xf>
    <xf numFmtId="0" fontId="5" fillId="0" borderId="41" xfId="0" applyFont="1" applyFill="1" applyBorder="1" applyAlignment="1" applyProtection="1">
      <alignment horizontal="left"/>
      <protection hidden="1"/>
    </xf>
    <xf numFmtId="0" fontId="5" fillId="0" borderId="42" xfId="0" applyFont="1" applyFill="1" applyBorder="1" applyAlignment="1" applyProtection="1">
      <alignment horizontal="left"/>
      <protection hidden="1"/>
    </xf>
    <xf numFmtId="0" fontId="6" fillId="0" borderId="34" xfId="0" applyFont="1" applyFill="1" applyBorder="1" applyAlignment="1" applyProtection="1">
      <alignment horizontal="left"/>
      <protection hidden="1"/>
    </xf>
    <xf numFmtId="0" fontId="6" fillId="0" borderId="5" xfId="0" applyFont="1" applyFill="1" applyBorder="1" applyAlignment="1" applyProtection="1">
      <alignment horizontal="left"/>
      <protection hidden="1"/>
    </xf>
    <xf numFmtId="0" fontId="5" fillId="0" borderId="38" xfId="0" applyFont="1" applyFill="1" applyBorder="1" applyAlignment="1" applyProtection="1">
      <alignment horizontal="left"/>
      <protection hidden="1"/>
    </xf>
    <xf numFmtId="0" fontId="5" fillId="0" borderId="39" xfId="0" applyFont="1" applyFill="1" applyBorder="1" applyAlignment="1" applyProtection="1">
      <alignment horizontal="left"/>
      <protection hidden="1"/>
    </xf>
    <xf numFmtId="0" fontId="5" fillId="0" borderId="2" xfId="0" applyFont="1" applyFill="1" applyBorder="1" applyAlignment="1" applyProtection="1">
      <alignment horizontal="center"/>
      <protection hidden="1"/>
    </xf>
    <xf numFmtId="0" fontId="5" fillId="0" borderId="3" xfId="0" applyFont="1" applyFill="1" applyBorder="1" applyAlignment="1" applyProtection="1">
      <alignment horizontal="center"/>
      <protection hidden="1"/>
    </xf>
    <xf numFmtId="0" fontId="5" fillId="0" borderId="4" xfId="0" applyFont="1" applyFill="1" applyBorder="1" applyAlignment="1" applyProtection="1">
      <alignment horizontal="center"/>
      <protection hidden="1"/>
    </xf>
    <xf numFmtId="0" fontId="10" fillId="3" borderId="0" xfId="0" applyFont="1" applyFill="1" applyBorder="1" applyAlignment="1" applyProtection="1">
      <alignment horizontal="left"/>
      <protection hidden="1"/>
    </xf>
    <xf numFmtId="0" fontId="7" fillId="0" borderId="0" xfId="0" applyFont="1" applyFill="1" applyBorder="1" applyAlignment="1" applyProtection="1">
      <alignment horizontal="left"/>
      <protection hidden="1"/>
    </xf>
    <xf numFmtId="0" fontId="26" fillId="7" borderId="0" xfId="0" applyFont="1" applyFill="1" applyBorder="1" applyAlignment="1" applyProtection="1">
      <alignment horizontal="center"/>
      <protection hidden="1"/>
    </xf>
    <xf numFmtId="0" fontId="7" fillId="0" borderId="12" xfId="0" applyFont="1" applyFill="1" applyBorder="1" applyAlignment="1" applyProtection="1">
      <alignment horizontal="left"/>
      <protection hidden="1"/>
    </xf>
    <xf numFmtId="0" fontId="7" fillId="0" borderId="13" xfId="0" applyFont="1" applyFill="1" applyBorder="1" applyAlignment="1" applyProtection="1">
      <alignment horizontal="left"/>
      <protection hidden="1"/>
    </xf>
    <xf numFmtId="0" fontId="3" fillId="0" borderId="9" xfId="0" applyFont="1" applyFill="1" applyBorder="1" applyAlignment="1" applyProtection="1">
      <alignment horizontal="left"/>
      <protection hidden="1"/>
    </xf>
    <xf numFmtId="0" fontId="3" fillId="0" borderId="10" xfId="0" applyFont="1" applyFill="1" applyBorder="1" applyAlignment="1" applyProtection="1">
      <alignment horizontal="left"/>
      <protection hidden="1"/>
    </xf>
    <xf numFmtId="0" fontId="3" fillId="0" borderId="11" xfId="0" applyFont="1" applyFill="1" applyBorder="1" applyAlignment="1" applyProtection="1">
      <alignment horizontal="left"/>
      <protection hidden="1"/>
    </xf>
    <xf numFmtId="0" fontId="3" fillId="0" borderId="6" xfId="0" applyFont="1" applyFill="1" applyBorder="1" applyAlignment="1" applyProtection="1">
      <alignment horizontal="left"/>
      <protection hidden="1"/>
    </xf>
    <xf numFmtId="0" fontId="3" fillId="0" borderId="7" xfId="0" applyFont="1" applyFill="1" applyBorder="1" applyAlignment="1" applyProtection="1">
      <alignment horizontal="left"/>
      <protection hidden="1"/>
    </xf>
    <xf numFmtId="0" fontId="3" fillId="0" borderId="8" xfId="0" applyFont="1" applyFill="1" applyBorder="1" applyAlignment="1" applyProtection="1">
      <alignment horizontal="left"/>
      <protection hidden="1"/>
    </xf>
    <xf numFmtId="0" fontId="10" fillId="3" borderId="6" xfId="0" applyFont="1" applyFill="1" applyBorder="1" applyAlignment="1" applyProtection="1">
      <alignment horizontal="left"/>
      <protection hidden="1"/>
    </xf>
    <xf numFmtId="0" fontId="10" fillId="3" borderId="7" xfId="0" applyFont="1" applyFill="1" applyBorder="1" applyAlignment="1" applyProtection="1">
      <alignment horizontal="left"/>
      <protection hidden="1"/>
    </xf>
    <xf numFmtId="0" fontId="10" fillId="3" borderId="8" xfId="0" applyFont="1" applyFill="1" applyBorder="1" applyAlignment="1" applyProtection="1">
      <alignment horizontal="left"/>
      <protection hidden="1"/>
    </xf>
    <xf numFmtId="0" fontId="6" fillId="0" borderId="12" xfId="0" applyFont="1" applyFill="1" applyBorder="1" applyAlignment="1" applyProtection="1">
      <alignment horizontal="left"/>
      <protection hidden="1"/>
    </xf>
    <xf numFmtId="0" fontId="6" fillId="0" borderId="0" xfId="0" applyFont="1" applyFill="1" applyAlignment="1" applyProtection="1">
      <alignment horizontal="left"/>
      <protection hidden="1"/>
    </xf>
    <xf numFmtId="0" fontId="7" fillId="0" borderId="12" xfId="0" applyFont="1" applyBorder="1" applyAlignment="1" applyProtection="1">
      <alignment horizontal="left" wrapText="1"/>
      <protection hidden="1"/>
    </xf>
    <xf numFmtId="0" fontId="7" fillId="0" borderId="0" xfId="0" applyFont="1" applyBorder="1" applyAlignment="1" applyProtection="1">
      <alignment horizontal="left" wrapText="1"/>
      <protection hidden="1"/>
    </xf>
    <xf numFmtId="0" fontId="7" fillId="0" borderId="13" xfId="0" applyFont="1" applyBorder="1" applyAlignment="1" applyProtection="1">
      <alignment horizontal="left" wrapText="1"/>
      <protection hidden="1"/>
    </xf>
    <xf numFmtId="0" fontId="7" fillId="0" borderId="6" xfId="0" applyFont="1" applyBorder="1" applyAlignment="1" applyProtection="1">
      <alignment horizontal="left" wrapText="1"/>
      <protection hidden="1"/>
    </xf>
    <xf numFmtId="0" fontId="7" fillId="0" borderId="7" xfId="0" applyFont="1" applyBorder="1" applyAlignment="1" applyProtection="1">
      <alignment horizontal="left" wrapText="1"/>
      <protection hidden="1"/>
    </xf>
    <xf numFmtId="0" fontId="7" fillId="0" borderId="8" xfId="0" applyFont="1" applyBorder="1" applyAlignment="1" applyProtection="1">
      <alignment horizontal="left" wrapText="1"/>
      <protection hidden="1"/>
    </xf>
    <xf numFmtId="0" fontId="5" fillId="7" borderId="0" xfId="0" applyFont="1" applyFill="1" applyBorder="1" applyAlignment="1" applyProtection="1">
      <alignment horizontal="center"/>
      <protection hidden="1"/>
    </xf>
    <xf numFmtId="0" fontId="4" fillId="0" borderId="7" xfId="0" applyFont="1" applyFill="1" applyBorder="1" applyAlignment="1" applyProtection="1">
      <alignment horizontal="left"/>
      <protection hidden="1"/>
    </xf>
    <xf numFmtId="0" fontId="7" fillId="0" borderId="9" xfId="0" applyFont="1" applyFill="1" applyBorder="1" applyAlignment="1" applyProtection="1">
      <alignment horizontal="left"/>
      <protection hidden="1"/>
    </xf>
    <xf numFmtId="0" fontId="7" fillId="0" borderId="10" xfId="0" applyFont="1" applyFill="1" applyBorder="1" applyAlignment="1" applyProtection="1">
      <alignment horizontal="left"/>
      <protection hidden="1"/>
    </xf>
    <xf numFmtId="0" fontId="7" fillId="0" borderId="11" xfId="0" applyFont="1" applyFill="1" applyBorder="1" applyAlignment="1" applyProtection="1">
      <alignment horizontal="left"/>
      <protection hidden="1"/>
    </xf>
    <xf numFmtId="0" fontId="7" fillId="0" borderId="9" xfId="0" applyFont="1" applyBorder="1" applyAlignment="1" applyProtection="1">
      <alignment horizontal="left" wrapText="1"/>
      <protection hidden="1"/>
    </xf>
    <xf numFmtId="0" fontId="7" fillId="0" borderId="10" xfId="0" applyFont="1" applyBorder="1" applyAlignment="1" applyProtection="1">
      <alignment horizontal="left" wrapText="1"/>
      <protection hidden="1"/>
    </xf>
    <xf numFmtId="0" fontId="7" fillId="0" borderId="11" xfId="0" applyFont="1" applyBorder="1" applyAlignment="1" applyProtection="1">
      <alignment horizontal="left" wrapText="1"/>
      <protection hidden="1"/>
    </xf>
    <xf numFmtId="0" fontId="6" fillId="0" borderId="12" xfId="0" applyFont="1" applyFill="1" applyBorder="1" applyAlignment="1" applyProtection="1">
      <alignment horizontal="left" vertical="center"/>
      <protection hidden="1"/>
    </xf>
    <xf numFmtId="0" fontId="6" fillId="0" borderId="0" xfId="0" applyFont="1" applyFill="1" applyBorder="1" applyAlignment="1" applyProtection="1">
      <alignment horizontal="left" vertical="center"/>
      <protection hidden="1"/>
    </xf>
    <xf numFmtId="0" fontId="6" fillId="0" borderId="13" xfId="0" applyFont="1" applyFill="1" applyBorder="1" applyAlignment="1" applyProtection="1">
      <alignment horizontal="left" vertical="center"/>
      <protection hidden="1"/>
    </xf>
    <xf numFmtId="0" fontId="6" fillId="0" borderId="9" xfId="0" applyFont="1" applyFill="1" applyBorder="1" applyAlignment="1" applyProtection="1">
      <alignment horizontal="left" vertical="center"/>
      <protection hidden="1"/>
    </xf>
    <xf numFmtId="0" fontId="6" fillId="0" borderId="10" xfId="0" applyFont="1" applyFill="1" applyBorder="1" applyAlignment="1" applyProtection="1">
      <alignment horizontal="left" vertical="center"/>
      <protection hidden="1"/>
    </xf>
    <xf numFmtId="0" fontId="6" fillId="0" borderId="11" xfId="0" applyFont="1" applyFill="1" applyBorder="1" applyAlignment="1" applyProtection="1">
      <alignment horizontal="left" vertical="center"/>
      <protection hidden="1"/>
    </xf>
    <xf numFmtId="0" fontId="5" fillId="6" borderId="2" xfId="0" applyFont="1" applyFill="1" applyBorder="1" applyAlignment="1" applyProtection="1">
      <alignment horizontal="left"/>
      <protection hidden="1"/>
    </xf>
    <xf numFmtId="0" fontId="5" fillId="6" borderId="3" xfId="0" applyFont="1" applyFill="1" applyBorder="1" applyAlignment="1" applyProtection="1">
      <alignment horizontal="left"/>
      <protection hidden="1"/>
    </xf>
    <xf numFmtId="0" fontId="5" fillId="6" borderId="4" xfId="0" applyFont="1" applyFill="1" applyBorder="1" applyAlignment="1" applyProtection="1">
      <alignment horizontal="left"/>
      <protection hidden="1"/>
    </xf>
    <xf numFmtId="0" fontId="45" fillId="0" borderId="9" xfId="0" applyFont="1" applyFill="1" applyBorder="1" applyAlignment="1" applyProtection="1">
      <alignment horizontal="left"/>
      <protection hidden="1"/>
    </xf>
    <xf numFmtId="0" fontId="45" fillId="0" borderId="10" xfId="0" applyFont="1" applyFill="1" applyBorder="1" applyAlignment="1" applyProtection="1">
      <alignment horizontal="left"/>
      <protection hidden="1"/>
    </xf>
    <xf numFmtId="0" fontId="45" fillId="0" borderId="12" xfId="0" applyFont="1" applyFill="1" applyBorder="1" applyAlignment="1" applyProtection="1">
      <alignment horizontal="left"/>
      <protection hidden="1"/>
    </xf>
    <xf numFmtId="0" fontId="45" fillId="0" borderId="0" xfId="0" applyFont="1" applyFill="1" applyBorder="1" applyAlignment="1" applyProtection="1">
      <alignment horizontal="left"/>
      <protection hidden="1"/>
    </xf>
    <xf numFmtId="0" fontId="45" fillId="0" borderId="6" xfId="0" applyFont="1" applyFill="1" applyBorder="1" applyAlignment="1" applyProtection="1">
      <alignment horizontal="left"/>
      <protection hidden="1"/>
    </xf>
    <xf numFmtId="0" fontId="45" fillId="0" borderId="7" xfId="0" applyFont="1" applyFill="1" applyBorder="1" applyAlignment="1" applyProtection="1">
      <alignment horizontal="left"/>
      <protection hidden="1"/>
    </xf>
    <xf numFmtId="0" fontId="6" fillId="0" borderId="6" xfId="0" applyFont="1" applyFill="1" applyBorder="1" applyAlignment="1" applyProtection="1">
      <alignment horizontal="left" vertical="center"/>
      <protection hidden="1"/>
    </xf>
    <xf numFmtId="0" fontId="6" fillId="0" borderId="7" xfId="0" applyFont="1" applyFill="1" applyBorder="1" applyAlignment="1" applyProtection="1">
      <alignment horizontal="left" vertical="center"/>
      <protection hidden="1"/>
    </xf>
    <xf numFmtId="0" fontId="6" fillId="0" borderId="8" xfId="0" applyFont="1" applyFill="1" applyBorder="1" applyAlignment="1" applyProtection="1">
      <alignment horizontal="left" vertical="center"/>
      <protection hidden="1"/>
    </xf>
    <xf numFmtId="0" fontId="19" fillId="0" borderId="5" xfId="0" applyFont="1" applyBorder="1" applyAlignment="1" applyProtection="1">
      <alignment horizontal="center" vertical="center" wrapText="1"/>
      <protection hidden="1"/>
    </xf>
    <xf numFmtId="0" fontId="19" fillId="0" borderId="14" xfId="0" applyFont="1" applyBorder="1" applyAlignment="1" applyProtection="1">
      <alignment horizontal="center" vertical="center" wrapText="1"/>
      <protection hidden="1"/>
    </xf>
    <xf numFmtId="0" fontId="19" fillId="0" borderId="15" xfId="0" applyFont="1" applyBorder="1" applyAlignment="1" applyProtection="1">
      <alignment horizontal="center" vertical="center" wrapText="1"/>
      <protection hidden="1"/>
    </xf>
    <xf numFmtId="0" fontId="21" fillId="7" borderId="5" xfId="0" applyFont="1" applyFill="1" applyBorder="1" applyAlignment="1" applyProtection="1">
      <alignment horizontal="center" vertical="center" wrapText="1"/>
      <protection hidden="1"/>
    </xf>
    <xf numFmtId="0" fontId="21" fillId="7" borderId="15" xfId="0" applyFont="1" applyFill="1" applyBorder="1" applyAlignment="1" applyProtection="1">
      <alignment horizontal="center" vertical="center" wrapText="1"/>
      <protection hidden="1"/>
    </xf>
    <xf numFmtId="0" fontId="21" fillId="7" borderId="0" xfId="0" applyFont="1" applyFill="1" applyBorder="1" applyAlignment="1" applyProtection="1">
      <alignment horizontal="center" vertical="center" wrapText="1"/>
      <protection hidden="1"/>
    </xf>
    <xf numFmtId="0" fontId="20" fillId="8" borderId="5" xfId="0" applyFont="1" applyFill="1" applyBorder="1" applyAlignment="1" applyProtection="1">
      <alignment horizontal="center" vertical="center"/>
      <protection hidden="1"/>
    </xf>
    <xf numFmtId="0" fontId="20" fillId="8" borderId="15" xfId="0" applyFont="1" applyFill="1" applyBorder="1" applyAlignment="1" applyProtection="1">
      <alignment horizontal="center" vertical="center"/>
      <protection hidden="1"/>
    </xf>
    <xf numFmtId="0" fontId="15" fillId="11" borderId="0" xfId="0" applyFont="1" applyFill="1" applyBorder="1" applyAlignment="1" applyProtection="1">
      <alignment horizontal="center"/>
      <protection hidden="1"/>
    </xf>
    <xf numFmtId="168" fontId="21" fillId="10" borderId="11" xfId="3" applyNumberFormat="1" applyFont="1" applyFill="1" applyBorder="1" applyAlignment="1" applyProtection="1">
      <alignment horizontal="center" vertical="center"/>
      <protection hidden="1"/>
    </xf>
    <xf numFmtId="168" fontId="21" fillId="10" borderId="8" xfId="3" applyNumberFormat="1" applyFont="1" applyFill="1" applyBorder="1" applyAlignment="1" applyProtection="1">
      <alignment horizontal="center" vertical="center"/>
      <protection hidden="1"/>
    </xf>
    <xf numFmtId="168" fontId="21" fillId="10" borderId="5" xfId="3" applyNumberFormat="1" applyFont="1" applyFill="1" applyBorder="1" applyAlignment="1" applyProtection="1">
      <alignment horizontal="center" vertical="center"/>
      <protection hidden="1"/>
    </xf>
    <xf numFmtId="168" fontId="21" fillId="10" borderId="15" xfId="3" applyNumberFormat="1" applyFont="1" applyFill="1" applyBorder="1" applyAlignment="1" applyProtection="1">
      <alignment horizontal="center" vertical="center"/>
      <protection hidden="1"/>
    </xf>
    <xf numFmtId="0" fontId="16" fillId="11" borderId="0" xfId="0" applyFont="1" applyFill="1" applyBorder="1" applyAlignment="1" applyProtection="1">
      <alignment horizontal="center"/>
      <protection hidden="1"/>
    </xf>
    <xf numFmtId="0" fontId="16" fillId="11" borderId="0" xfId="0" applyFont="1" applyFill="1" applyBorder="1" applyAlignment="1" applyProtection="1">
      <alignment horizontal="center" vertical="center"/>
      <protection hidden="1"/>
    </xf>
    <xf numFmtId="0" fontId="20" fillId="10" borderId="5" xfId="0" applyFont="1" applyFill="1" applyBorder="1" applyAlignment="1" applyProtection="1">
      <alignment horizontal="center" vertical="center" wrapText="1"/>
      <protection hidden="1"/>
    </xf>
    <xf numFmtId="0" fontId="20" fillId="10" borderId="14" xfId="0" applyFont="1" applyFill="1" applyBorder="1" applyAlignment="1" applyProtection="1">
      <alignment horizontal="center" vertical="center" wrapText="1"/>
      <protection hidden="1"/>
    </xf>
    <xf numFmtId="0" fontId="20" fillId="10" borderId="0" xfId="0" applyFont="1" applyFill="1" applyBorder="1" applyAlignment="1" applyProtection="1">
      <alignment horizontal="center" vertical="center" wrapText="1"/>
      <protection hidden="1"/>
    </xf>
    <xf numFmtId="168" fontId="21" fillId="12" borderId="5" xfId="3" applyNumberFormat="1" applyFont="1" applyFill="1" applyBorder="1" applyAlignment="1" applyProtection="1">
      <alignment horizontal="center" vertical="center"/>
      <protection hidden="1"/>
    </xf>
    <xf numFmtId="168" fontId="21" fillId="12" borderId="15" xfId="3" applyNumberFormat="1" applyFont="1" applyFill="1" applyBorder="1" applyAlignment="1" applyProtection="1">
      <alignment horizontal="center" vertical="center"/>
      <protection hidden="1"/>
    </xf>
    <xf numFmtId="178" fontId="21" fillId="7" borderId="5" xfId="3" applyNumberFormat="1" applyFont="1" applyFill="1" applyBorder="1" applyAlignment="1" applyProtection="1">
      <alignment horizontal="center" vertical="center"/>
      <protection hidden="1"/>
    </xf>
    <xf numFmtId="178" fontId="21" fillId="7" borderId="15" xfId="3" applyNumberFormat="1" applyFont="1" applyFill="1" applyBorder="1" applyAlignment="1" applyProtection="1">
      <alignment horizontal="center" vertical="center"/>
      <protection hidden="1"/>
    </xf>
    <xf numFmtId="168" fontId="21" fillId="9" borderId="5" xfId="3" applyNumberFormat="1" applyFont="1" applyFill="1" applyBorder="1" applyAlignment="1" applyProtection="1">
      <alignment horizontal="center" vertical="center"/>
      <protection hidden="1"/>
    </xf>
    <xf numFmtId="168" fontId="21" fillId="9" borderId="15" xfId="3" applyNumberFormat="1" applyFont="1" applyFill="1" applyBorder="1" applyAlignment="1" applyProtection="1">
      <alignment horizontal="center" vertical="center"/>
      <protection hidden="1"/>
    </xf>
    <xf numFmtId="168" fontId="21" fillId="13" borderId="5" xfId="3" applyNumberFormat="1" applyFont="1" applyFill="1" applyBorder="1" applyAlignment="1" applyProtection="1">
      <alignment horizontal="center" vertical="center"/>
      <protection hidden="1"/>
    </xf>
    <xf numFmtId="168" fontId="21" fillId="13" borderId="15" xfId="3" applyNumberFormat="1" applyFont="1" applyFill="1" applyBorder="1" applyAlignment="1" applyProtection="1">
      <alignment horizontal="center" vertical="center"/>
      <protection hidden="1"/>
    </xf>
    <xf numFmtId="0" fontId="20" fillId="8" borderId="0" xfId="0" applyFont="1" applyFill="1" applyBorder="1" applyAlignment="1" applyProtection="1">
      <alignment horizontal="center" vertical="center" wrapText="1"/>
      <protection hidden="1"/>
    </xf>
    <xf numFmtId="164" fontId="2" fillId="19" borderId="0" xfId="0" applyNumberFormat="1" applyFont="1" applyFill="1" applyBorder="1" applyAlignment="1" applyProtection="1">
      <alignment horizontal="right" vertical="center"/>
      <protection hidden="1"/>
    </xf>
    <xf numFmtId="0" fontId="14" fillId="0" borderId="0" xfId="0" applyNumberFormat="1" applyFont="1" applyFill="1" applyAlignment="1" applyProtection="1">
      <alignment horizontal="center" vertical="center"/>
      <protection hidden="1"/>
    </xf>
    <xf numFmtId="0" fontId="41" fillId="7" borderId="0" xfId="0" applyFont="1" applyFill="1" applyAlignment="1">
      <alignment horizontal="center"/>
    </xf>
    <xf numFmtId="0" fontId="16" fillId="0" borderId="5" xfId="0" applyFont="1" applyFill="1" applyBorder="1" applyAlignment="1" applyProtection="1">
      <alignment horizontal="left" vertical="center"/>
      <protection hidden="1"/>
    </xf>
    <xf numFmtId="0" fontId="0" fillId="0" borderId="14" xfId="0" applyBorder="1" applyProtection="1">
      <protection hidden="1"/>
    </xf>
    <xf numFmtId="0" fontId="15" fillId="0" borderId="0" xfId="0" applyFont="1" applyFill="1" applyBorder="1" applyAlignment="1" applyProtection="1">
      <alignment horizontal="left"/>
      <protection hidden="1"/>
    </xf>
    <xf numFmtId="0" fontId="16" fillId="0" borderId="2" xfId="0" applyFont="1" applyFill="1" applyBorder="1" applyAlignment="1" applyProtection="1">
      <alignment horizontal="left" vertical="center"/>
      <protection hidden="1"/>
    </xf>
    <xf numFmtId="0" fontId="16" fillId="0" borderId="4" xfId="0" applyFont="1" applyFill="1" applyBorder="1" applyAlignment="1" applyProtection="1">
      <alignment horizontal="left" vertical="center"/>
      <protection hidden="1"/>
    </xf>
    <xf numFmtId="0" fontId="24" fillId="0" borderId="3" xfId="0" applyFont="1" applyFill="1" applyBorder="1" applyAlignment="1" applyProtection="1">
      <alignment horizontal="left"/>
      <protection hidden="1"/>
    </xf>
    <xf numFmtId="0" fontId="24" fillId="0" borderId="4" xfId="0" applyFont="1" applyFill="1" applyBorder="1" applyAlignment="1" applyProtection="1">
      <alignment horizontal="left"/>
      <protection hidden="1"/>
    </xf>
    <xf numFmtId="0" fontId="23" fillId="0" borderId="2" xfId="0" applyFont="1" applyFill="1" applyBorder="1" applyAlignment="1" applyProtection="1">
      <alignment horizontal="center"/>
      <protection hidden="1"/>
    </xf>
    <xf numFmtId="0" fontId="23" fillId="0" borderId="3" xfId="0" applyFont="1" applyFill="1" applyBorder="1" applyAlignment="1" applyProtection="1">
      <alignment horizontal="center"/>
      <protection hidden="1"/>
    </xf>
    <xf numFmtId="0" fontId="23" fillId="0" borderId="4" xfId="0" applyFont="1" applyFill="1" applyBorder="1" applyAlignment="1" applyProtection="1">
      <alignment horizontal="center"/>
      <protection hidden="1"/>
    </xf>
    <xf numFmtId="164" fontId="4" fillId="7" borderId="0" xfId="2" applyFont="1" applyFill="1" applyBorder="1" applyAlignment="1" applyProtection="1">
      <alignment horizontal="center"/>
      <protection hidden="1"/>
    </xf>
    <xf numFmtId="0" fontId="6" fillId="0" borderId="9" xfId="0" applyFont="1" applyBorder="1" applyAlignment="1" applyProtection="1">
      <alignment horizontal="left" vertical="center"/>
      <protection hidden="1"/>
    </xf>
    <xf numFmtId="0" fontId="6" fillId="0" borderId="12" xfId="0" applyFont="1" applyBorder="1" applyAlignment="1" applyProtection="1">
      <alignment horizontal="left" vertical="center"/>
      <protection hidden="1"/>
    </xf>
    <xf numFmtId="0" fontId="6" fillId="0" borderId="6" xfId="0" applyFont="1" applyBorder="1" applyAlignment="1" applyProtection="1">
      <alignment horizontal="left" vertical="center"/>
      <protection hidden="1"/>
    </xf>
    <xf numFmtId="0" fontId="6" fillId="0" borderId="0" xfId="0" applyFont="1" applyAlignment="1" applyProtection="1">
      <alignment horizontal="left" vertical="center"/>
      <protection hidden="1"/>
    </xf>
    <xf numFmtId="164" fontId="10" fillId="18" borderId="0" xfId="2" applyFont="1" applyFill="1" applyBorder="1" applyAlignment="1" applyProtection="1">
      <alignment horizontal="center"/>
      <protection hidden="1"/>
    </xf>
    <xf numFmtId="0" fontId="16" fillId="12" borderId="0" xfId="0" applyFont="1" applyFill="1" applyAlignment="1" applyProtection="1">
      <alignment horizontal="center"/>
      <protection hidden="1"/>
    </xf>
    <xf numFmtId="0" fontId="0" fillId="12" borderId="0" xfId="0" applyFont="1" applyFill="1" applyAlignment="1" applyProtection="1">
      <alignment horizontal="left"/>
      <protection hidden="1"/>
    </xf>
    <xf numFmtId="14" fontId="0" fillId="12" borderId="0" xfId="0" applyNumberFormat="1" applyFont="1" applyFill="1" applyAlignment="1" applyProtection="1">
      <alignment horizontal="left"/>
      <protection hidden="1"/>
    </xf>
    <xf numFmtId="0" fontId="24" fillId="0" borderId="2" xfId="0" applyFont="1" applyBorder="1" applyAlignment="1" applyProtection="1">
      <alignment horizontal="center"/>
      <protection hidden="1"/>
    </xf>
    <xf numFmtId="0" fontId="24" fillId="0" borderId="3" xfId="0" applyFont="1" applyBorder="1" applyAlignment="1" applyProtection="1">
      <alignment horizontal="center"/>
      <protection hidden="1"/>
    </xf>
    <xf numFmtId="0" fontId="24" fillId="0" borderId="4" xfId="0" applyFont="1" applyBorder="1" applyAlignment="1" applyProtection="1">
      <alignment horizontal="center"/>
      <protection hidden="1"/>
    </xf>
    <xf numFmtId="0" fontId="13" fillId="0" borderId="0" xfId="0" applyFont="1" applyFill="1" applyBorder="1" applyAlignment="1" applyProtection="1">
      <alignment horizontal="left"/>
      <protection hidden="1"/>
    </xf>
  </cellXfs>
  <cellStyles count="10">
    <cellStyle name="Hipervínculo 2" xfId="7" xr:uid="{00000000-0005-0000-0000-000000000000}"/>
    <cellStyle name="Millares [0]" xfId="1" builtinId="6"/>
    <cellStyle name="Millares 2" xfId="4" xr:uid="{00000000-0005-0000-0000-000002000000}"/>
    <cellStyle name="Moneda [0]" xfId="2" builtinId="7"/>
    <cellStyle name="Moneda 2" xfId="5" xr:uid="{00000000-0005-0000-0000-000004000000}"/>
    <cellStyle name="Normal" xfId="0" builtinId="0"/>
    <cellStyle name="Normal 2" xfId="6" xr:uid="{00000000-0005-0000-0000-000006000000}"/>
    <cellStyle name="Normal 3" xfId="9" xr:uid="{00000000-0005-0000-0000-000007000000}"/>
    <cellStyle name="Notas" xfId="8" builtinId="10"/>
    <cellStyle name="Porcentaje" xfId="3" builtinId="5"/>
  </cellStyles>
  <dxfs count="189">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numFmt numFmtId="166" formatCode="_(* #,##0_);_(* \(#,##0\);_(* &quot;-&quot;_);_(@_)"/>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protection locked="1" hidden="1"/>
    </dxf>
    <dxf>
      <font>
        <b/>
        <i val="0"/>
        <strike val="0"/>
        <condense val="0"/>
        <extend val="0"/>
        <outline val="0"/>
        <shadow val="0"/>
        <u val="none"/>
        <vertAlign val="baseline"/>
        <sz val="11"/>
        <color theme="1"/>
        <name val="Calibri"/>
        <scheme val="minor"/>
      </font>
      <numFmt numFmtId="166" formatCode="_(* #,##0_);_(* \(#,##0\);_(* &quot;-&quot;_);_(@_)"/>
      <protection locked="1" hidden="1"/>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left"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numFmt numFmtId="25" formatCode="h:mm"/>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25" formatCode="h:mm"/>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167" formatCode="dd/mm/yy"/>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general" vertical="center" textRotation="0" wrapText="0" indent="0" justifyLastLine="0" shrinkToFit="0" readingOrder="1"/>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left" vertical="bottom" textRotation="0" wrapText="0" indent="0" justifyLastLine="0" shrinkToFit="0" readingOrder="0"/>
    </dxf>
    <dxf>
      <alignment horizontal="left"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protection locked="1" hidden="1"/>
    </dxf>
    <dxf>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protection locked="1" hidden="1"/>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relativeIndent="0" justifyLastLine="0" shrinkToFit="0" readingOrder="0"/>
      <protection locked="1" hidden="1"/>
    </dxf>
    <dxf>
      <protection locked="1" hidden="1"/>
    </dxf>
    <dxf>
      <font>
        <strike val="0"/>
        <outline val="0"/>
        <shadow val="0"/>
        <u val="none"/>
        <vertAlign val="baseline"/>
        <color auto="1"/>
        <name val="Calibri"/>
        <scheme val="minor"/>
      </font>
      <alignment horizontal="general" vertical="bottom" textRotation="0" wrapText="0" indent="0" justifyLastLine="0" shrinkToFit="0" readingOrder="0"/>
      <protection locked="1" hidden="1"/>
    </dxf>
    <dxf>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bottom" textRotation="0" wrapText="0" indent="0" justifyLastLine="0" shrinkToFit="0" readingOrder="0"/>
      <protection locked="1" hidden="1"/>
    </dxf>
    <dxf>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protection locked="1" hidden="1"/>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protection locked="1" hidden="1"/>
    </dxf>
    <dxf>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protection locked="1" hidden="1"/>
    </dxf>
    <dxf>
      <font>
        <strike val="0"/>
        <outline val="0"/>
        <shadow val="0"/>
        <u val="none"/>
        <vertAlign val="baseline"/>
        <color auto="1"/>
        <name val="Calibri"/>
        <scheme val="minor"/>
      </font>
      <alignment horizontal="general" vertical="bottom" textRotation="0" wrapText="0" indent="0" justifyLastLine="0" shrinkToFit="0" readingOrder="0"/>
      <protection locked="1" hidden="1"/>
    </dxf>
    <dxf>
      <alignment horizontal="left"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bottom" textRotation="0" wrapText="0" indent="0" justifyLastLine="0" shrinkToFit="0" readingOrder="0"/>
      <protection locked="1" hidden="1"/>
    </dxf>
    <dxf>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protection locked="1" hidden="1"/>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protection locked="1" hidden="1"/>
    </dxf>
    <dxf>
      <protection locked="1" hidden="1"/>
    </dxf>
    <dxf>
      <font>
        <b val="0"/>
        <i val="0"/>
        <strike val="0"/>
        <condense val="0"/>
        <extend val="0"/>
        <outline val="0"/>
        <shadow val="0"/>
        <u val="none"/>
        <vertAlign val="baseline"/>
        <sz val="10"/>
        <color auto="1"/>
        <name val="Calibri"/>
        <scheme val="minor"/>
      </font>
      <fill>
        <patternFill patternType="none">
          <fgColor indexed="64"/>
          <bgColor indexed="65"/>
        </patternFill>
      </fill>
      <protection locked="1" hidden="1"/>
    </dxf>
    <dxf>
      <font>
        <strike val="0"/>
        <outline val="0"/>
        <shadow val="0"/>
        <u val="none"/>
        <vertAlign val="baseline"/>
        <color auto="1"/>
        <name val="Calibri"/>
        <scheme val="minor"/>
      </font>
      <alignment horizontal="general" vertical="bottom" textRotation="0" wrapText="0" indent="0" justifyLastLine="0" shrinkToFit="0" readingOrder="0"/>
      <protection locked="1" hidden="1"/>
    </dxf>
    <dxf>
      <fill>
        <patternFill>
          <bgColor rgb="FF30F042"/>
        </patternFill>
      </fill>
    </dxf>
    <dxf>
      <font>
        <b val="0"/>
        <i val="0"/>
        <strike val="0"/>
        <condense val="0"/>
        <extend val="0"/>
        <outline val="0"/>
        <shadow val="0"/>
        <u val="none"/>
        <vertAlign val="baseline"/>
        <sz val="11"/>
        <color auto="1"/>
        <name val="Calibri"/>
        <scheme val="minor"/>
      </font>
      <numFmt numFmtId="0" formatCode="General"/>
      <alignment horizontal="left" vertical="bottom"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protection locked="1" hidden="1"/>
    </dxf>
    <dxf>
      <font>
        <b/>
        <i val="0"/>
        <strike val="0"/>
        <condense val="0"/>
        <extend val="0"/>
        <outline val="0"/>
        <shadow val="0"/>
        <u val="none"/>
        <vertAlign val="baseline"/>
        <sz val="11"/>
        <color theme="1"/>
        <name val="Calibri"/>
        <scheme val="minor"/>
      </font>
      <numFmt numFmtId="164" formatCode="_(&quot;$&quot;* #,##0_);_(&quot;$&quot;* \(#,##0\);_(&quot;$&quot;* &quot;-&quot;_);_(@_)"/>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i val="0"/>
        <strike val="0"/>
        <condense val="0"/>
        <extend val="0"/>
        <outline val="0"/>
        <shadow val="0"/>
        <u val="none"/>
        <vertAlign val="baseline"/>
        <sz val="11"/>
        <color auto="1"/>
        <name val="Calibri"/>
        <scheme val="minor"/>
      </font>
      <fill>
        <patternFill patternType="none">
          <fgColor indexed="64"/>
          <bgColor indexed="65"/>
        </patternFill>
      </fill>
      <protection locked="1" hidden="1"/>
    </dxf>
    <dxf>
      <font>
        <b val="0"/>
        <i val="0"/>
        <strike val="0"/>
        <condense val="0"/>
        <extend val="0"/>
        <outline val="0"/>
        <shadow val="0"/>
        <u val="none"/>
        <vertAlign val="baseline"/>
        <sz val="11"/>
        <color theme="1"/>
        <name val="Calibri"/>
        <scheme val="minor"/>
      </font>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scheme val="minor"/>
      </font>
      <protection locked="1" hidden="1"/>
    </dxf>
    <dxf>
      <font>
        <b/>
        <i val="0"/>
        <strike val="0"/>
        <condense val="0"/>
        <extend val="0"/>
        <outline val="0"/>
        <shadow val="0"/>
        <u val="none"/>
        <vertAlign val="baseline"/>
        <sz val="11"/>
        <color theme="1"/>
        <name val="Calibri"/>
        <scheme val="minor"/>
      </font>
      <alignment horizontal="left" vertical="center" textRotation="0" wrapText="1" indent="0" justifyLastLine="0" shrinkToFit="0" readingOrder="0"/>
      <border diagonalUp="0" diagonalDown="0">
        <left style="thin">
          <color indexed="64"/>
        </left>
        <right style="thin">
          <color indexed="64"/>
        </right>
        <top/>
        <bottom/>
      </border>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numFmt numFmtId="164" formatCode="_(&quot;$&quot;* #,##0_);_(&quot;$&quot;* \(#,##0\);_(&quot;$&quot;* &quot;-&quot;_);_(@_)"/>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protection locked="1" hidden="1"/>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protection locked="1" hidden="1"/>
    </dxf>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protection locked="1" hidden="1"/>
    </dxf>
    <dxf>
      <font>
        <b val="0"/>
        <i val="0"/>
        <strike val="0"/>
        <condense val="0"/>
        <extend val="0"/>
        <outline val="0"/>
        <shadow val="0"/>
        <u val="none"/>
        <vertAlign val="baseline"/>
        <sz val="11"/>
        <color theme="1"/>
        <name val="Calibri"/>
        <family val="2"/>
        <scheme val="minor"/>
      </font>
      <border diagonalUp="0" diagonalDown="0" outline="0">
        <left/>
        <right/>
        <top/>
        <bottom/>
      </border>
      <protection locked="1" hidden="1"/>
    </dxf>
    <dxf>
      <font>
        <b val="0"/>
        <i val="0"/>
        <strike val="0"/>
        <condense val="0"/>
        <extend val="0"/>
        <outline val="0"/>
        <shadow val="0"/>
        <u val="none"/>
        <vertAlign val="baseline"/>
        <sz val="11"/>
        <color theme="1"/>
        <name val="Calibri"/>
        <scheme val="minor"/>
      </font>
      <numFmt numFmtId="167" formatCode="dd/mm/yy"/>
      <alignment horizontal="left" vertical="bottom" textRotation="0" wrapText="0" indent="0" justifyLastLine="0" shrinkToFit="0" readingOrder="0"/>
      <protection locked="1" hidden="1"/>
    </dxf>
    <dxf>
      <protection locked="1" hidden="1"/>
    </dxf>
    <dxf>
      <font>
        <b val="0"/>
        <i val="0"/>
        <strike val="0"/>
        <condense val="0"/>
        <extend val="0"/>
        <outline val="0"/>
        <shadow val="0"/>
        <u val="none"/>
        <vertAlign val="baseline"/>
        <sz val="11"/>
        <color theme="1"/>
        <name val="Calibri"/>
        <scheme val="minor"/>
      </font>
      <alignment horizontal="center" vertical="bottom" textRotation="0" wrapText="0" relativeIndent="0" justifyLastLine="0" shrinkToFit="0" readingOrder="0"/>
      <border diagonalUp="0" diagonalDown="0"/>
      <protection locked="1" hidden="1"/>
    </dxf>
    <dxf>
      <font>
        <b val="0"/>
        <i val="0"/>
        <strike val="0"/>
        <condense val="0"/>
        <extend val="0"/>
        <outline val="0"/>
        <shadow val="0"/>
        <u val="none"/>
        <vertAlign val="baseline"/>
        <sz val="11"/>
        <color theme="1"/>
        <name val="Calibri"/>
        <scheme val="minor"/>
      </font>
      <alignment horizontal="left" vertical="center" textRotation="0" wrapText="1" indent="0" justifyLastLine="0" shrinkToFit="0" readingOrder="0"/>
      <border diagonalUp="0" diagonalDown="0">
        <left style="thin">
          <color indexed="64"/>
        </left>
        <right style="thin">
          <color indexed="64"/>
        </right>
        <top/>
        <bottom/>
      </border>
      <protection locked="1" hidden="1"/>
    </dxf>
    <dxf>
      <font>
        <b/>
        <i val="0"/>
        <color rgb="FFFF0000"/>
      </font>
    </dxf>
    <dxf>
      <font>
        <b val="0"/>
        <i val="0"/>
        <strike val="0"/>
        <condense val="0"/>
        <extend val="0"/>
        <outline val="0"/>
        <shadow val="0"/>
        <u val="none"/>
        <vertAlign val="baseline"/>
        <sz val="11"/>
        <color auto="1"/>
        <name val="Calibri"/>
        <scheme val="minor"/>
      </font>
      <fill>
        <patternFill patternType="none">
          <fgColor indexed="64"/>
          <bgColor indexed="65"/>
        </patternFill>
      </fill>
      <protection locked="1" hidden="1"/>
    </dxf>
    <dxf>
      <font>
        <b val="0"/>
        <i val="0"/>
        <strike val="0"/>
        <condense val="0"/>
        <extend val="0"/>
        <outline val="0"/>
        <shadow val="0"/>
        <u val="none"/>
        <vertAlign val="baseline"/>
        <sz val="11"/>
        <color auto="1"/>
        <name val="Calibri"/>
        <scheme val="minor"/>
      </font>
      <fill>
        <patternFill patternType="none">
          <fgColor indexed="64"/>
          <bgColor indexed="65"/>
        </patternFill>
      </fill>
      <protection locked="1" hidden="1"/>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alignment textRotation="0" indent="0" justifyLastLine="0" shrinkToFit="0" readingOrder="0"/>
      <protection locked="1" hidden="1"/>
    </dxf>
    <dxf>
      <font>
        <strike val="0"/>
        <outline val="0"/>
        <shadow val="0"/>
        <u val="none"/>
        <vertAlign val="baseline"/>
        <sz val="11"/>
        <name val="Calibri"/>
        <scheme val="minor"/>
      </font>
      <alignment textRotation="0" indent="0" justifyLastLine="0" shrinkToFit="0" readingOrder="0"/>
      <protection locked="1" hidden="1"/>
    </dxf>
    <dxf>
      <font>
        <b val="0"/>
        <i val="0"/>
        <strike val="0"/>
        <condense val="0"/>
        <extend val="0"/>
        <outline val="0"/>
        <shadow val="0"/>
        <u val="none"/>
        <vertAlign val="baseline"/>
        <sz val="11"/>
        <color theme="1"/>
        <name val="Calibri"/>
        <scheme val="minor"/>
      </font>
      <alignment horizontal="left" vertical="center" textRotation="0" wrapText="1" indent="0" justifyLastLine="0" shrinkToFit="0" readingOrder="0"/>
      <protection locked="1" hidden="1"/>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right/>
        <top/>
        <bottom/>
        <vertical/>
        <horizontal/>
      </border>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style="thin">
          <color auto="1"/>
        </left>
        <right style="thin">
          <color auto="1"/>
        </right>
        <top style="thin">
          <color auto="1"/>
        </top>
        <bottom style="thin">
          <color auto="1"/>
        </bottom>
        <vertical/>
        <horizontal/>
      </border>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style="thin">
          <color auto="1"/>
        </left>
        <right style="thin">
          <color auto="1"/>
        </right>
        <top style="thin">
          <color auto="1"/>
        </top>
        <bottom style="thin">
          <color auto="1"/>
        </bottom>
        <vertical/>
        <horizontal/>
      </border>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style="thin">
          <color auto="1"/>
        </left>
        <right style="thin">
          <color auto="1"/>
        </right>
        <top style="thin">
          <color auto="1"/>
        </top>
        <bottom style="thin">
          <color auto="1"/>
        </bottom>
        <vertical/>
        <horizontal/>
      </border>
    </dxf>
    <dxf>
      <numFmt numFmtId="32" formatCode="_ &quot;$&quot;* #,##0_ ;_ &quot;$&quot;* \-#,##0_ ;_ &quot;$&quot;* &quot;-&quot;_ ;_ @_ "/>
      <fill>
        <patternFill>
          <bgColor theme="3" tint="0.79998168889431442"/>
        </patternFill>
      </fill>
      <border>
        <left/>
        <right/>
        <top/>
        <bottom/>
        <vertical/>
        <horizontal/>
      </border>
    </dxf>
    <dxf>
      <numFmt numFmtId="32" formatCode="_ &quot;$&quot;* #,##0_ ;_ &quot;$&quot;* \-#,##0_ ;_ &quot;$&quot;* &quot;-&quot;_ ;_ @_ "/>
      <fill>
        <patternFill>
          <bgColor theme="3" tint="0.79998168889431442"/>
        </patternFill>
      </fill>
      <border>
        <left/>
        <right/>
        <top/>
        <bottom/>
        <vertical/>
        <horizontal/>
      </border>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32" formatCode="_ &quot;$&quot;* #,##0_ ;_ &quot;$&quot;* \-#,##0_ ;_ &quot;$&quot;* &quot;-&quot;_ ;_ @_ "/>
      <fill>
        <patternFill>
          <bgColor theme="3" tint="0.79998168889431442"/>
        </patternFill>
      </fill>
      <border>
        <left style="thin">
          <color auto="1"/>
        </left>
        <right style="thin">
          <color auto="1"/>
        </right>
        <top style="thin">
          <color auto="1"/>
        </top>
        <bottom style="thin">
          <color auto="1"/>
        </bottom>
        <vertical/>
        <horizontal/>
      </border>
    </dxf>
    <dxf>
      <numFmt numFmtId="32" formatCode="_ &quot;$&quot;* #,##0_ ;_ &quot;$&quot;* \-#,##0_ ;_ &quot;$&quot;* &quot;-&quot;_ ;_ @_ "/>
      <fill>
        <patternFill>
          <bgColor theme="3" tint="0.79998168889431442"/>
        </patternFill>
      </fill>
      <border>
        <left/>
        <right/>
        <top/>
        <bottom/>
        <vertical/>
        <horizontal/>
      </border>
    </dxf>
    <dxf>
      <fill>
        <patternFill>
          <bgColor rgb="FF92D050"/>
        </patternFill>
      </fill>
    </dxf>
    <dxf>
      <font>
        <color rgb="FFFF0000"/>
      </font>
    </dxf>
    <dxf>
      <font>
        <b/>
        <i val="0"/>
        <color rgb="FFFF0000"/>
      </font>
    </dxf>
    <dxf>
      <font>
        <b/>
        <i val="0"/>
        <color theme="0"/>
      </font>
      <fill>
        <patternFill>
          <bgColor rgb="FFFF0000"/>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s>
  <tableStyles count="0" defaultTableStyle="TableStyleMedium9" defaultPivotStyle="PivotStyleLight16"/>
  <colors>
    <mruColors>
      <color rgb="FFFFFF99"/>
      <color rgb="FF66FF66"/>
      <color rgb="FFCCECFF"/>
      <color rgb="FF66CCFF"/>
      <color rgb="FFFFFFCC"/>
      <color rgb="FF9CE2AE"/>
      <color rgb="FFCCFFCC"/>
      <color rgb="FF30F042"/>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902055095924215E-2"/>
          <c:y val="0"/>
          <c:w val="0.97219588980815164"/>
          <c:h val="1"/>
        </c:manualLayout>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quot;$&quot;#,##0_);[Red]\(&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rgbClr val="FF0000"/>
                </a:solidFill>
                <a:prstDash val="sysDash"/>
              </a:ln>
              <a:effectLst/>
            </c:spPr>
            <c:trendlineType val="linear"/>
            <c:dispRSqr val="0"/>
            <c:dispEq val="0"/>
          </c:trendline>
          <c:cat>
            <c:strRef>
              <c:f>RUTA!$AJ$2:$AR$2</c:f>
              <c:strCache>
                <c:ptCount val="9"/>
                <c:pt idx="0">
                  <c:v>PLAN INGRESOS </c:v>
                </c:pt>
                <c:pt idx="1">
                  <c:v>INGRESO ACTUAL </c:v>
                </c:pt>
                <c:pt idx="2">
                  <c:v>DEFICIT</c:v>
                </c:pt>
                <c:pt idx="3">
                  <c:v>PLAN GASTO</c:v>
                </c:pt>
                <c:pt idx="4">
                  <c:v>GASTOS ACTUAL</c:v>
                </c:pt>
                <c:pt idx="5">
                  <c:v>AHORRO</c:v>
                </c:pt>
                <c:pt idx="6">
                  <c:v>CAPITAL 2022-2023</c:v>
                </c:pt>
                <c:pt idx="7">
                  <c:v>SALDO CARTOLA</c:v>
                </c:pt>
                <c:pt idx="8">
                  <c:v>RENTABILIDAD</c:v>
                </c:pt>
              </c:strCache>
            </c:strRef>
          </c:cat>
          <c:val>
            <c:numRef>
              <c:f>RUTA!$AJ$3:$AR$3</c:f>
              <c:numCache>
                <c:formatCode>"$"\ #,##0;[Red]\-"$"\ #,##0</c:formatCode>
                <c:ptCount val="9"/>
                <c:pt idx="0">
                  <c:v>10060000</c:v>
                </c:pt>
                <c:pt idx="1">
                  <c:v>6337906</c:v>
                </c:pt>
                <c:pt idx="2">
                  <c:v>-3722094</c:v>
                </c:pt>
                <c:pt idx="3">
                  <c:v>8982000</c:v>
                </c:pt>
                <c:pt idx="4">
                  <c:v>6465230</c:v>
                </c:pt>
                <c:pt idx="5">
                  <c:v>2516770</c:v>
                </c:pt>
                <c:pt idx="6">
                  <c:v>10611753</c:v>
                </c:pt>
                <c:pt idx="7">
                  <c:v>10484429</c:v>
                </c:pt>
                <c:pt idx="8">
                  <c:v>-127324</c:v>
                </c:pt>
              </c:numCache>
            </c:numRef>
          </c:val>
          <c:extLst>
            <c:ext xmlns:c16="http://schemas.microsoft.com/office/drawing/2014/chart" uri="{C3380CC4-5D6E-409C-BE32-E72D297353CC}">
              <c16:uniqueId val="{00000000-5CF5-4EC0-AFF7-3AACD7B379E4}"/>
            </c:ext>
          </c:extLst>
        </c:ser>
        <c:dLbls>
          <c:showLegendKey val="0"/>
          <c:showVal val="1"/>
          <c:showCatName val="0"/>
          <c:showSerName val="0"/>
          <c:showPercent val="0"/>
          <c:showBubbleSize val="0"/>
        </c:dLbls>
        <c:gapWidth val="41"/>
        <c:axId val="113789568"/>
        <c:axId val="113820032"/>
      </c:barChart>
      <c:catAx>
        <c:axId val="113789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s-CL"/>
          </a:p>
        </c:txPr>
        <c:crossAx val="113820032"/>
        <c:crosses val="autoZero"/>
        <c:auto val="1"/>
        <c:lblAlgn val="ctr"/>
        <c:lblOffset val="100"/>
        <c:noMultiLvlLbl val="0"/>
      </c:catAx>
      <c:valAx>
        <c:axId val="113820032"/>
        <c:scaling>
          <c:orientation val="minMax"/>
        </c:scaling>
        <c:delete val="1"/>
        <c:axPos val="l"/>
        <c:numFmt formatCode="&quot;$&quot;\ #,##0;[Red]\-&quot;$&quot;\ #,##0" sourceLinked="1"/>
        <c:majorTickMark val="none"/>
        <c:minorTickMark val="none"/>
        <c:tickLblPos val="nextTo"/>
        <c:crossAx val="113789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s-CL"/>
    </a:p>
  </c:tx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CARTOLA!$B$102</c:f>
              <c:strCache>
                <c:ptCount val="1"/>
                <c:pt idx="0">
                  <c:v>TOTAL INGRESOS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CARTOLA!$C$101:$N$101</c:f>
              <c:strCache>
                <c:ptCount val="12"/>
                <c:pt idx="0">
                  <c:v> ABR </c:v>
                </c:pt>
                <c:pt idx="1">
                  <c:v> MAY </c:v>
                </c:pt>
                <c:pt idx="2">
                  <c:v> JUN </c:v>
                </c:pt>
                <c:pt idx="3">
                  <c:v> JUL </c:v>
                </c:pt>
                <c:pt idx="4">
                  <c:v> AGO </c:v>
                </c:pt>
                <c:pt idx="5">
                  <c:v> SEP </c:v>
                </c:pt>
                <c:pt idx="6">
                  <c:v> OCT </c:v>
                </c:pt>
                <c:pt idx="7">
                  <c:v> NOV </c:v>
                </c:pt>
                <c:pt idx="8">
                  <c:v> DIC </c:v>
                </c:pt>
                <c:pt idx="9">
                  <c:v> ENE </c:v>
                </c:pt>
                <c:pt idx="10">
                  <c:v> FEB </c:v>
                </c:pt>
                <c:pt idx="11">
                  <c:v> MAR </c:v>
                </c:pt>
              </c:strCache>
            </c:strRef>
          </c:cat>
          <c:val>
            <c:numRef>
              <c:f>CARTOLA!$C$102:$N$102</c:f>
              <c:numCache>
                <c:formatCode>"$"#,##0_);[Red]\("$"#,##0\)</c:formatCode>
                <c:ptCount val="12"/>
                <c:pt idx="0">
                  <c:v>699966</c:v>
                </c:pt>
                <c:pt idx="1">
                  <c:v>625685</c:v>
                </c:pt>
                <c:pt idx="2">
                  <c:v>751800</c:v>
                </c:pt>
                <c:pt idx="3">
                  <c:v>612190</c:v>
                </c:pt>
                <c:pt idx="4">
                  <c:v>1235550</c:v>
                </c:pt>
                <c:pt idx="5">
                  <c:v>745130</c:v>
                </c:pt>
                <c:pt idx="6">
                  <c:v>822655</c:v>
                </c:pt>
                <c:pt idx="7">
                  <c:v>844930</c:v>
                </c:pt>
                <c:pt idx="8">
                  <c:v>0</c:v>
                </c:pt>
                <c:pt idx="9">
                  <c:v>0</c:v>
                </c:pt>
                <c:pt idx="10">
                  <c:v>0</c:v>
                </c:pt>
                <c:pt idx="11">
                  <c:v>0</c:v>
                </c:pt>
              </c:numCache>
            </c:numRef>
          </c:val>
          <c:extLst>
            <c:ext xmlns:c16="http://schemas.microsoft.com/office/drawing/2014/chart" uri="{C3380CC4-5D6E-409C-BE32-E72D297353CC}">
              <c16:uniqueId val="{00000000-3ABB-42FD-94F9-75D5C84F1D1D}"/>
            </c:ext>
          </c:extLst>
        </c:ser>
        <c:ser>
          <c:idx val="1"/>
          <c:order val="1"/>
          <c:tx>
            <c:strRef>
              <c:f>CARTOLA!$B$103</c:f>
              <c:strCache>
                <c:ptCount val="1"/>
                <c:pt idx="0">
                  <c:v>TOTAL GASTOS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CARTOLA!$C$101:$N$101</c:f>
              <c:strCache>
                <c:ptCount val="12"/>
                <c:pt idx="0">
                  <c:v> ABR </c:v>
                </c:pt>
                <c:pt idx="1">
                  <c:v> MAY </c:v>
                </c:pt>
                <c:pt idx="2">
                  <c:v> JUN </c:v>
                </c:pt>
                <c:pt idx="3">
                  <c:v> JUL </c:v>
                </c:pt>
                <c:pt idx="4">
                  <c:v> AGO </c:v>
                </c:pt>
                <c:pt idx="5">
                  <c:v> SEP </c:v>
                </c:pt>
                <c:pt idx="6">
                  <c:v> OCT </c:v>
                </c:pt>
                <c:pt idx="7">
                  <c:v> NOV </c:v>
                </c:pt>
                <c:pt idx="8">
                  <c:v> DIC </c:v>
                </c:pt>
                <c:pt idx="9">
                  <c:v> ENE </c:v>
                </c:pt>
                <c:pt idx="10">
                  <c:v> FEB </c:v>
                </c:pt>
                <c:pt idx="11">
                  <c:v> MAR </c:v>
                </c:pt>
              </c:strCache>
            </c:strRef>
          </c:cat>
          <c:val>
            <c:numRef>
              <c:f>CARTOLA!$C$103:$N$103</c:f>
              <c:numCache>
                <c:formatCode>"$"#,##0_);[Red]\("$"#,##0\)</c:formatCode>
                <c:ptCount val="12"/>
                <c:pt idx="0">
                  <c:v>705398</c:v>
                </c:pt>
                <c:pt idx="1">
                  <c:v>407216</c:v>
                </c:pt>
                <c:pt idx="2">
                  <c:v>613476</c:v>
                </c:pt>
                <c:pt idx="3">
                  <c:v>150000</c:v>
                </c:pt>
                <c:pt idx="4">
                  <c:v>1802936</c:v>
                </c:pt>
                <c:pt idx="5">
                  <c:v>647729</c:v>
                </c:pt>
                <c:pt idx="6">
                  <c:v>600000</c:v>
                </c:pt>
                <c:pt idx="7">
                  <c:v>1538475</c:v>
                </c:pt>
                <c:pt idx="8">
                  <c:v>0</c:v>
                </c:pt>
                <c:pt idx="9">
                  <c:v>0</c:v>
                </c:pt>
                <c:pt idx="10">
                  <c:v>0</c:v>
                </c:pt>
                <c:pt idx="11">
                  <c:v>0</c:v>
                </c:pt>
              </c:numCache>
            </c:numRef>
          </c:val>
          <c:extLst>
            <c:ext xmlns:c16="http://schemas.microsoft.com/office/drawing/2014/chart" uri="{C3380CC4-5D6E-409C-BE32-E72D297353CC}">
              <c16:uniqueId val="{00000001-3ABB-42FD-94F9-75D5C84F1D1D}"/>
            </c:ext>
          </c:extLst>
        </c:ser>
        <c:ser>
          <c:idx val="2"/>
          <c:order val="2"/>
          <c:tx>
            <c:strRef>
              <c:f>CARTOLA!$B$104</c:f>
              <c:strCache>
                <c:ptCount val="1"/>
                <c:pt idx="0">
                  <c:v>AHORRO O DÉFICIT</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CARTOLA!$C$101:$N$101</c:f>
              <c:strCache>
                <c:ptCount val="12"/>
                <c:pt idx="0">
                  <c:v> ABR </c:v>
                </c:pt>
                <c:pt idx="1">
                  <c:v> MAY </c:v>
                </c:pt>
                <c:pt idx="2">
                  <c:v> JUN </c:v>
                </c:pt>
                <c:pt idx="3">
                  <c:v> JUL </c:v>
                </c:pt>
                <c:pt idx="4">
                  <c:v> AGO </c:v>
                </c:pt>
                <c:pt idx="5">
                  <c:v> SEP </c:v>
                </c:pt>
                <c:pt idx="6">
                  <c:v> OCT </c:v>
                </c:pt>
                <c:pt idx="7">
                  <c:v> NOV </c:v>
                </c:pt>
                <c:pt idx="8">
                  <c:v> DIC </c:v>
                </c:pt>
                <c:pt idx="9">
                  <c:v> ENE </c:v>
                </c:pt>
                <c:pt idx="10">
                  <c:v> FEB </c:v>
                </c:pt>
                <c:pt idx="11">
                  <c:v> MAR </c:v>
                </c:pt>
              </c:strCache>
            </c:strRef>
          </c:cat>
          <c:val>
            <c:numRef>
              <c:f>CARTOLA!$C$104:$N$104</c:f>
              <c:numCache>
                <c:formatCode>"$"#,##0_);[Red]\("$"#,##0\)</c:formatCode>
                <c:ptCount val="12"/>
                <c:pt idx="0">
                  <c:v>-5432</c:v>
                </c:pt>
                <c:pt idx="1">
                  <c:v>218469</c:v>
                </c:pt>
                <c:pt idx="2">
                  <c:v>138324</c:v>
                </c:pt>
                <c:pt idx="3">
                  <c:v>462190</c:v>
                </c:pt>
                <c:pt idx="4">
                  <c:v>-567386</c:v>
                </c:pt>
                <c:pt idx="5">
                  <c:v>97401</c:v>
                </c:pt>
                <c:pt idx="6">
                  <c:v>222655</c:v>
                </c:pt>
                <c:pt idx="7">
                  <c:v>-693545</c:v>
                </c:pt>
                <c:pt idx="8">
                  <c:v>0</c:v>
                </c:pt>
                <c:pt idx="9">
                  <c:v>0</c:v>
                </c:pt>
                <c:pt idx="10">
                  <c:v>0</c:v>
                </c:pt>
                <c:pt idx="11">
                  <c:v>0</c:v>
                </c:pt>
              </c:numCache>
            </c:numRef>
          </c:val>
          <c:extLst>
            <c:ext xmlns:c16="http://schemas.microsoft.com/office/drawing/2014/chart" uri="{C3380CC4-5D6E-409C-BE32-E72D297353CC}">
              <c16:uniqueId val="{00000003-3ABB-42FD-94F9-75D5C84F1D1D}"/>
            </c:ext>
          </c:extLst>
        </c:ser>
        <c:dLbls>
          <c:showLegendKey val="0"/>
          <c:showVal val="1"/>
          <c:showCatName val="0"/>
          <c:showSerName val="0"/>
          <c:showPercent val="0"/>
          <c:showBubbleSize val="0"/>
        </c:dLbls>
        <c:gapWidth val="100"/>
        <c:overlap val="-24"/>
        <c:axId val="114583424"/>
        <c:axId val="114584960"/>
      </c:barChart>
      <c:catAx>
        <c:axId val="1145834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14584960"/>
        <c:crosses val="autoZero"/>
        <c:auto val="1"/>
        <c:lblAlgn val="ctr"/>
        <c:lblOffset val="100"/>
        <c:noMultiLvlLbl val="0"/>
      </c:catAx>
      <c:valAx>
        <c:axId val="114584960"/>
        <c:scaling>
          <c:orientation val="minMax"/>
        </c:scaling>
        <c:delete val="1"/>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crossAx val="114583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257174</xdr:colOff>
      <xdr:row>7</xdr:row>
      <xdr:rowOff>47625</xdr:rowOff>
    </xdr:from>
    <xdr:to>
      <xdr:col>2</xdr:col>
      <xdr:colOff>422774</xdr:colOff>
      <xdr:row>11</xdr:row>
      <xdr:rowOff>5625</xdr:rowOff>
    </xdr:to>
    <xdr:sp macro="[0]!PLAN" textlink="">
      <xdr:nvSpPr>
        <xdr:cNvPr id="20" name="Rectángulo: esquinas redondeadas 19">
          <a:extLst>
            <a:ext uri="{FF2B5EF4-FFF2-40B4-BE49-F238E27FC236}">
              <a16:creationId xmlns:a16="http://schemas.microsoft.com/office/drawing/2014/main" id="{00000000-0008-0000-0100-000014000000}"/>
            </a:ext>
          </a:extLst>
        </xdr:cNvPr>
        <xdr:cNvSpPr/>
      </xdr:nvSpPr>
      <xdr:spPr>
        <a:xfrm>
          <a:off x="1171574" y="1190625"/>
          <a:ext cx="1080000"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PLAN</a:t>
          </a:r>
        </a:p>
      </xdr:txBody>
    </xdr:sp>
    <xdr:clientData/>
  </xdr:twoCellAnchor>
  <xdr:twoCellAnchor>
    <xdr:from>
      <xdr:col>3</xdr:col>
      <xdr:colOff>257174</xdr:colOff>
      <xdr:row>7</xdr:row>
      <xdr:rowOff>57150</xdr:rowOff>
    </xdr:from>
    <xdr:to>
      <xdr:col>4</xdr:col>
      <xdr:colOff>422774</xdr:colOff>
      <xdr:row>11</xdr:row>
      <xdr:rowOff>15150</xdr:rowOff>
    </xdr:to>
    <xdr:sp macro="[0]!RUTA" textlink="">
      <xdr:nvSpPr>
        <xdr:cNvPr id="34" name="Rectángulo: esquinas redondeadas 33">
          <a:extLst>
            <a:ext uri="{FF2B5EF4-FFF2-40B4-BE49-F238E27FC236}">
              <a16:creationId xmlns:a16="http://schemas.microsoft.com/office/drawing/2014/main" id="{00000000-0008-0000-0100-000022000000}"/>
            </a:ext>
          </a:extLst>
        </xdr:cNvPr>
        <xdr:cNvSpPr/>
      </xdr:nvSpPr>
      <xdr:spPr>
        <a:xfrm>
          <a:off x="3000374" y="1009650"/>
          <a:ext cx="1080000"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RUTA</a:t>
          </a:r>
        </a:p>
      </xdr:txBody>
    </xdr:sp>
    <xdr:clientData/>
  </xdr:twoCellAnchor>
  <xdr:twoCellAnchor>
    <xdr:from>
      <xdr:col>5</xdr:col>
      <xdr:colOff>276224</xdr:colOff>
      <xdr:row>7</xdr:row>
      <xdr:rowOff>28575</xdr:rowOff>
    </xdr:from>
    <xdr:to>
      <xdr:col>6</xdr:col>
      <xdr:colOff>441824</xdr:colOff>
      <xdr:row>10</xdr:row>
      <xdr:rowOff>177075</xdr:rowOff>
    </xdr:to>
    <xdr:sp macro="[0]!CARTOLA" textlink="">
      <xdr:nvSpPr>
        <xdr:cNvPr id="35" name="Rectángulo: esquinas redondeadas 34">
          <a:extLst>
            <a:ext uri="{FF2B5EF4-FFF2-40B4-BE49-F238E27FC236}">
              <a16:creationId xmlns:a16="http://schemas.microsoft.com/office/drawing/2014/main" id="{00000000-0008-0000-0100-000023000000}"/>
            </a:ext>
          </a:extLst>
        </xdr:cNvPr>
        <xdr:cNvSpPr/>
      </xdr:nvSpPr>
      <xdr:spPr>
        <a:xfrm>
          <a:off x="4848224" y="981075"/>
          <a:ext cx="1080000"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CARTOLA</a:t>
          </a:r>
        </a:p>
      </xdr:txBody>
    </xdr:sp>
    <xdr:clientData/>
  </xdr:twoCellAnchor>
  <xdr:twoCellAnchor>
    <xdr:from>
      <xdr:col>7</xdr:col>
      <xdr:colOff>285749</xdr:colOff>
      <xdr:row>7</xdr:row>
      <xdr:rowOff>38100</xdr:rowOff>
    </xdr:from>
    <xdr:to>
      <xdr:col>8</xdr:col>
      <xdr:colOff>451349</xdr:colOff>
      <xdr:row>10</xdr:row>
      <xdr:rowOff>186600</xdr:rowOff>
    </xdr:to>
    <xdr:sp macro="[0]!DIRECTOR" textlink="">
      <xdr:nvSpPr>
        <xdr:cNvPr id="36" name="Rectángulo: esquinas redondeadas 35">
          <a:extLst>
            <a:ext uri="{FF2B5EF4-FFF2-40B4-BE49-F238E27FC236}">
              <a16:creationId xmlns:a16="http://schemas.microsoft.com/office/drawing/2014/main" id="{00000000-0008-0000-0100-000024000000}"/>
            </a:ext>
          </a:extLst>
        </xdr:cNvPr>
        <xdr:cNvSpPr/>
      </xdr:nvSpPr>
      <xdr:spPr>
        <a:xfrm>
          <a:off x="6686549" y="990600"/>
          <a:ext cx="1080000"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baseline="0"/>
            <a:t> </a:t>
          </a:r>
          <a:r>
            <a:rPr lang="es-CL" sz="1100"/>
            <a:t>DIRECTOR</a:t>
          </a:r>
        </a:p>
      </xdr:txBody>
    </xdr:sp>
    <xdr:clientData/>
  </xdr:twoCellAnchor>
  <xdr:twoCellAnchor>
    <xdr:from>
      <xdr:col>5</xdr:col>
      <xdr:colOff>285749</xdr:colOff>
      <xdr:row>14</xdr:row>
      <xdr:rowOff>85725</xdr:rowOff>
    </xdr:from>
    <xdr:to>
      <xdr:col>6</xdr:col>
      <xdr:colOff>451349</xdr:colOff>
      <xdr:row>18</xdr:row>
      <xdr:rowOff>43725</xdr:rowOff>
    </xdr:to>
    <xdr:sp macro="[0]!RENDICION" textlink="">
      <xdr:nvSpPr>
        <xdr:cNvPr id="37" name="Rectángulo: esquinas redondeadas 36">
          <a:extLst>
            <a:ext uri="{FF2B5EF4-FFF2-40B4-BE49-F238E27FC236}">
              <a16:creationId xmlns:a16="http://schemas.microsoft.com/office/drawing/2014/main" id="{00000000-0008-0000-0100-000025000000}"/>
            </a:ext>
          </a:extLst>
        </xdr:cNvPr>
        <xdr:cNvSpPr/>
      </xdr:nvSpPr>
      <xdr:spPr>
        <a:xfrm>
          <a:off x="4524374" y="2752725"/>
          <a:ext cx="1013325"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RENDICION</a:t>
          </a:r>
        </a:p>
      </xdr:txBody>
    </xdr:sp>
    <xdr:clientData/>
  </xdr:twoCellAnchor>
  <xdr:twoCellAnchor>
    <xdr:from>
      <xdr:col>7</xdr:col>
      <xdr:colOff>276224</xdr:colOff>
      <xdr:row>14</xdr:row>
      <xdr:rowOff>104775</xdr:rowOff>
    </xdr:from>
    <xdr:to>
      <xdr:col>8</xdr:col>
      <xdr:colOff>441824</xdr:colOff>
      <xdr:row>18</xdr:row>
      <xdr:rowOff>62775</xdr:rowOff>
    </xdr:to>
    <xdr:sp macro="[0]!GASTODIR" textlink="">
      <xdr:nvSpPr>
        <xdr:cNvPr id="38" name="Rectángulo: esquinas redondeadas 37">
          <a:extLst>
            <a:ext uri="{FF2B5EF4-FFF2-40B4-BE49-F238E27FC236}">
              <a16:creationId xmlns:a16="http://schemas.microsoft.com/office/drawing/2014/main" id="{00000000-0008-0000-0100-000026000000}"/>
            </a:ext>
          </a:extLst>
        </xdr:cNvPr>
        <xdr:cNvSpPr/>
      </xdr:nvSpPr>
      <xdr:spPr>
        <a:xfrm>
          <a:off x="6210299" y="2771775"/>
          <a:ext cx="1013325"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GASTO DIR</a:t>
          </a:r>
        </a:p>
      </xdr:txBody>
    </xdr:sp>
    <xdr:clientData/>
  </xdr:twoCellAnchor>
  <xdr:twoCellAnchor>
    <xdr:from>
      <xdr:col>3</xdr:col>
      <xdr:colOff>247649</xdr:colOff>
      <xdr:row>14</xdr:row>
      <xdr:rowOff>123825</xdr:rowOff>
    </xdr:from>
    <xdr:to>
      <xdr:col>4</xdr:col>
      <xdr:colOff>413249</xdr:colOff>
      <xdr:row>18</xdr:row>
      <xdr:rowOff>81825</xdr:rowOff>
    </xdr:to>
    <xdr:sp macro="[0]!APORTE" textlink="">
      <xdr:nvSpPr>
        <xdr:cNvPr id="39" name="Rectángulo: esquinas redondeadas 38">
          <a:extLst>
            <a:ext uri="{FF2B5EF4-FFF2-40B4-BE49-F238E27FC236}">
              <a16:creationId xmlns:a16="http://schemas.microsoft.com/office/drawing/2014/main" id="{00000000-0008-0000-0100-000027000000}"/>
            </a:ext>
          </a:extLst>
        </xdr:cNvPr>
        <xdr:cNvSpPr/>
      </xdr:nvSpPr>
      <xdr:spPr>
        <a:xfrm>
          <a:off x="2790824" y="2790825"/>
          <a:ext cx="1013325" cy="720000"/>
        </a:xfrm>
        <a:prstGeom prst="roundRect">
          <a:avLst>
            <a:gd name="adj" fmla="val 19313"/>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APORTE</a:t>
          </a:r>
        </a:p>
      </xdr:txBody>
    </xdr:sp>
    <xdr:clientData/>
  </xdr:twoCellAnchor>
  <xdr:twoCellAnchor>
    <xdr:from>
      <xdr:col>1</xdr:col>
      <xdr:colOff>247649</xdr:colOff>
      <xdr:row>14</xdr:row>
      <xdr:rowOff>123825</xdr:rowOff>
    </xdr:from>
    <xdr:to>
      <xdr:col>2</xdr:col>
      <xdr:colOff>413249</xdr:colOff>
      <xdr:row>18</xdr:row>
      <xdr:rowOff>81825</xdr:rowOff>
    </xdr:to>
    <xdr:sp macro="[0]!PLENARIA" textlink="">
      <xdr:nvSpPr>
        <xdr:cNvPr id="40" name="Rectángulo: esquinas redondeadas 39">
          <a:extLst>
            <a:ext uri="{FF2B5EF4-FFF2-40B4-BE49-F238E27FC236}">
              <a16:creationId xmlns:a16="http://schemas.microsoft.com/office/drawing/2014/main" id="{00000000-0008-0000-0100-000028000000}"/>
            </a:ext>
          </a:extLst>
        </xdr:cNvPr>
        <xdr:cNvSpPr/>
      </xdr:nvSpPr>
      <xdr:spPr>
        <a:xfrm>
          <a:off x="1095374" y="2790825"/>
          <a:ext cx="1013325" cy="720000"/>
        </a:xfrm>
        <a:prstGeom prst="roundRect">
          <a:avLst>
            <a:gd name="adj" fmla="val 19313"/>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PLENARIA</a:t>
          </a:r>
        </a:p>
      </xdr:txBody>
    </xdr:sp>
    <xdr:clientData/>
  </xdr:twoCellAnchor>
  <xdr:twoCellAnchor>
    <xdr:from>
      <xdr:col>9</xdr:col>
      <xdr:colOff>276224</xdr:colOff>
      <xdr:row>7</xdr:row>
      <xdr:rowOff>19050</xdr:rowOff>
    </xdr:from>
    <xdr:to>
      <xdr:col>10</xdr:col>
      <xdr:colOff>441824</xdr:colOff>
      <xdr:row>10</xdr:row>
      <xdr:rowOff>167550</xdr:rowOff>
    </xdr:to>
    <xdr:sp macro="[0]!REUNION" textlink="">
      <xdr:nvSpPr>
        <xdr:cNvPr id="41" name="Rectángulo: esquinas redondeadas 40">
          <a:extLst>
            <a:ext uri="{FF2B5EF4-FFF2-40B4-BE49-F238E27FC236}">
              <a16:creationId xmlns:a16="http://schemas.microsoft.com/office/drawing/2014/main" id="{00000000-0008-0000-0100-000029000000}"/>
            </a:ext>
          </a:extLst>
        </xdr:cNvPr>
        <xdr:cNvSpPr/>
      </xdr:nvSpPr>
      <xdr:spPr>
        <a:xfrm>
          <a:off x="8505824" y="971550"/>
          <a:ext cx="1080000"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REUNION</a:t>
          </a:r>
        </a:p>
      </xdr:txBody>
    </xdr:sp>
    <xdr:clientData/>
  </xdr:twoCellAnchor>
  <xdr:twoCellAnchor>
    <xdr:from>
      <xdr:col>11</xdr:col>
      <xdr:colOff>285749</xdr:colOff>
      <xdr:row>7</xdr:row>
      <xdr:rowOff>28575</xdr:rowOff>
    </xdr:from>
    <xdr:to>
      <xdr:col>12</xdr:col>
      <xdr:colOff>451349</xdr:colOff>
      <xdr:row>10</xdr:row>
      <xdr:rowOff>177075</xdr:rowOff>
    </xdr:to>
    <xdr:sp macro="[0]!VIATICOS" textlink="">
      <xdr:nvSpPr>
        <xdr:cNvPr id="42" name="Rectángulo: esquinas redondeadas 41">
          <a:extLst>
            <a:ext uri="{FF2B5EF4-FFF2-40B4-BE49-F238E27FC236}">
              <a16:creationId xmlns:a16="http://schemas.microsoft.com/office/drawing/2014/main" id="{00000000-0008-0000-0100-00002A000000}"/>
            </a:ext>
          </a:extLst>
        </xdr:cNvPr>
        <xdr:cNvSpPr/>
      </xdr:nvSpPr>
      <xdr:spPr>
        <a:xfrm>
          <a:off x="10344149" y="981075"/>
          <a:ext cx="1080000" cy="720000"/>
        </a:xfrm>
        <a:prstGeom prst="roundRect">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VIATICOS</a:t>
          </a:r>
        </a:p>
      </xdr:txBody>
    </xdr:sp>
    <xdr:clientData/>
  </xdr:twoCellAnchor>
  <xdr:twoCellAnchor>
    <xdr:from>
      <xdr:col>9</xdr:col>
      <xdr:colOff>304799</xdr:colOff>
      <xdr:row>14</xdr:row>
      <xdr:rowOff>114300</xdr:rowOff>
    </xdr:from>
    <xdr:to>
      <xdr:col>10</xdr:col>
      <xdr:colOff>470399</xdr:colOff>
      <xdr:row>18</xdr:row>
      <xdr:rowOff>72300</xdr:rowOff>
    </xdr:to>
    <xdr:sp macro="[0]!BOLETAS" textlink="">
      <xdr:nvSpPr>
        <xdr:cNvPr id="44" name="Rectángulo: esquinas redondeadas 43">
          <a:extLst>
            <a:ext uri="{FF2B5EF4-FFF2-40B4-BE49-F238E27FC236}">
              <a16:creationId xmlns:a16="http://schemas.microsoft.com/office/drawing/2014/main" id="{00000000-0008-0000-0100-00002C000000}"/>
            </a:ext>
          </a:extLst>
        </xdr:cNvPr>
        <xdr:cNvSpPr/>
      </xdr:nvSpPr>
      <xdr:spPr>
        <a:xfrm>
          <a:off x="7934324" y="2781300"/>
          <a:ext cx="1013325" cy="720000"/>
        </a:xfrm>
        <a:prstGeom prst="roundRect">
          <a:avLst>
            <a:gd name="adj" fmla="val 19313"/>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BOLETAS</a:t>
          </a:r>
        </a:p>
      </xdr:txBody>
    </xdr:sp>
    <xdr:clientData/>
  </xdr:twoCellAnchor>
  <xdr:twoCellAnchor>
    <xdr:from>
      <xdr:col>11</xdr:col>
      <xdr:colOff>247649</xdr:colOff>
      <xdr:row>14</xdr:row>
      <xdr:rowOff>95250</xdr:rowOff>
    </xdr:from>
    <xdr:to>
      <xdr:col>12</xdr:col>
      <xdr:colOff>479924</xdr:colOff>
      <xdr:row>18</xdr:row>
      <xdr:rowOff>53250</xdr:rowOff>
    </xdr:to>
    <xdr:sp macro="[0]!CHEQUES" textlink="">
      <xdr:nvSpPr>
        <xdr:cNvPr id="45" name="Rectángulo: esquinas redondeadas 44">
          <a:extLst>
            <a:ext uri="{FF2B5EF4-FFF2-40B4-BE49-F238E27FC236}">
              <a16:creationId xmlns:a16="http://schemas.microsoft.com/office/drawing/2014/main" id="{00000000-0008-0000-0100-00002D000000}"/>
            </a:ext>
          </a:extLst>
        </xdr:cNvPr>
        <xdr:cNvSpPr/>
      </xdr:nvSpPr>
      <xdr:spPr>
        <a:xfrm>
          <a:off x="9572624" y="2762250"/>
          <a:ext cx="1080000" cy="720000"/>
        </a:xfrm>
        <a:prstGeom prst="roundRect">
          <a:avLst>
            <a:gd name="adj" fmla="val 19313"/>
          </a:avLst>
        </a:prstGeom>
        <a:scene3d>
          <a:camera prst="orthographicFront">
            <a:rot lat="0" lon="0" rev="0"/>
          </a:camera>
          <a:lightRig rig="threePt" dir="t">
            <a:rot lat="0" lon="0" rev="1200000"/>
          </a:lightRig>
        </a:scene3d>
        <a:sp3d>
          <a:bevelT w="63500" h="25400" prst="relaxedInse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ctr"/>
          <a:r>
            <a:rPr lang="es-CL" sz="1100"/>
            <a:t>CHEQUES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0</xdr:colOff>
      <xdr:row>2</xdr:row>
      <xdr:rowOff>0</xdr:rowOff>
    </xdr:from>
    <xdr:ext cx="3029148" cy="1142983"/>
    <xdr:pic>
      <xdr:nvPicPr>
        <xdr:cNvPr id="2" name="Imagen 1" descr="Banner">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a14:imgEffect>
                    <a14:backgroundRemoval t="20548" b="80822" l="5286" r="24857">
                      <a14:foregroundMark x1="5571" y1="37671" x2="5571" y2="37671"/>
                      <a14:foregroundMark x1="5286" y1="71233" x2="5286" y2="71233"/>
                      <a14:foregroundMark x1="9857" y1="67123" x2="9857" y2="67123"/>
                      <a14:foregroundMark x1="13357" y1="58219" x2="13357" y2="58219"/>
                      <a14:foregroundMark x1="18214" y1="45205" x2="18214" y2="45205"/>
                      <a14:foregroundMark x1="19929" y1="51370" x2="19929" y2="51370"/>
                      <a14:foregroundMark x1="20214" y1="31507" x2="20214" y2="31507"/>
                      <a14:foregroundMark x1="21857" y1="52055" x2="21857" y2="52055"/>
                      <a14:foregroundMark x1="24857" y1="56849" x2="24857" y2="56849"/>
                    </a14:backgroundRemoval>
                  </a14:imgEffect>
                </a14:imgLayer>
              </a14:imgProps>
            </a:ext>
            <a:ext uri="{28A0092B-C50C-407E-A947-70E740481C1C}">
              <a14:useLocalDpi xmlns:a14="http://schemas.microsoft.com/office/drawing/2010/main" val="0"/>
            </a:ext>
          </a:extLst>
        </a:blip>
        <a:srcRect l="4332" t="13559" r="74409" b="11017"/>
        <a:stretch/>
      </xdr:blipFill>
      <xdr:spPr bwMode="auto">
        <a:xfrm>
          <a:off x="1524000" y="381000"/>
          <a:ext cx="3029148" cy="1142983"/>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1</xdr:col>
          <xdr:colOff>238125</xdr:colOff>
          <xdr:row>1</xdr:row>
          <xdr:rowOff>0</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28575</xdr:rowOff>
        </xdr:from>
        <xdr:to>
          <xdr:col>1</xdr:col>
          <xdr:colOff>238125</xdr:colOff>
          <xdr:row>2</xdr:row>
          <xdr:rowOff>19050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VER</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809625</xdr:colOff>
      <xdr:row>11</xdr:row>
      <xdr:rowOff>133350</xdr:rowOff>
    </xdr:from>
    <xdr:to>
      <xdr:col>5</xdr:col>
      <xdr:colOff>0</xdr:colOff>
      <xdr:row>18</xdr:row>
      <xdr:rowOff>95250</xdr:rowOff>
    </xdr:to>
    <xdr:cxnSp macro="">
      <xdr:nvCxnSpPr>
        <xdr:cNvPr id="3" name="2 Conector recto de flecha">
          <a:extLst>
            <a:ext uri="{FF2B5EF4-FFF2-40B4-BE49-F238E27FC236}">
              <a16:creationId xmlns:a16="http://schemas.microsoft.com/office/drawing/2014/main" id="{00000000-0008-0000-0500-000003000000}"/>
            </a:ext>
          </a:extLst>
        </xdr:cNvPr>
        <xdr:cNvCxnSpPr/>
      </xdr:nvCxnSpPr>
      <xdr:spPr>
        <a:xfrm flipV="1">
          <a:off x="1504950" y="2228850"/>
          <a:ext cx="352425" cy="1295400"/>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20</xdr:row>
      <xdr:rowOff>76200</xdr:rowOff>
    </xdr:from>
    <xdr:to>
      <xdr:col>5</xdr:col>
      <xdr:colOff>9525</xdr:colOff>
      <xdr:row>20</xdr:row>
      <xdr:rowOff>87923</xdr:rowOff>
    </xdr:to>
    <xdr:cxnSp macro="">
      <xdr:nvCxnSpPr>
        <xdr:cNvPr id="4" name="3 Conector recto de flecha">
          <a:extLst>
            <a:ext uri="{FF2B5EF4-FFF2-40B4-BE49-F238E27FC236}">
              <a16:creationId xmlns:a16="http://schemas.microsoft.com/office/drawing/2014/main" id="{00000000-0008-0000-0500-000004000000}"/>
            </a:ext>
          </a:extLst>
        </xdr:cNvPr>
        <xdr:cNvCxnSpPr/>
      </xdr:nvCxnSpPr>
      <xdr:spPr>
        <a:xfrm flipV="1">
          <a:off x="1562100" y="3886200"/>
          <a:ext cx="304800" cy="11723"/>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838200</xdr:colOff>
      <xdr:row>22</xdr:row>
      <xdr:rowOff>28575</xdr:rowOff>
    </xdr:from>
    <xdr:to>
      <xdr:col>5</xdr:col>
      <xdr:colOff>0</xdr:colOff>
      <xdr:row>25</xdr:row>
      <xdr:rowOff>133350</xdr:rowOff>
    </xdr:to>
    <xdr:cxnSp macro="">
      <xdr:nvCxnSpPr>
        <xdr:cNvPr id="5" name="4 Conector recto de flecha">
          <a:extLst>
            <a:ext uri="{FF2B5EF4-FFF2-40B4-BE49-F238E27FC236}">
              <a16:creationId xmlns:a16="http://schemas.microsoft.com/office/drawing/2014/main" id="{00000000-0008-0000-0500-000005000000}"/>
            </a:ext>
          </a:extLst>
        </xdr:cNvPr>
        <xdr:cNvCxnSpPr/>
      </xdr:nvCxnSpPr>
      <xdr:spPr>
        <a:xfrm>
          <a:off x="1533525" y="4219575"/>
          <a:ext cx="323850" cy="676275"/>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619125</xdr:colOff>
      <xdr:row>22</xdr:row>
      <xdr:rowOff>66675</xdr:rowOff>
    </xdr:from>
    <xdr:to>
      <xdr:col>5</xdr:col>
      <xdr:colOff>732</xdr:colOff>
      <xdr:row>35</xdr:row>
      <xdr:rowOff>76200</xdr:rowOff>
    </xdr:to>
    <xdr:cxnSp macro="">
      <xdr:nvCxnSpPr>
        <xdr:cNvPr id="6" name="5 Conector recto de flecha">
          <a:extLst>
            <a:ext uri="{FF2B5EF4-FFF2-40B4-BE49-F238E27FC236}">
              <a16:creationId xmlns:a16="http://schemas.microsoft.com/office/drawing/2014/main" id="{00000000-0008-0000-0500-000006000000}"/>
            </a:ext>
          </a:extLst>
        </xdr:cNvPr>
        <xdr:cNvCxnSpPr/>
      </xdr:nvCxnSpPr>
      <xdr:spPr>
        <a:xfrm>
          <a:off x="1314450" y="4257675"/>
          <a:ext cx="543657" cy="2486025"/>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104775</xdr:colOff>
      <xdr:row>7</xdr:row>
      <xdr:rowOff>190499</xdr:rowOff>
    </xdr:from>
    <xdr:to>
      <xdr:col>7</xdr:col>
      <xdr:colOff>38100</xdr:colOff>
      <xdr:row>16</xdr:row>
      <xdr:rowOff>47624</xdr:rowOff>
    </xdr:to>
    <xdr:sp macro="" textlink="">
      <xdr:nvSpPr>
        <xdr:cNvPr id="171" name="170 Abrir llave">
          <a:extLst>
            <a:ext uri="{FF2B5EF4-FFF2-40B4-BE49-F238E27FC236}">
              <a16:creationId xmlns:a16="http://schemas.microsoft.com/office/drawing/2014/main" id="{00000000-0008-0000-0500-0000AB000000}"/>
            </a:ext>
          </a:extLst>
        </xdr:cNvPr>
        <xdr:cNvSpPr/>
      </xdr:nvSpPr>
      <xdr:spPr>
        <a:xfrm>
          <a:off x="2809875" y="1523999"/>
          <a:ext cx="114300" cy="157162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6</xdr:col>
      <xdr:colOff>47625</xdr:colOff>
      <xdr:row>18</xdr:row>
      <xdr:rowOff>9524</xdr:rowOff>
    </xdr:from>
    <xdr:to>
      <xdr:col>7</xdr:col>
      <xdr:colOff>47625</xdr:colOff>
      <xdr:row>23</xdr:row>
      <xdr:rowOff>28575</xdr:rowOff>
    </xdr:to>
    <xdr:sp macro="" textlink="">
      <xdr:nvSpPr>
        <xdr:cNvPr id="174" name="173 Abrir llave">
          <a:extLst>
            <a:ext uri="{FF2B5EF4-FFF2-40B4-BE49-F238E27FC236}">
              <a16:creationId xmlns:a16="http://schemas.microsoft.com/office/drawing/2014/main" id="{00000000-0008-0000-0500-0000AE000000}"/>
            </a:ext>
          </a:extLst>
        </xdr:cNvPr>
        <xdr:cNvSpPr/>
      </xdr:nvSpPr>
      <xdr:spPr>
        <a:xfrm>
          <a:off x="2247900" y="3248024"/>
          <a:ext cx="180975" cy="971551"/>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6</xdr:col>
      <xdr:colOff>76200</xdr:colOff>
      <xdr:row>25</xdr:row>
      <xdr:rowOff>152401</xdr:rowOff>
    </xdr:from>
    <xdr:to>
      <xdr:col>7</xdr:col>
      <xdr:colOff>28574</xdr:colOff>
      <xdr:row>29</xdr:row>
      <xdr:rowOff>85725</xdr:rowOff>
    </xdr:to>
    <xdr:sp macro="" textlink="">
      <xdr:nvSpPr>
        <xdr:cNvPr id="175" name="174 Abrir llave">
          <a:extLst>
            <a:ext uri="{FF2B5EF4-FFF2-40B4-BE49-F238E27FC236}">
              <a16:creationId xmlns:a16="http://schemas.microsoft.com/office/drawing/2014/main" id="{00000000-0008-0000-0500-0000AF000000}"/>
            </a:ext>
          </a:extLst>
        </xdr:cNvPr>
        <xdr:cNvSpPr/>
      </xdr:nvSpPr>
      <xdr:spPr>
        <a:xfrm>
          <a:off x="2276475" y="4724401"/>
          <a:ext cx="133349" cy="695324"/>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6</xdr:col>
      <xdr:colOff>76201</xdr:colOff>
      <xdr:row>30</xdr:row>
      <xdr:rowOff>190499</xdr:rowOff>
    </xdr:from>
    <xdr:to>
      <xdr:col>7</xdr:col>
      <xdr:colOff>0</xdr:colOff>
      <xdr:row>44</xdr:row>
      <xdr:rowOff>180974</xdr:rowOff>
    </xdr:to>
    <xdr:sp macro="" textlink="">
      <xdr:nvSpPr>
        <xdr:cNvPr id="176" name="175 Abrir llave">
          <a:extLst>
            <a:ext uri="{FF2B5EF4-FFF2-40B4-BE49-F238E27FC236}">
              <a16:creationId xmlns:a16="http://schemas.microsoft.com/office/drawing/2014/main" id="{00000000-0008-0000-0500-0000B0000000}"/>
            </a:ext>
          </a:extLst>
        </xdr:cNvPr>
        <xdr:cNvSpPr/>
      </xdr:nvSpPr>
      <xdr:spPr>
        <a:xfrm>
          <a:off x="2781301" y="5905499"/>
          <a:ext cx="104774" cy="265747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3</xdr:col>
      <xdr:colOff>400050</xdr:colOff>
      <xdr:row>22</xdr:row>
      <xdr:rowOff>66675</xdr:rowOff>
    </xdr:from>
    <xdr:to>
      <xdr:col>5</xdr:col>
      <xdr:colOff>732</xdr:colOff>
      <xdr:row>46</xdr:row>
      <xdr:rowOff>85725</xdr:rowOff>
    </xdr:to>
    <xdr:cxnSp macro="">
      <xdr:nvCxnSpPr>
        <xdr:cNvPr id="179" name="178 Conector recto de flecha">
          <a:extLst>
            <a:ext uri="{FF2B5EF4-FFF2-40B4-BE49-F238E27FC236}">
              <a16:creationId xmlns:a16="http://schemas.microsoft.com/office/drawing/2014/main" id="{00000000-0008-0000-0500-0000B3000000}"/>
            </a:ext>
          </a:extLst>
        </xdr:cNvPr>
        <xdr:cNvCxnSpPr/>
      </xdr:nvCxnSpPr>
      <xdr:spPr>
        <a:xfrm>
          <a:off x="1095375" y="4257675"/>
          <a:ext cx="762732" cy="4591050"/>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66676</xdr:colOff>
      <xdr:row>1</xdr:row>
      <xdr:rowOff>171451</xdr:rowOff>
    </xdr:from>
    <xdr:to>
      <xdr:col>7</xdr:col>
      <xdr:colOff>28575</xdr:colOff>
      <xdr:row>6</xdr:row>
      <xdr:rowOff>95251</xdr:rowOff>
    </xdr:to>
    <xdr:sp macro="" textlink="">
      <xdr:nvSpPr>
        <xdr:cNvPr id="181" name="180 Abrir llave">
          <a:extLst>
            <a:ext uri="{FF2B5EF4-FFF2-40B4-BE49-F238E27FC236}">
              <a16:creationId xmlns:a16="http://schemas.microsoft.com/office/drawing/2014/main" id="{00000000-0008-0000-0500-0000B5000000}"/>
            </a:ext>
          </a:extLst>
        </xdr:cNvPr>
        <xdr:cNvSpPr/>
      </xdr:nvSpPr>
      <xdr:spPr>
        <a:xfrm>
          <a:off x="2390776" y="361951"/>
          <a:ext cx="142874" cy="87630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6</xdr:col>
      <xdr:colOff>104775</xdr:colOff>
      <xdr:row>46</xdr:row>
      <xdr:rowOff>9525</xdr:rowOff>
    </xdr:from>
    <xdr:to>
      <xdr:col>7</xdr:col>
      <xdr:colOff>19049</xdr:colOff>
      <xdr:row>52</xdr:row>
      <xdr:rowOff>57150</xdr:rowOff>
    </xdr:to>
    <xdr:sp macro="" textlink="">
      <xdr:nvSpPr>
        <xdr:cNvPr id="263" name="262 Abrir llave">
          <a:extLst>
            <a:ext uri="{FF2B5EF4-FFF2-40B4-BE49-F238E27FC236}">
              <a16:creationId xmlns:a16="http://schemas.microsoft.com/office/drawing/2014/main" id="{00000000-0008-0000-0500-000007010000}"/>
            </a:ext>
          </a:extLst>
        </xdr:cNvPr>
        <xdr:cNvSpPr/>
      </xdr:nvSpPr>
      <xdr:spPr>
        <a:xfrm>
          <a:off x="2809875" y="8772525"/>
          <a:ext cx="95249" cy="119062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16</xdr:col>
      <xdr:colOff>47626</xdr:colOff>
      <xdr:row>1</xdr:row>
      <xdr:rowOff>161924</xdr:rowOff>
    </xdr:from>
    <xdr:to>
      <xdr:col>17</xdr:col>
      <xdr:colOff>38100</xdr:colOff>
      <xdr:row>7</xdr:row>
      <xdr:rowOff>47625</xdr:rowOff>
    </xdr:to>
    <xdr:sp macro="" textlink="">
      <xdr:nvSpPr>
        <xdr:cNvPr id="72" name="71 Abrir llave">
          <a:extLst>
            <a:ext uri="{FF2B5EF4-FFF2-40B4-BE49-F238E27FC236}">
              <a16:creationId xmlns:a16="http://schemas.microsoft.com/office/drawing/2014/main" id="{00000000-0008-0000-0500-000048000000}"/>
            </a:ext>
          </a:extLst>
        </xdr:cNvPr>
        <xdr:cNvSpPr/>
      </xdr:nvSpPr>
      <xdr:spPr>
        <a:xfrm>
          <a:off x="8715376" y="352424"/>
          <a:ext cx="171449" cy="1028701"/>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16</xdr:col>
      <xdr:colOff>47625</xdr:colOff>
      <xdr:row>8</xdr:row>
      <xdr:rowOff>28575</xdr:rowOff>
    </xdr:from>
    <xdr:to>
      <xdr:col>17</xdr:col>
      <xdr:colOff>9525</xdr:colOff>
      <xdr:row>16</xdr:row>
      <xdr:rowOff>9524</xdr:rowOff>
    </xdr:to>
    <xdr:sp macro="" textlink="">
      <xdr:nvSpPr>
        <xdr:cNvPr id="73" name="72 Abrir llave">
          <a:extLst>
            <a:ext uri="{FF2B5EF4-FFF2-40B4-BE49-F238E27FC236}">
              <a16:creationId xmlns:a16="http://schemas.microsoft.com/office/drawing/2014/main" id="{00000000-0008-0000-0500-000049000000}"/>
            </a:ext>
          </a:extLst>
        </xdr:cNvPr>
        <xdr:cNvSpPr/>
      </xdr:nvSpPr>
      <xdr:spPr>
        <a:xfrm>
          <a:off x="8896350" y="1552575"/>
          <a:ext cx="142875" cy="1504949"/>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16</xdr:col>
      <xdr:colOff>66676</xdr:colOff>
      <xdr:row>18</xdr:row>
      <xdr:rowOff>19049</xdr:rowOff>
    </xdr:from>
    <xdr:to>
      <xdr:col>16</xdr:col>
      <xdr:colOff>171450</xdr:colOff>
      <xdr:row>23</xdr:row>
      <xdr:rowOff>57150</xdr:rowOff>
    </xdr:to>
    <xdr:sp macro="" textlink="">
      <xdr:nvSpPr>
        <xdr:cNvPr id="74" name="73 Abrir llave">
          <a:extLst>
            <a:ext uri="{FF2B5EF4-FFF2-40B4-BE49-F238E27FC236}">
              <a16:creationId xmlns:a16="http://schemas.microsoft.com/office/drawing/2014/main" id="{00000000-0008-0000-0500-00004A000000}"/>
            </a:ext>
          </a:extLst>
        </xdr:cNvPr>
        <xdr:cNvSpPr/>
      </xdr:nvSpPr>
      <xdr:spPr>
        <a:xfrm>
          <a:off x="6705601" y="3257549"/>
          <a:ext cx="104774" cy="990601"/>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22</xdr:col>
      <xdr:colOff>28575</xdr:colOff>
      <xdr:row>17</xdr:row>
      <xdr:rowOff>0</xdr:rowOff>
    </xdr:from>
    <xdr:to>
      <xdr:col>23</xdr:col>
      <xdr:colOff>66675</xdr:colOff>
      <xdr:row>23</xdr:row>
      <xdr:rowOff>57150</xdr:rowOff>
    </xdr:to>
    <xdr:sp macro="" textlink="">
      <xdr:nvSpPr>
        <xdr:cNvPr id="76" name="75 Abrir llave">
          <a:extLst>
            <a:ext uri="{FF2B5EF4-FFF2-40B4-BE49-F238E27FC236}">
              <a16:creationId xmlns:a16="http://schemas.microsoft.com/office/drawing/2014/main" id="{00000000-0008-0000-0500-00004C000000}"/>
            </a:ext>
          </a:extLst>
        </xdr:cNvPr>
        <xdr:cNvSpPr/>
      </xdr:nvSpPr>
      <xdr:spPr>
        <a:xfrm>
          <a:off x="11029950" y="3048000"/>
          <a:ext cx="219075" cy="120015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16</xdr:col>
      <xdr:colOff>47625</xdr:colOff>
      <xdr:row>25</xdr:row>
      <xdr:rowOff>171450</xdr:rowOff>
    </xdr:from>
    <xdr:to>
      <xdr:col>16</xdr:col>
      <xdr:colOff>152400</xdr:colOff>
      <xdr:row>30</xdr:row>
      <xdr:rowOff>19050</xdr:rowOff>
    </xdr:to>
    <xdr:sp macro="" textlink="">
      <xdr:nvSpPr>
        <xdr:cNvPr id="77" name="76 Abrir llave">
          <a:extLst>
            <a:ext uri="{FF2B5EF4-FFF2-40B4-BE49-F238E27FC236}">
              <a16:creationId xmlns:a16="http://schemas.microsoft.com/office/drawing/2014/main" id="{00000000-0008-0000-0500-00004D000000}"/>
            </a:ext>
          </a:extLst>
        </xdr:cNvPr>
        <xdr:cNvSpPr/>
      </xdr:nvSpPr>
      <xdr:spPr>
        <a:xfrm>
          <a:off x="8896350" y="4933950"/>
          <a:ext cx="104775" cy="80010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22</xdr:col>
      <xdr:colOff>28574</xdr:colOff>
      <xdr:row>7</xdr:row>
      <xdr:rowOff>38100</xdr:rowOff>
    </xdr:from>
    <xdr:to>
      <xdr:col>23</xdr:col>
      <xdr:colOff>38100</xdr:colOff>
      <xdr:row>16</xdr:row>
      <xdr:rowOff>0</xdr:rowOff>
    </xdr:to>
    <xdr:sp macro="" textlink="">
      <xdr:nvSpPr>
        <xdr:cNvPr id="78" name="77 Abrir llave">
          <a:extLst>
            <a:ext uri="{FF2B5EF4-FFF2-40B4-BE49-F238E27FC236}">
              <a16:creationId xmlns:a16="http://schemas.microsoft.com/office/drawing/2014/main" id="{00000000-0008-0000-0500-00004E000000}"/>
            </a:ext>
          </a:extLst>
        </xdr:cNvPr>
        <xdr:cNvSpPr/>
      </xdr:nvSpPr>
      <xdr:spPr>
        <a:xfrm>
          <a:off x="13735049" y="1390650"/>
          <a:ext cx="190501" cy="1600200"/>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16</xdr:col>
      <xdr:colOff>57149</xdr:colOff>
      <xdr:row>31</xdr:row>
      <xdr:rowOff>9524</xdr:rowOff>
    </xdr:from>
    <xdr:to>
      <xdr:col>16</xdr:col>
      <xdr:colOff>161924</xdr:colOff>
      <xdr:row>45</xdr:row>
      <xdr:rowOff>38099</xdr:rowOff>
    </xdr:to>
    <xdr:sp macro="" textlink="">
      <xdr:nvSpPr>
        <xdr:cNvPr id="80" name="79 Abrir llave">
          <a:extLst>
            <a:ext uri="{FF2B5EF4-FFF2-40B4-BE49-F238E27FC236}">
              <a16:creationId xmlns:a16="http://schemas.microsoft.com/office/drawing/2014/main" id="{00000000-0008-0000-0500-000050000000}"/>
            </a:ext>
          </a:extLst>
        </xdr:cNvPr>
        <xdr:cNvSpPr/>
      </xdr:nvSpPr>
      <xdr:spPr>
        <a:xfrm>
          <a:off x="2800349" y="5915024"/>
          <a:ext cx="104775" cy="269557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14</xdr:col>
      <xdr:colOff>9071</xdr:colOff>
      <xdr:row>13</xdr:row>
      <xdr:rowOff>76200</xdr:rowOff>
    </xdr:from>
    <xdr:to>
      <xdr:col>14</xdr:col>
      <xdr:colOff>249464</xdr:colOff>
      <xdr:row>18</xdr:row>
      <xdr:rowOff>163286</xdr:rowOff>
    </xdr:to>
    <xdr:cxnSp macro="">
      <xdr:nvCxnSpPr>
        <xdr:cNvPr id="83" name="82 Conector recto de flecha">
          <a:extLst>
            <a:ext uri="{FF2B5EF4-FFF2-40B4-BE49-F238E27FC236}">
              <a16:creationId xmlns:a16="http://schemas.microsoft.com/office/drawing/2014/main" id="{00000000-0008-0000-0500-000053000000}"/>
            </a:ext>
          </a:extLst>
        </xdr:cNvPr>
        <xdr:cNvCxnSpPr/>
      </xdr:nvCxnSpPr>
      <xdr:spPr>
        <a:xfrm flipV="1">
          <a:off x="7121071" y="2579914"/>
          <a:ext cx="240393" cy="1039586"/>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20</xdr:row>
      <xdr:rowOff>34917</xdr:rowOff>
    </xdr:from>
    <xdr:to>
      <xdr:col>14</xdr:col>
      <xdr:colOff>247650</xdr:colOff>
      <xdr:row>20</xdr:row>
      <xdr:rowOff>34918</xdr:rowOff>
    </xdr:to>
    <xdr:cxnSp macro="">
      <xdr:nvCxnSpPr>
        <xdr:cNvPr id="84" name="83 Conector recto de flecha">
          <a:extLst>
            <a:ext uri="{FF2B5EF4-FFF2-40B4-BE49-F238E27FC236}">
              <a16:creationId xmlns:a16="http://schemas.microsoft.com/office/drawing/2014/main" id="{00000000-0008-0000-0500-000054000000}"/>
            </a:ext>
          </a:extLst>
        </xdr:cNvPr>
        <xdr:cNvCxnSpPr/>
      </xdr:nvCxnSpPr>
      <xdr:spPr>
        <a:xfrm flipV="1">
          <a:off x="7169150" y="3872131"/>
          <a:ext cx="190500" cy="1"/>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21</xdr:row>
      <xdr:rowOff>47625</xdr:rowOff>
    </xdr:from>
    <xdr:to>
      <xdr:col>15</xdr:col>
      <xdr:colOff>371929</xdr:colOff>
      <xdr:row>25</xdr:row>
      <xdr:rowOff>163286</xdr:rowOff>
    </xdr:to>
    <xdr:cxnSp macro="">
      <xdr:nvCxnSpPr>
        <xdr:cNvPr id="85" name="84 Conector recto de flecha">
          <a:extLst>
            <a:ext uri="{FF2B5EF4-FFF2-40B4-BE49-F238E27FC236}">
              <a16:creationId xmlns:a16="http://schemas.microsoft.com/office/drawing/2014/main" id="{00000000-0008-0000-0500-000055000000}"/>
            </a:ext>
          </a:extLst>
        </xdr:cNvPr>
        <xdr:cNvCxnSpPr/>
      </xdr:nvCxnSpPr>
      <xdr:spPr>
        <a:xfrm>
          <a:off x="7715250" y="4048125"/>
          <a:ext cx="619579" cy="877661"/>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22</xdr:row>
      <xdr:rowOff>66675</xdr:rowOff>
    </xdr:from>
    <xdr:to>
      <xdr:col>15</xdr:col>
      <xdr:colOff>9525</xdr:colOff>
      <xdr:row>36</xdr:row>
      <xdr:rowOff>19050</xdr:rowOff>
    </xdr:to>
    <xdr:cxnSp macro="">
      <xdr:nvCxnSpPr>
        <xdr:cNvPr id="86" name="85 Conector recto de flecha">
          <a:extLst>
            <a:ext uri="{FF2B5EF4-FFF2-40B4-BE49-F238E27FC236}">
              <a16:creationId xmlns:a16="http://schemas.microsoft.com/office/drawing/2014/main" id="{00000000-0008-0000-0500-000056000000}"/>
            </a:ext>
          </a:extLst>
        </xdr:cNvPr>
        <xdr:cNvCxnSpPr/>
      </xdr:nvCxnSpPr>
      <xdr:spPr>
        <a:xfrm>
          <a:off x="7667625" y="4257675"/>
          <a:ext cx="304800" cy="2619375"/>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647700</xdr:colOff>
      <xdr:row>23</xdr:row>
      <xdr:rowOff>9525</xdr:rowOff>
    </xdr:from>
    <xdr:to>
      <xdr:col>15</xdr:col>
      <xdr:colOff>47625</xdr:colOff>
      <xdr:row>46</xdr:row>
      <xdr:rowOff>161925</xdr:rowOff>
    </xdr:to>
    <xdr:cxnSp macro="">
      <xdr:nvCxnSpPr>
        <xdr:cNvPr id="87" name="86 Conector recto de flecha">
          <a:extLst>
            <a:ext uri="{FF2B5EF4-FFF2-40B4-BE49-F238E27FC236}">
              <a16:creationId xmlns:a16="http://schemas.microsoft.com/office/drawing/2014/main" id="{00000000-0008-0000-0500-000057000000}"/>
            </a:ext>
          </a:extLst>
        </xdr:cNvPr>
        <xdr:cNvCxnSpPr/>
      </xdr:nvCxnSpPr>
      <xdr:spPr>
        <a:xfrm>
          <a:off x="7448550" y="4257675"/>
          <a:ext cx="561975" cy="4533900"/>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4</xdr:row>
      <xdr:rowOff>108346</xdr:rowOff>
    </xdr:from>
    <xdr:to>
      <xdr:col>16</xdr:col>
      <xdr:colOff>66675</xdr:colOff>
      <xdr:row>4</xdr:row>
      <xdr:rowOff>108347</xdr:rowOff>
    </xdr:to>
    <xdr:cxnSp macro="">
      <xdr:nvCxnSpPr>
        <xdr:cNvPr id="99" name="98 Conector recto de flecha">
          <a:extLst>
            <a:ext uri="{FF2B5EF4-FFF2-40B4-BE49-F238E27FC236}">
              <a16:creationId xmlns:a16="http://schemas.microsoft.com/office/drawing/2014/main" id="{00000000-0008-0000-0500-000063000000}"/>
            </a:ext>
          </a:extLst>
        </xdr:cNvPr>
        <xdr:cNvCxnSpPr/>
      </xdr:nvCxnSpPr>
      <xdr:spPr>
        <a:xfrm>
          <a:off x="7620000" y="870346"/>
          <a:ext cx="1114425" cy="1"/>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190500</xdr:colOff>
      <xdr:row>4</xdr:row>
      <xdr:rowOff>47625</xdr:rowOff>
    </xdr:from>
    <xdr:to>
      <xdr:col>6</xdr:col>
      <xdr:colOff>76200</xdr:colOff>
      <xdr:row>4</xdr:row>
      <xdr:rowOff>47626</xdr:rowOff>
    </xdr:to>
    <xdr:cxnSp macro="">
      <xdr:nvCxnSpPr>
        <xdr:cNvPr id="101" name="100 Conector recto de flecha">
          <a:extLst>
            <a:ext uri="{FF2B5EF4-FFF2-40B4-BE49-F238E27FC236}">
              <a16:creationId xmlns:a16="http://schemas.microsoft.com/office/drawing/2014/main" id="{00000000-0008-0000-0500-000065000000}"/>
            </a:ext>
          </a:extLst>
        </xdr:cNvPr>
        <xdr:cNvCxnSpPr/>
      </xdr:nvCxnSpPr>
      <xdr:spPr>
        <a:xfrm>
          <a:off x="1219200" y="809625"/>
          <a:ext cx="1181100" cy="1"/>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80962</xdr:colOff>
      <xdr:row>6</xdr:row>
      <xdr:rowOff>47624</xdr:rowOff>
    </xdr:from>
    <xdr:to>
      <xdr:col>13</xdr:col>
      <xdr:colOff>719137</xdr:colOff>
      <xdr:row>9</xdr:row>
      <xdr:rowOff>0</xdr:rowOff>
    </xdr:to>
    <xdr:sp macro="" textlink="">
      <xdr:nvSpPr>
        <xdr:cNvPr id="45" name="44 Flecha izquierda">
          <a:extLst>
            <a:ext uri="{FF2B5EF4-FFF2-40B4-BE49-F238E27FC236}">
              <a16:creationId xmlns:a16="http://schemas.microsoft.com/office/drawing/2014/main" id="{00000000-0008-0000-0500-00002D000000}"/>
            </a:ext>
          </a:extLst>
        </xdr:cNvPr>
        <xdr:cNvSpPr/>
      </xdr:nvSpPr>
      <xdr:spPr>
        <a:xfrm rot="16200000">
          <a:off x="6081712" y="1057274"/>
          <a:ext cx="485776" cy="638175"/>
        </a:xfrm>
        <a:prstGeom prst="leftArrow">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13</xdr:col>
      <xdr:colOff>109536</xdr:colOff>
      <xdr:row>14</xdr:row>
      <xdr:rowOff>142875</xdr:rowOff>
    </xdr:from>
    <xdr:to>
      <xdr:col>13</xdr:col>
      <xdr:colOff>747711</xdr:colOff>
      <xdr:row>17</xdr:row>
      <xdr:rowOff>142879</xdr:rowOff>
    </xdr:to>
    <xdr:sp macro="" textlink="">
      <xdr:nvSpPr>
        <xdr:cNvPr id="46" name="45 Flecha izquierda">
          <a:extLst>
            <a:ext uri="{FF2B5EF4-FFF2-40B4-BE49-F238E27FC236}">
              <a16:creationId xmlns:a16="http://schemas.microsoft.com/office/drawing/2014/main" id="{00000000-0008-0000-0500-00002E000000}"/>
            </a:ext>
          </a:extLst>
        </xdr:cNvPr>
        <xdr:cNvSpPr/>
      </xdr:nvSpPr>
      <xdr:spPr>
        <a:xfrm rot="5400000">
          <a:off x="6119809" y="2476502"/>
          <a:ext cx="466729" cy="638175"/>
        </a:xfrm>
        <a:prstGeom prst="leftArrow">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3</xdr:col>
      <xdr:colOff>80962</xdr:colOff>
      <xdr:row>6</xdr:row>
      <xdr:rowOff>57149</xdr:rowOff>
    </xdr:from>
    <xdr:to>
      <xdr:col>3</xdr:col>
      <xdr:colOff>719137</xdr:colOff>
      <xdr:row>9</xdr:row>
      <xdr:rowOff>9525</xdr:rowOff>
    </xdr:to>
    <xdr:sp macro="" textlink="">
      <xdr:nvSpPr>
        <xdr:cNvPr id="47" name="46 Flecha izquierda">
          <a:extLst>
            <a:ext uri="{FF2B5EF4-FFF2-40B4-BE49-F238E27FC236}">
              <a16:creationId xmlns:a16="http://schemas.microsoft.com/office/drawing/2014/main" id="{00000000-0008-0000-0500-00002F000000}"/>
            </a:ext>
          </a:extLst>
        </xdr:cNvPr>
        <xdr:cNvSpPr/>
      </xdr:nvSpPr>
      <xdr:spPr>
        <a:xfrm rot="16200000">
          <a:off x="338137" y="1066799"/>
          <a:ext cx="485776" cy="638175"/>
        </a:xfrm>
        <a:prstGeom prst="leftArrow">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3</xdr:col>
      <xdr:colOff>109536</xdr:colOff>
      <xdr:row>15</xdr:row>
      <xdr:rowOff>0</xdr:rowOff>
    </xdr:from>
    <xdr:to>
      <xdr:col>3</xdr:col>
      <xdr:colOff>747711</xdr:colOff>
      <xdr:row>18</xdr:row>
      <xdr:rowOff>4</xdr:rowOff>
    </xdr:to>
    <xdr:sp macro="" textlink="">
      <xdr:nvSpPr>
        <xdr:cNvPr id="48" name="47 Flecha izquierda">
          <a:extLst>
            <a:ext uri="{FF2B5EF4-FFF2-40B4-BE49-F238E27FC236}">
              <a16:creationId xmlns:a16="http://schemas.microsoft.com/office/drawing/2014/main" id="{00000000-0008-0000-0500-000030000000}"/>
            </a:ext>
          </a:extLst>
        </xdr:cNvPr>
        <xdr:cNvSpPr/>
      </xdr:nvSpPr>
      <xdr:spPr>
        <a:xfrm rot="5400000">
          <a:off x="376234" y="2486027"/>
          <a:ext cx="466729" cy="638175"/>
        </a:xfrm>
        <a:prstGeom prst="leftArrow">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ES" sz="1100"/>
        </a:p>
      </xdr:txBody>
    </xdr:sp>
    <xdr:clientData/>
  </xdr:twoCellAnchor>
  <xdr:twoCellAnchor>
    <xdr:from>
      <xdr:col>16</xdr:col>
      <xdr:colOff>76201</xdr:colOff>
      <xdr:row>46</xdr:row>
      <xdr:rowOff>57150</xdr:rowOff>
    </xdr:from>
    <xdr:to>
      <xdr:col>16</xdr:col>
      <xdr:colOff>154783</xdr:colOff>
      <xdr:row>51</xdr:row>
      <xdr:rowOff>142875</xdr:rowOff>
    </xdr:to>
    <xdr:sp macro="" textlink="">
      <xdr:nvSpPr>
        <xdr:cNvPr id="33" name="32 Abrir llave">
          <a:extLst>
            <a:ext uri="{FF2B5EF4-FFF2-40B4-BE49-F238E27FC236}">
              <a16:creationId xmlns:a16="http://schemas.microsoft.com/office/drawing/2014/main" id="{00000000-0008-0000-0500-000021000000}"/>
            </a:ext>
          </a:extLst>
        </xdr:cNvPr>
        <xdr:cNvSpPr/>
      </xdr:nvSpPr>
      <xdr:spPr>
        <a:xfrm>
          <a:off x="8904685" y="8820150"/>
          <a:ext cx="78582" cy="103822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s-ES" sz="1100"/>
        </a:p>
      </xdr:txBody>
    </xdr:sp>
    <xdr:clientData/>
  </xdr:twoCellAnchor>
  <xdr:twoCellAnchor>
    <xdr:from>
      <xdr:col>13</xdr:col>
      <xdr:colOff>352425</xdr:colOff>
      <xdr:row>23</xdr:row>
      <xdr:rowOff>123825</xdr:rowOff>
    </xdr:from>
    <xdr:to>
      <xdr:col>13</xdr:col>
      <xdr:colOff>400050</xdr:colOff>
      <xdr:row>48</xdr:row>
      <xdr:rowOff>161925</xdr:rowOff>
    </xdr:to>
    <xdr:cxnSp macro="">
      <xdr:nvCxnSpPr>
        <xdr:cNvPr id="39" name="86 Conector recto de flecha">
          <a:extLst>
            <a:ext uri="{FF2B5EF4-FFF2-40B4-BE49-F238E27FC236}">
              <a16:creationId xmlns:a16="http://schemas.microsoft.com/office/drawing/2014/main" id="{00000000-0008-0000-0500-000027000000}"/>
            </a:ext>
          </a:extLst>
        </xdr:cNvPr>
        <xdr:cNvCxnSpPr/>
      </xdr:nvCxnSpPr>
      <xdr:spPr>
        <a:xfrm>
          <a:off x="7153275" y="4505325"/>
          <a:ext cx="47625" cy="4800600"/>
        </a:xfrm>
        <a:prstGeom prst="straightConnector1">
          <a:avLst/>
        </a:prstGeom>
        <a:ln>
          <a:headEnd type="arrow"/>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3</xdr:row>
      <xdr:rowOff>66675</xdr:rowOff>
    </xdr:from>
    <xdr:to>
      <xdr:col>43</xdr:col>
      <xdr:colOff>914399</xdr:colOff>
      <xdr:row>26</xdr:row>
      <xdr:rowOff>66675</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485775</xdr:colOff>
      <xdr:row>23</xdr:row>
      <xdr:rowOff>85725</xdr:rowOff>
    </xdr:from>
    <xdr:to>
      <xdr:col>14</xdr:col>
      <xdr:colOff>200025</xdr:colOff>
      <xdr:row>52</xdr:row>
      <xdr:rowOff>57150</xdr:rowOff>
    </xdr:to>
    <xdr:cxnSp macro="">
      <xdr:nvCxnSpPr>
        <xdr:cNvPr id="40" name="86 Conector recto de flecha">
          <a:extLst>
            <a:ext uri="{FF2B5EF4-FFF2-40B4-BE49-F238E27FC236}">
              <a16:creationId xmlns:a16="http://schemas.microsoft.com/office/drawing/2014/main" id="{00000000-0008-0000-0500-000028000000}"/>
            </a:ext>
          </a:extLst>
        </xdr:cNvPr>
        <xdr:cNvCxnSpPr/>
      </xdr:nvCxnSpPr>
      <xdr:spPr>
        <a:xfrm>
          <a:off x="7286625" y="4333875"/>
          <a:ext cx="561975" cy="5495925"/>
        </a:xfrm>
        <a:prstGeom prst="straightConnector1">
          <a:avLst/>
        </a:prstGeom>
        <a:noFill/>
        <a:ln w="9525" cap="flat" cmpd="sng" algn="ctr">
          <a:solidFill>
            <a:srgbClr val="4F81BD">
              <a:shade val="95000"/>
              <a:satMod val="105000"/>
            </a:srgbClr>
          </a:solidFill>
          <a:prstDash val="solid"/>
          <a:headEnd type="arrow"/>
          <a:tailEnd type="none"/>
        </a:ln>
        <a:effectLst/>
      </xdr:spPr>
    </xdr:cxn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28575</xdr:rowOff>
        </xdr:from>
        <xdr:to>
          <xdr:col>34</xdr:col>
          <xdr:colOff>152400</xdr:colOff>
          <xdr:row>2</xdr:row>
          <xdr:rowOff>28575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Segoe UI"/>
                  <a:cs typeface="Segoe UI"/>
                </a:rPr>
                <a:t>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57150</xdr:rowOff>
        </xdr:from>
        <xdr:to>
          <xdr:col>34</xdr:col>
          <xdr:colOff>152400</xdr:colOff>
          <xdr:row>3</xdr:row>
          <xdr:rowOff>57150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Segoe UI"/>
                  <a:cs typeface="Segoe UI"/>
                </a:rPr>
                <a:t>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104775</xdr:rowOff>
        </xdr:from>
        <xdr:to>
          <xdr:col>34</xdr:col>
          <xdr:colOff>152400</xdr:colOff>
          <xdr:row>4</xdr:row>
          <xdr:rowOff>104775</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Segoe UI"/>
                  <a:cs typeface="Segoe UI"/>
                </a:rPr>
                <a:t>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95250</xdr:rowOff>
        </xdr:from>
        <xdr:to>
          <xdr:col>34</xdr:col>
          <xdr:colOff>47625</xdr:colOff>
          <xdr:row>5</xdr:row>
          <xdr:rowOff>142875</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L" sz="1100" b="0" i="0" u="none" strike="noStrike" baseline="0">
                  <a:solidFill>
                    <a:srgbClr val="000000"/>
                  </a:solidFill>
                  <a:latin typeface="Calibri"/>
                  <a:cs typeface="Calibri"/>
                </a:rPr>
                <a:t>c</a:t>
              </a:r>
            </a:p>
          </xdr:txBody>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0</xdr:colOff>
      <xdr:row>79</xdr:row>
      <xdr:rowOff>0</xdr:rowOff>
    </xdr:from>
    <xdr:to>
      <xdr:col>13</xdr:col>
      <xdr:colOff>781050</xdr:colOff>
      <xdr:row>98</xdr:row>
      <xdr:rowOff>57150</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FALABELLA\DOCUME~1\rbnunez\CONFIG~1\Temp\ctorres\EDITORRES\ctorres\EDITORRES\ctorres\EDITORRES\ctorres\ctorres\Ventas%20Falabella%20CTF.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NTAS"/>
      <sheetName val="ANUAL"/>
      <sheetName val="Garantias"/>
    </sheetNames>
    <sheetDataSet>
      <sheetData sheetId="0">
        <row r="37">
          <cell r="B37">
            <v>386122.25825399999</v>
          </cell>
          <cell r="G37">
            <v>390581.96799999999</v>
          </cell>
          <cell r="L37">
            <v>400632.35200000001</v>
          </cell>
          <cell r="Q37">
            <v>238834.128</v>
          </cell>
          <cell r="V37">
            <v>181123.18799999999</v>
          </cell>
          <cell r="AA37">
            <v>184000</v>
          </cell>
          <cell r="AF37">
            <v>139000</v>
          </cell>
          <cell r="AK37">
            <v>139000</v>
          </cell>
          <cell r="AP37">
            <v>139000</v>
          </cell>
          <cell r="AU37">
            <v>139000</v>
          </cell>
          <cell r="AZ37">
            <v>139000</v>
          </cell>
          <cell r="BE37">
            <v>139000</v>
          </cell>
          <cell r="BJ37">
            <v>139000</v>
          </cell>
        </row>
      </sheetData>
      <sheetData sheetId="1" refreshError="1"/>
      <sheetData sheetId="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P57" totalsRowCount="1" headerRowDxfId="130" dataDxfId="129" totalsRowDxfId="128">
  <autoFilter ref="A2:P56" xr:uid="{00000000-0009-0000-0100-000001000000}"/>
  <sortState xmlns:xlrd2="http://schemas.microsoft.com/office/spreadsheetml/2017/richdata2" ref="A3:P58">
    <sortCondition ref="A2:A58"/>
  </sortState>
  <tableColumns count="16">
    <tableColumn id="1" xr3:uid="{00000000-0010-0000-0000-000001000000}" name="FECHA" dataDxfId="31" totalsRowDxfId="15"/>
    <tableColumn id="2" xr3:uid="{00000000-0010-0000-0000-000002000000}" name="INICIO" dataDxfId="30" totalsRowDxfId="14"/>
    <tableColumn id="3" xr3:uid="{00000000-0010-0000-0000-000003000000}" name="FINAL" dataDxfId="29" totalsRowDxfId="13"/>
    <tableColumn id="4" xr3:uid="{00000000-0010-0000-0000-000004000000}" name="CITACION" dataDxfId="28" totalsRowDxfId="12"/>
    <tableColumn id="5" xr3:uid="{00000000-0010-0000-0000-000005000000}" name="TIPO" dataDxfId="27" totalsRowDxfId="11">
      <calculatedColumnFormula>+IF(D3="","-",+LOOKUP(D3,$R$3:$R$10,$S$3:$S$10))</calculatedColumnFormula>
    </tableColumn>
    <tableColumn id="6" xr3:uid="{00000000-0010-0000-0000-000006000000}" name="Patricio B." dataDxfId="26" totalsRowDxfId="10" dataCellStyle="Millares [0]">
      <calculatedColumnFormula>+IF($D3="","-",+IF($E3=+$S$3,+ROUND((($C3-$B3)*+$S$13/$S$12),0),20000))</calculatedColumnFormula>
    </tableColumn>
    <tableColumn id="7" xr3:uid="{00000000-0010-0000-0000-000007000000}" name="Richard T." dataDxfId="25" totalsRowDxfId="9" dataCellStyle="Millares [0]">
      <calculatedColumnFormula>+IF($D3="","-",+IF($E3=+$S$3,+ROUND((($C3-$B3)*+$S$13/$S$12),0),20000))</calculatedColumnFormula>
    </tableColumn>
    <tableColumn id="8" xr3:uid="{00000000-0010-0000-0000-000008000000}" name="Christian T." dataDxfId="24" totalsRowDxfId="8" dataCellStyle="Millares [0]">
      <calculatedColumnFormula>+IF($D3="","-",+IF($E3=+$S$3,+ROUND((($C3-$B3)*+$S$13/$S$12),0),20000))</calculatedColumnFormula>
    </tableColumn>
    <tableColumn id="9" xr3:uid="{00000000-0010-0000-0000-000009000000}" name="Alejandra B." dataDxfId="23" totalsRowDxfId="7" dataCellStyle="Millares [0]">
      <calculatedColumnFormula>+IF($D3="","-",+IF($E3=+$S$3,+ROUND((($C3-$B3)*+$S$13/$S$12),0),20000))</calculatedColumnFormula>
    </tableColumn>
    <tableColumn id="10" xr3:uid="{00000000-0010-0000-0000-00000A000000}" name="Andrea D." dataDxfId="22" totalsRowDxfId="6" dataCellStyle="Millares [0]">
      <calculatedColumnFormula>+IF($D3="","-",+IF($E3=+$S$3,+ROUND((($C3-$B3)*+$S$13/$S$12),0),20000))</calculatedColumnFormula>
    </tableColumn>
    <tableColumn id="11" xr3:uid="{00000000-0010-0000-0000-00000B000000}" name="Felipe S." dataDxfId="21" totalsRowDxfId="5" dataCellStyle="Millares [0]"/>
    <tableColumn id="12" xr3:uid="{00000000-0010-0000-0000-00000C000000}" name="Claudia V." dataDxfId="20" totalsRowDxfId="4" dataCellStyle="Millares [0]">
      <calculatedColumnFormula>+IF($D3="","-",+IF($E3=+$S$3,+ROUND((($C3-$B3)*+$S$13/$S$12),0),20000))</calculatedColumnFormula>
    </tableColumn>
    <tableColumn id="13" xr3:uid="{00000000-0010-0000-0000-00000D000000}" name="Jorge Y." dataDxfId="19" totalsRowDxfId="3" dataCellStyle="Millares [0]"/>
    <tableColumn id="14" xr3:uid="{00000000-0010-0000-0000-00000E000000}" name="Eugenia O." dataDxfId="18" totalsRowDxfId="2" dataCellStyle="Millares [0]">
      <calculatedColumnFormula>+IF($D3="","-",+IF($E3=+$S$3,+ROUND((($C3-$B3)*+$S$13/$S$12),0),20000))</calculatedColumnFormula>
    </tableColumn>
    <tableColumn id="15" xr3:uid="{00000000-0010-0000-0000-00000F000000}" name="COSTO" dataDxfId="17" totalsRowDxfId="1" dataCellStyle="Millares [0]">
      <calculatedColumnFormula>SUM(F3:N3)</calculatedColumnFormula>
    </tableColumn>
    <tableColumn id="16" xr3:uid="{00000000-0010-0000-0000-000010000000}" name="MOTIVO" dataDxfId="16" totalsRowDxfId="0"/>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4" displayName="Tabla4" ref="R2:R10" totalsRowShown="0" headerRowDxfId="127" dataDxfId="126">
  <autoFilter ref="R2:R10" xr:uid="{00000000-0009-0000-0100-000004000000}"/>
  <sortState xmlns:xlrd2="http://schemas.microsoft.com/office/spreadsheetml/2017/richdata2" ref="R3:R10">
    <sortCondition ref="R2:R10"/>
  </sortState>
  <tableColumns count="1">
    <tableColumn id="1" xr3:uid="{00000000-0010-0000-0100-000001000000}" name="CITACION" dataDxfId="12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a5" displayName="Tabla5" ref="B13:L45" totalsRowCount="1" headerRowDxfId="123" dataDxfId="122" totalsRowDxfId="121">
  <autoFilter ref="B13:L44" xr:uid="{00000000-0009-0000-0100-000005000000}"/>
  <sortState xmlns:xlrd2="http://schemas.microsoft.com/office/spreadsheetml/2017/richdata2" ref="B14:L44">
    <sortCondition ref="B13:B44"/>
  </sortState>
  <tableColumns count="11">
    <tableColumn id="1" xr3:uid="{00000000-0010-0000-0200-000001000000}" name="FECHA" totalsRowLabel="Total" dataDxfId="120" totalsRowDxfId="119"/>
    <tableColumn id="2" xr3:uid="{00000000-0010-0000-0200-000002000000}" name="NOMBRE" dataDxfId="118" totalsRowDxfId="117"/>
    <tableColumn id="3" xr3:uid="{00000000-0010-0000-0200-000003000000}" name="CITACION" totalsRowFunction="count" dataDxfId="116" totalsRowDxfId="115"/>
    <tableColumn id="4" xr3:uid="{00000000-0010-0000-0200-000004000000}" name="TIPO" dataDxfId="114" totalsRowDxfId="113">
      <calculatedColumnFormula>+IF(D14&lt;&gt;"",+LOOKUP(D14,$D$2:$D$9,$E$2:$E$9),"-")</calculatedColumnFormula>
    </tableColumn>
    <tableColumn id="5" xr3:uid="{00000000-0010-0000-0200-000005000000}" name="PASAJES" totalsRowFunction="sum" dataDxfId="112" totalsRowDxfId="111">
      <calculatedColumnFormula>7000+7000</calculatedColumnFormula>
    </tableColumn>
    <tableColumn id="6" xr3:uid="{00000000-0010-0000-0200-000006000000}" name="COLACION" totalsRowFunction="sum" dataDxfId="110" totalsRowDxfId="109"/>
    <tableColumn id="7" xr3:uid="{00000000-0010-0000-0200-000007000000}" name="METRO" totalsRowFunction="sum" dataDxfId="108" totalsRowDxfId="107"/>
    <tableColumn id="8" xr3:uid="{00000000-0010-0000-0200-000008000000}" name="TAXI / COLEC" totalsRowFunction="sum" dataDxfId="106" totalsRowDxfId="105"/>
    <tableColumn id="9" xr3:uid="{00000000-0010-0000-0200-000009000000}" name="HOTEL" totalsRowFunction="sum" dataDxfId="104" totalsRowDxfId="103"/>
    <tableColumn id="11" xr3:uid="{00000000-0010-0000-0200-00000B000000}" name="REEMBOLSO" totalsRowFunction="sum" dataDxfId="102" totalsRowDxfId="101" dataCellStyle="Moneda [0]"/>
    <tableColumn id="10" xr3:uid="{00000000-0010-0000-0200-00000A000000}" name="TOTAL" totalsRowFunction="sum" dataDxfId="100" totalsRowDxfId="99">
      <calculatedColumnFormula>SUM(F14:K14)</calculatedColumnFormula>
    </tableColumn>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a3" displayName="Tabla3" ref="B1:L9" totalsRowShown="0" headerRowDxfId="98" dataDxfId="97">
  <autoFilter ref="B1:L9" xr:uid="{00000000-0009-0000-0100-000003000000}"/>
  <tableColumns count="11">
    <tableColumn id="1" xr3:uid="{00000000-0010-0000-0300-000001000000}" name="%" dataDxfId="96">
      <calculatedColumnFormula>IF(C2=0,"",+L2/C2)</calculatedColumnFormula>
    </tableColumn>
    <tableColumn id="2" xr3:uid="{00000000-0010-0000-0300-000002000000}" name="PLAN" dataDxfId="95" dataCellStyle="Moneda [0]"/>
    <tableColumn id="3" xr3:uid="{00000000-0010-0000-0300-000003000000}" name="VIATICOS DE DIRECTORES " dataDxfId="94"/>
    <tableColumn id="4" xr3:uid="{00000000-0010-0000-0300-000004000000}" name="TIPO" dataDxfId="93"/>
    <tableColumn id="5" xr3:uid="{00000000-0010-0000-0300-000005000000}" name="PASAJES" dataDxfId="92">
      <calculatedColumnFormula>+IF(Tabla3[[#This Row],[PLAN]]=0,0,+SUMIF(Tabla5[CITACION],+$D2,Tabla5[PASAJES]))</calculatedColumnFormula>
    </tableColumn>
    <tableColumn id="6" xr3:uid="{00000000-0010-0000-0300-000006000000}" name="COLACION" dataDxfId="91">
      <calculatedColumnFormula>+IF(Tabla3[[#This Row],[PLAN]]=0,0,+SUMIF(Tabla5[CITACION],+$D2,Tabla5[COLACION]))</calculatedColumnFormula>
    </tableColumn>
    <tableColumn id="7" xr3:uid="{00000000-0010-0000-0300-000007000000}" name="METRO" dataDxfId="90">
      <calculatedColumnFormula>+IF(Tabla3[[#This Row],[PLAN]]=0,0,+SUMIF(Tabla5[CITACION],+$D2,Tabla5[METRO]))</calculatedColumnFormula>
    </tableColumn>
    <tableColumn id="8" xr3:uid="{00000000-0010-0000-0300-000008000000}" name="TAXI / COLEC" dataDxfId="89">
      <calculatedColumnFormula>+IF(Tabla3[[#This Row],[PLAN]]=0,0,+SUMIF(Tabla5[CITACION],+$D2,Tabla5[TAXI / COLEC]))</calculatedColumnFormula>
    </tableColumn>
    <tableColumn id="9" xr3:uid="{00000000-0010-0000-0300-000009000000}" name="HOTEL" dataDxfId="88">
      <calculatedColumnFormula>+IF(Tabla3[[#This Row],[PLAN]]=0,0,+SUMIF(Tabla5[CITACION],+$D2,Tabla5[HOTEL]))</calculatedColumnFormula>
    </tableColumn>
    <tableColumn id="10" xr3:uid="{00000000-0010-0000-0300-00000A000000}" name="REEMBOLSO" dataDxfId="87">
      <calculatedColumnFormula>+IF(Tabla3[[#This Row],[PLAN]]=0,0,+SUMIF(Tabla5[CITACION],+$D2,Tabla5[REEMBOLSO]))</calculatedColumnFormula>
    </tableColumn>
    <tableColumn id="11" xr3:uid="{00000000-0010-0000-0300-00000B000000}" name="TOTAL" dataDxfId="86" dataCellStyle="Moneda [0]">
      <calculatedColumnFormula>SUM(F2:K2)</calculatedColumnFormula>
    </tableColumn>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a7" displayName="Tabla7" ref="N13:O22" totalsRowShown="0" headerRowDxfId="85" dataDxfId="84">
  <autoFilter ref="N13:O22" xr:uid="{00000000-0009-0000-0100-000007000000}"/>
  <tableColumns count="2">
    <tableColumn id="1" xr3:uid="{00000000-0010-0000-0400-000001000000}" name="DIRECTORES" dataDxfId="83">
      <calculatedColumnFormula>+PLAN!B104</calculatedColumnFormula>
    </tableColumn>
    <tableColumn id="2" xr3:uid="{00000000-0010-0000-0400-000002000000}" name="VIATICOS" dataDxfId="82">
      <calculatedColumnFormula>+SUMIF(Tabla5[NOMBRE],Tabla7[[#This Row],[DIRECTORES]],Tabla5[TOTAL])</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Tabla691012131510" displayName="Tabla691012131510" ref="B2:G36" totalsRowCount="1" headerRowDxfId="80" dataDxfId="79" totalsRowDxfId="78">
  <autoFilter ref="B2:G35" xr:uid="{00000000-0009-0000-0100-000009000000}"/>
  <sortState xmlns:xlrd2="http://schemas.microsoft.com/office/spreadsheetml/2017/richdata2" ref="B3:G35">
    <sortCondition descending="1" ref="C2:C35"/>
  </sortState>
  <tableColumns count="6">
    <tableColumn id="1" xr3:uid="{00000000-0010-0000-0500-000001000000}" name="DIRECTOR" totalsRowFunction="count" dataDxfId="77" totalsRowDxfId="76"/>
    <tableColumn id="2" xr3:uid="{00000000-0010-0000-0500-000002000000}" name="SINDICATO" dataDxfId="75" totalsRowDxfId="74">
      <calculatedColumnFormula>+IF(Tabla691012131510[[#This Row],[TIPO]]="NO ASISTE","-",+IF(B3&lt;&gt;0,+LOOKUP(B3,SOCIOS!$B$2:$B$26,SOCIOS!$C$2:$C$26),"-"))</calculatedColumnFormula>
    </tableColumn>
    <tableColumn id="3" xr3:uid="{00000000-0010-0000-0500-000003000000}" name="CUOTA" totalsRowFunction="sum" dataDxfId="73" totalsRowDxfId="72" dataCellStyle="Moneda [0]">
      <calculatedColumnFormula>+IF(Tabla691012131510[[#This Row],[TIPO]]="NO ASISTE","-",+IF(B3&lt;&gt;0,+LOOKUP(B3,SOCIOS!$B$2:$B$26,SOCIOS!$D$2:$D$26),"-"))</calculatedColumnFormula>
    </tableColumn>
    <tableColumn id="4" xr3:uid="{00000000-0010-0000-0500-000004000000}" name="PROPINA" totalsRowFunction="sum" dataDxfId="71" totalsRowDxfId="70" dataCellStyle="Moneda [0]">
      <calculatedColumnFormula>+IF(Tabla691012131510[[#This Row],[TIPO]]="NO ASISTE","-",+IF(B3&lt;&gt;0,+LOOKUP(B3,SOCIOS!$B$2:$B$26,SOCIOS!$E$2:$E$26),"-"))</calculatedColumnFormula>
    </tableColumn>
    <tableColumn id="8" xr3:uid="{00000000-0010-0000-0500-000008000000}" name="TIPO" dataDxfId="69" totalsRowDxfId="68"/>
    <tableColumn id="5" xr3:uid="{00000000-0010-0000-0500-000005000000}" name="Folio" dataDxfId="67" totalsRowDxfId="66"/>
  </tableColumns>
  <tableStyleInfo name="TableStyleLight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abla6910121315107" displayName="Tabla6910121315107" ref="I2:N36" totalsRowCount="1" headerRowDxfId="65" dataDxfId="64" totalsRowDxfId="63">
  <autoFilter ref="I2:N35" xr:uid="{00000000-0009-0000-0100-000006000000}"/>
  <sortState xmlns:xlrd2="http://schemas.microsoft.com/office/spreadsheetml/2017/richdata2" ref="I3:N35">
    <sortCondition ref="J2:J35"/>
  </sortState>
  <tableColumns count="6">
    <tableColumn id="1" xr3:uid="{00000000-0010-0000-0600-000001000000}" name="DIRECTOR" totalsRowFunction="count" dataDxfId="62" totalsRowDxfId="61"/>
    <tableColumn id="2" xr3:uid="{00000000-0010-0000-0600-000002000000}" name="SINDICATO" dataDxfId="60" totalsRowDxfId="59">
      <calculatedColumnFormula>+IF(Tabla6910121315107[[#This Row],[TIPO]]="NO ASISTE","-",+IF(I3&lt;&gt;0,+LOOKUP(I3,SOCIOS!$B$2:$B$26,SOCIOS!$C$2:$C$26),"-"))</calculatedColumnFormula>
    </tableColumn>
    <tableColumn id="3" xr3:uid="{00000000-0010-0000-0600-000003000000}" name="CUOTA" totalsRowFunction="sum" dataDxfId="58" totalsRowDxfId="57" dataCellStyle="Moneda [0]">
      <calculatedColumnFormula>+IF(Tabla6910121315107[[#This Row],[TIPO]]="NO ASISTE","-",+IF(I3&lt;&gt;0,+LOOKUP(I3,SOCIOS!$B$2:$B$26,SOCIOS!$D$2:$D$26),"-"))</calculatedColumnFormula>
    </tableColumn>
    <tableColumn id="4" xr3:uid="{00000000-0010-0000-0600-000004000000}" name="PROPINA" totalsRowFunction="sum" dataDxfId="56" totalsRowDxfId="55" dataCellStyle="Moneda [0]">
      <calculatedColumnFormula>+IF(Tabla6910121315107[[#This Row],[TIPO]]="NO ASISTE","-",+IF(I3&lt;&gt;0,+LOOKUP(I3,SOCIOS!$B$2:$B$26,SOCIOS!$E$2:$E$26),"-"))</calculatedColumnFormula>
    </tableColumn>
    <tableColumn id="8" xr3:uid="{00000000-0010-0000-0600-000008000000}" name="TIPO" dataDxfId="54" totalsRowDxfId="53"/>
    <tableColumn id="5" xr3:uid="{00000000-0010-0000-0600-000005000000}" name="Folio" dataDxfId="52" totalsRowDxfId="51"/>
  </tableColumns>
  <tableStyleInfo name="TableStyleLight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6910121315109" displayName="Tabla6910121315109" ref="P2:U36" totalsRowCount="1" headerRowDxfId="50" totalsRowDxfId="49">
  <autoFilter ref="P2:U35" xr:uid="{00000000-0009-0000-0100-000008000000}"/>
  <sortState xmlns:xlrd2="http://schemas.microsoft.com/office/spreadsheetml/2017/richdata2" ref="P3:T35">
    <sortCondition descending="1" ref="Q2:Q35"/>
  </sortState>
  <tableColumns count="6">
    <tableColumn id="1" xr3:uid="{00000000-0010-0000-0700-000001000000}" name="DIRECTOR" totalsRowFunction="count" dataDxfId="48"/>
    <tableColumn id="2" xr3:uid="{00000000-0010-0000-0700-000002000000}" name="SINDICATO" dataDxfId="47" totalsRowDxfId="46">
      <calculatedColumnFormula>+IF(Tabla6910121315107[[#This Row],[TIPO]]="NO ASISTE","-",+IF(P3&lt;&gt;0,+LOOKUP(P3,SOCIOS!$B$2:$B$26,SOCIOS!$C$2:$C$26),"-"))</calculatedColumnFormula>
    </tableColumn>
    <tableColumn id="3" xr3:uid="{00000000-0010-0000-0700-000003000000}" name="CUOTA" totalsRowFunction="sum" dataDxfId="45" totalsRowDxfId="44" dataCellStyle="Moneda [0]">
      <calculatedColumnFormula>+IF(Tabla6910121315107[[#This Row],[TIPO]]="NO ASISTE","-",+IF(P3&lt;&gt;0,+LOOKUP(P3,SOCIOS!$B$2:$B$26,SOCIOS!$D$2:$D$26),"-"))</calculatedColumnFormula>
    </tableColumn>
    <tableColumn id="4" xr3:uid="{00000000-0010-0000-0700-000004000000}" name="PROPINA" totalsRowFunction="sum" dataDxfId="43" totalsRowDxfId="42" dataCellStyle="Moneda [0]">
      <calculatedColumnFormula>+IF(Tabla6910121315107[[#This Row],[TIPO]]="NO ASISTE","-",+IF(P3&lt;&gt;0,+LOOKUP(P3,SOCIOS!$B$2:$B$26,SOCIOS!$E$2:$E$26),"-"))</calculatedColumnFormula>
    </tableColumn>
    <tableColumn id="8" xr3:uid="{00000000-0010-0000-0700-000008000000}" name="TIPO" dataDxfId="41" totalsRowDxfId="40"/>
    <tableColumn id="5" xr3:uid="{00000000-0010-0000-0700-000005000000}" name="Folio" dataDxfId="39" totalsRowDxfId="38"/>
  </tableColumns>
  <tableStyleInfo name="TableStyleLight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la2" displayName="Tabla2" ref="B1:F26" totalsRowShown="0" headerRowDxfId="37" dataDxfId="36" headerRowCellStyle="Moneda [0]" dataCellStyle="Moneda [0]">
  <autoFilter ref="B1:F26" xr:uid="{00000000-0009-0000-0100-000002000000}"/>
  <sortState xmlns:xlrd2="http://schemas.microsoft.com/office/spreadsheetml/2017/richdata2" ref="B2:F26">
    <sortCondition ref="C1:C26"/>
  </sortState>
  <tableColumns count="5">
    <tableColumn id="1" xr3:uid="{00000000-0010-0000-0800-000001000000}" name="DIRECTOR" dataDxfId="35" dataCellStyle="Moneda [0]"/>
    <tableColumn id="2" xr3:uid="{00000000-0010-0000-0800-000002000000}" name="SINDICATO" dataDxfId="34"/>
    <tableColumn id="3" xr3:uid="{00000000-0010-0000-0800-000003000000}" name="CUOTA" dataDxfId="33" dataCellStyle="Moneda [0]"/>
    <tableColumn id="4" xr3:uid="{00000000-0010-0000-0800-000004000000}" name="PROPINA" dataDxfId="32" dataCellStyle="Moneda [0]"/>
    <tableColumn id="5" xr3:uid="{00000000-0010-0000-0800-000005000000}" name="ESTADO"/>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10.bin"/><Relationship Id="rId4"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14.bin"/><Relationship Id="rId4"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6"/>
  <dimension ref="A1:M107"/>
  <sheetViews>
    <sheetView topLeftCell="A61" workbookViewId="0">
      <selection activeCell="H13" sqref="H13"/>
    </sheetView>
  </sheetViews>
  <sheetFormatPr baseColWidth="10" defaultRowHeight="15" x14ac:dyDescent="0.25"/>
  <cols>
    <col min="6" max="6" width="13.140625" bestFit="1" customWidth="1"/>
    <col min="10" max="10" width="9" bestFit="1" customWidth="1"/>
    <col min="11" max="11" width="39.140625" bestFit="1" customWidth="1"/>
    <col min="12" max="13" width="18.7109375" bestFit="1" customWidth="1"/>
  </cols>
  <sheetData>
    <row r="1" spans="1:13" s="83" customFormat="1" x14ac:dyDescent="0.25">
      <c r="A1" s="83" t="s">
        <v>305</v>
      </c>
      <c r="D1" s="83" t="s">
        <v>306</v>
      </c>
      <c r="J1" s="236">
        <v>14030341</v>
      </c>
      <c r="K1" s="236" t="s">
        <v>224</v>
      </c>
      <c r="L1" s="297"/>
      <c r="M1"/>
    </row>
    <row r="2" spans="1:13" x14ac:dyDescent="0.25">
      <c r="B2" s="237"/>
      <c r="D2">
        <v>13081521</v>
      </c>
      <c r="E2" s="237">
        <v>45742</v>
      </c>
      <c r="F2" s="238">
        <v>0.53472222222222221</v>
      </c>
      <c r="J2" s="236">
        <v>13923399</v>
      </c>
      <c r="K2" s="236" t="s">
        <v>176</v>
      </c>
    </row>
    <row r="3" spans="1:13" x14ac:dyDescent="0.25">
      <c r="B3" s="237"/>
      <c r="D3">
        <v>10792320</v>
      </c>
      <c r="E3" s="237">
        <v>45742</v>
      </c>
      <c r="F3" s="238">
        <v>0.67817129629629624</v>
      </c>
      <c r="J3" s="236">
        <v>10776166</v>
      </c>
      <c r="K3" s="236" t="s">
        <v>129</v>
      </c>
    </row>
    <row r="4" spans="1:13" x14ac:dyDescent="0.25">
      <c r="B4" s="237"/>
      <c r="D4">
        <v>10792320</v>
      </c>
      <c r="E4" s="237">
        <v>45750</v>
      </c>
      <c r="F4" s="238">
        <v>0.77045138888888887</v>
      </c>
      <c r="J4" s="236">
        <v>17008227</v>
      </c>
      <c r="K4" s="236" t="s">
        <v>161</v>
      </c>
    </row>
    <row r="5" spans="1:13" x14ac:dyDescent="0.25">
      <c r="D5">
        <v>10792320</v>
      </c>
      <c r="E5" s="237">
        <v>45750</v>
      </c>
      <c r="F5" s="238">
        <v>0.89462962962962966</v>
      </c>
      <c r="J5" s="236">
        <v>11777166</v>
      </c>
      <c r="K5" s="236" t="s">
        <v>312</v>
      </c>
    </row>
    <row r="6" spans="1:13" x14ac:dyDescent="0.25">
      <c r="D6">
        <v>10792320</v>
      </c>
      <c r="E6" s="237">
        <v>45754</v>
      </c>
      <c r="F6" s="238">
        <v>0.74925925925925929</v>
      </c>
      <c r="J6" s="236">
        <v>10792320</v>
      </c>
      <c r="K6" s="236" t="s">
        <v>166</v>
      </c>
    </row>
    <row r="7" spans="1:13" x14ac:dyDescent="0.25">
      <c r="D7">
        <v>10792320</v>
      </c>
      <c r="E7" s="237">
        <v>45755</v>
      </c>
      <c r="F7" s="238">
        <v>0.73442129629629627</v>
      </c>
      <c r="J7" s="236">
        <v>12338954</v>
      </c>
      <c r="K7" s="236" t="s">
        <v>130</v>
      </c>
    </row>
    <row r="8" spans="1:13" x14ac:dyDescent="0.25">
      <c r="D8">
        <v>10792320</v>
      </c>
      <c r="E8" s="237">
        <v>45756</v>
      </c>
      <c r="F8" s="238">
        <v>0.38134259259259257</v>
      </c>
      <c r="J8" s="236">
        <v>14696674</v>
      </c>
      <c r="K8" s="236" t="s">
        <v>146</v>
      </c>
      <c r="L8" s="297"/>
    </row>
    <row r="9" spans="1:13" x14ac:dyDescent="0.25">
      <c r="D9">
        <v>10792320</v>
      </c>
      <c r="E9" s="237">
        <v>45756</v>
      </c>
      <c r="F9" s="238">
        <v>0.3865277777777778</v>
      </c>
      <c r="J9" s="236">
        <v>17207137</v>
      </c>
      <c r="K9" s="236" t="s">
        <v>221</v>
      </c>
      <c r="L9" s="297"/>
    </row>
    <row r="10" spans="1:13" x14ac:dyDescent="0.25">
      <c r="D10">
        <v>10792320</v>
      </c>
      <c r="E10" s="237">
        <v>45756</v>
      </c>
      <c r="F10" s="238">
        <v>0.760625</v>
      </c>
      <c r="J10" s="236">
        <v>15651053</v>
      </c>
      <c r="K10" s="236" t="s">
        <v>174</v>
      </c>
    </row>
    <row r="11" spans="1:13" x14ac:dyDescent="0.25">
      <c r="D11">
        <v>10792320</v>
      </c>
      <c r="E11" s="237">
        <v>45756</v>
      </c>
      <c r="F11" s="238">
        <v>0.76340277777777776</v>
      </c>
      <c r="J11" s="236">
        <v>12200837</v>
      </c>
      <c r="K11" s="236" t="s">
        <v>172</v>
      </c>
    </row>
    <row r="12" spans="1:13" x14ac:dyDescent="0.25">
      <c r="D12">
        <v>10792320</v>
      </c>
      <c r="E12" s="237">
        <v>45757</v>
      </c>
      <c r="F12" s="238">
        <v>0.5489236111111111</v>
      </c>
      <c r="J12" s="236">
        <v>11371360</v>
      </c>
      <c r="K12" s="236" t="s">
        <v>167</v>
      </c>
    </row>
    <row r="13" spans="1:13" x14ac:dyDescent="0.25">
      <c r="D13">
        <v>10792320</v>
      </c>
      <c r="E13" s="237">
        <v>45759</v>
      </c>
      <c r="F13" s="238">
        <v>0.54591435185185189</v>
      </c>
      <c r="J13" s="236">
        <v>9096765</v>
      </c>
      <c r="K13" s="236" t="s">
        <v>156</v>
      </c>
    </row>
    <row r="14" spans="1:13" x14ac:dyDescent="0.25">
      <c r="D14">
        <v>10792320</v>
      </c>
      <c r="E14" s="237">
        <v>45761</v>
      </c>
      <c r="F14" s="238">
        <v>0.68909722222222225</v>
      </c>
      <c r="J14" s="236">
        <v>14497595</v>
      </c>
      <c r="K14" s="236" t="s">
        <v>349</v>
      </c>
    </row>
    <row r="15" spans="1:13" x14ac:dyDescent="0.25">
      <c r="D15">
        <v>10792320</v>
      </c>
      <c r="E15" s="237">
        <v>45762</v>
      </c>
      <c r="F15" s="238">
        <v>0.65252314814814816</v>
      </c>
      <c r="J15" s="236">
        <v>9441382</v>
      </c>
      <c r="K15" s="236" t="s">
        <v>348</v>
      </c>
    </row>
    <row r="16" spans="1:13" x14ac:dyDescent="0.25">
      <c r="D16">
        <v>10792320</v>
      </c>
      <c r="E16" s="237">
        <v>45762</v>
      </c>
      <c r="F16" s="238">
        <v>0.6774189814814815</v>
      </c>
      <c r="J16" s="236">
        <v>13891292</v>
      </c>
      <c r="K16" s="236" t="s">
        <v>162</v>
      </c>
    </row>
    <row r="17" spans="4:11" x14ac:dyDescent="0.25">
      <c r="D17">
        <v>10792320</v>
      </c>
      <c r="E17" s="237">
        <v>45763</v>
      </c>
      <c r="F17" s="238">
        <v>0.53260416666666666</v>
      </c>
      <c r="J17" s="236">
        <v>9078291</v>
      </c>
      <c r="K17" s="236" t="s">
        <v>163</v>
      </c>
    </row>
    <row r="18" spans="4:11" x14ac:dyDescent="0.25">
      <c r="D18">
        <v>10792320</v>
      </c>
      <c r="E18" s="237">
        <v>45763</v>
      </c>
      <c r="F18" s="238">
        <v>0.68795138888888885</v>
      </c>
      <c r="J18" s="236">
        <v>13954772</v>
      </c>
      <c r="K18" s="236" t="s">
        <v>126</v>
      </c>
    </row>
    <row r="19" spans="4:11" x14ac:dyDescent="0.25">
      <c r="D19">
        <v>10792320</v>
      </c>
      <c r="E19" s="237">
        <v>45763</v>
      </c>
      <c r="F19" s="238">
        <v>0.79987268518518517</v>
      </c>
      <c r="J19" s="236">
        <v>14285667</v>
      </c>
      <c r="K19" s="236" t="s">
        <v>226</v>
      </c>
    </row>
    <row r="20" spans="4:11" x14ac:dyDescent="0.25">
      <c r="D20">
        <v>10792320</v>
      </c>
      <c r="E20" s="237">
        <v>45768</v>
      </c>
      <c r="F20" s="238">
        <v>0.65517361111111116</v>
      </c>
      <c r="J20" s="236">
        <v>13081521</v>
      </c>
      <c r="K20" s="236" t="s">
        <v>158</v>
      </c>
    </row>
    <row r="21" spans="4:11" x14ac:dyDescent="0.25">
      <c r="D21">
        <v>10792320</v>
      </c>
      <c r="E21" s="237">
        <v>45768</v>
      </c>
      <c r="F21" s="238">
        <v>0.87366898148148153</v>
      </c>
      <c r="J21" s="236">
        <v>13008915</v>
      </c>
      <c r="K21" s="236" t="s">
        <v>147</v>
      </c>
    </row>
    <row r="22" spans="4:11" x14ac:dyDescent="0.25">
      <c r="D22">
        <v>10792320</v>
      </c>
      <c r="E22" s="237">
        <v>45770</v>
      </c>
      <c r="F22" s="238">
        <v>0.44446759259259261</v>
      </c>
      <c r="J22" s="236">
        <v>14319912</v>
      </c>
      <c r="K22" s="236" t="s">
        <v>307</v>
      </c>
    </row>
    <row r="23" spans="4:11" x14ac:dyDescent="0.25">
      <c r="D23">
        <v>10792320</v>
      </c>
      <c r="E23" s="237">
        <v>45776</v>
      </c>
      <c r="F23" s="238">
        <v>0.66723379629629631</v>
      </c>
      <c r="J23" s="296"/>
      <c r="K23" s="296"/>
    </row>
    <row r="24" spans="4:11" x14ac:dyDescent="0.25">
      <c r="D24">
        <v>10792320</v>
      </c>
      <c r="E24" s="237">
        <v>45776</v>
      </c>
      <c r="F24" s="238">
        <v>0.89454861111111106</v>
      </c>
      <c r="J24" s="296"/>
      <c r="K24" s="296"/>
    </row>
    <row r="25" spans="4:11" x14ac:dyDescent="0.25">
      <c r="D25">
        <v>10792320</v>
      </c>
      <c r="E25" s="237">
        <v>45777</v>
      </c>
      <c r="F25" s="238">
        <v>0.59094907407407404</v>
      </c>
      <c r="J25" s="296"/>
      <c r="K25" s="296"/>
    </row>
    <row r="26" spans="4:11" x14ac:dyDescent="0.25">
      <c r="D26">
        <v>10792320</v>
      </c>
      <c r="E26" s="237">
        <v>45783</v>
      </c>
      <c r="F26" s="238">
        <v>0.90849537037037043</v>
      </c>
      <c r="J26" s="296"/>
      <c r="K26" s="296"/>
    </row>
    <row r="27" spans="4:11" x14ac:dyDescent="0.25">
      <c r="D27">
        <v>10792320</v>
      </c>
      <c r="E27" s="237">
        <v>45783</v>
      </c>
      <c r="F27" s="238">
        <v>0.92606481481481484</v>
      </c>
      <c r="J27" s="296"/>
      <c r="K27" s="296"/>
    </row>
    <row r="28" spans="4:11" x14ac:dyDescent="0.25">
      <c r="D28">
        <v>10792320</v>
      </c>
      <c r="E28" s="237">
        <v>45784</v>
      </c>
      <c r="F28" s="238">
        <v>0.64034722222222218</v>
      </c>
      <c r="J28" s="296"/>
      <c r="K28" s="296"/>
    </row>
    <row r="29" spans="4:11" x14ac:dyDescent="0.25">
      <c r="D29">
        <v>10792320</v>
      </c>
      <c r="E29" s="237">
        <v>45784</v>
      </c>
      <c r="F29" s="238">
        <v>0.73657407407407405</v>
      </c>
      <c r="J29" s="296"/>
      <c r="K29" s="296"/>
    </row>
    <row r="30" spans="4:11" x14ac:dyDescent="0.25">
      <c r="D30">
        <v>10792320</v>
      </c>
      <c r="E30" s="237">
        <v>45784</v>
      </c>
      <c r="F30" s="238">
        <v>0.8407175925925926</v>
      </c>
    </row>
    <row r="31" spans="4:11" x14ac:dyDescent="0.25">
      <c r="D31">
        <v>10792320</v>
      </c>
      <c r="E31" s="237">
        <v>45784</v>
      </c>
      <c r="F31" s="238">
        <v>0.8998032407407407</v>
      </c>
    </row>
    <row r="32" spans="4:11" x14ac:dyDescent="0.25">
      <c r="D32">
        <v>10792320</v>
      </c>
      <c r="E32" s="237">
        <v>45785</v>
      </c>
      <c r="F32" s="238">
        <v>0.67052083333333334</v>
      </c>
    </row>
    <row r="33" spans="4:6" x14ac:dyDescent="0.25">
      <c r="D33">
        <v>10792320</v>
      </c>
      <c r="E33" s="237">
        <v>45788</v>
      </c>
      <c r="F33" s="238">
        <v>0.11761574074074074</v>
      </c>
    </row>
    <row r="34" spans="4:6" x14ac:dyDescent="0.25">
      <c r="D34">
        <v>10792320</v>
      </c>
      <c r="E34" s="237">
        <v>45790</v>
      </c>
      <c r="F34" s="238">
        <v>0.70646990740740745</v>
      </c>
    </row>
    <row r="35" spans="4:6" x14ac:dyDescent="0.25">
      <c r="D35">
        <v>10792320</v>
      </c>
      <c r="E35" s="237">
        <v>45799</v>
      </c>
      <c r="F35" s="238">
        <v>0.69388888888888889</v>
      </c>
    </row>
    <row r="36" spans="4:6" x14ac:dyDescent="0.25">
      <c r="D36">
        <v>10792320</v>
      </c>
      <c r="E36" s="237">
        <v>45800</v>
      </c>
      <c r="F36" s="238">
        <v>0.786712962962963</v>
      </c>
    </row>
    <row r="37" spans="4:6" x14ac:dyDescent="0.25">
      <c r="D37">
        <v>10792320</v>
      </c>
      <c r="E37" s="237">
        <v>45807</v>
      </c>
      <c r="F37" s="238">
        <v>0.47028935185185183</v>
      </c>
    </row>
    <row r="38" spans="4:6" x14ac:dyDescent="0.25">
      <c r="D38">
        <v>10792320</v>
      </c>
      <c r="E38" s="237">
        <v>45807</v>
      </c>
      <c r="F38" s="238">
        <v>0.4729976851851852</v>
      </c>
    </row>
    <row r="39" spans="4:6" x14ac:dyDescent="0.25">
      <c r="D39">
        <v>10792320</v>
      </c>
      <c r="E39" s="237">
        <v>45807</v>
      </c>
      <c r="F39" s="238">
        <v>0.5272337962962963</v>
      </c>
    </row>
    <row r="40" spans="4:6" x14ac:dyDescent="0.25">
      <c r="D40">
        <v>10792320</v>
      </c>
      <c r="E40" s="237">
        <v>45807</v>
      </c>
      <c r="F40" s="238">
        <v>0.96324074074074073</v>
      </c>
    </row>
    <row r="41" spans="4:6" x14ac:dyDescent="0.25">
      <c r="D41">
        <v>10792320</v>
      </c>
      <c r="E41" s="237">
        <v>45808</v>
      </c>
      <c r="F41" s="238">
        <v>4.5787037037037036E-2</v>
      </c>
    </row>
    <row r="42" spans="4:6" x14ac:dyDescent="0.25">
      <c r="D42">
        <v>10792320</v>
      </c>
      <c r="E42" s="237">
        <v>45808</v>
      </c>
      <c r="F42" s="238">
        <v>0.73050925925925925</v>
      </c>
    </row>
    <row r="43" spans="4:6" x14ac:dyDescent="0.25">
      <c r="D43">
        <v>10792320</v>
      </c>
      <c r="E43" s="237">
        <v>45808</v>
      </c>
      <c r="F43" s="238">
        <v>0.85056712962962966</v>
      </c>
    </row>
    <row r="44" spans="4:6" x14ac:dyDescent="0.25">
      <c r="D44">
        <v>10792320</v>
      </c>
      <c r="E44" s="237">
        <v>45811</v>
      </c>
      <c r="F44" s="238">
        <v>0.53800925925925924</v>
      </c>
    </row>
    <row r="45" spans="4:6" x14ac:dyDescent="0.25">
      <c r="D45">
        <v>10792320</v>
      </c>
      <c r="E45" s="237">
        <v>45811</v>
      </c>
      <c r="F45" s="238">
        <v>0.80984953703703699</v>
      </c>
    </row>
    <row r="46" spans="4:6" x14ac:dyDescent="0.25">
      <c r="D46">
        <v>10792320</v>
      </c>
      <c r="E46" s="237">
        <v>45814</v>
      </c>
      <c r="F46" s="238">
        <v>0.47667824074074072</v>
      </c>
    </row>
    <row r="47" spans="4:6" x14ac:dyDescent="0.25">
      <c r="D47">
        <v>10792320</v>
      </c>
      <c r="E47" s="237">
        <v>45814</v>
      </c>
      <c r="F47" s="238">
        <v>0.48357638888888888</v>
      </c>
    </row>
    <row r="48" spans="4:6" x14ac:dyDescent="0.25">
      <c r="D48">
        <v>10792320</v>
      </c>
      <c r="E48" s="237">
        <v>45814</v>
      </c>
      <c r="F48" s="238">
        <v>0.82486111111111116</v>
      </c>
    </row>
    <row r="49" spans="4:6" x14ac:dyDescent="0.25">
      <c r="D49">
        <v>10792320</v>
      </c>
      <c r="E49" s="237">
        <v>45815</v>
      </c>
      <c r="F49" s="238">
        <v>0.94487268518518519</v>
      </c>
    </row>
    <row r="50" spans="4:6" x14ac:dyDescent="0.25">
      <c r="D50">
        <v>10792320</v>
      </c>
      <c r="E50" s="237">
        <v>45820</v>
      </c>
      <c r="F50" s="238">
        <v>6.537037037037037E-2</v>
      </c>
    </row>
    <row r="51" spans="4:6" x14ac:dyDescent="0.25">
      <c r="D51">
        <v>10792320</v>
      </c>
      <c r="E51" s="237">
        <v>45821</v>
      </c>
      <c r="F51" s="238">
        <v>0.42508101851851854</v>
      </c>
    </row>
    <row r="52" spans="4:6" x14ac:dyDescent="0.25">
      <c r="D52">
        <v>10792320</v>
      </c>
      <c r="E52" s="237">
        <v>45821</v>
      </c>
      <c r="F52" s="238">
        <v>0.47887731481481483</v>
      </c>
    </row>
    <row r="53" spans="4:6" x14ac:dyDescent="0.25">
      <c r="D53">
        <v>10792320</v>
      </c>
      <c r="E53" s="237">
        <v>45824</v>
      </c>
      <c r="F53" s="238">
        <v>0.96701388888888884</v>
      </c>
    </row>
    <row r="54" spans="4:6" x14ac:dyDescent="0.25">
      <c r="D54">
        <v>10792320</v>
      </c>
      <c r="E54" s="237">
        <v>45825</v>
      </c>
      <c r="F54" s="238">
        <v>0.92874999999999996</v>
      </c>
    </row>
    <row r="55" spans="4:6" x14ac:dyDescent="0.25">
      <c r="D55">
        <v>10792320</v>
      </c>
      <c r="E55" s="237">
        <v>45827</v>
      </c>
      <c r="F55" s="238">
        <v>0.64641203703703709</v>
      </c>
    </row>
    <row r="56" spans="4:6" x14ac:dyDescent="0.25">
      <c r="D56">
        <v>10792320</v>
      </c>
      <c r="E56" s="237">
        <v>45844</v>
      </c>
      <c r="F56" s="238">
        <v>0.95893518518518517</v>
      </c>
    </row>
    <row r="57" spans="4:6" x14ac:dyDescent="0.25">
      <c r="D57">
        <v>10792320</v>
      </c>
      <c r="E57" s="237">
        <v>45848</v>
      </c>
      <c r="F57" s="238">
        <v>0.40331018518518519</v>
      </c>
    </row>
    <row r="58" spans="4:6" x14ac:dyDescent="0.25">
      <c r="D58">
        <v>10792320</v>
      </c>
      <c r="E58" s="237">
        <v>45848</v>
      </c>
      <c r="F58" s="238">
        <v>0.53493055555555558</v>
      </c>
    </row>
    <row r="59" spans="4:6" x14ac:dyDescent="0.25">
      <c r="D59">
        <v>10792320</v>
      </c>
      <c r="E59" s="237">
        <v>45848</v>
      </c>
      <c r="F59" s="238">
        <v>0.60524305555555558</v>
      </c>
    </row>
    <row r="60" spans="4:6" x14ac:dyDescent="0.25">
      <c r="D60">
        <v>10792320</v>
      </c>
      <c r="E60" s="237">
        <v>45853</v>
      </c>
      <c r="F60" s="238">
        <v>0.45439814814814816</v>
      </c>
    </row>
    <row r="61" spans="4:6" x14ac:dyDescent="0.25">
      <c r="D61">
        <v>10792320</v>
      </c>
      <c r="E61" s="237">
        <v>45854</v>
      </c>
      <c r="F61" s="238">
        <v>5.1168981481481482E-2</v>
      </c>
    </row>
    <row r="62" spans="4:6" x14ac:dyDescent="0.25">
      <c r="D62">
        <v>10792320</v>
      </c>
      <c r="E62" s="237">
        <v>45932</v>
      </c>
      <c r="F62" s="238">
        <v>6.0266203703703704E-2</v>
      </c>
    </row>
    <row r="63" spans="4:6" x14ac:dyDescent="0.25">
      <c r="D63">
        <v>10792320</v>
      </c>
      <c r="E63" s="237">
        <v>45932</v>
      </c>
      <c r="F63" s="238">
        <v>6.2893518518518515E-2</v>
      </c>
    </row>
    <row r="64" spans="4:6" x14ac:dyDescent="0.25">
      <c r="D64">
        <v>10792320</v>
      </c>
      <c r="E64" s="237">
        <v>45932</v>
      </c>
      <c r="F64" s="238">
        <v>6.9560185185185183E-2</v>
      </c>
    </row>
    <row r="65" spans="4:6" x14ac:dyDescent="0.25">
      <c r="D65">
        <v>10792320</v>
      </c>
      <c r="E65" s="237">
        <v>45941</v>
      </c>
      <c r="F65" s="238">
        <v>0.97798611111111111</v>
      </c>
    </row>
    <row r="66" spans="4:6" x14ac:dyDescent="0.25">
      <c r="D66">
        <v>10792320</v>
      </c>
      <c r="E66" s="237">
        <v>45943</v>
      </c>
      <c r="F66" s="238">
        <v>0.47696759259259258</v>
      </c>
    </row>
    <row r="67" spans="4:6" x14ac:dyDescent="0.25">
      <c r="D67">
        <v>10792320</v>
      </c>
      <c r="E67" s="237">
        <v>45943</v>
      </c>
      <c r="F67" s="238">
        <v>0.50400462962962966</v>
      </c>
    </row>
    <row r="68" spans="4:6" x14ac:dyDescent="0.25">
      <c r="D68">
        <v>10792320</v>
      </c>
      <c r="E68" s="237">
        <v>45944</v>
      </c>
      <c r="F68" s="238">
        <v>0.93017361111111108</v>
      </c>
    </row>
    <row r="69" spans="4:6" x14ac:dyDescent="0.25">
      <c r="D69">
        <v>10792320</v>
      </c>
      <c r="E69" s="237">
        <v>45946</v>
      </c>
      <c r="F69" s="238">
        <v>0.95959490740740738</v>
      </c>
    </row>
    <row r="70" spans="4:6" x14ac:dyDescent="0.25">
      <c r="D70">
        <v>10792320</v>
      </c>
      <c r="E70" s="237">
        <v>45946</v>
      </c>
      <c r="F70" s="238">
        <v>0.96284722222222219</v>
      </c>
    </row>
    <row r="71" spans="4:6" x14ac:dyDescent="0.25">
      <c r="D71">
        <v>10792320</v>
      </c>
      <c r="E71" s="237">
        <v>45946</v>
      </c>
      <c r="F71" s="238">
        <v>0.96414351851851854</v>
      </c>
    </row>
    <row r="72" spans="4:6" x14ac:dyDescent="0.25">
      <c r="D72">
        <v>10792320</v>
      </c>
      <c r="E72" s="237">
        <v>45971</v>
      </c>
      <c r="F72" s="238">
        <v>0.41417824074074078</v>
      </c>
    </row>
    <row r="73" spans="4:6" x14ac:dyDescent="0.25">
      <c r="D73">
        <v>10792320</v>
      </c>
      <c r="E73" s="237">
        <v>45974</v>
      </c>
      <c r="F73" s="238">
        <v>0.947199074074074</v>
      </c>
    </row>
    <row r="74" spans="4:6" x14ac:dyDescent="0.25">
      <c r="D74">
        <v>10792320</v>
      </c>
      <c r="E74" s="237">
        <v>45974</v>
      </c>
      <c r="F74" s="238">
        <v>0.95156249999999998</v>
      </c>
    </row>
    <row r="75" spans="4:6" x14ac:dyDescent="0.25">
      <c r="D75">
        <v>10792320</v>
      </c>
      <c r="E75" s="237">
        <v>45974</v>
      </c>
      <c r="F75" s="238">
        <v>0.95436342592592593</v>
      </c>
    </row>
    <row r="76" spans="4:6" x14ac:dyDescent="0.25">
      <c r="D76">
        <v>10792320</v>
      </c>
      <c r="E76" s="237">
        <v>45974</v>
      </c>
      <c r="F76" s="238">
        <v>0.95467592592592598</v>
      </c>
    </row>
    <row r="77" spans="4:6" x14ac:dyDescent="0.25">
      <c r="D77">
        <v>10792320</v>
      </c>
      <c r="E77" s="237">
        <v>45974</v>
      </c>
      <c r="F77" s="238">
        <v>0.95731481481481484</v>
      </c>
    </row>
    <row r="78" spans="4:6" x14ac:dyDescent="0.25">
      <c r="D78">
        <v>10792320</v>
      </c>
      <c r="E78" s="237">
        <v>45975</v>
      </c>
      <c r="F78" s="238">
        <v>0.10988425925925926</v>
      </c>
    </row>
    <row r="79" spans="4:6" x14ac:dyDescent="0.25">
      <c r="D79">
        <v>10792320</v>
      </c>
      <c r="E79" s="237">
        <v>45978</v>
      </c>
      <c r="F79" s="238">
        <v>3.1666666666666669E-2</v>
      </c>
    </row>
    <row r="80" spans="4:6" x14ac:dyDescent="0.25">
      <c r="D80">
        <v>10792320</v>
      </c>
      <c r="E80" s="237">
        <v>45978</v>
      </c>
      <c r="F80" s="238">
        <v>0.4397800925925926</v>
      </c>
    </row>
    <row r="81" spans="4:6" x14ac:dyDescent="0.25">
      <c r="D81">
        <v>10792320</v>
      </c>
      <c r="E81" s="237">
        <v>45978</v>
      </c>
      <c r="F81" s="238">
        <v>0.92497685185185186</v>
      </c>
    </row>
    <row r="82" spans="4:6" x14ac:dyDescent="0.25">
      <c r="D82">
        <v>10792320</v>
      </c>
      <c r="E82" s="237">
        <v>45978</v>
      </c>
      <c r="F82" s="238">
        <v>0.99746527777777783</v>
      </c>
    </row>
    <row r="83" spans="4:6" x14ac:dyDescent="0.25">
      <c r="D83">
        <v>10792320</v>
      </c>
      <c r="E83" s="237">
        <v>45978</v>
      </c>
      <c r="F83" s="238">
        <v>0.99892361111111116</v>
      </c>
    </row>
    <row r="84" spans="4:6" x14ac:dyDescent="0.25">
      <c r="D84">
        <v>10792320</v>
      </c>
      <c r="E84" s="237">
        <v>45979</v>
      </c>
      <c r="F84" s="238">
        <v>0.75702546296296291</v>
      </c>
    </row>
    <row r="85" spans="4:6" x14ac:dyDescent="0.25">
      <c r="D85">
        <v>10792320</v>
      </c>
      <c r="E85" s="237">
        <v>45980</v>
      </c>
      <c r="F85" s="238">
        <v>2.8622685185185185E-2</v>
      </c>
    </row>
    <row r="86" spans="4:6" x14ac:dyDescent="0.25">
      <c r="D86">
        <v>10792320</v>
      </c>
      <c r="E86" s="237">
        <v>45980</v>
      </c>
      <c r="F86" s="238">
        <v>0.43734953703703705</v>
      </c>
    </row>
    <row r="87" spans="4:6" x14ac:dyDescent="0.25">
      <c r="D87">
        <v>10792320</v>
      </c>
      <c r="E87" s="237">
        <v>45980</v>
      </c>
      <c r="F87" s="238">
        <v>0.64858796296296295</v>
      </c>
    </row>
    <row r="88" spans="4:6" x14ac:dyDescent="0.25">
      <c r="D88">
        <v>10792320</v>
      </c>
      <c r="E88" s="237">
        <v>45980</v>
      </c>
      <c r="F88" s="238">
        <v>0.78692129629629626</v>
      </c>
    </row>
    <row r="89" spans="4:6" x14ac:dyDescent="0.25">
      <c r="D89">
        <v>10792320</v>
      </c>
      <c r="E89" s="237">
        <v>45981</v>
      </c>
      <c r="F89" s="238">
        <v>0.43930555555555556</v>
      </c>
    </row>
    <row r="90" spans="4:6" x14ac:dyDescent="0.25">
      <c r="D90">
        <v>10792320</v>
      </c>
      <c r="E90" s="237">
        <v>45981</v>
      </c>
      <c r="F90" s="238">
        <v>0.5323148148148148</v>
      </c>
    </row>
    <row r="91" spans="4:6" x14ac:dyDescent="0.25">
      <c r="D91">
        <v>10792320</v>
      </c>
      <c r="E91" s="237">
        <v>45982</v>
      </c>
      <c r="F91" s="238">
        <v>4.5983796296296293E-2</v>
      </c>
    </row>
    <row r="92" spans="4:6" x14ac:dyDescent="0.25">
      <c r="D92">
        <v>10792320</v>
      </c>
      <c r="E92" s="237">
        <v>45982</v>
      </c>
      <c r="F92" s="238">
        <v>7.121527777777778E-2</v>
      </c>
    </row>
    <row r="93" spans="4:6" x14ac:dyDescent="0.25">
      <c r="D93">
        <v>10792320</v>
      </c>
      <c r="E93" s="237">
        <v>45986</v>
      </c>
      <c r="F93" s="238">
        <v>0.64596064814814813</v>
      </c>
    </row>
    <row r="94" spans="4:6" x14ac:dyDescent="0.25">
      <c r="D94">
        <v>10792320</v>
      </c>
      <c r="E94" s="237">
        <v>45987</v>
      </c>
      <c r="F94" s="238">
        <v>0.6447222222222222</v>
      </c>
    </row>
    <row r="95" spans="4:6" x14ac:dyDescent="0.25">
      <c r="D95">
        <v>10792320</v>
      </c>
      <c r="E95" s="237">
        <v>45989</v>
      </c>
      <c r="F95" s="238">
        <v>0.45524305555555555</v>
      </c>
    </row>
    <row r="96" spans="4:6" x14ac:dyDescent="0.25">
      <c r="E96" s="237"/>
      <c r="F96" s="238"/>
    </row>
    <row r="97" spans="5:6" x14ac:dyDescent="0.25">
      <c r="E97" s="237"/>
      <c r="F97" s="238"/>
    </row>
    <row r="98" spans="5:6" x14ac:dyDescent="0.25">
      <c r="E98" s="237"/>
      <c r="F98" s="238"/>
    </row>
    <row r="99" spans="5:6" x14ac:dyDescent="0.25">
      <c r="E99" s="237"/>
      <c r="F99" s="238"/>
    </row>
    <row r="100" spans="5:6" x14ac:dyDescent="0.25">
      <c r="E100" s="237"/>
      <c r="F100" s="238"/>
    </row>
    <row r="101" spans="5:6" x14ac:dyDescent="0.25">
      <c r="E101" s="237"/>
      <c r="F101" s="238"/>
    </row>
    <row r="102" spans="5:6" x14ac:dyDescent="0.25">
      <c r="E102" s="237"/>
      <c r="F102" s="238"/>
    </row>
    <row r="103" spans="5:6" x14ac:dyDescent="0.25">
      <c r="E103" s="237"/>
      <c r="F103" s="238"/>
    </row>
    <row r="104" spans="5:6" x14ac:dyDescent="0.25">
      <c r="E104" s="237"/>
      <c r="F104" s="238"/>
    </row>
    <row r="105" spans="5:6" x14ac:dyDescent="0.25">
      <c r="E105" s="237"/>
      <c r="F105" s="238"/>
    </row>
    <row r="106" spans="5:6" x14ac:dyDescent="0.25">
      <c r="E106" s="237"/>
      <c r="F106" s="238"/>
    </row>
    <row r="107" spans="5:6" x14ac:dyDescent="0.25">
      <c r="E107" s="237"/>
      <c r="F107" s="238"/>
    </row>
  </sheetData>
  <sortState xmlns:xlrd2="http://schemas.microsoft.com/office/spreadsheetml/2017/richdata2" ref="J1:K22">
    <sortCondition ref="K22"/>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1"/>
  </sheetPr>
  <dimension ref="A3:L20"/>
  <sheetViews>
    <sheetView showGridLines="0" tabSelected="1" workbookViewId="0">
      <pane xSplit="16" ySplit="28" topLeftCell="R41" activePane="bottomRight" state="frozen"/>
      <selection activeCell="L160" sqref="L160:M162"/>
      <selection pane="topRight" activeCell="L160" sqref="L160:M162"/>
      <selection pane="bottomLeft" activeCell="L160" sqref="L160:M162"/>
      <selection pane="bottomRight" activeCell="R44" sqref="R44"/>
    </sheetView>
  </sheetViews>
  <sheetFormatPr baseColWidth="10" defaultColWidth="12.7109375" defaultRowHeight="15" x14ac:dyDescent="0.25"/>
  <cols>
    <col min="1" max="8" width="12.7109375" style="84" customWidth="1"/>
    <col min="9" max="12" width="12.7109375" style="85" customWidth="1"/>
    <col min="13" max="13" width="12.7109375" style="86" customWidth="1"/>
    <col min="14" max="16384" width="12.7109375" style="86"/>
  </cols>
  <sheetData>
    <row r="3" spans="1:12" x14ac:dyDescent="0.25">
      <c r="B3" s="1025" t="s">
        <v>412</v>
      </c>
      <c r="C3" s="1025"/>
      <c r="D3" s="1025"/>
      <c r="E3" s="1025"/>
      <c r="F3" s="1025"/>
      <c r="G3" s="1025"/>
      <c r="H3" s="1025"/>
      <c r="I3" s="1025"/>
      <c r="J3" s="1025"/>
      <c r="K3" s="1025"/>
      <c r="L3" s="1025"/>
    </row>
    <row r="4" spans="1:12" x14ac:dyDescent="0.25">
      <c r="B4" s="1025"/>
      <c r="C4" s="1025"/>
      <c r="D4" s="1025"/>
      <c r="E4" s="1025"/>
      <c r="F4" s="1025"/>
      <c r="G4" s="1025"/>
      <c r="H4" s="1025"/>
      <c r="I4" s="1025"/>
      <c r="J4" s="1025"/>
      <c r="K4" s="1025"/>
      <c r="L4" s="1025"/>
    </row>
    <row r="9" spans="1:12" s="87" customFormat="1" x14ac:dyDescent="0.25">
      <c r="A9" s="84"/>
      <c r="B9" s="84"/>
      <c r="C9" s="84"/>
      <c r="D9" s="84"/>
      <c r="E9" s="84"/>
      <c r="F9" s="84"/>
      <c r="G9" s="84"/>
      <c r="H9" s="84"/>
      <c r="I9" s="84"/>
      <c r="J9" s="84"/>
      <c r="K9" s="84"/>
      <c r="L9" s="84"/>
    </row>
    <row r="10" spans="1:12" s="87" customFormat="1" x14ac:dyDescent="0.25">
      <c r="A10" s="84"/>
      <c r="B10" s="84"/>
      <c r="C10" s="84"/>
      <c r="D10" s="84"/>
      <c r="E10" s="84"/>
      <c r="F10" s="84"/>
      <c r="G10" s="84"/>
      <c r="H10" s="84"/>
      <c r="I10" s="84"/>
      <c r="J10" s="84"/>
      <c r="K10" s="84"/>
      <c r="L10" s="84"/>
    </row>
    <row r="11" spans="1:12" s="87" customFormat="1" x14ac:dyDescent="0.25">
      <c r="A11" s="84"/>
      <c r="B11" s="84"/>
      <c r="C11" s="84"/>
      <c r="D11" s="84"/>
      <c r="E11" s="84"/>
      <c r="F11" s="84"/>
      <c r="G11" s="84"/>
      <c r="H11" s="84"/>
      <c r="I11" s="84"/>
      <c r="J11" s="84"/>
      <c r="K11" s="84"/>
      <c r="L11" s="84"/>
    </row>
    <row r="20" spans="1:12" s="89" customFormat="1" x14ac:dyDescent="0.25">
      <c r="A20" s="88"/>
      <c r="B20" s="88"/>
      <c r="C20" s="88"/>
      <c r="D20" s="88"/>
      <c r="E20" s="88"/>
      <c r="F20" s="88"/>
      <c r="G20" s="88"/>
      <c r="H20" s="88"/>
      <c r="I20" s="88"/>
      <c r="J20" s="88"/>
      <c r="K20" s="88"/>
      <c r="L20" s="88"/>
    </row>
  </sheetData>
  <sheetProtection password="CC8C" sheet="1" objects="1" scenarios="1" selectLockedCells="1"/>
  <mergeCells count="1">
    <mergeCell ref="B3:L4"/>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9E2E-1715-488F-9831-59B2F3F0B960}">
  <sheetPr codeName="Hoja23"/>
  <dimension ref="A1:J1002"/>
  <sheetViews>
    <sheetView zoomScaleNormal="100" workbookViewId="0">
      <selection activeCell="A2" sqref="A2"/>
    </sheetView>
  </sheetViews>
  <sheetFormatPr baseColWidth="10" defaultColWidth="11.28515625" defaultRowHeight="15" x14ac:dyDescent="0.25"/>
  <cols>
    <col min="1" max="1" width="21" customWidth="1"/>
    <col min="2" max="2" width="10.85546875" bestFit="1" customWidth="1"/>
    <col min="3" max="3" width="14.28515625" bestFit="1" customWidth="1"/>
    <col min="4" max="4" width="13.42578125" bestFit="1" customWidth="1"/>
    <col min="5" max="5" width="14.140625" customWidth="1"/>
    <col min="6" max="6" width="10.42578125" bestFit="1" customWidth="1"/>
    <col min="7" max="7" width="8" bestFit="1" customWidth="1"/>
    <col min="8" max="8" width="12.5703125" bestFit="1" customWidth="1"/>
    <col min="9" max="9" width="15.140625" bestFit="1" customWidth="1"/>
    <col min="10" max="10" width="134.5703125" customWidth="1"/>
  </cols>
  <sheetData>
    <row r="1" spans="1:10" x14ac:dyDescent="0.25">
      <c r="H1">
        <v>1</v>
      </c>
      <c r="I1" s="731">
        <f>SUM(I3:I1002)/+H1</f>
        <v>3142348856.4000001</v>
      </c>
      <c r="J1" s="1009">
        <f>+I1/5</f>
        <v>628469771.27999997</v>
      </c>
    </row>
    <row r="2" spans="1:10" x14ac:dyDescent="0.25">
      <c r="A2" t="s">
        <v>1767</v>
      </c>
      <c r="B2" t="s">
        <v>637</v>
      </c>
      <c r="C2" t="s">
        <v>638</v>
      </c>
      <c r="D2" t="s">
        <v>639</v>
      </c>
      <c r="E2" t="s">
        <v>222</v>
      </c>
      <c r="F2" t="s">
        <v>0</v>
      </c>
      <c r="G2" t="s">
        <v>287</v>
      </c>
      <c r="H2" t="s">
        <v>640</v>
      </c>
      <c r="I2" t="s">
        <v>505</v>
      </c>
      <c r="J2" t="s">
        <v>641</v>
      </c>
    </row>
    <row r="3" spans="1:10" x14ac:dyDescent="0.25">
      <c r="A3" t="s">
        <v>642</v>
      </c>
      <c r="B3" t="s">
        <v>643</v>
      </c>
      <c r="C3" t="s">
        <v>644</v>
      </c>
      <c r="D3" t="s">
        <v>1610</v>
      </c>
      <c r="E3" t="s">
        <v>646</v>
      </c>
      <c r="F3" s="237">
        <v>45933</v>
      </c>
      <c r="G3">
        <v>1.1100000000000001</v>
      </c>
      <c r="H3" t="s">
        <v>647</v>
      </c>
      <c r="I3" s="802">
        <f t="shared" ref="I3:I66" si="0">+IF(H3="IMM",+G3*529000,+G3*67294)</f>
        <v>587190</v>
      </c>
      <c r="J3" t="s">
        <v>648</v>
      </c>
    </row>
    <row r="4" spans="1:10" x14ac:dyDescent="0.25">
      <c r="A4" t="s">
        <v>642</v>
      </c>
      <c r="B4" t="s">
        <v>643</v>
      </c>
      <c r="C4" t="s">
        <v>644</v>
      </c>
      <c r="D4" t="s">
        <v>1611</v>
      </c>
      <c r="E4" t="s">
        <v>646</v>
      </c>
      <c r="F4" s="237">
        <v>45928</v>
      </c>
      <c r="G4">
        <v>1.1100000000000001</v>
      </c>
      <c r="H4" t="s">
        <v>647</v>
      </c>
      <c r="I4" s="802">
        <f t="shared" si="0"/>
        <v>587190</v>
      </c>
      <c r="J4" t="s">
        <v>648</v>
      </c>
    </row>
    <row r="5" spans="1:10" x14ac:dyDescent="0.25">
      <c r="A5" t="s">
        <v>642</v>
      </c>
      <c r="B5" t="s">
        <v>643</v>
      </c>
      <c r="C5" t="s">
        <v>705</v>
      </c>
      <c r="D5" t="s">
        <v>1045</v>
      </c>
      <c r="E5" t="s">
        <v>646</v>
      </c>
      <c r="F5" s="237">
        <v>45925</v>
      </c>
      <c r="G5">
        <v>30</v>
      </c>
      <c r="H5" t="s">
        <v>651</v>
      </c>
      <c r="I5" s="802">
        <f t="shared" si="0"/>
        <v>2018820</v>
      </c>
      <c r="J5" t="s">
        <v>719</v>
      </c>
    </row>
    <row r="6" spans="1:10" x14ac:dyDescent="0.25">
      <c r="A6" t="s">
        <v>642</v>
      </c>
      <c r="B6" t="s">
        <v>643</v>
      </c>
      <c r="C6" t="s">
        <v>644</v>
      </c>
      <c r="D6" t="s">
        <v>1211</v>
      </c>
      <c r="E6" t="s">
        <v>646</v>
      </c>
      <c r="F6" s="237">
        <v>45916</v>
      </c>
      <c r="G6">
        <v>1.1100000000000001</v>
      </c>
      <c r="H6" t="s">
        <v>647</v>
      </c>
      <c r="I6" s="802">
        <f t="shared" si="0"/>
        <v>587190</v>
      </c>
      <c r="J6" t="s">
        <v>648</v>
      </c>
    </row>
    <row r="7" spans="1:10" x14ac:dyDescent="0.25">
      <c r="A7" t="s">
        <v>642</v>
      </c>
      <c r="B7" t="s">
        <v>643</v>
      </c>
      <c r="C7" t="s">
        <v>644</v>
      </c>
      <c r="D7" t="s">
        <v>1212</v>
      </c>
      <c r="E7" t="s">
        <v>646</v>
      </c>
      <c r="F7" s="237">
        <v>45916</v>
      </c>
      <c r="G7">
        <v>1.1100000000000001</v>
      </c>
      <c r="H7" t="s">
        <v>647</v>
      </c>
      <c r="I7" s="802">
        <f t="shared" si="0"/>
        <v>587190</v>
      </c>
      <c r="J7" t="s">
        <v>648</v>
      </c>
    </row>
    <row r="8" spans="1:10" x14ac:dyDescent="0.25">
      <c r="A8" t="s">
        <v>642</v>
      </c>
      <c r="B8" t="s">
        <v>643</v>
      </c>
      <c r="C8" t="s">
        <v>705</v>
      </c>
      <c r="D8" t="s">
        <v>1024</v>
      </c>
      <c r="E8" t="s">
        <v>646</v>
      </c>
      <c r="F8" s="237">
        <v>45908</v>
      </c>
      <c r="G8">
        <v>36</v>
      </c>
      <c r="H8" t="s">
        <v>651</v>
      </c>
      <c r="I8" s="802">
        <f t="shared" si="0"/>
        <v>2422584</v>
      </c>
      <c r="J8" t="s">
        <v>715</v>
      </c>
    </row>
    <row r="9" spans="1:10" x14ac:dyDescent="0.25">
      <c r="A9" t="s">
        <v>642</v>
      </c>
      <c r="B9" t="s">
        <v>643</v>
      </c>
      <c r="C9" t="s">
        <v>644</v>
      </c>
      <c r="D9" t="s">
        <v>1210</v>
      </c>
      <c r="E9" t="s">
        <v>646</v>
      </c>
      <c r="F9" s="237">
        <v>45908</v>
      </c>
      <c r="G9">
        <v>1.1100000000000001</v>
      </c>
      <c r="H9" t="s">
        <v>647</v>
      </c>
      <c r="I9" s="802">
        <f t="shared" si="0"/>
        <v>587190</v>
      </c>
      <c r="J9" t="s">
        <v>648</v>
      </c>
    </row>
    <row r="10" spans="1:10" x14ac:dyDescent="0.25">
      <c r="A10" t="s">
        <v>642</v>
      </c>
      <c r="B10" t="s">
        <v>643</v>
      </c>
      <c r="C10" t="s">
        <v>705</v>
      </c>
      <c r="D10" t="s">
        <v>1142</v>
      </c>
      <c r="E10" t="s">
        <v>646</v>
      </c>
      <c r="F10" s="237">
        <v>45902</v>
      </c>
      <c r="G10">
        <v>60</v>
      </c>
      <c r="H10" t="s">
        <v>651</v>
      </c>
      <c r="I10" s="802">
        <f t="shared" si="0"/>
        <v>4037640</v>
      </c>
      <c r="J10" t="s">
        <v>715</v>
      </c>
    </row>
    <row r="11" spans="1:10" x14ac:dyDescent="0.25">
      <c r="A11" t="s">
        <v>642</v>
      </c>
      <c r="B11" t="s">
        <v>643</v>
      </c>
      <c r="C11" t="s">
        <v>705</v>
      </c>
      <c r="D11" t="s">
        <v>760</v>
      </c>
      <c r="E11" t="s">
        <v>646</v>
      </c>
      <c r="F11" s="237">
        <v>45901</v>
      </c>
      <c r="G11">
        <v>30</v>
      </c>
      <c r="H11" t="s">
        <v>651</v>
      </c>
      <c r="I11" s="802">
        <f t="shared" si="0"/>
        <v>2018820</v>
      </c>
      <c r="J11" t="s">
        <v>761</v>
      </c>
    </row>
    <row r="12" spans="1:10" x14ac:dyDescent="0.25">
      <c r="A12" t="s">
        <v>642</v>
      </c>
      <c r="B12" t="s">
        <v>643</v>
      </c>
      <c r="C12" t="s">
        <v>644</v>
      </c>
      <c r="D12" t="s">
        <v>1609</v>
      </c>
      <c r="E12" t="s">
        <v>646</v>
      </c>
      <c r="F12" s="237">
        <v>45899</v>
      </c>
      <c r="G12">
        <v>2</v>
      </c>
      <c r="H12" t="s">
        <v>647</v>
      </c>
      <c r="I12" s="802">
        <f t="shared" si="0"/>
        <v>1058000</v>
      </c>
      <c r="J12" t="s">
        <v>671</v>
      </c>
    </row>
    <row r="13" spans="1:10" x14ac:dyDescent="0.25">
      <c r="A13" t="s">
        <v>642</v>
      </c>
      <c r="B13" t="s">
        <v>643</v>
      </c>
      <c r="C13" t="s">
        <v>705</v>
      </c>
      <c r="D13" t="s">
        <v>1753</v>
      </c>
      <c r="E13" t="s">
        <v>646</v>
      </c>
      <c r="F13" s="237">
        <v>45894</v>
      </c>
      <c r="G13">
        <v>36</v>
      </c>
      <c r="H13" t="s">
        <v>651</v>
      </c>
      <c r="I13" s="802">
        <f t="shared" si="0"/>
        <v>2422584</v>
      </c>
      <c r="J13" t="s">
        <v>844</v>
      </c>
    </row>
    <row r="14" spans="1:10" x14ac:dyDescent="0.25">
      <c r="A14" t="s">
        <v>642</v>
      </c>
      <c r="B14" t="s">
        <v>643</v>
      </c>
      <c r="C14" t="s">
        <v>644</v>
      </c>
      <c r="D14" t="s">
        <v>1209</v>
      </c>
      <c r="E14" t="s">
        <v>646</v>
      </c>
      <c r="F14" s="237">
        <v>45889</v>
      </c>
      <c r="G14">
        <v>1.1100000000000001</v>
      </c>
      <c r="H14" t="s">
        <v>647</v>
      </c>
      <c r="I14" s="802">
        <f t="shared" si="0"/>
        <v>587190</v>
      </c>
      <c r="J14" t="s">
        <v>648</v>
      </c>
    </row>
    <row r="15" spans="1:10" x14ac:dyDescent="0.25">
      <c r="A15" t="s">
        <v>642</v>
      </c>
      <c r="B15" t="s">
        <v>643</v>
      </c>
      <c r="C15" t="s">
        <v>644</v>
      </c>
      <c r="D15" t="s">
        <v>1208</v>
      </c>
      <c r="E15" t="s">
        <v>646</v>
      </c>
      <c r="F15" s="237">
        <v>45887</v>
      </c>
      <c r="G15">
        <v>1.2</v>
      </c>
      <c r="H15" t="s">
        <v>647</v>
      </c>
      <c r="I15" s="802">
        <f t="shared" si="0"/>
        <v>634800</v>
      </c>
      <c r="J15" t="s">
        <v>671</v>
      </c>
    </row>
    <row r="16" spans="1:10" x14ac:dyDescent="0.25">
      <c r="A16" t="s">
        <v>642</v>
      </c>
      <c r="B16" t="s">
        <v>643</v>
      </c>
      <c r="C16" t="s">
        <v>705</v>
      </c>
      <c r="D16" t="s">
        <v>1021</v>
      </c>
      <c r="E16" t="s">
        <v>646</v>
      </c>
      <c r="F16" s="237">
        <v>45880</v>
      </c>
      <c r="G16">
        <v>30</v>
      </c>
      <c r="H16" t="s">
        <v>651</v>
      </c>
      <c r="I16" s="802">
        <f t="shared" si="0"/>
        <v>2018820</v>
      </c>
      <c r="J16" t="s">
        <v>1022</v>
      </c>
    </row>
    <row r="17" spans="1:10" x14ac:dyDescent="0.25">
      <c r="A17" t="s">
        <v>642</v>
      </c>
      <c r="B17" t="s">
        <v>643</v>
      </c>
      <c r="C17" t="s">
        <v>644</v>
      </c>
      <c r="D17" t="s">
        <v>1207</v>
      </c>
      <c r="E17" t="s">
        <v>646</v>
      </c>
      <c r="F17" s="237">
        <v>45862</v>
      </c>
      <c r="G17">
        <v>1.1100000000000001</v>
      </c>
      <c r="H17" t="s">
        <v>647</v>
      </c>
      <c r="I17" s="802">
        <f t="shared" si="0"/>
        <v>587190</v>
      </c>
      <c r="J17" t="s">
        <v>648</v>
      </c>
    </row>
    <row r="18" spans="1:10" x14ac:dyDescent="0.25">
      <c r="A18" t="s">
        <v>642</v>
      </c>
      <c r="B18" t="s">
        <v>643</v>
      </c>
      <c r="C18" t="s">
        <v>644</v>
      </c>
      <c r="D18" t="s">
        <v>1608</v>
      </c>
      <c r="E18" t="s">
        <v>646</v>
      </c>
      <c r="F18" s="237">
        <v>45862</v>
      </c>
      <c r="G18">
        <v>1.1100000000000001</v>
      </c>
      <c r="H18" t="s">
        <v>647</v>
      </c>
      <c r="I18" s="802">
        <f t="shared" si="0"/>
        <v>587190</v>
      </c>
      <c r="J18" t="s">
        <v>648</v>
      </c>
    </row>
    <row r="19" spans="1:10" x14ac:dyDescent="0.25">
      <c r="A19" t="s">
        <v>642</v>
      </c>
      <c r="B19" t="s">
        <v>643</v>
      </c>
      <c r="C19" t="s">
        <v>705</v>
      </c>
      <c r="D19" t="s">
        <v>1005</v>
      </c>
      <c r="E19" t="s">
        <v>646</v>
      </c>
      <c r="F19" s="237">
        <v>45857</v>
      </c>
      <c r="G19">
        <v>60</v>
      </c>
      <c r="H19" t="s">
        <v>651</v>
      </c>
      <c r="I19" s="802">
        <f t="shared" si="0"/>
        <v>4037640</v>
      </c>
      <c r="J19" t="s">
        <v>715</v>
      </c>
    </row>
    <row r="20" spans="1:10" x14ac:dyDescent="0.25">
      <c r="A20" t="s">
        <v>642</v>
      </c>
      <c r="B20" t="s">
        <v>643</v>
      </c>
      <c r="C20" t="s">
        <v>705</v>
      </c>
      <c r="D20" t="s">
        <v>1042</v>
      </c>
      <c r="E20" t="s">
        <v>933</v>
      </c>
      <c r="F20" s="237">
        <v>45855</v>
      </c>
      <c r="G20">
        <v>60</v>
      </c>
      <c r="H20" t="s">
        <v>651</v>
      </c>
      <c r="I20" s="802">
        <f t="shared" si="0"/>
        <v>4037640</v>
      </c>
      <c r="J20" t="s">
        <v>707</v>
      </c>
    </row>
    <row r="21" spans="1:10" x14ac:dyDescent="0.25">
      <c r="A21" t="s">
        <v>642</v>
      </c>
      <c r="B21" t="s">
        <v>643</v>
      </c>
      <c r="C21" t="s">
        <v>705</v>
      </c>
      <c r="D21" t="s">
        <v>1043</v>
      </c>
      <c r="E21" t="s">
        <v>646</v>
      </c>
      <c r="F21" s="237">
        <v>45855</v>
      </c>
      <c r="G21">
        <v>60</v>
      </c>
      <c r="H21" t="s">
        <v>651</v>
      </c>
      <c r="I21" s="802">
        <f t="shared" si="0"/>
        <v>4037640</v>
      </c>
      <c r="J21" t="s">
        <v>779</v>
      </c>
    </row>
    <row r="22" spans="1:10" x14ac:dyDescent="0.25">
      <c r="A22" t="s">
        <v>642</v>
      </c>
      <c r="B22" t="s">
        <v>643</v>
      </c>
      <c r="C22" t="s">
        <v>705</v>
      </c>
      <c r="D22" t="s">
        <v>1044</v>
      </c>
      <c r="E22" t="s">
        <v>646</v>
      </c>
      <c r="F22" s="237">
        <v>45855</v>
      </c>
      <c r="G22">
        <v>60</v>
      </c>
      <c r="H22" t="s">
        <v>651</v>
      </c>
      <c r="I22" s="802">
        <f t="shared" si="0"/>
        <v>4037640</v>
      </c>
      <c r="J22" t="s">
        <v>777</v>
      </c>
    </row>
    <row r="23" spans="1:10" x14ac:dyDescent="0.25">
      <c r="A23" t="s">
        <v>642</v>
      </c>
      <c r="B23" t="s">
        <v>643</v>
      </c>
      <c r="C23" t="s">
        <v>644</v>
      </c>
      <c r="D23" t="s">
        <v>1213</v>
      </c>
      <c r="E23" t="s">
        <v>646</v>
      </c>
      <c r="F23" s="237">
        <v>45848</v>
      </c>
      <c r="G23">
        <v>1.1100000000000001</v>
      </c>
      <c r="H23" t="s">
        <v>647</v>
      </c>
      <c r="I23" s="802">
        <f t="shared" si="0"/>
        <v>587190</v>
      </c>
      <c r="J23" t="s">
        <v>648</v>
      </c>
    </row>
    <row r="24" spans="1:10" x14ac:dyDescent="0.25">
      <c r="A24" t="s">
        <v>642</v>
      </c>
      <c r="B24" t="s">
        <v>643</v>
      </c>
      <c r="C24" t="s">
        <v>705</v>
      </c>
      <c r="D24" t="s">
        <v>1089</v>
      </c>
      <c r="E24" t="s">
        <v>646</v>
      </c>
      <c r="F24" s="237">
        <v>45847</v>
      </c>
      <c r="G24">
        <v>26.73</v>
      </c>
      <c r="H24" t="s">
        <v>647</v>
      </c>
      <c r="I24" s="802">
        <f t="shared" si="0"/>
        <v>14140170</v>
      </c>
      <c r="J24" t="s">
        <v>712</v>
      </c>
    </row>
    <row r="25" spans="1:10" x14ac:dyDescent="0.25">
      <c r="A25" t="s">
        <v>642</v>
      </c>
      <c r="B25" t="s">
        <v>643</v>
      </c>
      <c r="C25" t="s">
        <v>644</v>
      </c>
      <c r="D25" t="s">
        <v>1215</v>
      </c>
      <c r="E25" t="s">
        <v>646</v>
      </c>
      <c r="F25" s="237">
        <v>45845</v>
      </c>
      <c r="G25">
        <v>1</v>
      </c>
      <c r="H25" t="s">
        <v>647</v>
      </c>
      <c r="I25" s="802">
        <f t="shared" si="0"/>
        <v>529000</v>
      </c>
      <c r="J25" t="s">
        <v>671</v>
      </c>
    </row>
    <row r="26" spans="1:10" x14ac:dyDescent="0.25">
      <c r="A26" t="s">
        <v>642</v>
      </c>
      <c r="B26" t="s">
        <v>643</v>
      </c>
      <c r="C26" t="s">
        <v>705</v>
      </c>
      <c r="D26" t="s">
        <v>1134</v>
      </c>
      <c r="E26" t="s">
        <v>646</v>
      </c>
      <c r="F26" s="237">
        <v>45834</v>
      </c>
      <c r="G26">
        <v>60</v>
      </c>
      <c r="H26" t="s">
        <v>651</v>
      </c>
      <c r="I26" s="802">
        <f t="shared" si="0"/>
        <v>4037640</v>
      </c>
      <c r="J26" t="s">
        <v>719</v>
      </c>
    </row>
    <row r="27" spans="1:10" x14ac:dyDescent="0.25">
      <c r="A27" t="s">
        <v>642</v>
      </c>
      <c r="B27" t="s">
        <v>643</v>
      </c>
      <c r="C27" t="s">
        <v>705</v>
      </c>
      <c r="D27" t="s">
        <v>1135</v>
      </c>
      <c r="E27" t="s">
        <v>646</v>
      </c>
      <c r="F27" s="237">
        <v>45834</v>
      </c>
      <c r="G27">
        <v>60</v>
      </c>
      <c r="H27" t="s">
        <v>651</v>
      </c>
      <c r="I27" s="802">
        <f t="shared" si="0"/>
        <v>4037640</v>
      </c>
      <c r="J27" t="s">
        <v>715</v>
      </c>
    </row>
    <row r="28" spans="1:10" x14ac:dyDescent="0.25">
      <c r="A28" t="s">
        <v>642</v>
      </c>
      <c r="B28" t="s">
        <v>643</v>
      </c>
      <c r="C28" t="s">
        <v>705</v>
      </c>
      <c r="D28" t="s">
        <v>1136</v>
      </c>
      <c r="E28" t="s">
        <v>646</v>
      </c>
      <c r="F28" s="237">
        <v>45834</v>
      </c>
      <c r="G28">
        <v>60</v>
      </c>
      <c r="H28" t="s">
        <v>651</v>
      </c>
      <c r="I28" s="802">
        <f t="shared" si="0"/>
        <v>4037640</v>
      </c>
      <c r="J28" t="s">
        <v>717</v>
      </c>
    </row>
    <row r="29" spans="1:10" x14ac:dyDescent="0.25">
      <c r="A29" t="s">
        <v>642</v>
      </c>
      <c r="B29" t="s">
        <v>643</v>
      </c>
      <c r="C29" t="s">
        <v>705</v>
      </c>
      <c r="D29" t="s">
        <v>1137</v>
      </c>
      <c r="E29" t="s">
        <v>646</v>
      </c>
      <c r="F29" s="237">
        <v>45834</v>
      </c>
      <c r="G29">
        <v>60</v>
      </c>
      <c r="H29" t="s">
        <v>651</v>
      </c>
      <c r="I29" s="802">
        <f t="shared" si="0"/>
        <v>4037640</v>
      </c>
      <c r="J29" t="s">
        <v>682</v>
      </c>
    </row>
    <row r="30" spans="1:10" x14ac:dyDescent="0.25">
      <c r="A30" t="s">
        <v>642</v>
      </c>
      <c r="B30" t="s">
        <v>643</v>
      </c>
      <c r="C30" t="s">
        <v>705</v>
      </c>
      <c r="D30" t="s">
        <v>1081</v>
      </c>
      <c r="E30" t="s">
        <v>646</v>
      </c>
      <c r="F30" s="237">
        <v>45833</v>
      </c>
      <c r="G30">
        <v>13.36</v>
      </c>
      <c r="H30" t="s">
        <v>647</v>
      </c>
      <c r="I30" s="802">
        <f t="shared" si="0"/>
        <v>7067440</v>
      </c>
      <c r="J30" t="s">
        <v>712</v>
      </c>
    </row>
    <row r="31" spans="1:10" x14ac:dyDescent="0.25">
      <c r="A31" t="s">
        <v>642</v>
      </c>
      <c r="B31" t="s">
        <v>643</v>
      </c>
      <c r="C31" t="s">
        <v>644</v>
      </c>
      <c r="D31" t="s">
        <v>1191</v>
      </c>
      <c r="E31" t="s">
        <v>646</v>
      </c>
      <c r="F31" s="237">
        <v>45825</v>
      </c>
      <c r="G31">
        <v>1.1100000000000001</v>
      </c>
      <c r="H31" t="s">
        <v>647</v>
      </c>
      <c r="I31" s="802">
        <f t="shared" si="0"/>
        <v>587190</v>
      </c>
      <c r="J31" t="s">
        <v>648</v>
      </c>
    </row>
    <row r="32" spans="1:10" x14ac:dyDescent="0.25">
      <c r="A32" t="s">
        <v>642</v>
      </c>
      <c r="B32" t="s">
        <v>643</v>
      </c>
      <c r="C32" t="s">
        <v>644</v>
      </c>
      <c r="D32" t="s">
        <v>1204</v>
      </c>
      <c r="E32" t="s">
        <v>646</v>
      </c>
      <c r="F32" s="237">
        <v>45824</v>
      </c>
      <c r="G32">
        <v>1.1100000000000001</v>
      </c>
      <c r="H32" t="s">
        <v>647</v>
      </c>
      <c r="I32" s="802">
        <f t="shared" si="0"/>
        <v>587190</v>
      </c>
      <c r="J32" t="s">
        <v>648</v>
      </c>
    </row>
    <row r="33" spans="1:10" x14ac:dyDescent="0.25">
      <c r="A33" t="s">
        <v>1612</v>
      </c>
      <c r="B33" t="s">
        <v>1613</v>
      </c>
      <c r="C33" t="s">
        <v>644</v>
      </c>
      <c r="D33" t="s">
        <v>1717</v>
      </c>
      <c r="E33" t="s">
        <v>933</v>
      </c>
      <c r="F33" s="237">
        <v>45824</v>
      </c>
      <c r="G33">
        <v>2</v>
      </c>
      <c r="H33" t="s">
        <v>647</v>
      </c>
      <c r="I33" s="802">
        <f t="shared" si="0"/>
        <v>1058000</v>
      </c>
      <c r="J33" t="s">
        <v>671</v>
      </c>
    </row>
    <row r="34" spans="1:10" x14ac:dyDescent="0.25">
      <c r="A34" t="s">
        <v>642</v>
      </c>
      <c r="B34" t="s">
        <v>643</v>
      </c>
      <c r="C34" t="s">
        <v>705</v>
      </c>
      <c r="D34" t="s">
        <v>755</v>
      </c>
      <c r="E34" t="s">
        <v>646</v>
      </c>
      <c r="F34" s="237">
        <v>45821</v>
      </c>
      <c r="G34">
        <v>210</v>
      </c>
      <c r="H34" t="s">
        <v>651</v>
      </c>
      <c r="I34" s="802">
        <f t="shared" si="0"/>
        <v>14131740</v>
      </c>
      <c r="J34" t="s">
        <v>739</v>
      </c>
    </row>
    <row r="35" spans="1:10" x14ac:dyDescent="0.25">
      <c r="A35" t="s">
        <v>642</v>
      </c>
      <c r="B35" t="s">
        <v>643</v>
      </c>
      <c r="C35" t="s">
        <v>644</v>
      </c>
      <c r="D35" t="s">
        <v>1205</v>
      </c>
      <c r="E35" t="s">
        <v>646</v>
      </c>
      <c r="F35" s="237">
        <v>45821</v>
      </c>
      <c r="G35">
        <v>1.1100000000000001</v>
      </c>
      <c r="H35" t="s">
        <v>647</v>
      </c>
      <c r="I35" s="802">
        <f t="shared" si="0"/>
        <v>587190</v>
      </c>
      <c r="J35" t="s">
        <v>648</v>
      </c>
    </row>
    <row r="36" spans="1:10" x14ac:dyDescent="0.25">
      <c r="A36" t="s">
        <v>642</v>
      </c>
      <c r="B36" t="s">
        <v>643</v>
      </c>
      <c r="C36" t="s">
        <v>705</v>
      </c>
      <c r="D36" t="s">
        <v>985</v>
      </c>
      <c r="E36" t="s">
        <v>646</v>
      </c>
      <c r="F36" s="237">
        <v>45819</v>
      </c>
      <c r="G36">
        <v>60</v>
      </c>
      <c r="H36" t="s">
        <v>651</v>
      </c>
      <c r="I36" s="802">
        <f t="shared" si="0"/>
        <v>4037640</v>
      </c>
      <c r="J36" t="s">
        <v>707</v>
      </c>
    </row>
    <row r="37" spans="1:10" x14ac:dyDescent="0.25">
      <c r="A37" t="s">
        <v>642</v>
      </c>
      <c r="B37" t="s">
        <v>643</v>
      </c>
      <c r="C37" t="s">
        <v>705</v>
      </c>
      <c r="D37" t="s">
        <v>986</v>
      </c>
      <c r="E37" t="s">
        <v>646</v>
      </c>
      <c r="F37" s="237">
        <v>45819</v>
      </c>
      <c r="G37">
        <v>60</v>
      </c>
      <c r="H37" t="s">
        <v>651</v>
      </c>
      <c r="I37" s="802">
        <f t="shared" si="0"/>
        <v>4037640</v>
      </c>
      <c r="J37" t="s">
        <v>777</v>
      </c>
    </row>
    <row r="38" spans="1:10" x14ac:dyDescent="0.25">
      <c r="A38" t="s">
        <v>642</v>
      </c>
      <c r="B38" t="s">
        <v>643</v>
      </c>
      <c r="C38" t="s">
        <v>705</v>
      </c>
      <c r="D38" t="s">
        <v>951</v>
      </c>
      <c r="E38" t="s">
        <v>646</v>
      </c>
      <c r="F38" s="237">
        <v>45817</v>
      </c>
      <c r="G38">
        <v>60</v>
      </c>
      <c r="H38" t="s">
        <v>651</v>
      </c>
      <c r="I38" s="802">
        <f t="shared" si="0"/>
        <v>4037640</v>
      </c>
      <c r="J38" t="s">
        <v>784</v>
      </c>
    </row>
    <row r="39" spans="1:10" x14ac:dyDescent="0.25">
      <c r="A39" t="s">
        <v>642</v>
      </c>
      <c r="B39" t="s">
        <v>643</v>
      </c>
      <c r="C39" t="s">
        <v>644</v>
      </c>
      <c r="D39" t="s">
        <v>1206</v>
      </c>
      <c r="E39" t="s">
        <v>646</v>
      </c>
      <c r="F39" s="237">
        <v>45817</v>
      </c>
      <c r="G39">
        <v>1.1100000000000001</v>
      </c>
      <c r="H39" t="s">
        <v>647</v>
      </c>
      <c r="I39" s="802">
        <f t="shared" si="0"/>
        <v>587190</v>
      </c>
      <c r="J39" t="s">
        <v>648</v>
      </c>
    </row>
    <row r="40" spans="1:10" x14ac:dyDescent="0.25">
      <c r="A40" t="s">
        <v>642</v>
      </c>
      <c r="B40" t="s">
        <v>643</v>
      </c>
      <c r="C40" t="s">
        <v>705</v>
      </c>
      <c r="D40" t="s">
        <v>765</v>
      </c>
      <c r="E40" t="s">
        <v>646</v>
      </c>
      <c r="F40" s="237">
        <v>45813</v>
      </c>
      <c r="G40">
        <v>60</v>
      </c>
      <c r="H40" t="s">
        <v>651</v>
      </c>
      <c r="I40" s="802">
        <f t="shared" si="0"/>
        <v>4037640</v>
      </c>
      <c r="J40" t="s">
        <v>715</v>
      </c>
    </row>
    <row r="41" spans="1:10" x14ac:dyDescent="0.25">
      <c r="A41" t="s">
        <v>642</v>
      </c>
      <c r="B41" t="s">
        <v>643</v>
      </c>
      <c r="C41" t="s">
        <v>705</v>
      </c>
      <c r="D41" t="s">
        <v>1088</v>
      </c>
      <c r="E41" t="s">
        <v>646</v>
      </c>
      <c r="F41" s="237">
        <v>45813</v>
      </c>
      <c r="G41">
        <v>60</v>
      </c>
      <c r="H41" t="s">
        <v>651</v>
      </c>
      <c r="I41" s="802">
        <f t="shared" si="0"/>
        <v>4037640</v>
      </c>
      <c r="J41" t="s">
        <v>717</v>
      </c>
    </row>
    <row r="42" spans="1:10" x14ac:dyDescent="0.25">
      <c r="A42" t="s">
        <v>642</v>
      </c>
      <c r="B42" t="s">
        <v>643</v>
      </c>
      <c r="C42" t="s">
        <v>705</v>
      </c>
      <c r="D42" t="s">
        <v>711</v>
      </c>
      <c r="E42" t="s">
        <v>646</v>
      </c>
      <c r="F42" s="237">
        <v>45811</v>
      </c>
      <c r="G42">
        <v>26.73</v>
      </c>
      <c r="H42" t="s">
        <v>647</v>
      </c>
      <c r="I42" s="802">
        <f t="shared" si="0"/>
        <v>14140170</v>
      </c>
      <c r="J42" t="s">
        <v>712</v>
      </c>
    </row>
    <row r="43" spans="1:10" x14ac:dyDescent="0.25">
      <c r="A43" t="s">
        <v>642</v>
      </c>
      <c r="B43" t="s">
        <v>643</v>
      </c>
      <c r="C43" t="s">
        <v>705</v>
      </c>
      <c r="D43" t="s">
        <v>932</v>
      </c>
      <c r="E43" t="s">
        <v>933</v>
      </c>
      <c r="F43" s="237">
        <v>45811</v>
      </c>
      <c r="G43">
        <v>30</v>
      </c>
      <c r="H43" t="s">
        <v>651</v>
      </c>
      <c r="I43" s="802">
        <f t="shared" si="0"/>
        <v>2018820</v>
      </c>
      <c r="J43" t="s">
        <v>736</v>
      </c>
    </row>
    <row r="44" spans="1:10" x14ac:dyDescent="0.25">
      <c r="A44" t="s">
        <v>642</v>
      </c>
      <c r="B44" t="s">
        <v>643</v>
      </c>
      <c r="C44" t="s">
        <v>705</v>
      </c>
      <c r="D44" t="s">
        <v>1057</v>
      </c>
      <c r="E44" t="s">
        <v>646</v>
      </c>
      <c r="F44" s="237">
        <v>45806</v>
      </c>
      <c r="G44">
        <v>60</v>
      </c>
      <c r="H44" t="s">
        <v>651</v>
      </c>
      <c r="I44" s="802">
        <f t="shared" si="0"/>
        <v>4037640</v>
      </c>
      <c r="J44" t="s">
        <v>715</v>
      </c>
    </row>
    <row r="45" spans="1:10" x14ac:dyDescent="0.25">
      <c r="A45" t="s">
        <v>642</v>
      </c>
      <c r="B45" t="s">
        <v>643</v>
      </c>
      <c r="C45" t="s">
        <v>705</v>
      </c>
      <c r="D45" t="s">
        <v>1058</v>
      </c>
      <c r="E45" t="s">
        <v>646</v>
      </c>
      <c r="F45" s="237">
        <v>45806</v>
      </c>
      <c r="G45">
        <v>60</v>
      </c>
      <c r="H45" t="s">
        <v>651</v>
      </c>
      <c r="I45" s="802">
        <f t="shared" si="0"/>
        <v>4037640</v>
      </c>
      <c r="J45" t="s">
        <v>719</v>
      </c>
    </row>
    <row r="46" spans="1:10" x14ac:dyDescent="0.25">
      <c r="A46" t="s">
        <v>642</v>
      </c>
      <c r="B46" t="s">
        <v>643</v>
      </c>
      <c r="C46" t="s">
        <v>644</v>
      </c>
      <c r="D46" t="s">
        <v>1219</v>
      </c>
      <c r="E46" t="s">
        <v>646</v>
      </c>
      <c r="F46" s="237">
        <v>45805</v>
      </c>
      <c r="G46">
        <v>2</v>
      </c>
      <c r="H46" t="s">
        <v>647</v>
      </c>
      <c r="I46" s="802">
        <f t="shared" si="0"/>
        <v>1058000</v>
      </c>
      <c r="J46" t="s">
        <v>671</v>
      </c>
    </row>
    <row r="47" spans="1:10" x14ac:dyDescent="0.25">
      <c r="A47" t="s">
        <v>642</v>
      </c>
      <c r="B47" t="s">
        <v>643</v>
      </c>
      <c r="C47" t="s">
        <v>644</v>
      </c>
      <c r="D47" t="s">
        <v>1221</v>
      </c>
      <c r="E47" t="s">
        <v>646</v>
      </c>
      <c r="F47" s="237">
        <v>45803</v>
      </c>
      <c r="G47">
        <v>1.1100000000000001</v>
      </c>
      <c r="H47" t="s">
        <v>647</v>
      </c>
      <c r="I47" s="802">
        <f t="shared" si="0"/>
        <v>587190</v>
      </c>
      <c r="J47" t="s">
        <v>648</v>
      </c>
    </row>
    <row r="48" spans="1:10" x14ac:dyDescent="0.25">
      <c r="A48" t="s">
        <v>642</v>
      </c>
      <c r="B48" t="s">
        <v>643</v>
      </c>
      <c r="C48" t="s">
        <v>705</v>
      </c>
      <c r="D48" t="s">
        <v>1007</v>
      </c>
      <c r="E48" t="s">
        <v>933</v>
      </c>
      <c r="F48" s="237">
        <v>45800</v>
      </c>
      <c r="G48">
        <v>26.73</v>
      </c>
      <c r="H48" t="s">
        <v>647</v>
      </c>
      <c r="I48" s="802">
        <f t="shared" si="0"/>
        <v>14140170</v>
      </c>
      <c r="J48" t="s">
        <v>712</v>
      </c>
    </row>
    <row r="49" spans="1:10" x14ac:dyDescent="0.25">
      <c r="A49" t="s">
        <v>642</v>
      </c>
      <c r="B49" t="s">
        <v>643</v>
      </c>
      <c r="C49" t="s">
        <v>705</v>
      </c>
      <c r="D49" t="s">
        <v>1764</v>
      </c>
      <c r="E49" t="s">
        <v>646</v>
      </c>
      <c r="F49" s="237">
        <v>45794</v>
      </c>
      <c r="G49">
        <v>18.71</v>
      </c>
      <c r="H49" t="s">
        <v>647</v>
      </c>
      <c r="I49" s="802">
        <f t="shared" si="0"/>
        <v>9897590</v>
      </c>
      <c r="J49" t="s">
        <v>712</v>
      </c>
    </row>
    <row r="50" spans="1:10" x14ac:dyDescent="0.25">
      <c r="A50" t="s">
        <v>642</v>
      </c>
      <c r="B50" t="s">
        <v>643</v>
      </c>
      <c r="C50" t="s">
        <v>705</v>
      </c>
      <c r="D50" t="s">
        <v>1765</v>
      </c>
      <c r="E50" t="s">
        <v>646</v>
      </c>
      <c r="F50" s="237">
        <v>45794</v>
      </c>
      <c r="G50">
        <v>60</v>
      </c>
      <c r="H50" t="s">
        <v>651</v>
      </c>
      <c r="I50" s="802">
        <f t="shared" si="0"/>
        <v>4037640</v>
      </c>
      <c r="J50" t="s">
        <v>1766</v>
      </c>
    </row>
    <row r="51" spans="1:10" x14ac:dyDescent="0.25">
      <c r="A51" t="s">
        <v>642</v>
      </c>
      <c r="B51" t="s">
        <v>643</v>
      </c>
      <c r="C51" t="s">
        <v>705</v>
      </c>
      <c r="D51" t="s">
        <v>947</v>
      </c>
      <c r="E51" t="s">
        <v>646</v>
      </c>
      <c r="F51" s="237">
        <v>45784</v>
      </c>
      <c r="G51">
        <v>36</v>
      </c>
      <c r="H51" t="s">
        <v>651</v>
      </c>
      <c r="I51" s="802">
        <f t="shared" si="0"/>
        <v>2422584</v>
      </c>
      <c r="J51" t="s">
        <v>731</v>
      </c>
    </row>
    <row r="52" spans="1:10" x14ac:dyDescent="0.25">
      <c r="A52" t="s">
        <v>642</v>
      </c>
      <c r="B52" t="s">
        <v>643</v>
      </c>
      <c r="C52" t="s">
        <v>644</v>
      </c>
      <c r="D52" t="s">
        <v>1192</v>
      </c>
      <c r="E52" t="s">
        <v>646</v>
      </c>
      <c r="F52" s="237">
        <v>45783</v>
      </c>
      <c r="G52">
        <v>60</v>
      </c>
      <c r="H52" t="s">
        <v>651</v>
      </c>
      <c r="I52" s="802">
        <f t="shared" si="0"/>
        <v>4037640</v>
      </c>
      <c r="J52" t="s">
        <v>665</v>
      </c>
    </row>
    <row r="53" spans="1:10" x14ac:dyDescent="0.25">
      <c r="A53" t="s">
        <v>642</v>
      </c>
      <c r="B53" t="s">
        <v>643</v>
      </c>
      <c r="C53" t="s">
        <v>644</v>
      </c>
      <c r="D53" t="s">
        <v>1193</v>
      </c>
      <c r="E53" t="s">
        <v>646</v>
      </c>
      <c r="F53" s="237">
        <v>45783</v>
      </c>
      <c r="G53">
        <v>2</v>
      </c>
      <c r="H53" t="s">
        <v>647</v>
      </c>
      <c r="I53" s="802">
        <f t="shared" si="0"/>
        <v>1058000</v>
      </c>
      <c r="J53" t="s">
        <v>671</v>
      </c>
    </row>
    <row r="54" spans="1:10" x14ac:dyDescent="0.25">
      <c r="A54" t="s">
        <v>642</v>
      </c>
      <c r="B54" t="s">
        <v>643</v>
      </c>
      <c r="C54" t="s">
        <v>644</v>
      </c>
      <c r="D54" t="s">
        <v>1194</v>
      </c>
      <c r="E54" t="s">
        <v>646</v>
      </c>
      <c r="F54" s="237">
        <v>45783</v>
      </c>
      <c r="G54">
        <v>1.1100000000000001</v>
      </c>
      <c r="H54" t="s">
        <v>647</v>
      </c>
      <c r="I54" s="802">
        <f t="shared" si="0"/>
        <v>587190</v>
      </c>
      <c r="J54" t="s">
        <v>648</v>
      </c>
    </row>
    <row r="55" spans="1:10" x14ac:dyDescent="0.25">
      <c r="A55" t="s">
        <v>642</v>
      </c>
      <c r="B55" t="s">
        <v>643</v>
      </c>
      <c r="C55" t="s">
        <v>644</v>
      </c>
      <c r="D55" t="s">
        <v>1216</v>
      </c>
      <c r="E55" t="s">
        <v>646</v>
      </c>
      <c r="F55" s="237">
        <v>45771</v>
      </c>
      <c r="G55">
        <v>1.1100000000000001</v>
      </c>
      <c r="H55" t="s">
        <v>647</v>
      </c>
      <c r="I55" s="802">
        <f t="shared" si="0"/>
        <v>587190</v>
      </c>
      <c r="J55" t="s">
        <v>648</v>
      </c>
    </row>
    <row r="56" spans="1:10" x14ac:dyDescent="0.25">
      <c r="A56" t="s">
        <v>642</v>
      </c>
      <c r="B56" t="s">
        <v>643</v>
      </c>
      <c r="C56" t="s">
        <v>705</v>
      </c>
      <c r="D56" t="s">
        <v>1006</v>
      </c>
      <c r="E56" t="s">
        <v>646</v>
      </c>
      <c r="F56" s="237">
        <v>45759</v>
      </c>
      <c r="G56">
        <v>30</v>
      </c>
      <c r="H56" t="s">
        <v>651</v>
      </c>
      <c r="I56" s="802">
        <f t="shared" si="0"/>
        <v>2018820</v>
      </c>
      <c r="J56" t="s">
        <v>715</v>
      </c>
    </row>
    <row r="57" spans="1:10" x14ac:dyDescent="0.25">
      <c r="A57" t="s">
        <v>642</v>
      </c>
      <c r="B57" t="s">
        <v>643</v>
      </c>
      <c r="C57" t="s">
        <v>705</v>
      </c>
      <c r="D57" t="s">
        <v>1047</v>
      </c>
      <c r="E57" t="s">
        <v>646</v>
      </c>
      <c r="F57" s="237">
        <v>45759</v>
      </c>
      <c r="G57">
        <v>60</v>
      </c>
      <c r="H57" t="s">
        <v>651</v>
      </c>
      <c r="I57" s="802">
        <f t="shared" si="0"/>
        <v>4037640</v>
      </c>
      <c r="J57" t="s">
        <v>719</v>
      </c>
    </row>
    <row r="58" spans="1:10" x14ac:dyDescent="0.25">
      <c r="A58" t="s">
        <v>642</v>
      </c>
      <c r="B58" t="s">
        <v>643</v>
      </c>
      <c r="C58" t="s">
        <v>644</v>
      </c>
      <c r="D58" t="s">
        <v>1220</v>
      </c>
      <c r="E58" t="s">
        <v>646</v>
      </c>
      <c r="F58" s="237">
        <v>45759</v>
      </c>
      <c r="G58">
        <v>60</v>
      </c>
      <c r="H58" t="s">
        <v>651</v>
      </c>
      <c r="I58" s="802">
        <f t="shared" si="0"/>
        <v>4037640</v>
      </c>
      <c r="J58" t="s">
        <v>665</v>
      </c>
    </row>
    <row r="59" spans="1:10" x14ac:dyDescent="0.25">
      <c r="A59" t="s">
        <v>642</v>
      </c>
      <c r="B59" t="s">
        <v>643</v>
      </c>
      <c r="C59" t="s">
        <v>705</v>
      </c>
      <c r="D59" t="s">
        <v>762</v>
      </c>
      <c r="E59" t="s">
        <v>646</v>
      </c>
      <c r="F59" s="237">
        <v>45755</v>
      </c>
      <c r="G59">
        <v>36</v>
      </c>
      <c r="H59" t="s">
        <v>651</v>
      </c>
      <c r="I59" s="802">
        <f t="shared" si="0"/>
        <v>2422584</v>
      </c>
      <c r="J59" t="s">
        <v>715</v>
      </c>
    </row>
    <row r="60" spans="1:10" x14ac:dyDescent="0.25">
      <c r="A60" t="s">
        <v>642</v>
      </c>
      <c r="B60" t="s">
        <v>643</v>
      </c>
      <c r="C60" t="s">
        <v>705</v>
      </c>
      <c r="D60" t="s">
        <v>763</v>
      </c>
      <c r="E60" t="s">
        <v>646</v>
      </c>
      <c r="F60" s="237">
        <v>45755</v>
      </c>
      <c r="G60">
        <v>36</v>
      </c>
      <c r="H60" t="s">
        <v>651</v>
      </c>
      <c r="I60" s="802">
        <f t="shared" si="0"/>
        <v>2422584</v>
      </c>
      <c r="J60" t="s">
        <v>717</v>
      </c>
    </row>
    <row r="61" spans="1:10" x14ac:dyDescent="0.25">
      <c r="A61" t="s">
        <v>642</v>
      </c>
      <c r="B61" t="s">
        <v>643</v>
      </c>
      <c r="C61" t="s">
        <v>705</v>
      </c>
      <c r="D61" t="s">
        <v>764</v>
      </c>
      <c r="E61" t="s">
        <v>646</v>
      </c>
      <c r="F61" s="237">
        <v>45755</v>
      </c>
      <c r="G61">
        <v>36</v>
      </c>
      <c r="H61" t="s">
        <v>651</v>
      </c>
      <c r="I61" s="802">
        <f t="shared" si="0"/>
        <v>2422584</v>
      </c>
      <c r="J61" t="s">
        <v>719</v>
      </c>
    </row>
    <row r="62" spans="1:10" x14ac:dyDescent="0.25">
      <c r="A62" t="s">
        <v>642</v>
      </c>
      <c r="B62" t="s">
        <v>643</v>
      </c>
      <c r="C62" t="s">
        <v>705</v>
      </c>
      <c r="D62" t="s">
        <v>948</v>
      </c>
      <c r="E62" t="s">
        <v>646</v>
      </c>
      <c r="F62" s="237">
        <v>45747</v>
      </c>
      <c r="G62">
        <v>60</v>
      </c>
      <c r="H62" t="s">
        <v>651</v>
      </c>
      <c r="I62" s="802">
        <f t="shared" si="0"/>
        <v>4037640</v>
      </c>
      <c r="J62" t="s">
        <v>689</v>
      </c>
    </row>
    <row r="63" spans="1:10" x14ac:dyDescent="0.25">
      <c r="A63" t="s">
        <v>642</v>
      </c>
      <c r="B63" t="s">
        <v>643</v>
      </c>
      <c r="C63" t="s">
        <v>644</v>
      </c>
      <c r="D63" t="s">
        <v>1218</v>
      </c>
      <c r="E63" t="s">
        <v>646</v>
      </c>
      <c r="F63" s="237">
        <v>45746</v>
      </c>
      <c r="G63">
        <v>1.1100000000000001</v>
      </c>
      <c r="H63" t="s">
        <v>647</v>
      </c>
      <c r="I63" s="802">
        <f t="shared" si="0"/>
        <v>587190</v>
      </c>
      <c r="J63" t="s">
        <v>648</v>
      </c>
    </row>
    <row r="64" spans="1:10" x14ac:dyDescent="0.25">
      <c r="A64" t="s">
        <v>642</v>
      </c>
      <c r="B64" t="s">
        <v>643</v>
      </c>
      <c r="C64" t="s">
        <v>644</v>
      </c>
      <c r="D64" t="s">
        <v>1196</v>
      </c>
      <c r="E64" t="s">
        <v>646</v>
      </c>
      <c r="F64" s="237">
        <v>45744</v>
      </c>
      <c r="G64">
        <v>1.1100000000000001</v>
      </c>
      <c r="H64" t="s">
        <v>647</v>
      </c>
      <c r="I64" s="802">
        <f t="shared" si="0"/>
        <v>587190</v>
      </c>
      <c r="J64" t="s">
        <v>648</v>
      </c>
    </row>
    <row r="65" spans="1:10" x14ac:dyDescent="0.25">
      <c r="A65" t="s">
        <v>642</v>
      </c>
      <c r="B65" t="s">
        <v>643</v>
      </c>
      <c r="C65" t="s">
        <v>705</v>
      </c>
      <c r="D65" t="s">
        <v>1086</v>
      </c>
      <c r="E65" t="s">
        <v>646</v>
      </c>
      <c r="F65" s="237">
        <v>45735</v>
      </c>
      <c r="G65">
        <v>60</v>
      </c>
      <c r="H65" t="s">
        <v>651</v>
      </c>
      <c r="I65" s="802">
        <f t="shared" si="0"/>
        <v>4037640</v>
      </c>
      <c r="J65" t="s">
        <v>719</v>
      </c>
    </row>
    <row r="66" spans="1:10" x14ac:dyDescent="0.25">
      <c r="A66" t="s">
        <v>642</v>
      </c>
      <c r="B66" t="s">
        <v>643</v>
      </c>
      <c r="C66" t="s">
        <v>705</v>
      </c>
      <c r="D66" t="s">
        <v>1087</v>
      </c>
      <c r="E66" t="s">
        <v>646</v>
      </c>
      <c r="F66" s="237">
        <v>45735</v>
      </c>
      <c r="G66">
        <v>60</v>
      </c>
      <c r="H66" t="s">
        <v>651</v>
      </c>
      <c r="I66" s="802">
        <f t="shared" si="0"/>
        <v>4037640</v>
      </c>
      <c r="J66" t="s">
        <v>682</v>
      </c>
    </row>
    <row r="67" spans="1:10" x14ac:dyDescent="0.25">
      <c r="A67" t="s">
        <v>642</v>
      </c>
      <c r="B67" t="s">
        <v>643</v>
      </c>
      <c r="C67" t="s">
        <v>705</v>
      </c>
      <c r="D67" t="s">
        <v>1118</v>
      </c>
      <c r="E67" t="s">
        <v>646</v>
      </c>
      <c r="F67" s="237">
        <v>45733</v>
      </c>
      <c r="G67">
        <v>60</v>
      </c>
      <c r="H67" t="s">
        <v>651</v>
      </c>
      <c r="I67" s="802">
        <f t="shared" ref="I67:I130" si="1">+IF(H67="IMM",+G67*529000,+G67*67294)</f>
        <v>4037640</v>
      </c>
      <c r="J67" t="s">
        <v>1119</v>
      </c>
    </row>
    <row r="68" spans="1:10" x14ac:dyDescent="0.25">
      <c r="A68" t="s">
        <v>642</v>
      </c>
      <c r="B68" t="s">
        <v>643</v>
      </c>
      <c r="C68" t="s">
        <v>705</v>
      </c>
      <c r="D68" t="s">
        <v>1120</v>
      </c>
      <c r="E68" t="s">
        <v>646</v>
      </c>
      <c r="F68" s="237">
        <v>45733</v>
      </c>
      <c r="G68">
        <v>60</v>
      </c>
      <c r="H68" t="s">
        <v>651</v>
      </c>
      <c r="I68" s="802">
        <f t="shared" si="1"/>
        <v>4037640</v>
      </c>
      <c r="J68" t="s">
        <v>1022</v>
      </c>
    </row>
    <row r="69" spans="1:10" x14ac:dyDescent="0.25">
      <c r="A69" t="s">
        <v>642</v>
      </c>
      <c r="B69" t="s">
        <v>643</v>
      </c>
      <c r="C69" t="s">
        <v>705</v>
      </c>
      <c r="D69" t="s">
        <v>1121</v>
      </c>
      <c r="E69" t="s">
        <v>646</v>
      </c>
      <c r="F69" s="237">
        <v>45733</v>
      </c>
      <c r="G69">
        <v>60</v>
      </c>
      <c r="H69" t="s">
        <v>651</v>
      </c>
      <c r="I69" s="802">
        <f t="shared" si="1"/>
        <v>4037640</v>
      </c>
      <c r="J69" t="s">
        <v>686</v>
      </c>
    </row>
    <row r="70" spans="1:10" x14ac:dyDescent="0.25">
      <c r="A70" t="s">
        <v>642</v>
      </c>
      <c r="B70" t="s">
        <v>643</v>
      </c>
      <c r="C70" t="s">
        <v>644</v>
      </c>
      <c r="D70" t="s">
        <v>1198</v>
      </c>
      <c r="E70" t="s">
        <v>646</v>
      </c>
      <c r="F70" s="237">
        <v>45731</v>
      </c>
      <c r="G70">
        <v>1.1100000000000001</v>
      </c>
      <c r="H70" t="s">
        <v>647</v>
      </c>
      <c r="I70" s="802">
        <f t="shared" si="1"/>
        <v>587190</v>
      </c>
      <c r="J70" t="s">
        <v>648</v>
      </c>
    </row>
    <row r="71" spans="1:10" x14ac:dyDescent="0.25">
      <c r="A71" t="s">
        <v>642</v>
      </c>
      <c r="B71" t="s">
        <v>643</v>
      </c>
      <c r="C71" t="s">
        <v>644</v>
      </c>
      <c r="D71" t="s">
        <v>1217</v>
      </c>
      <c r="E71" t="s">
        <v>646</v>
      </c>
      <c r="F71" s="237">
        <v>45729</v>
      </c>
      <c r="G71">
        <v>1.1100000000000001</v>
      </c>
      <c r="H71" t="s">
        <v>647</v>
      </c>
      <c r="I71" s="802">
        <f t="shared" si="1"/>
        <v>587190</v>
      </c>
      <c r="J71" t="s">
        <v>648</v>
      </c>
    </row>
    <row r="72" spans="1:10" x14ac:dyDescent="0.25">
      <c r="A72" t="s">
        <v>642</v>
      </c>
      <c r="B72" t="s">
        <v>643</v>
      </c>
      <c r="C72" t="s">
        <v>705</v>
      </c>
      <c r="D72" t="s">
        <v>774</v>
      </c>
      <c r="E72" t="s">
        <v>646</v>
      </c>
      <c r="F72" s="237">
        <v>45724</v>
      </c>
      <c r="G72">
        <v>60</v>
      </c>
      <c r="H72" t="s">
        <v>651</v>
      </c>
      <c r="I72" s="802">
        <f t="shared" si="1"/>
        <v>4037640</v>
      </c>
      <c r="J72" t="s">
        <v>719</v>
      </c>
    </row>
    <row r="73" spans="1:10" x14ac:dyDescent="0.25">
      <c r="A73" t="s">
        <v>642</v>
      </c>
      <c r="B73" t="s">
        <v>643</v>
      </c>
      <c r="C73" t="s">
        <v>644</v>
      </c>
      <c r="D73" t="s">
        <v>1195</v>
      </c>
      <c r="E73" t="s">
        <v>646</v>
      </c>
      <c r="F73" s="237">
        <v>45722</v>
      </c>
      <c r="G73">
        <v>1.1100000000000001</v>
      </c>
      <c r="H73" t="s">
        <v>647</v>
      </c>
      <c r="I73" s="802">
        <f t="shared" si="1"/>
        <v>587190</v>
      </c>
      <c r="J73" t="s">
        <v>648</v>
      </c>
    </row>
    <row r="74" spans="1:10" x14ac:dyDescent="0.25">
      <c r="A74" t="s">
        <v>642</v>
      </c>
      <c r="B74" t="s">
        <v>643</v>
      </c>
      <c r="C74" t="s">
        <v>644</v>
      </c>
      <c r="D74" t="s">
        <v>1214</v>
      </c>
      <c r="E74" t="s">
        <v>646</v>
      </c>
      <c r="F74" s="237">
        <v>45722</v>
      </c>
      <c r="G74">
        <v>1.1100000000000001</v>
      </c>
      <c r="H74" t="s">
        <v>647</v>
      </c>
      <c r="I74" s="802">
        <f t="shared" si="1"/>
        <v>587190</v>
      </c>
      <c r="J74" t="s">
        <v>648</v>
      </c>
    </row>
    <row r="75" spans="1:10" x14ac:dyDescent="0.25">
      <c r="A75" t="s">
        <v>642</v>
      </c>
      <c r="B75" t="s">
        <v>643</v>
      </c>
      <c r="C75" t="s">
        <v>644</v>
      </c>
      <c r="D75" t="s">
        <v>1197</v>
      </c>
      <c r="E75" t="s">
        <v>646</v>
      </c>
      <c r="F75" s="237">
        <v>45718</v>
      </c>
      <c r="G75">
        <v>2</v>
      </c>
      <c r="H75" t="s">
        <v>647</v>
      </c>
      <c r="I75" s="802">
        <f t="shared" si="1"/>
        <v>1058000</v>
      </c>
      <c r="J75" t="s">
        <v>671</v>
      </c>
    </row>
    <row r="76" spans="1:10" x14ac:dyDescent="0.25">
      <c r="A76" t="s">
        <v>642</v>
      </c>
      <c r="B76" t="s">
        <v>643</v>
      </c>
      <c r="C76" t="s">
        <v>705</v>
      </c>
      <c r="D76" t="s">
        <v>935</v>
      </c>
      <c r="E76" t="s">
        <v>646</v>
      </c>
      <c r="F76" s="237">
        <v>45716</v>
      </c>
      <c r="G76">
        <v>36</v>
      </c>
      <c r="H76" t="s">
        <v>651</v>
      </c>
      <c r="I76" s="802">
        <f t="shared" si="1"/>
        <v>2422584</v>
      </c>
      <c r="J76" t="s">
        <v>715</v>
      </c>
    </row>
    <row r="77" spans="1:10" x14ac:dyDescent="0.25">
      <c r="A77" t="s">
        <v>642</v>
      </c>
      <c r="B77" t="s">
        <v>643</v>
      </c>
      <c r="C77" t="s">
        <v>705</v>
      </c>
      <c r="D77" t="s">
        <v>936</v>
      </c>
      <c r="E77" t="s">
        <v>646</v>
      </c>
      <c r="F77" s="237">
        <v>45716</v>
      </c>
      <c r="G77">
        <v>36</v>
      </c>
      <c r="H77" t="s">
        <v>651</v>
      </c>
      <c r="I77" s="802">
        <f t="shared" si="1"/>
        <v>2422584</v>
      </c>
      <c r="J77" t="s">
        <v>719</v>
      </c>
    </row>
    <row r="78" spans="1:10" x14ac:dyDescent="0.25">
      <c r="A78" t="s">
        <v>642</v>
      </c>
      <c r="B78" t="s">
        <v>643</v>
      </c>
      <c r="C78" t="s">
        <v>705</v>
      </c>
      <c r="D78" t="s">
        <v>1049</v>
      </c>
      <c r="E78" t="s">
        <v>646</v>
      </c>
      <c r="F78" s="237">
        <v>45715</v>
      </c>
      <c r="G78">
        <v>60</v>
      </c>
      <c r="H78" t="s">
        <v>651</v>
      </c>
      <c r="I78" s="802">
        <f t="shared" si="1"/>
        <v>4037640</v>
      </c>
      <c r="J78" t="s">
        <v>707</v>
      </c>
    </row>
    <row r="79" spans="1:10" x14ac:dyDescent="0.25">
      <c r="A79" t="s">
        <v>642</v>
      </c>
      <c r="B79" t="s">
        <v>643</v>
      </c>
      <c r="C79" t="s">
        <v>705</v>
      </c>
      <c r="D79" t="s">
        <v>753</v>
      </c>
      <c r="E79" t="s">
        <v>646</v>
      </c>
      <c r="F79" s="237">
        <v>45714</v>
      </c>
      <c r="G79">
        <v>30</v>
      </c>
      <c r="H79" t="s">
        <v>651</v>
      </c>
      <c r="I79" s="802">
        <f t="shared" si="1"/>
        <v>2018820</v>
      </c>
      <c r="J79" t="s">
        <v>754</v>
      </c>
    </row>
    <row r="80" spans="1:10" x14ac:dyDescent="0.25">
      <c r="A80" t="s">
        <v>642</v>
      </c>
      <c r="B80" t="s">
        <v>643</v>
      </c>
      <c r="C80" t="s">
        <v>644</v>
      </c>
      <c r="D80" t="s">
        <v>1201</v>
      </c>
      <c r="E80" t="s">
        <v>646</v>
      </c>
      <c r="F80" s="237">
        <v>45711</v>
      </c>
      <c r="G80">
        <v>1.1100000000000001</v>
      </c>
      <c r="H80" t="s">
        <v>647</v>
      </c>
      <c r="I80" s="802">
        <f t="shared" si="1"/>
        <v>587190</v>
      </c>
      <c r="J80" t="s">
        <v>648</v>
      </c>
    </row>
    <row r="81" spans="1:10" x14ac:dyDescent="0.25">
      <c r="A81" t="s">
        <v>642</v>
      </c>
      <c r="B81" t="s">
        <v>643</v>
      </c>
      <c r="C81" t="s">
        <v>705</v>
      </c>
      <c r="D81" t="s">
        <v>773</v>
      </c>
      <c r="E81" t="s">
        <v>646</v>
      </c>
      <c r="F81" s="237">
        <v>45703</v>
      </c>
      <c r="G81">
        <v>60</v>
      </c>
      <c r="H81" t="s">
        <v>651</v>
      </c>
      <c r="I81" s="802">
        <f t="shared" si="1"/>
        <v>4037640</v>
      </c>
      <c r="J81" t="s">
        <v>731</v>
      </c>
    </row>
    <row r="82" spans="1:10" x14ac:dyDescent="0.25">
      <c r="A82" t="s">
        <v>642</v>
      </c>
      <c r="B82" t="s">
        <v>643</v>
      </c>
      <c r="C82" t="s">
        <v>705</v>
      </c>
      <c r="D82" t="s">
        <v>769</v>
      </c>
      <c r="E82" t="s">
        <v>646</v>
      </c>
      <c r="F82" s="237">
        <v>45702</v>
      </c>
      <c r="G82">
        <v>36</v>
      </c>
      <c r="H82" t="s">
        <v>651</v>
      </c>
      <c r="I82" s="802">
        <f t="shared" si="1"/>
        <v>2422584</v>
      </c>
      <c r="J82" t="s">
        <v>770</v>
      </c>
    </row>
    <row r="83" spans="1:10" x14ac:dyDescent="0.25">
      <c r="A83" t="s">
        <v>642</v>
      </c>
      <c r="B83" t="s">
        <v>643</v>
      </c>
      <c r="C83" t="s">
        <v>705</v>
      </c>
      <c r="D83" t="s">
        <v>771</v>
      </c>
      <c r="E83" t="s">
        <v>646</v>
      </c>
      <c r="F83" s="237">
        <v>45702</v>
      </c>
      <c r="G83">
        <v>36</v>
      </c>
      <c r="H83" t="s">
        <v>651</v>
      </c>
      <c r="I83" s="802">
        <f t="shared" si="1"/>
        <v>2422584</v>
      </c>
      <c r="J83" t="s">
        <v>719</v>
      </c>
    </row>
    <row r="84" spans="1:10" x14ac:dyDescent="0.25">
      <c r="A84" t="s">
        <v>642</v>
      </c>
      <c r="B84" t="s">
        <v>643</v>
      </c>
      <c r="C84" t="s">
        <v>705</v>
      </c>
      <c r="D84" t="s">
        <v>1123</v>
      </c>
      <c r="E84" t="s">
        <v>646</v>
      </c>
      <c r="F84" s="237">
        <v>45698</v>
      </c>
      <c r="G84">
        <v>30</v>
      </c>
      <c r="H84" t="s">
        <v>651</v>
      </c>
      <c r="I84" s="802">
        <f t="shared" si="1"/>
        <v>2018820</v>
      </c>
      <c r="J84" t="s">
        <v>715</v>
      </c>
    </row>
    <row r="85" spans="1:10" x14ac:dyDescent="0.25">
      <c r="A85" t="s">
        <v>642</v>
      </c>
      <c r="B85" t="s">
        <v>643</v>
      </c>
      <c r="C85" t="s">
        <v>705</v>
      </c>
      <c r="D85" t="s">
        <v>1124</v>
      </c>
      <c r="E85" t="s">
        <v>646</v>
      </c>
      <c r="F85" s="237">
        <v>45698</v>
      </c>
      <c r="G85">
        <v>30</v>
      </c>
      <c r="H85" t="s">
        <v>651</v>
      </c>
      <c r="I85" s="802">
        <f t="shared" si="1"/>
        <v>2018820</v>
      </c>
      <c r="J85" t="s">
        <v>719</v>
      </c>
    </row>
    <row r="86" spans="1:10" x14ac:dyDescent="0.25">
      <c r="A86" t="s">
        <v>642</v>
      </c>
      <c r="B86" t="s">
        <v>643</v>
      </c>
      <c r="C86" t="s">
        <v>705</v>
      </c>
      <c r="D86" t="s">
        <v>1028</v>
      </c>
      <c r="E86" t="s">
        <v>646</v>
      </c>
      <c r="F86" s="237">
        <v>45694</v>
      </c>
      <c r="G86">
        <v>10</v>
      </c>
      <c r="H86" t="s">
        <v>651</v>
      </c>
      <c r="I86" s="802">
        <f t="shared" si="1"/>
        <v>672940</v>
      </c>
      <c r="J86" t="s">
        <v>707</v>
      </c>
    </row>
    <row r="87" spans="1:10" x14ac:dyDescent="0.25">
      <c r="A87" t="s">
        <v>642</v>
      </c>
      <c r="B87" t="s">
        <v>643</v>
      </c>
      <c r="C87" t="s">
        <v>705</v>
      </c>
      <c r="D87" t="s">
        <v>866</v>
      </c>
      <c r="E87" t="s">
        <v>646</v>
      </c>
      <c r="F87" s="237">
        <v>45693</v>
      </c>
      <c r="G87">
        <v>26.73</v>
      </c>
      <c r="H87" t="s">
        <v>647</v>
      </c>
      <c r="I87" s="802">
        <f t="shared" si="1"/>
        <v>14140170</v>
      </c>
      <c r="J87" t="s">
        <v>710</v>
      </c>
    </row>
    <row r="88" spans="1:10" x14ac:dyDescent="0.25">
      <c r="A88" t="s">
        <v>642</v>
      </c>
      <c r="B88" t="s">
        <v>643</v>
      </c>
      <c r="C88" t="s">
        <v>705</v>
      </c>
      <c r="D88" t="s">
        <v>1008</v>
      </c>
      <c r="E88" t="s">
        <v>646</v>
      </c>
      <c r="F88" s="237">
        <v>45692</v>
      </c>
      <c r="G88">
        <v>36</v>
      </c>
      <c r="H88" t="s">
        <v>651</v>
      </c>
      <c r="I88" s="802">
        <f t="shared" si="1"/>
        <v>2422584</v>
      </c>
      <c r="J88" t="s">
        <v>719</v>
      </c>
    </row>
    <row r="89" spans="1:10" x14ac:dyDescent="0.25">
      <c r="A89" t="s">
        <v>642</v>
      </c>
      <c r="B89" t="s">
        <v>643</v>
      </c>
      <c r="C89" t="s">
        <v>705</v>
      </c>
      <c r="D89" t="s">
        <v>1009</v>
      </c>
      <c r="E89" t="s">
        <v>646</v>
      </c>
      <c r="F89" s="237">
        <v>45692</v>
      </c>
      <c r="G89">
        <v>60</v>
      </c>
      <c r="H89" t="s">
        <v>651</v>
      </c>
      <c r="I89" s="802">
        <f t="shared" si="1"/>
        <v>4037640</v>
      </c>
      <c r="J89" t="s">
        <v>682</v>
      </c>
    </row>
    <row r="90" spans="1:10" x14ac:dyDescent="0.25">
      <c r="A90" t="s">
        <v>642</v>
      </c>
      <c r="B90" t="s">
        <v>643</v>
      </c>
      <c r="C90" t="s">
        <v>705</v>
      </c>
      <c r="D90" t="s">
        <v>977</v>
      </c>
      <c r="E90" t="s">
        <v>646</v>
      </c>
      <c r="F90" s="237">
        <v>45691</v>
      </c>
      <c r="G90">
        <v>60</v>
      </c>
      <c r="H90" t="s">
        <v>651</v>
      </c>
      <c r="I90" s="802">
        <f t="shared" si="1"/>
        <v>4037640</v>
      </c>
      <c r="J90" t="s">
        <v>978</v>
      </c>
    </row>
    <row r="91" spans="1:10" x14ac:dyDescent="0.25">
      <c r="A91" t="s">
        <v>642</v>
      </c>
      <c r="B91" t="s">
        <v>643</v>
      </c>
      <c r="C91" t="s">
        <v>705</v>
      </c>
      <c r="D91" t="s">
        <v>979</v>
      </c>
      <c r="E91" t="s">
        <v>646</v>
      </c>
      <c r="F91" s="237">
        <v>45691</v>
      </c>
      <c r="G91">
        <v>26.73</v>
      </c>
      <c r="H91" t="s">
        <v>647</v>
      </c>
      <c r="I91" s="802">
        <f t="shared" si="1"/>
        <v>14140170</v>
      </c>
      <c r="J91" t="s">
        <v>712</v>
      </c>
    </row>
    <row r="92" spans="1:10" x14ac:dyDescent="0.25">
      <c r="A92" t="s">
        <v>642</v>
      </c>
      <c r="B92" t="s">
        <v>643</v>
      </c>
      <c r="C92" t="s">
        <v>644</v>
      </c>
      <c r="D92" t="s">
        <v>1190</v>
      </c>
      <c r="E92" t="s">
        <v>646</v>
      </c>
      <c r="F92" s="237">
        <v>45681</v>
      </c>
      <c r="G92">
        <v>2</v>
      </c>
      <c r="H92" t="s">
        <v>647</v>
      </c>
      <c r="I92" s="802">
        <f t="shared" si="1"/>
        <v>1058000</v>
      </c>
      <c r="J92" t="s">
        <v>671</v>
      </c>
    </row>
    <row r="93" spans="1:10" x14ac:dyDescent="0.25">
      <c r="A93" t="s">
        <v>642</v>
      </c>
      <c r="B93" t="s">
        <v>643</v>
      </c>
      <c r="C93" t="s">
        <v>705</v>
      </c>
      <c r="D93" t="s">
        <v>949</v>
      </c>
      <c r="E93" t="s">
        <v>646</v>
      </c>
      <c r="F93" s="237">
        <v>45680</v>
      </c>
      <c r="G93">
        <v>26.73</v>
      </c>
      <c r="H93" t="s">
        <v>647</v>
      </c>
      <c r="I93" s="802">
        <f t="shared" si="1"/>
        <v>14140170</v>
      </c>
      <c r="J93" t="s">
        <v>712</v>
      </c>
    </row>
    <row r="94" spans="1:10" x14ac:dyDescent="0.25">
      <c r="A94" t="s">
        <v>642</v>
      </c>
      <c r="B94" t="s">
        <v>643</v>
      </c>
      <c r="C94" t="s">
        <v>644</v>
      </c>
      <c r="D94" t="s">
        <v>675</v>
      </c>
      <c r="E94" t="s">
        <v>646</v>
      </c>
      <c r="F94" s="237">
        <v>45677</v>
      </c>
      <c r="G94">
        <v>1.1100000000000001</v>
      </c>
      <c r="H94" t="s">
        <v>647</v>
      </c>
      <c r="I94" s="802">
        <f t="shared" si="1"/>
        <v>587190</v>
      </c>
      <c r="J94" t="s">
        <v>648</v>
      </c>
    </row>
    <row r="95" spans="1:10" x14ac:dyDescent="0.25">
      <c r="A95" t="s">
        <v>642</v>
      </c>
      <c r="B95" t="s">
        <v>643</v>
      </c>
      <c r="C95" t="s">
        <v>705</v>
      </c>
      <c r="D95" t="s">
        <v>934</v>
      </c>
      <c r="E95" t="s">
        <v>646</v>
      </c>
      <c r="F95" s="237">
        <v>45677</v>
      </c>
      <c r="G95">
        <v>60</v>
      </c>
      <c r="H95" t="s">
        <v>651</v>
      </c>
      <c r="I95" s="802">
        <f t="shared" si="1"/>
        <v>4037640</v>
      </c>
      <c r="J95" t="s">
        <v>655</v>
      </c>
    </row>
    <row r="96" spans="1:10" x14ac:dyDescent="0.25">
      <c r="A96" t="s">
        <v>642</v>
      </c>
      <c r="B96" t="s">
        <v>643</v>
      </c>
      <c r="C96" t="s">
        <v>644</v>
      </c>
      <c r="D96" t="s">
        <v>1202</v>
      </c>
      <c r="E96" t="s">
        <v>646</v>
      </c>
      <c r="F96" s="237">
        <v>45674</v>
      </c>
      <c r="G96">
        <v>2</v>
      </c>
      <c r="H96" t="s">
        <v>647</v>
      </c>
      <c r="I96" s="802">
        <f t="shared" si="1"/>
        <v>1058000</v>
      </c>
      <c r="J96" t="s">
        <v>671</v>
      </c>
    </row>
    <row r="97" spans="1:10" x14ac:dyDescent="0.25">
      <c r="A97" t="s">
        <v>642</v>
      </c>
      <c r="B97" t="s">
        <v>643</v>
      </c>
      <c r="C97" t="s">
        <v>705</v>
      </c>
      <c r="D97" t="s">
        <v>714</v>
      </c>
      <c r="E97" t="s">
        <v>646</v>
      </c>
      <c r="F97" s="237">
        <v>45670</v>
      </c>
      <c r="G97">
        <v>60</v>
      </c>
      <c r="H97" t="s">
        <v>651</v>
      </c>
      <c r="I97" s="802">
        <f t="shared" si="1"/>
        <v>4037640</v>
      </c>
      <c r="J97" t="s">
        <v>715</v>
      </c>
    </row>
    <row r="98" spans="1:10" x14ac:dyDescent="0.25">
      <c r="A98" t="s">
        <v>642</v>
      </c>
      <c r="B98" t="s">
        <v>643</v>
      </c>
      <c r="C98" t="s">
        <v>705</v>
      </c>
      <c r="D98" t="s">
        <v>716</v>
      </c>
      <c r="E98" t="s">
        <v>646</v>
      </c>
      <c r="F98" s="237">
        <v>45670</v>
      </c>
      <c r="G98">
        <v>60</v>
      </c>
      <c r="H98" t="s">
        <v>651</v>
      </c>
      <c r="I98" s="802">
        <f t="shared" si="1"/>
        <v>4037640</v>
      </c>
      <c r="J98" t="s">
        <v>717</v>
      </c>
    </row>
    <row r="99" spans="1:10" x14ac:dyDescent="0.25">
      <c r="A99" t="s">
        <v>642</v>
      </c>
      <c r="B99" t="s">
        <v>643</v>
      </c>
      <c r="C99" t="s">
        <v>705</v>
      </c>
      <c r="D99" t="s">
        <v>718</v>
      </c>
      <c r="E99" t="s">
        <v>646</v>
      </c>
      <c r="F99" s="237">
        <v>45670</v>
      </c>
      <c r="G99">
        <v>60</v>
      </c>
      <c r="H99" t="s">
        <v>651</v>
      </c>
      <c r="I99" s="802">
        <f t="shared" si="1"/>
        <v>4037640</v>
      </c>
      <c r="J99" t="s">
        <v>719</v>
      </c>
    </row>
    <row r="100" spans="1:10" x14ac:dyDescent="0.25">
      <c r="A100" t="s">
        <v>642</v>
      </c>
      <c r="B100" t="s">
        <v>643</v>
      </c>
      <c r="C100" t="s">
        <v>644</v>
      </c>
      <c r="D100" t="s">
        <v>1199</v>
      </c>
      <c r="E100" t="s">
        <v>646</v>
      </c>
      <c r="F100" s="237">
        <v>45670</v>
      </c>
      <c r="G100">
        <v>1.1100000000000001</v>
      </c>
      <c r="H100" t="s">
        <v>647</v>
      </c>
      <c r="I100" s="802">
        <f t="shared" si="1"/>
        <v>587190</v>
      </c>
      <c r="J100" t="s">
        <v>648</v>
      </c>
    </row>
    <row r="101" spans="1:10" x14ac:dyDescent="0.25">
      <c r="A101" t="s">
        <v>642</v>
      </c>
      <c r="B101" t="s">
        <v>643</v>
      </c>
      <c r="C101" t="s">
        <v>644</v>
      </c>
      <c r="D101" t="s">
        <v>1200</v>
      </c>
      <c r="E101" t="s">
        <v>646</v>
      </c>
      <c r="F101" s="237">
        <v>45660</v>
      </c>
      <c r="G101">
        <v>1.1100000000000001</v>
      </c>
      <c r="H101" t="s">
        <v>647</v>
      </c>
      <c r="I101" s="802">
        <f t="shared" si="1"/>
        <v>587190</v>
      </c>
      <c r="J101" t="s">
        <v>648</v>
      </c>
    </row>
    <row r="102" spans="1:10" x14ac:dyDescent="0.25">
      <c r="A102" t="s">
        <v>642</v>
      </c>
      <c r="B102" t="s">
        <v>643</v>
      </c>
      <c r="C102" t="s">
        <v>644</v>
      </c>
      <c r="D102" t="s">
        <v>1203</v>
      </c>
      <c r="E102" t="s">
        <v>646</v>
      </c>
      <c r="F102" s="237">
        <v>45656</v>
      </c>
      <c r="G102">
        <v>1.1100000000000001</v>
      </c>
      <c r="H102" t="s">
        <v>647</v>
      </c>
      <c r="I102" s="802">
        <f t="shared" si="1"/>
        <v>587190</v>
      </c>
      <c r="J102" t="s">
        <v>648</v>
      </c>
    </row>
    <row r="103" spans="1:10" x14ac:dyDescent="0.25">
      <c r="A103" t="s">
        <v>642</v>
      </c>
      <c r="B103" t="s">
        <v>643</v>
      </c>
      <c r="C103" t="s">
        <v>644</v>
      </c>
      <c r="D103" t="s">
        <v>1186</v>
      </c>
      <c r="E103" t="s">
        <v>646</v>
      </c>
      <c r="F103" s="237">
        <v>45649</v>
      </c>
      <c r="G103">
        <v>1.1100000000000001</v>
      </c>
      <c r="H103" t="s">
        <v>647</v>
      </c>
      <c r="I103" s="802">
        <f t="shared" si="1"/>
        <v>587190</v>
      </c>
      <c r="J103" t="s">
        <v>648</v>
      </c>
    </row>
    <row r="104" spans="1:10" x14ac:dyDescent="0.25">
      <c r="A104" t="s">
        <v>642</v>
      </c>
      <c r="B104" t="s">
        <v>643</v>
      </c>
      <c r="C104" t="s">
        <v>705</v>
      </c>
      <c r="D104" t="s">
        <v>1750</v>
      </c>
      <c r="E104" t="s">
        <v>646</v>
      </c>
      <c r="F104" s="237">
        <v>45646</v>
      </c>
      <c r="G104">
        <v>60</v>
      </c>
      <c r="H104" t="s">
        <v>651</v>
      </c>
      <c r="I104" s="802">
        <f t="shared" si="1"/>
        <v>4037640</v>
      </c>
      <c r="J104" t="s">
        <v>719</v>
      </c>
    </row>
    <row r="105" spans="1:10" x14ac:dyDescent="0.25">
      <c r="A105" t="s">
        <v>642</v>
      </c>
      <c r="B105" t="s">
        <v>643</v>
      </c>
      <c r="C105" t="s">
        <v>705</v>
      </c>
      <c r="D105" t="s">
        <v>1751</v>
      </c>
      <c r="E105" t="s">
        <v>646</v>
      </c>
      <c r="F105" s="237">
        <v>45646</v>
      </c>
      <c r="G105">
        <v>60</v>
      </c>
      <c r="H105" t="s">
        <v>651</v>
      </c>
      <c r="I105" s="802">
        <f t="shared" si="1"/>
        <v>4037640</v>
      </c>
      <c r="J105" t="s">
        <v>715</v>
      </c>
    </row>
    <row r="106" spans="1:10" x14ac:dyDescent="0.25">
      <c r="A106" t="s">
        <v>642</v>
      </c>
      <c r="B106" t="s">
        <v>643</v>
      </c>
      <c r="C106" t="s">
        <v>705</v>
      </c>
      <c r="D106" t="s">
        <v>1752</v>
      </c>
      <c r="E106" t="s">
        <v>646</v>
      </c>
      <c r="F106" s="237">
        <v>45646</v>
      </c>
      <c r="G106">
        <v>60</v>
      </c>
      <c r="H106" t="s">
        <v>651</v>
      </c>
      <c r="I106" s="802">
        <f t="shared" si="1"/>
        <v>4037640</v>
      </c>
      <c r="J106" t="s">
        <v>959</v>
      </c>
    </row>
    <row r="107" spans="1:10" x14ac:dyDescent="0.25">
      <c r="A107" t="s">
        <v>642</v>
      </c>
      <c r="B107" t="s">
        <v>643</v>
      </c>
      <c r="C107" t="s">
        <v>705</v>
      </c>
      <c r="D107" t="s">
        <v>937</v>
      </c>
      <c r="E107" t="s">
        <v>646</v>
      </c>
      <c r="F107" s="237">
        <v>45645</v>
      </c>
      <c r="G107">
        <v>26.73</v>
      </c>
      <c r="H107" t="s">
        <v>647</v>
      </c>
      <c r="I107" s="802">
        <f t="shared" si="1"/>
        <v>14140170</v>
      </c>
      <c r="J107" t="s">
        <v>712</v>
      </c>
    </row>
    <row r="108" spans="1:10" x14ac:dyDescent="0.25">
      <c r="A108" t="s">
        <v>642</v>
      </c>
      <c r="B108" t="s">
        <v>643</v>
      </c>
      <c r="C108" t="s">
        <v>644</v>
      </c>
      <c r="D108" t="s">
        <v>1187</v>
      </c>
      <c r="E108" t="s">
        <v>646</v>
      </c>
      <c r="F108" s="237">
        <v>45645</v>
      </c>
      <c r="G108">
        <v>1.1100000000000001</v>
      </c>
      <c r="H108" t="s">
        <v>647</v>
      </c>
      <c r="I108" s="802">
        <f t="shared" si="1"/>
        <v>587190</v>
      </c>
      <c r="J108" t="s">
        <v>648</v>
      </c>
    </row>
    <row r="109" spans="1:10" x14ac:dyDescent="0.25">
      <c r="A109" t="s">
        <v>642</v>
      </c>
      <c r="B109" t="s">
        <v>643</v>
      </c>
      <c r="C109" t="s">
        <v>705</v>
      </c>
      <c r="D109" t="s">
        <v>1122</v>
      </c>
      <c r="E109" t="s">
        <v>646</v>
      </c>
      <c r="F109" s="237">
        <v>45641</v>
      </c>
      <c r="G109">
        <v>60</v>
      </c>
      <c r="H109" t="s">
        <v>651</v>
      </c>
      <c r="I109" s="802">
        <f t="shared" si="1"/>
        <v>4037640</v>
      </c>
      <c r="J109" t="s">
        <v>717</v>
      </c>
    </row>
    <row r="110" spans="1:10" x14ac:dyDescent="0.25">
      <c r="A110" t="s">
        <v>642</v>
      </c>
      <c r="B110" t="s">
        <v>643</v>
      </c>
      <c r="C110" t="s">
        <v>644</v>
      </c>
      <c r="D110" t="s">
        <v>1185</v>
      </c>
      <c r="E110" t="s">
        <v>646</v>
      </c>
      <c r="F110" s="237">
        <v>45641</v>
      </c>
      <c r="G110">
        <v>2</v>
      </c>
      <c r="H110" t="s">
        <v>647</v>
      </c>
      <c r="I110" s="802">
        <f t="shared" si="1"/>
        <v>1058000</v>
      </c>
      <c r="J110" t="s">
        <v>671</v>
      </c>
    </row>
    <row r="111" spans="1:10" x14ac:dyDescent="0.25">
      <c r="A111" t="s">
        <v>642</v>
      </c>
      <c r="B111" t="s">
        <v>643</v>
      </c>
      <c r="C111" t="s">
        <v>705</v>
      </c>
      <c r="D111" t="s">
        <v>1761</v>
      </c>
      <c r="E111" t="s">
        <v>646</v>
      </c>
      <c r="F111" s="237">
        <v>45638</v>
      </c>
      <c r="G111">
        <v>60</v>
      </c>
      <c r="H111" t="s">
        <v>651</v>
      </c>
      <c r="I111" s="802">
        <f t="shared" si="1"/>
        <v>4037640</v>
      </c>
      <c r="J111" t="s">
        <v>715</v>
      </c>
    </row>
    <row r="112" spans="1:10" x14ac:dyDescent="0.25">
      <c r="A112" t="s">
        <v>642</v>
      </c>
      <c r="B112" t="s">
        <v>643</v>
      </c>
      <c r="C112" t="s">
        <v>705</v>
      </c>
      <c r="D112" t="s">
        <v>1762</v>
      </c>
      <c r="E112" t="s">
        <v>646</v>
      </c>
      <c r="F112" s="237">
        <v>45638</v>
      </c>
      <c r="G112">
        <v>60</v>
      </c>
      <c r="H112" t="s">
        <v>651</v>
      </c>
      <c r="I112" s="802">
        <f t="shared" si="1"/>
        <v>4037640</v>
      </c>
      <c r="J112" t="s">
        <v>961</v>
      </c>
    </row>
    <row r="113" spans="1:10" x14ac:dyDescent="0.25">
      <c r="A113" t="s">
        <v>642</v>
      </c>
      <c r="B113" t="s">
        <v>643</v>
      </c>
      <c r="C113" t="s">
        <v>705</v>
      </c>
      <c r="D113" t="s">
        <v>1763</v>
      </c>
      <c r="E113" t="s">
        <v>646</v>
      </c>
      <c r="F113" s="237">
        <v>45638</v>
      </c>
      <c r="G113">
        <v>60</v>
      </c>
      <c r="H113" t="s">
        <v>651</v>
      </c>
      <c r="I113" s="802">
        <f t="shared" si="1"/>
        <v>4037640</v>
      </c>
      <c r="J113" t="s">
        <v>719</v>
      </c>
    </row>
    <row r="114" spans="1:10" x14ac:dyDescent="0.25">
      <c r="A114" t="s">
        <v>642</v>
      </c>
      <c r="B114" t="s">
        <v>643</v>
      </c>
      <c r="C114" t="s">
        <v>644</v>
      </c>
      <c r="D114" t="s">
        <v>654</v>
      </c>
      <c r="E114" t="s">
        <v>646</v>
      </c>
      <c r="F114" s="237">
        <v>45621</v>
      </c>
      <c r="G114">
        <v>60</v>
      </c>
      <c r="H114" t="s">
        <v>651</v>
      </c>
      <c r="I114" s="802">
        <f t="shared" si="1"/>
        <v>4037640</v>
      </c>
      <c r="J114" t="s">
        <v>655</v>
      </c>
    </row>
    <row r="115" spans="1:10" x14ac:dyDescent="0.25">
      <c r="A115" t="s">
        <v>642</v>
      </c>
      <c r="B115" t="s">
        <v>643</v>
      </c>
      <c r="C115" t="s">
        <v>644</v>
      </c>
      <c r="D115" t="s">
        <v>1180</v>
      </c>
      <c r="E115" t="s">
        <v>646</v>
      </c>
      <c r="F115" s="237">
        <v>45621</v>
      </c>
      <c r="G115">
        <v>2</v>
      </c>
      <c r="H115" t="s">
        <v>647</v>
      </c>
      <c r="I115" s="802">
        <f t="shared" si="1"/>
        <v>1058000</v>
      </c>
      <c r="J115" t="s">
        <v>671</v>
      </c>
    </row>
    <row r="116" spans="1:10" x14ac:dyDescent="0.25">
      <c r="A116" t="s">
        <v>642</v>
      </c>
      <c r="B116" t="s">
        <v>643</v>
      </c>
      <c r="C116" t="s">
        <v>644</v>
      </c>
      <c r="D116" t="s">
        <v>1181</v>
      </c>
      <c r="E116" t="s">
        <v>646</v>
      </c>
      <c r="F116" s="237">
        <v>45621</v>
      </c>
      <c r="G116">
        <v>60</v>
      </c>
      <c r="H116" t="s">
        <v>651</v>
      </c>
      <c r="I116" s="802">
        <f t="shared" si="1"/>
        <v>4037640</v>
      </c>
      <c r="J116" t="s">
        <v>1182</v>
      </c>
    </row>
    <row r="117" spans="1:10" x14ac:dyDescent="0.25">
      <c r="A117" t="s">
        <v>642</v>
      </c>
      <c r="B117" t="s">
        <v>643</v>
      </c>
      <c r="C117" t="s">
        <v>644</v>
      </c>
      <c r="D117" t="s">
        <v>1183</v>
      </c>
      <c r="E117" t="s">
        <v>646</v>
      </c>
      <c r="F117" s="237">
        <v>45621</v>
      </c>
      <c r="G117">
        <v>2</v>
      </c>
      <c r="H117" t="s">
        <v>647</v>
      </c>
      <c r="I117" s="802">
        <f t="shared" si="1"/>
        <v>1058000</v>
      </c>
      <c r="J117" t="s">
        <v>671</v>
      </c>
    </row>
    <row r="118" spans="1:10" x14ac:dyDescent="0.25">
      <c r="A118" t="s">
        <v>642</v>
      </c>
      <c r="B118" t="s">
        <v>643</v>
      </c>
      <c r="C118" t="s">
        <v>644</v>
      </c>
      <c r="D118" t="s">
        <v>1184</v>
      </c>
      <c r="E118" t="s">
        <v>646</v>
      </c>
      <c r="F118" s="237">
        <v>45621</v>
      </c>
      <c r="G118">
        <v>2</v>
      </c>
      <c r="H118" t="s">
        <v>647</v>
      </c>
      <c r="I118" s="802">
        <f t="shared" si="1"/>
        <v>1058000</v>
      </c>
      <c r="J118" t="s">
        <v>671</v>
      </c>
    </row>
    <row r="119" spans="1:10" x14ac:dyDescent="0.25">
      <c r="A119" t="s">
        <v>642</v>
      </c>
      <c r="B119" t="s">
        <v>643</v>
      </c>
      <c r="C119" t="s">
        <v>705</v>
      </c>
      <c r="D119" t="s">
        <v>1140</v>
      </c>
      <c r="E119" t="s">
        <v>646</v>
      </c>
      <c r="F119" s="237">
        <v>45619</v>
      </c>
      <c r="G119">
        <v>60</v>
      </c>
      <c r="H119" t="s">
        <v>651</v>
      </c>
      <c r="I119" s="802">
        <f t="shared" si="1"/>
        <v>4037640</v>
      </c>
      <c r="J119" t="s">
        <v>719</v>
      </c>
    </row>
    <row r="120" spans="1:10" x14ac:dyDescent="0.25">
      <c r="A120" t="s">
        <v>642</v>
      </c>
      <c r="B120" t="s">
        <v>643</v>
      </c>
      <c r="C120" t="s">
        <v>705</v>
      </c>
      <c r="D120" t="s">
        <v>1141</v>
      </c>
      <c r="E120" t="s">
        <v>646</v>
      </c>
      <c r="F120" s="237">
        <v>45619</v>
      </c>
      <c r="G120">
        <v>60</v>
      </c>
      <c r="H120" t="s">
        <v>651</v>
      </c>
      <c r="I120" s="802">
        <f t="shared" si="1"/>
        <v>4037640</v>
      </c>
      <c r="J120" t="s">
        <v>770</v>
      </c>
    </row>
    <row r="121" spans="1:10" x14ac:dyDescent="0.25">
      <c r="A121" t="s">
        <v>642</v>
      </c>
      <c r="B121" t="s">
        <v>643</v>
      </c>
      <c r="C121" t="s">
        <v>705</v>
      </c>
      <c r="D121" t="s">
        <v>787</v>
      </c>
      <c r="E121" t="s">
        <v>646</v>
      </c>
      <c r="F121" s="237">
        <v>45618</v>
      </c>
      <c r="G121">
        <v>60</v>
      </c>
      <c r="H121" t="s">
        <v>651</v>
      </c>
      <c r="I121" s="802">
        <f t="shared" si="1"/>
        <v>4037640</v>
      </c>
      <c r="J121" t="s">
        <v>777</v>
      </c>
    </row>
    <row r="122" spans="1:10" x14ac:dyDescent="0.25">
      <c r="A122" t="s">
        <v>642</v>
      </c>
      <c r="B122" t="s">
        <v>643</v>
      </c>
      <c r="C122" t="s">
        <v>705</v>
      </c>
      <c r="D122" t="s">
        <v>788</v>
      </c>
      <c r="E122" t="s">
        <v>646</v>
      </c>
      <c r="F122" s="237">
        <v>45618</v>
      </c>
      <c r="G122">
        <v>60</v>
      </c>
      <c r="H122" t="s">
        <v>651</v>
      </c>
      <c r="I122" s="802">
        <f t="shared" si="1"/>
        <v>4037640</v>
      </c>
      <c r="J122" t="s">
        <v>731</v>
      </c>
    </row>
    <row r="123" spans="1:10" x14ac:dyDescent="0.25">
      <c r="A123" t="s">
        <v>642</v>
      </c>
      <c r="B123" t="s">
        <v>643</v>
      </c>
      <c r="C123" t="s">
        <v>644</v>
      </c>
      <c r="D123" t="s">
        <v>650</v>
      </c>
      <c r="E123" t="s">
        <v>646</v>
      </c>
      <c r="F123" s="237">
        <v>45614</v>
      </c>
      <c r="G123">
        <v>60</v>
      </c>
      <c r="H123" t="s">
        <v>651</v>
      </c>
      <c r="I123" s="802">
        <f t="shared" si="1"/>
        <v>4037640</v>
      </c>
      <c r="J123" t="s">
        <v>652</v>
      </c>
    </row>
    <row r="124" spans="1:10" x14ac:dyDescent="0.25">
      <c r="A124" t="s">
        <v>642</v>
      </c>
      <c r="B124" t="s">
        <v>643</v>
      </c>
      <c r="C124" t="s">
        <v>705</v>
      </c>
      <c r="D124" t="s">
        <v>904</v>
      </c>
      <c r="E124" t="s">
        <v>646</v>
      </c>
      <c r="F124" s="237">
        <v>45613</v>
      </c>
      <c r="G124">
        <v>60</v>
      </c>
      <c r="H124" t="s">
        <v>651</v>
      </c>
      <c r="I124" s="802">
        <f t="shared" si="1"/>
        <v>4037640</v>
      </c>
      <c r="J124" t="s">
        <v>715</v>
      </c>
    </row>
    <row r="125" spans="1:10" x14ac:dyDescent="0.25">
      <c r="A125" t="s">
        <v>642</v>
      </c>
      <c r="B125" t="s">
        <v>643</v>
      </c>
      <c r="C125" t="s">
        <v>705</v>
      </c>
      <c r="D125" t="s">
        <v>905</v>
      </c>
      <c r="E125" t="s">
        <v>646</v>
      </c>
      <c r="F125" s="237">
        <v>45613</v>
      </c>
      <c r="G125">
        <v>60</v>
      </c>
      <c r="H125" t="s">
        <v>651</v>
      </c>
      <c r="I125" s="802">
        <f t="shared" si="1"/>
        <v>4037640</v>
      </c>
      <c r="J125" t="s">
        <v>717</v>
      </c>
    </row>
    <row r="126" spans="1:10" x14ac:dyDescent="0.25">
      <c r="A126" t="s">
        <v>642</v>
      </c>
      <c r="B126" t="s">
        <v>643</v>
      </c>
      <c r="C126" t="s">
        <v>705</v>
      </c>
      <c r="D126" t="s">
        <v>906</v>
      </c>
      <c r="E126" t="s">
        <v>646</v>
      </c>
      <c r="F126" s="237">
        <v>45613</v>
      </c>
      <c r="G126">
        <v>60</v>
      </c>
      <c r="H126" t="s">
        <v>651</v>
      </c>
      <c r="I126" s="802">
        <f t="shared" si="1"/>
        <v>4037640</v>
      </c>
      <c r="J126" t="s">
        <v>719</v>
      </c>
    </row>
    <row r="127" spans="1:10" x14ac:dyDescent="0.25">
      <c r="A127" t="s">
        <v>642</v>
      </c>
      <c r="B127" t="s">
        <v>643</v>
      </c>
      <c r="C127" t="s">
        <v>705</v>
      </c>
      <c r="D127" t="s">
        <v>907</v>
      </c>
      <c r="E127" t="s">
        <v>646</v>
      </c>
      <c r="F127" s="237">
        <v>45613</v>
      </c>
      <c r="G127">
        <v>60</v>
      </c>
      <c r="H127" t="s">
        <v>651</v>
      </c>
      <c r="I127" s="802">
        <f t="shared" si="1"/>
        <v>4037640</v>
      </c>
      <c r="J127" t="s">
        <v>689</v>
      </c>
    </row>
    <row r="128" spans="1:10" x14ac:dyDescent="0.25">
      <c r="A128" t="s">
        <v>642</v>
      </c>
      <c r="B128" t="s">
        <v>643</v>
      </c>
      <c r="C128" t="s">
        <v>644</v>
      </c>
      <c r="D128" t="s">
        <v>645</v>
      </c>
      <c r="E128" t="s">
        <v>646</v>
      </c>
      <c r="F128" s="237">
        <v>45612</v>
      </c>
      <c r="G128">
        <v>1.1100000000000001</v>
      </c>
      <c r="H128" t="s">
        <v>647</v>
      </c>
      <c r="I128" s="802">
        <f t="shared" si="1"/>
        <v>587190</v>
      </c>
      <c r="J128" t="s">
        <v>648</v>
      </c>
    </row>
    <row r="129" spans="1:10" x14ac:dyDescent="0.25">
      <c r="A129" t="s">
        <v>642</v>
      </c>
      <c r="B129" t="s">
        <v>643</v>
      </c>
      <c r="C129" t="s">
        <v>644</v>
      </c>
      <c r="D129" t="s">
        <v>653</v>
      </c>
      <c r="E129" t="s">
        <v>646</v>
      </c>
      <c r="F129" s="237">
        <v>45600</v>
      </c>
      <c r="G129">
        <v>1.1100000000000001</v>
      </c>
      <c r="H129" t="s">
        <v>647</v>
      </c>
      <c r="I129" s="802">
        <f t="shared" si="1"/>
        <v>587190</v>
      </c>
      <c r="J129" t="s">
        <v>648</v>
      </c>
    </row>
    <row r="130" spans="1:10" x14ac:dyDescent="0.25">
      <c r="A130" t="s">
        <v>642</v>
      </c>
      <c r="B130" t="s">
        <v>643</v>
      </c>
      <c r="C130" t="s">
        <v>644</v>
      </c>
      <c r="D130" t="s">
        <v>1188</v>
      </c>
      <c r="E130" t="s">
        <v>646</v>
      </c>
      <c r="F130" s="237">
        <v>45599</v>
      </c>
      <c r="G130">
        <v>1.1100000000000001</v>
      </c>
      <c r="H130" t="s">
        <v>647</v>
      </c>
      <c r="I130" s="802">
        <f t="shared" si="1"/>
        <v>587190</v>
      </c>
      <c r="J130" t="s">
        <v>648</v>
      </c>
    </row>
    <row r="131" spans="1:10" x14ac:dyDescent="0.25">
      <c r="A131" t="s">
        <v>642</v>
      </c>
      <c r="B131" t="s">
        <v>643</v>
      </c>
      <c r="C131" t="s">
        <v>705</v>
      </c>
      <c r="D131" t="s">
        <v>1741</v>
      </c>
      <c r="E131" t="s">
        <v>646</v>
      </c>
      <c r="F131" s="237">
        <v>45597</v>
      </c>
      <c r="G131">
        <v>40</v>
      </c>
      <c r="H131" t="s">
        <v>651</v>
      </c>
      <c r="I131" s="802">
        <f t="shared" ref="I131:I194" si="2">+IF(H131="IMM",+G131*529000,+G131*67294)</f>
        <v>2691760</v>
      </c>
      <c r="J131" t="s">
        <v>1742</v>
      </c>
    </row>
    <row r="132" spans="1:10" x14ac:dyDescent="0.25">
      <c r="A132" t="s">
        <v>642</v>
      </c>
      <c r="B132" t="s">
        <v>643</v>
      </c>
      <c r="C132" t="s">
        <v>644</v>
      </c>
      <c r="D132" t="s">
        <v>1189</v>
      </c>
      <c r="E132" t="s">
        <v>646</v>
      </c>
      <c r="F132" s="237">
        <v>45596</v>
      </c>
      <c r="G132">
        <v>1.1100000000000001</v>
      </c>
      <c r="H132" t="s">
        <v>647</v>
      </c>
      <c r="I132" s="802">
        <f t="shared" si="2"/>
        <v>587190</v>
      </c>
      <c r="J132" t="s">
        <v>648</v>
      </c>
    </row>
    <row r="133" spans="1:10" x14ac:dyDescent="0.25">
      <c r="A133" t="s">
        <v>642</v>
      </c>
      <c r="B133" t="s">
        <v>643</v>
      </c>
      <c r="C133" t="s">
        <v>644</v>
      </c>
      <c r="D133" t="s">
        <v>662</v>
      </c>
      <c r="E133" t="s">
        <v>646</v>
      </c>
      <c r="F133" s="237">
        <v>45592</v>
      </c>
      <c r="G133">
        <v>1.1100000000000001</v>
      </c>
      <c r="H133" t="s">
        <v>647</v>
      </c>
      <c r="I133" s="802">
        <f t="shared" si="2"/>
        <v>587190</v>
      </c>
      <c r="J133" t="s">
        <v>648</v>
      </c>
    </row>
    <row r="134" spans="1:10" x14ac:dyDescent="0.25">
      <c r="A134" t="s">
        <v>642</v>
      </c>
      <c r="B134" t="s">
        <v>643</v>
      </c>
      <c r="C134" t="s">
        <v>705</v>
      </c>
      <c r="D134" t="s">
        <v>952</v>
      </c>
      <c r="E134" t="s">
        <v>646</v>
      </c>
      <c r="F134" s="237">
        <v>45575</v>
      </c>
      <c r="G134">
        <v>60</v>
      </c>
      <c r="H134" t="s">
        <v>651</v>
      </c>
      <c r="I134" s="802">
        <f t="shared" si="2"/>
        <v>4037640</v>
      </c>
      <c r="J134" t="s">
        <v>655</v>
      </c>
    </row>
    <row r="135" spans="1:10" x14ac:dyDescent="0.25">
      <c r="A135" t="s">
        <v>642</v>
      </c>
      <c r="B135" t="s">
        <v>643</v>
      </c>
      <c r="C135" t="s">
        <v>644</v>
      </c>
      <c r="D135" t="s">
        <v>659</v>
      </c>
      <c r="E135" t="s">
        <v>646</v>
      </c>
      <c r="F135" s="237">
        <v>45571</v>
      </c>
      <c r="G135">
        <v>60</v>
      </c>
      <c r="H135" t="s">
        <v>651</v>
      </c>
      <c r="I135" s="802">
        <f t="shared" si="2"/>
        <v>4037640</v>
      </c>
      <c r="J135" t="s">
        <v>655</v>
      </c>
    </row>
    <row r="136" spans="1:10" x14ac:dyDescent="0.25">
      <c r="A136" t="s">
        <v>642</v>
      </c>
      <c r="B136" t="s">
        <v>643</v>
      </c>
      <c r="C136" t="s">
        <v>705</v>
      </c>
      <c r="D136" t="s">
        <v>1139</v>
      </c>
      <c r="E136" t="s">
        <v>646</v>
      </c>
      <c r="F136" s="237">
        <v>45565</v>
      </c>
      <c r="G136">
        <v>60</v>
      </c>
      <c r="H136" t="s">
        <v>651</v>
      </c>
      <c r="I136" s="802">
        <f t="shared" si="2"/>
        <v>4037640</v>
      </c>
      <c r="J136" t="s">
        <v>736</v>
      </c>
    </row>
    <row r="137" spans="1:10" x14ac:dyDescent="0.25">
      <c r="A137" t="s">
        <v>642</v>
      </c>
      <c r="B137" t="s">
        <v>643</v>
      </c>
      <c r="C137" t="s">
        <v>644</v>
      </c>
      <c r="D137" t="s">
        <v>649</v>
      </c>
      <c r="E137" t="s">
        <v>646</v>
      </c>
      <c r="F137" s="237">
        <v>45564</v>
      </c>
      <c r="G137">
        <v>1.1100000000000001</v>
      </c>
      <c r="H137" t="s">
        <v>647</v>
      </c>
      <c r="I137" s="802">
        <f t="shared" si="2"/>
        <v>587190</v>
      </c>
      <c r="J137" t="s">
        <v>648</v>
      </c>
    </row>
    <row r="138" spans="1:10" x14ac:dyDescent="0.25">
      <c r="A138" t="s">
        <v>642</v>
      </c>
      <c r="B138" t="s">
        <v>643</v>
      </c>
      <c r="C138" t="s">
        <v>705</v>
      </c>
      <c r="D138" t="s">
        <v>1102</v>
      </c>
      <c r="E138" t="s">
        <v>646</v>
      </c>
      <c r="F138" s="237">
        <v>45558</v>
      </c>
      <c r="G138">
        <v>60</v>
      </c>
      <c r="H138" t="s">
        <v>651</v>
      </c>
      <c r="I138" s="802">
        <f t="shared" si="2"/>
        <v>4037640</v>
      </c>
      <c r="J138" t="s">
        <v>742</v>
      </c>
    </row>
    <row r="139" spans="1:10" x14ac:dyDescent="0.25">
      <c r="A139" t="s">
        <v>642</v>
      </c>
      <c r="B139" t="s">
        <v>643</v>
      </c>
      <c r="C139" t="s">
        <v>705</v>
      </c>
      <c r="D139" t="s">
        <v>1103</v>
      </c>
      <c r="E139" t="s">
        <v>646</v>
      </c>
      <c r="F139" s="237">
        <v>45558</v>
      </c>
      <c r="G139">
        <v>60</v>
      </c>
      <c r="H139" t="s">
        <v>651</v>
      </c>
      <c r="I139" s="802">
        <f t="shared" si="2"/>
        <v>4037640</v>
      </c>
      <c r="J139" t="s">
        <v>1104</v>
      </c>
    </row>
    <row r="140" spans="1:10" x14ac:dyDescent="0.25">
      <c r="A140" t="s">
        <v>642</v>
      </c>
      <c r="B140" t="s">
        <v>643</v>
      </c>
      <c r="C140" t="s">
        <v>705</v>
      </c>
      <c r="D140" t="s">
        <v>1125</v>
      </c>
      <c r="E140" t="s">
        <v>646</v>
      </c>
      <c r="F140" s="237">
        <v>45558</v>
      </c>
      <c r="G140">
        <v>60</v>
      </c>
      <c r="H140" t="s">
        <v>651</v>
      </c>
      <c r="I140" s="802">
        <f t="shared" si="2"/>
        <v>4037640</v>
      </c>
      <c r="J140" t="s">
        <v>1022</v>
      </c>
    </row>
    <row r="141" spans="1:10" x14ac:dyDescent="0.25">
      <c r="A141" t="s">
        <v>642</v>
      </c>
      <c r="B141" t="s">
        <v>643</v>
      </c>
      <c r="C141" t="s">
        <v>644</v>
      </c>
      <c r="D141" t="s">
        <v>667</v>
      </c>
      <c r="E141" t="s">
        <v>646</v>
      </c>
      <c r="F141" s="237">
        <v>45557</v>
      </c>
      <c r="G141">
        <v>1.1100000000000001</v>
      </c>
      <c r="H141" t="s">
        <v>647</v>
      </c>
      <c r="I141" s="802">
        <f t="shared" si="2"/>
        <v>587190</v>
      </c>
      <c r="J141" t="s">
        <v>648</v>
      </c>
    </row>
    <row r="142" spans="1:10" x14ac:dyDescent="0.25">
      <c r="A142" t="s">
        <v>642</v>
      </c>
      <c r="B142" t="s">
        <v>643</v>
      </c>
      <c r="C142" t="s">
        <v>705</v>
      </c>
      <c r="D142" t="s">
        <v>789</v>
      </c>
      <c r="E142" t="s">
        <v>646</v>
      </c>
      <c r="F142" s="237">
        <v>45556</v>
      </c>
      <c r="G142">
        <v>60</v>
      </c>
      <c r="H142" t="s">
        <v>651</v>
      </c>
      <c r="I142" s="802">
        <f t="shared" si="2"/>
        <v>4037640</v>
      </c>
      <c r="J142" t="s">
        <v>689</v>
      </c>
    </row>
    <row r="143" spans="1:10" x14ac:dyDescent="0.25">
      <c r="A143" t="s">
        <v>642</v>
      </c>
      <c r="B143" t="s">
        <v>643</v>
      </c>
      <c r="C143" t="s">
        <v>644</v>
      </c>
      <c r="D143" t="s">
        <v>656</v>
      </c>
      <c r="E143" t="s">
        <v>646</v>
      </c>
      <c r="F143" s="237">
        <v>45548</v>
      </c>
      <c r="G143">
        <v>1.1100000000000001</v>
      </c>
      <c r="H143" t="s">
        <v>647</v>
      </c>
      <c r="I143" s="802">
        <f t="shared" si="2"/>
        <v>587190</v>
      </c>
      <c r="J143" t="s">
        <v>648</v>
      </c>
    </row>
    <row r="144" spans="1:10" x14ac:dyDescent="0.25">
      <c r="A144" t="s">
        <v>642</v>
      </c>
      <c r="B144" t="s">
        <v>643</v>
      </c>
      <c r="C144" t="s">
        <v>644</v>
      </c>
      <c r="D144" t="s">
        <v>660</v>
      </c>
      <c r="E144" t="s">
        <v>646</v>
      </c>
      <c r="F144" s="237">
        <v>45540</v>
      </c>
      <c r="G144">
        <v>1.1100000000000001</v>
      </c>
      <c r="H144" t="s">
        <v>647</v>
      </c>
      <c r="I144" s="802">
        <f t="shared" si="2"/>
        <v>587190</v>
      </c>
      <c r="J144" t="s">
        <v>648</v>
      </c>
    </row>
    <row r="145" spans="1:10" x14ac:dyDescent="0.25">
      <c r="A145" t="s">
        <v>642</v>
      </c>
      <c r="B145" t="s">
        <v>643</v>
      </c>
      <c r="C145" t="s">
        <v>644</v>
      </c>
      <c r="D145" t="s">
        <v>658</v>
      </c>
      <c r="E145" t="s">
        <v>646</v>
      </c>
      <c r="F145" s="237">
        <v>45537</v>
      </c>
      <c r="G145">
        <v>1.1100000000000001</v>
      </c>
      <c r="H145" t="s">
        <v>647</v>
      </c>
      <c r="I145" s="802">
        <f t="shared" si="2"/>
        <v>587190</v>
      </c>
      <c r="J145" t="s">
        <v>648</v>
      </c>
    </row>
    <row r="146" spans="1:10" x14ac:dyDescent="0.25">
      <c r="A146" t="s">
        <v>642</v>
      </c>
      <c r="B146" t="s">
        <v>643</v>
      </c>
      <c r="C146" t="s">
        <v>705</v>
      </c>
      <c r="D146" t="s">
        <v>1138</v>
      </c>
      <c r="E146" t="s">
        <v>646</v>
      </c>
      <c r="F146" s="237">
        <v>45535</v>
      </c>
      <c r="G146">
        <v>60</v>
      </c>
      <c r="H146" t="s">
        <v>651</v>
      </c>
      <c r="I146" s="802">
        <f t="shared" si="2"/>
        <v>4037640</v>
      </c>
      <c r="J146" t="s">
        <v>1022</v>
      </c>
    </row>
    <row r="147" spans="1:10" x14ac:dyDescent="0.25">
      <c r="A147" t="s">
        <v>642</v>
      </c>
      <c r="B147" t="s">
        <v>643</v>
      </c>
      <c r="C147" t="s">
        <v>705</v>
      </c>
      <c r="D147" t="s">
        <v>747</v>
      </c>
      <c r="E147" t="s">
        <v>646</v>
      </c>
      <c r="F147" s="237">
        <v>45534</v>
      </c>
      <c r="G147">
        <v>10</v>
      </c>
      <c r="H147" t="s">
        <v>651</v>
      </c>
      <c r="I147" s="802">
        <f t="shared" si="2"/>
        <v>672940</v>
      </c>
      <c r="J147" t="s">
        <v>707</v>
      </c>
    </row>
    <row r="148" spans="1:10" x14ac:dyDescent="0.25">
      <c r="A148" t="s">
        <v>642</v>
      </c>
      <c r="B148" t="s">
        <v>643</v>
      </c>
      <c r="C148" t="s">
        <v>644</v>
      </c>
      <c r="D148" t="s">
        <v>672</v>
      </c>
      <c r="E148" t="s">
        <v>646</v>
      </c>
      <c r="F148" s="237">
        <v>45533</v>
      </c>
      <c r="G148">
        <v>2</v>
      </c>
      <c r="H148" t="s">
        <v>647</v>
      </c>
      <c r="I148" s="802">
        <f t="shared" si="2"/>
        <v>1058000</v>
      </c>
      <c r="J148" t="s">
        <v>671</v>
      </c>
    </row>
    <row r="149" spans="1:10" x14ac:dyDescent="0.25">
      <c r="A149" t="s">
        <v>642</v>
      </c>
      <c r="B149" t="s">
        <v>643</v>
      </c>
      <c r="C149" t="s">
        <v>644</v>
      </c>
      <c r="D149" t="s">
        <v>673</v>
      </c>
      <c r="E149" t="s">
        <v>646</v>
      </c>
      <c r="F149" s="237">
        <v>45533</v>
      </c>
      <c r="G149">
        <v>30</v>
      </c>
      <c r="H149" t="s">
        <v>651</v>
      </c>
      <c r="I149" s="802">
        <f t="shared" si="2"/>
        <v>2018820</v>
      </c>
      <c r="J149" t="s">
        <v>669</v>
      </c>
    </row>
    <row r="150" spans="1:10" x14ac:dyDescent="0.25">
      <c r="A150" t="s">
        <v>642</v>
      </c>
      <c r="B150" t="s">
        <v>643</v>
      </c>
      <c r="C150" t="s">
        <v>705</v>
      </c>
      <c r="D150" t="s">
        <v>1107</v>
      </c>
      <c r="E150" t="s">
        <v>646</v>
      </c>
      <c r="F150" s="237">
        <v>45533</v>
      </c>
      <c r="G150">
        <v>30</v>
      </c>
      <c r="H150" t="s">
        <v>651</v>
      </c>
      <c r="I150" s="802">
        <f t="shared" si="2"/>
        <v>2018820</v>
      </c>
      <c r="J150" t="s">
        <v>707</v>
      </c>
    </row>
    <row r="151" spans="1:10" x14ac:dyDescent="0.25">
      <c r="A151" t="s">
        <v>642</v>
      </c>
      <c r="B151" t="s">
        <v>643</v>
      </c>
      <c r="C151" t="s">
        <v>644</v>
      </c>
      <c r="D151" t="s">
        <v>657</v>
      </c>
      <c r="E151" t="s">
        <v>646</v>
      </c>
      <c r="F151" s="237">
        <v>45527</v>
      </c>
      <c r="G151">
        <v>1.1100000000000001</v>
      </c>
      <c r="H151" t="s">
        <v>647</v>
      </c>
      <c r="I151" s="802">
        <f t="shared" si="2"/>
        <v>587190</v>
      </c>
      <c r="J151" t="s">
        <v>648</v>
      </c>
    </row>
    <row r="152" spans="1:10" x14ac:dyDescent="0.25">
      <c r="A152" t="s">
        <v>642</v>
      </c>
      <c r="B152" t="s">
        <v>643</v>
      </c>
      <c r="C152" t="s">
        <v>705</v>
      </c>
      <c r="D152" t="s">
        <v>939</v>
      </c>
      <c r="E152" t="s">
        <v>646</v>
      </c>
      <c r="F152" s="237">
        <v>45527</v>
      </c>
      <c r="G152">
        <v>50</v>
      </c>
      <c r="H152" t="s">
        <v>651</v>
      </c>
      <c r="I152" s="802">
        <f t="shared" si="2"/>
        <v>3364700</v>
      </c>
      <c r="J152" t="s">
        <v>940</v>
      </c>
    </row>
    <row r="153" spans="1:10" x14ac:dyDescent="0.25">
      <c r="A153" t="s">
        <v>642</v>
      </c>
      <c r="B153" t="s">
        <v>643</v>
      </c>
      <c r="C153" t="s">
        <v>644</v>
      </c>
      <c r="D153" t="s">
        <v>663</v>
      </c>
      <c r="E153" t="s">
        <v>646</v>
      </c>
      <c r="F153" s="237">
        <v>45521</v>
      </c>
      <c r="G153">
        <v>1.1100000000000001</v>
      </c>
      <c r="H153" t="s">
        <v>647</v>
      </c>
      <c r="I153" s="802">
        <f t="shared" si="2"/>
        <v>587190</v>
      </c>
      <c r="J153" t="s">
        <v>648</v>
      </c>
    </row>
    <row r="154" spans="1:10" x14ac:dyDescent="0.25">
      <c r="A154" t="s">
        <v>642</v>
      </c>
      <c r="B154" t="s">
        <v>643</v>
      </c>
      <c r="C154" t="s">
        <v>644</v>
      </c>
      <c r="D154" t="s">
        <v>661</v>
      </c>
      <c r="E154" t="s">
        <v>646</v>
      </c>
      <c r="F154" s="237">
        <v>45519</v>
      </c>
      <c r="G154">
        <v>1.1100000000000001</v>
      </c>
      <c r="H154" t="s">
        <v>647</v>
      </c>
      <c r="I154" s="802">
        <f t="shared" si="2"/>
        <v>587190</v>
      </c>
      <c r="J154" t="s">
        <v>648</v>
      </c>
    </row>
    <row r="155" spans="1:10" x14ac:dyDescent="0.25">
      <c r="A155" t="s">
        <v>642</v>
      </c>
      <c r="B155" t="s">
        <v>643</v>
      </c>
      <c r="C155" t="s">
        <v>705</v>
      </c>
      <c r="D155" t="s">
        <v>953</v>
      </c>
      <c r="E155" t="s">
        <v>646</v>
      </c>
      <c r="F155" s="237">
        <v>45519</v>
      </c>
      <c r="G155">
        <v>60</v>
      </c>
      <c r="H155" t="s">
        <v>651</v>
      </c>
      <c r="I155" s="802">
        <f t="shared" si="2"/>
        <v>4037640</v>
      </c>
      <c r="J155" t="s">
        <v>954</v>
      </c>
    </row>
    <row r="156" spans="1:10" x14ac:dyDescent="0.25">
      <c r="A156" t="s">
        <v>642</v>
      </c>
      <c r="B156" t="s">
        <v>643</v>
      </c>
      <c r="C156" t="s">
        <v>644</v>
      </c>
      <c r="D156" t="s">
        <v>1178</v>
      </c>
      <c r="E156" t="s">
        <v>646</v>
      </c>
      <c r="F156" s="237">
        <v>45519</v>
      </c>
      <c r="G156">
        <v>2</v>
      </c>
      <c r="H156" t="s">
        <v>647</v>
      </c>
      <c r="I156" s="802">
        <f t="shared" si="2"/>
        <v>1058000</v>
      </c>
      <c r="J156" t="s">
        <v>671</v>
      </c>
    </row>
    <row r="157" spans="1:10" x14ac:dyDescent="0.25">
      <c r="A157" t="s">
        <v>642</v>
      </c>
      <c r="B157" t="s">
        <v>643</v>
      </c>
      <c r="C157" t="s">
        <v>705</v>
      </c>
      <c r="D157" t="s">
        <v>1010</v>
      </c>
      <c r="E157" t="s">
        <v>646</v>
      </c>
      <c r="F157" s="237">
        <v>45516</v>
      </c>
      <c r="G157">
        <v>60</v>
      </c>
      <c r="H157" t="s">
        <v>651</v>
      </c>
      <c r="I157" s="802">
        <f t="shared" si="2"/>
        <v>4037640</v>
      </c>
      <c r="J157" t="s">
        <v>689</v>
      </c>
    </row>
    <row r="158" spans="1:10" x14ac:dyDescent="0.25">
      <c r="A158" t="s">
        <v>642</v>
      </c>
      <c r="B158" t="s">
        <v>643</v>
      </c>
      <c r="C158" t="s">
        <v>644</v>
      </c>
      <c r="D158" t="s">
        <v>668</v>
      </c>
      <c r="E158" t="s">
        <v>646</v>
      </c>
      <c r="F158" s="237">
        <v>45512</v>
      </c>
      <c r="G158">
        <v>60</v>
      </c>
      <c r="H158" t="s">
        <v>651</v>
      </c>
      <c r="I158" s="802">
        <f t="shared" si="2"/>
        <v>4037640</v>
      </c>
      <c r="J158" t="s">
        <v>669</v>
      </c>
    </row>
    <row r="159" spans="1:10" x14ac:dyDescent="0.25">
      <c r="A159" t="s">
        <v>642</v>
      </c>
      <c r="B159" t="s">
        <v>643</v>
      </c>
      <c r="C159" t="s">
        <v>644</v>
      </c>
      <c r="D159" t="s">
        <v>670</v>
      </c>
      <c r="E159" t="s">
        <v>646</v>
      </c>
      <c r="F159" s="237">
        <v>45512</v>
      </c>
      <c r="G159">
        <v>2</v>
      </c>
      <c r="H159" t="s">
        <v>647</v>
      </c>
      <c r="I159" s="802">
        <f t="shared" si="2"/>
        <v>1058000</v>
      </c>
      <c r="J159" t="s">
        <v>671</v>
      </c>
    </row>
    <row r="160" spans="1:10" x14ac:dyDescent="0.25">
      <c r="A160" t="s">
        <v>642</v>
      </c>
      <c r="B160" t="s">
        <v>643</v>
      </c>
      <c r="C160" t="s">
        <v>705</v>
      </c>
      <c r="D160" t="s">
        <v>1126</v>
      </c>
      <c r="E160" t="s">
        <v>646</v>
      </c>
      <c r="F160" s="237">
        <v>45508</v>
      </c>
      <c r="G160">
        <v>60</v>
      </c>
      <c r="H160" t="s">
        <v>651</v>
      </c>
      <c r="I160" s="802">
        <f t="shared" si="2"/>
        <v>4037640</v>
      </c>
      <c r="J160" t="s">
        <v>1022</v>
      </c>
    </row>
    <row r="161" spans="1:10" x14ac:dyDescent="0.25">
      <c r="A161" t="s">
        <v>642</v>
      </c>
      <c r="B161" t="s">
        <v>643</v>
      </c>
      <c r="C161" t="s">
        <v>705</v>
      </c>
      <c r="D161" t="s">
        <v>899</v>
      </c>
      <c r="E161" t="s">
        <v>646</v>
      </c>
      <c r="F161" s="237">
        <v>45505</v>
      </c>
      <c r="G161">
        <v>60</v>
      </c>
      <c r="H161" t="s">
        <v>651</v>
      </c>
      <c r="I161" s="802">
        <f t="shared" si="2"/>
        <v>4037640</v>
      </c>
      <c r="J161" t="s">
        <v>731</v>
      </c>
    </row>
    <row r="162" spans="1:10" x14ac:dyDescent="0.25">
      <c r="A162" t="s">
        <v>642</v>
      </c>
      <c r="B162" t="s">
        <v>643</v>
      </c>
      <c r="C162" t="s">
        <v>644</v>
      </c>
      <c r="D162" t="s">
        <v>1177</v>
      </c>
      <c r="E162" t="s">
        <v>646</v>
      </c>
      <c r="F162" s="237">
        <v>45504</v>
      </c>
      <c r="G162">
        <v>1</v>
      </c>
      <c r="H162" t="s">
        <v>647</v>
      </c>
      <c r="I162" s="802">
        <f t="shared" si="2"/>
        <v>529000</v>
      </c>
      <c r="J162" t="s">
        <v>671</v>
      </c>
    </row>
    <row r="163" spans="1:10" x14ac:dyDescent="0.25">
      <c r="A163" t="s">
        <v>642</v>
      </c>
      <c r="B163" t="s">
        <v>643</v>
      </c>
      <c r="C163" t="s">
        <v>705</v>
      </c>
      <c r="D163" t="s">
        <v>987</v>
      </c>
      <c r="E163" t="s">
        <v>646</v>
      </c>
      <c r="F163" s="237">
        <v>45502</v>
      </c>
      <c r="G163">
        <v>105</v>
      </c>
      <c r="H163" t="s">
        <v>651</v>
      </c>
      <c r="I163" s="802">
        <f t="shared" si="2"/>
        <v>7065870</v>
      </c>
      <c r="J163" t="s">
        <v>988</v>
      </c>
    </row>
    <row r="164" spans="1:10" x14ac:dyDescent="0.25">
      <c r="A164" t="s">
        <v>642</v>
      </c>
      <c r="B164" t="s">
        <v>643</v>
      </c>
      <c r="C164" t="s">
        <v>644</v>
      </c>
      <c r="D164" t="s">
        <v>666</v>
      </c>
      <c r="E164" t="s">
        <v>646</v>
      </c>
      <c r="F164" s="237">
        <v>45498</v>
      </c>
      <c r="G164">
        <v>1.1100000000000001</v>
      </c>
      <c r="H164" t="s">
        <v>647</v>
      </c>
      <c r="I164" s="802">
        <f t="shared" si="2"/>
        <v>587190</v>
      </c>
      <c r="J164" t="s">
        <v>648</v>
      </c>
    </row>
    <row r="165" spans="1:10" x14ac:dyDescent="0.25">
      <c r="A165" t="s">
        <v>642</v>
      </c>
      <c r="B165" t="s">
        <v>643</v>
      </c>
      <c r="C165" t="s">
        <v>705</v>
      </c>
      <c r="D165" t="s">
        <v>797</v>
      </c>
      <c r="E165" t="s">
        <v>646</v>
      </c>
      <c r="F165" s="237">
        <v>45495</v>
      </c>
      <c r="G165">
        <v>60</v>
      </c>
      <c r="H165" t="s">
        <v>651</v>
      </c>
      <c r="I165" s="802">
        <f t="shared" si="2"/>
        <v>4037640</v>
      </c>
      <c r="J165" t="s">
        <v>689</v>
      </c>
    </row>
    <row r="166" spans="1:10" x14ac:dyDescent="0.25">
      <c r="A166" t="s">
        <v>642</v>
      </c>
      <c r="B166" t="s">
        <v>643</v>
      </c>
      <c r="C166" t="s">
        <v>705</v>
      </c>
      <c r="D166" t="s">
        <v>798</v>
      </c>
      <c r="E166" t="s">
        <v>646</v>
      </c>
      <c r="F166" s="237">
        <v>45495</v>
      </c>
      <c r="G166">
        <v>60</v>
      </c>
      <c r="H166" t="s">
        <v>651</v>
      </c>
      <c r="I166" s="802">
        <f t="shared" si="2"/>
        <v>4037640</v>
      </c>
      <c r="J166" t="s">
        <v>731</v>
      </c>
    </row>
    <row r="167" spans="1:10" x14ac:dyDescent="0.25">
      <c r="A167" t="s">
        <v>642</v>
      </c>
      <c r="B167" t="s">
        <v>643</v>
      </c>
      <c r="C167" t="s">
        <v>705</v>
      </c>
      <c r="D167" t="s">
        <v>799</v>
      </c>
      <c r="E167" t="s">
        <v>646</v>
      </c>
      <c r="F167" s="237">
        <v>45495</v>
      </c>
      <c r="G167">
        <v>60</v>
      </c>
      <c r="H167" t="s">
        <v>651</v>
      </c>
      <c r="I167" s="802">
        <f t="shared" si="2"/>
        <v>4037640</v>
      </c>
      <c r="J167" t="s">
        <v>800</v>
      </c>
    </row>
    <row r="168" spans="1:10" x14ac:dyDescent="0.25">
      <c r="A168" t="s">
        <v>642</v>
      </c>
      <c r="B168" t="s">
        <v>643</v>
      </c>
      <c r="C168" t="s">
        <v>644</v>
      </c>
      <c r="D168" t="s">
        <v>664</v>
      </c>
      <c r="E168" t="s">
        <v>646</v>
      </c>
      <c r="F168" s="237">
        <v>45492</v>
      </c>
      <c r="G168">
        <v>60</v>
      </c>
      <c r="H168" t="s">
        <v>651</v>
      </c>
      <c r="I168" s="802">
        <f t="shared" si="2"/>
        <v>4037640</v>
      </c>
      <c r="J168" t="s">
        <v>665</v>
      </c>
    </row>
    <row r="169" spans="1:10" x14ac:dyDescent="0.25">
      <c r="A169" t="s">
        <v>642</v>
      </c>
      <c r="B169" t="s">
        <v>643</v>
      </c>
      <c r="C169" t="s">
        <v>705</v>
      </c>
      <c r="D169" t="s">
        <v>1098</v>
      </c>
      <c r="E169" t="s">
        <v>646</v>
      </c>
      <c r="F169" s="237">
        <v>45487</v>
      </c>
      <c r="G169">
        <v>60</v>
      </c>
      <c r="H169" t="s">
        <v>651</v>
      </c>
      <c r="I169" s="802">
        <f t="shared" si="2"/>
        <v>4037640</v>
      </c>
      <c r="J169" t="s">
        <v>686</v>
      </c>
    </row>
    <row r="170" spans="1:10" x14ac:dyDescent="0.25">
      <c r="A170" t="s">
        <v>642</v>
      </c>
      <c r="B170" t="s">
        <v>643</v>
      </c>
      <c r="C170" t="s">
        <v>705</v>
      </c>
      <c r="D170" t="s">
        <v>1099</v>
      </c>
      <c r="E170" t="s">
        <v>646</v>
      </c>
      <c r="F170" s="237">
        <v>45487</v>
      </c>
      <c r="G170">
        <v>60</v>
      </c>
      <c r="H170" t="s">
        <v>651</v>
      </c>
      <c r="I170" s="802">
        <f t="shared" si="2"/>
        <v>4037640</v>
      </c>
      <c r="J170" t="s">
        <v>655</v>
      </c>
    </row>
    <row r="171" spans="1:10" x14ac:dyDescent="0.25">
      <c r="A171" t="s">
        <v>642</v>
      </c>
      <c r="B171" t="s">
        <v>643</v>
      </c>
      <c r="C171" t="s">
        <v>705</v>
      </c>
      <c r="D171" t="s">
        <v>1100</v>
      </c>
      <c r="E171" t="s">
        <v>646</v>
      </c>
      <c r="F171" s="237">
        <v>45487</v>
      </c>
      <c r="G171">
        <v>60</v>
      </c>
      <c r="H171" t="s">
        <v>651</v>
      </c>
      <c r="I171" s="802">
        <f t="shared" si="2"/>
        <v>4037640</v>
      </c>
      <c r="J171" t="s">
        <v>1101</v>
      </c>
    </row>
    <row r="172" spans="1:10" x14ac:dyDescent="0.25">
      <c r="A172" t="s">
        <v>642</v>
      </c>
      <c r="B172" t="s">
        <v>643</v>
      </c>
      <c r="C172" t="s">
        <v>705</v>
      </c>
      <c r="D172" t="s">
        <v>1023</v>
      </c>
      <c r="E172" t="s">
        <v>646</v>
      </c>
      <c r="F172" s="237">
        <v>45486</v>
      </c>
      <c r="G172">
        <v>26.73</v>
      </c>
      <c r="H172" t="s">
        <v>647</v>
      </c>
      <c r="I172" s="802">
        <f t="shared" si="2"/>
        <v>14140170</v>
      </c>
      <c r="J172" t="s">
        <v>712</v>
      </c>
    </row>
    <row r="173" spans="1:10" x14ac:dyDescent="0.25">
      <c r="A173" t="s">
        <v>642</v>
      </c>
      <c r="B173" t="s">
        <v>643</v>
      </c>
      <c r="C173" t="s">
        <v>705</v>
      </c>
      <c r="D173" t="s">
        <v>882</v>
      </c>
      <c r="E173" t="s">
        <v>646</v>
      </c>
      <c r="F173" s="237">
        <v>45484</v>
      </c>
      <c r="G173">
        <v>60</v>
      </c>
      <c r="H173" t="s">
        <v>651</v>
      </c>
      <c r="I173" s="802">
        <f t="shared" si="2"/>
        <v>4037640</v>
      </c>
      <c r="J173" t="s">
        <v>731</v>
      </c>
    </row>
    <row r="174" spans="1:10" x14ac:dyDescent="0.25">
      <c r="A174" t="s">
        <v>642</v>
      </c>
      <c r="B174" t="s">
        <v>643</v>
      </c>
      <c r="C174" t="s">
        <v>705</v>
      </c>
      <c r="D174" t="s">
        <v>741</v>
      </c>
      <c r="E174" t="s">
        <v>646</v>
      </c>
      <c r="F174" s="237">
        <v>45474</v>
      </c>
      <c r="G174">
        <v>60</v>
      </c>
      <c r="H174" t="s">
        <v>651</v>
      </c>
      <c r="I174" s="802">
        <f t="shared" si="2"/>
        <v>4037640</v>
      </c>
      <c r="J174" t="s">
        <v>742</v>
      </c>
    </row>
    <row r="175" spans="1:10" x14ac:dyDescent="0.25">
      <c r="A175" t="s">
        <v>642</v>
      </c>
      <c r="B175" t="s">
        <v>643</v>
      </c>
      <c r="C175" t="s">
        <v>705</v>
      </c>
      <c r="D175" t="s">
        <v>743</v>
      </c>
      <c r="E175" t="s">
        <v>646</v>
      </c>
      <c r="F175" s="237">
        <v>45474</v>
      </c>
      <c r="G175">
        <v>60</v>
      </c>
      <c r="H175" t="s">
        <v>651</v>
      </c>
      <c r="I175" s="802">
        <f t="shared" si="2"/>
        <v>4037640</v>
      </c>
      <c r="J175" t="s">
        <v>744</v>
      </c>
    </row>
    <row r="176" spans="1:10" x14ac:dyDescent="0.25">
      <c r="A176" t="s">
        <v>642</v>
      </c>
      <c r="B176" t="s">
        <v>643</v>
      </c>
      <c r="C176" t="s">
        <v>644</v>
      </c>
      <c r="D176" t="s">
        <v>1155</v>
      </c>
      <c r="E176" t="s">
        <v>646</v>
      </c>
      <c r="F176" s="237">
        <v>45470</v>
      </c>
      <c r="G176">
        <v>1.1100000000000001</v>
      </c>
      <c r="H176" t="s">
        <v>647</v>
      </c>
      <c r="I176" s="802">
        <f t="shared" si="2"/>
        <v>587190</v>
      </c>
      <c r="J176" t="s">
        <v>648</v>
      </c>
    </row>
    <row r="177" spans="1:10" x14ac:dyDescent="0.25">
      <c r="A177" t="s">
        <v>642</v>
      </c>
      <c r="B177" t="s">
        <v>643</v>
      </c>
      <c r="C177" t="s">
        <v>644</v>
      </c>
      <c r="D177" t="s">
        <v>694</v>
      </c>
      <c r="E177" t="s">
        <v>646</v>
      </c>
      <c r="F177" s="237">
        <v>45466</v>
      </c>
      <c r="G177">
        <v>1.1100000000000001</v>
      </c>
      <c r="H177" t="s">
        <v>647</v>
      </c>
      <c r="I177" s="802">
        <f t="shared" si="2"/>
        <v>587190</v>
      </c>
      <c r="J177" t="s">
        <v>648</v>
      </c>
    </row>
    <row r="178" spans="1:10" x14ac:dyDescent="0.25">
      <c r="A178" t="s">
        <v>642</v>
      </c>
      <c r="B178" t="s">
        <v>643</v>
      </c>
      <c r="C178" t="s">
        <v>644</v>
      </c>
      <c r="D178" t="s">
        <v>1174</v>
      </c>
      <c r="E178" t="s">
        <v>646</v>
      </c>
      <c r="F178" s="237">
        <v>45459</v>
      </c>
      <c r="G178">
        <v>1.1100000000000001</v>
      </c>
      <c r="H178" t="s">
        <v>647</v>
      </c>
      <c r="I178" s="802">
        <f t="shared" si="2"/>
        <v>587190</v>
      </c>
      <c r="J178" t="s">
        <v>648</v>
      </c>
    </row>
    <row r="179" spans="1:10" x14ac:dyDescent="0.25">
      <c r="A179" t="s">
        <v>642</v>
      </c>
      <c r="B179" t="s">
        <v>643</v>
      </c>
      <c r="C179" t="s">
        <v>644</v>
      </c>
      <c r="D179" t="s">
        <v>674</v>
      </c>
      <c r="E179" t="s">
        <v>646</v>
      </c>
      <c r="F179" s="237">
        <v>45457</v>
      </c>
      <c r="G179">
        <v>2</v>
      </c>
      <c r="H179" t="s">
        <v>647</v>
      </c>
      <c r="I179" s="802">
        <f t="shared" si="2"/>
        <v>1058000</v>
      </c>
      <c r="J179" t="s">
        <v>671</v>
      </c>
    </row>
    <row r="180" spans="1:10" x14ac:dyDescent="0.25">
      <c r="A180" t="s">
        <v>642</v>
      </c>
      <c r="B180" t="s">
        <v>643</v>
      </c>
      <c r="C180" t="s">
        <v>644</v>
      </c>
      <c r="D180" t="s">
        <v>698</v>
      </c>
      <c r="E180" t="s">
        <v>646</v>
      </c>
      <c r="F180" s="237">
        <v>45457</v>
      </c>
      <c r="G180">
        <v>1.1100000000000001</v>
      </c>
      <c r="H180" t="s">
        <v>647</v>
      </c>
      <c r="I180" s="802">
        <f t="shared" si="2"/>
        <v>587190</v>
      </c>
      <c r="J180" t="s">
        <v>648</v>
      </c>
    </row>
    <row r="181" spans="1:10" x14ac:dyDescent="0.25">
      <c r="A181" t="s">
        <v>642</v>
      </c>
      <c r="B181" t="s">
        <v>643</v>
      </c>
      <c r="C181" t="s">
        <v>705</v>
      </c>
      <c r="D181" t="s">
        <v>900</v>
      </c>
      <c r="E181" t="s">
        <v>646</v>
      </c>
      <c r="F181" s="237">
        <v>45457</v>
      </c>
      <c r="G181">
        <v>30</v>
      </c>
      <c r="H181" t="s">
        <v>651</v>
      </c>
      <c r="I181" s="802">
        <f t="shared" si="2"/>
        <v>2018820</v>
      </c>
      <c r="J181" t="s">
        <v>898</v>
      </c>
    </row>
    <row r="182" spans="1:10" x14ac:dyDescent="0.25">
      <c r="A182" t="s">
        <v>642</v>
      </c>
      <c r="B182" t="s">
        <v>643</v>
      </c>
      <c r="C182" t="s">
        <v>644</v>
      </c>
      <c r="D182" t="s">
        <v>1144</v>
      </c>
      <c r="E182" t="s">
        <v>646</v>
      </c>
      <c r="F182" s="237">
        <v>45457</v>
      </c>
      <c r="G182">
        <v>1.1100000000000001</v>
      </c>
      <c r="H182" t="s">
        <v>647</v>
      </c>
      <c r="I182" s="802">
        <f t="shared" si="2"/>
        <v>587190</v>
      </c>
      <c r="J182" t="s">
        <v>648</v>
      </c>
    </row>
    <row r="183" spans="1:10" x14ac:dyDescent="0.25">
      <c r="A183" t="s">
        <v>642</v>
      </c>
      <c r="B183" t="s">
        <v>643</v>
      </c>
      <c r="C183" t="s">
        <v>705</v>
      </c>
      <c r="D183" t="s">
        <v>1080</v>
      </c>
      <c r="E183" t="s">
        <v>646</v>
      </c>
      <c r="F183" s="237">
        <v>45453</v>
      </c>
      <c r="G183">
        <v>60</v>
      </c>
      <c r="H183" t="s">
        <v>651</v>
      </c>
      <c r="I183" s="802">
        <f t="shared" si="2"/>
        <v>4037640</v>
      </c>
      <c r="J183" t="s">
        <v>1022</v>
      </c>
    </row>
    <row r="184" spans="1:10" x14ac:dyDescent="0.25">
      <c r="A184" t="s">
        <v>642</v>
      </c>
      <c r="B184" t="s">
        <v>643</v>
      </c>
      <c r="C184" t="s">
        <v>644</v>
      </c>
      <c r="D184" t="s">
        <v>1179</v>
      </c>
      <c r="E184" t="s">
        <v>646</v>
      </c>
      <c r="F184" s="237">
        <v>45453</v>
      </c>
      <c r="G184">
        <v>1.1100000000000001</v>
      </c>
      <c r="H184" t="s">
        <v>647</v>
      </c>
      <c r="I184" s="802">
        <f t="shared" si="2"/>
        <v>587190</v>
      </c>
      <c r="J184" t="s">
        <v>648</v>
      </c>
    </row>
    <row r="185" spans="1:10" x14ac:dyDescent="0.25">
      <c r="A185" t="s">
        <v>642</v>
      </c>
      <c r="B185" t="s">
        <v>643</v>
      </c>
      <c r="C185" t="s">
        <v>644</v>
      </c>
      <c r="D185" t="s">
        <v>702</v>
      </c>
      <c r="E185" t="s">
        <v>646</v>
      </c>
      <c r="F185" s="237">
        <v>45452</v>
      </c>
      <c r="G185">
        <v>1.1100000000000001</v>
      </c>
      <c r="H185" t="s">
        <v>647</v>
      </c>
      <c r="I185" s="802">
        <f t="shared" si="2"/>
        <v>587190</v>
      </c>
      <c r="J185" t="s">
        <v>648</v>
      </c>
    </row>
    <row r="186" spans="1:10" x14ac:dyDescent="0.25">
      <c r="A186" t="s">
        <v>642</v>
      </c>
      <c r="B186" t="s">
        <v>643</v>
      </c>
      <c r="C186" t="s">
        <v>644</v>
      </c>
      <c r="D186" t="s">
        <v>704</v>
      </c>
      <c r="E186" t="s">
        <v>646</v>
      </c>
      <c r="F186" s="237">
        <v>45452</v>
      </c>
      <c r="G186">
        <v>1.1100000000000001</v>
      </c>
      <c r="H186" t="s">
        <v>647</v>
      </c>
      <c r="I186" s="802">
        <f t="shared" si="2"/>
        <v>587190</v>
      </c>
      <c r="J186" t="s">
        <v>648</v>
      </c>
    </row>
    <row r="187" spans="1:10" x14ac:dyDescent="0.25">
      <c r="A187" t="s">
        <v>642</v>
      </c>
      <c r="B187" t="s">
        <v>643</v>
      </c>
      <c r="C187" t="s">
        <v>705</v>
      </c>
      <c r="D187" t="s">
        <v>989</v>
      </c>
      <c r="E187" t="s">
        <v>646</v>
      </c>
      <c r="F187" s="237">
        <v>45452</v>
      </c>
      <c r="G187">
        <v>26.73</v>
      </c>
      <c r="H187" t="s">
        <v>647</v>
      </c>
      <c r="I187" s="802">
        <f t="shared" si="2"/>
        <v>14140170</v>
      </c>
      <c r="J187" t="s">
        <v>712</v>
      </c>
    </row>
    <row r="188" spans="1:10" x14ac:dyDescent="0.25">
      <c r="A188" t="s">
        <v>642</v>
      </c>
      <c r="B188" t="s">
        <v>643</v>
      </c>
      <c r="C188" t="s">
        <v>705</v>
      </c>
      <c r="D188" t="s">
        <v>990</v>
      </c>
      <c r="E188" t="s">
        <v>646</v>
      </c>
      <c r="F188" s="237">
        <v>45452</v>
      </c>
      <c r="G188">
        <v>1.1100000000000001</v>
      </c>
      <c r="H188" t="s">
        <v>647</v>
      </c>
      <c r="I188" s="802">
        <f t="shared" si="2"/>
        <v>587190</v>
      </c>
      <c r="J188" t="s">
        <v>648</v>
      </c>
    </row>
    <row r="189" spans="1:10" x14ac:dyDescent="0.25">
      <c r="A189" t="s">
        <v>642</v>
      </c>
      <c r="B189" t="s">
        <v>643</v>
      </c>
      <c r="C189" t="s">
        <v>644</v>
      </c>
      <c r="D189" t="s">
        <v>1159</v>
      </c>
      <c r="E189" t="s">
        <v>646</v>
      </c>
      <c r="F189" s="237">
        <v>45452</v>
      </c>
      <c r="G189">
        <v>1.1100000000000001</v>
      </c>
      <c r="H189" t="s">
        <v>647</v>
      </c>
      <c r="I189" s="802">
        <f t="shared" si="2"/>
        <v>587190</v>
      </c>
      <c r="J189" t="s">
        <v>648</v>
      </c>
    </row>
    <row r="190" spans="1:10" x14ac:dyDescent="0.25">
      <c r="A190" t="s">
        <v>642</v>
      </c>
      <c r="B190" t="s">
        <v>643</v>
      </c>
      <c r="C190" t="s">
        <v>644</v>
      </c>
      <c r="D190" t="s">
        <v>1154</v>
      </c>
      <c r="E190" t="s">
        <v>646</v>
      </c>
      <c r="F190" s="237">
        <v>45449</v>
      </c>
      <c r="G190">
        <v>2</v>
      </c>
      <c r="H190" t="s">
        <v>647</v>
      </c>
      <c r="I190" s="802">
        <f t="shared" si="2"/>
        <v>1058000</v>
      </c>
      <c r="J190" t="s">
        <v>671</v>
      </c>
    </row>
    <row r="191" spans="1:10" x14ac:dyDescent="0.25">
      <c r="A191" t="s">
        <v>642</v>
      </c>
      <c r="B191" t="s">
        <v>643</v>
      </c>
      <c r="C191" t="s">
        <v>644</v>
      </c>
      <c r="D191" t="s">
        <v>1173</v>
      </c>
      <c r="E191" t="s">
        <v>646</v>
      </c>
      <c r="F191" s="237">
        <v>45439</v>
      </c>
      <c r="G191">
        <v>1.1100000000000001</v>
      </c>
      <c r="H191" t="s">
        <v>647</v>
      </c>
      <c r="I191" s="802">
        <f t="shared" si="2"/>
        <v>587190</v>
      </c>
      <c r="J191" t="s">
        <v>648</v>
      </c>
    </row>
    <row r="192" spans="1:10" x14ac:dyDescent="0.25">
      <c r="A192" t="s">
        <v>642</v>
      </c>
      <c r="B192" t="s">
        <v>643</v>
      </c>
      <c r="C192" t="s">
        <v>705</v>
      </c>
      <c r="D192" t="s">
        <v>790</v>
      </c>
      <c r="E192" t="s">
        <v>646</v>
      </c>
      <c r="F192" s="237">
        <v>45436</v>
      </c>
      <c r="G192">
        <v>60</v>
      </c>
      <c r="H192" t="s">
        <v>651</v>
      </c>
      <c r="I192" s="802">
        <f t="shared" si="2"/>
        <v>4037640</v>
      </c>
      <c r="J192" t="s">
        <v>731</v>
      </c>
    </row>
    <row r="193" spans="1:10" x14ac:dyDescent="0.25">
      <c r="A193" t="s">
        <v>642</v>
      </c>
      <c r="B193" t="s">
        <v>643</v>
      </c>
      <c r="C193" t="s">
        <v>644</v>
      </c>
      <c r="D193" t="s">
        <v>703</v>
      </c>
      <c r="E193" t="s">
        <v>646</v>
      </c>
      <c r="F193" s="237">
        <v>45431</v>
      </c>
      <c r="G193">
        <v>1.1100000000000001</v>
      </c>
      <c r="H193" t="s">
        <v>647</v>
      </c>
      <c r="I193" s="802">
        <f t="shared" si="2"/>
        <v>587190</v>
      </c>
      <c r="J193" t="s">
        <v>648</v>
      </c>
    </row>
    <row r="194" spans="1:10" x14ac:dyDescent="0.25">
      <c r="A194" t="s">
        <v>642</v>
      </c>
      <c r="B194" t="s">
        <v>643</v>
      </c>
      <c r="C194" t="s">
        <v>644</v>
      </c>
      <c r="D194" t="s">
        <v>1152</v>
      </c>
      <c r="E194" t="s">
        <v>646</v>
      </c>
      <c r="F194" s="237">
        <v>45430</v>
      </c>
      <c r="G194">
        <v>1.1100000000000001</v>
      </c>
      <c r="H194" t="s">
        <v>647</v>
      </c>
      <c r="I194" s="802">
        <f t="shared" si="2"/>
        <v>587190</v>
      </c>
      <c r="J194" t="s">
        <v>648</v>
      </c>
    </row>
    <row r="195" spans="1:10" x14ac:dyDescent="0.25">
      <c r="A195" t="s">
        <v>642</v>
      </c>
      <c r="B195" t="s">
        <v>643</v>
      </c>
      <c r="C195" t="s">
        <v>644</v>
      </c>
      <c r="D195" t="s">
        <v>1166</v>
      </c>
      <c r="E195" t="s">
        <v>646</v>
      </c>
      <c r="F195" s="237">
        <v>45430</v>
      </c>
      <c r="G195">
        <v>1.1100000000000001</v>
      </c>
      <c r="H195" t="s">
        <v>647</v>
      </c>
      <c r="I195" s="802">
        <f t="shared" ref="I195:I258" si="3">+IF(H195="IMM",+G195*529000,+G195*67294)</f>
        <v>587190</v>
      </c>
      <c r="J195" t="s">
        <v>648</v>
      </c>
    </row>
    <row r="196" spans="1:10" x14ac:dyDescent="0.25">
      <c r="A196" t="s">
        <v>642</v>
      </c>
      <c r="B196" t="s">
        <v>643</v>
      </c>
      <c r="C196" t="s">
        <v>644</v>
      </c>
      <c r="D196" t="s">
        <v>1167</v>
      </c>
      <c r="E196" t="s">
        <v>646</v>
      </c>
      <c r="F196" s="237">
        <v>45430</v>
      </c>
      <c r="G196">
        <v>1.1100000000000001</v>
      </c>
      <c r="H196" t="s">
        <v>647</v>
      </c>
      <c r="I196" s="802">
        <f t="shared" si="3"/>
        <v>587190</v>
      </c>
      <c r="J196" t="s">
        <v>648</v>
      </c>
    </row>
    <row r="197" spans="1:10" x14ac:dyDescent="0.25">
      <c r="A197" t="s">
        <v>642</v>
      </c>
      <c r="B197" t="s">
        <v>643</v>
      </c>
      <c r="C197" t="s">
        <v>644</v>
      </c>
      <c r="D197" t="s">
        <v>696</v>
      </c>
      <c r="E197" t="s">
        <v>646</v>
      </c>
      <c r="F197" s="237">
        <v>45428</v>
      </c>
      <c r="G197">
        <v>1.1100000000000001</v>
      </c>
      <c r="H197" t="s">
        <v>647</v>
      </c>
      <c r="I197" s="802">
        <f t="shared" si="3"/>
        <v>587190</v>
      </c>
      <c r="J197" t="s">
        <v>648</v>
      </c>
    </row>
    <row r="198" spans="1:10" x14ac:dyDescent="0.25">
      <c r="A198" t="s">
        <v>642</v>
      </c>
      <c r="B198" t="s">
        <v>643</v>
      </c>
      <c r="C198" t="s">
        <v>644</v>
      </c>
      <c r="D198" t="s">
        <v>1156</v>
      </c>
      <c r="E198" t="s">
        <v>646</v>
      </c>
      <c r="F198" s="237">
        <v>45428</v>
      </c>
      <c r="G198">
        <v>1.1100000000000001</v>
      </c>
      <c r="H198" t="s">
        <v>647</v>
      </c>
      <c r="I198" s="802">
        <f t="shared" si="3"/>
        <v>587190</v>
      </c>
      <c r="J198" t="s">
        <v>648</v>
      </c>
    </row>
    <row r="199" spans="1:10" x14ac:dyDescent="0.25">
      <c r="A199" t="s">
        <v>642</v>
      </c>
      <c r="B199" t="s">
        <v>643</v>
      </c>
      <c r="C199" t="s">
        <v>644</v>
      </c>
      <c r="D199" t="s">
        <v>1163</v>
      </c>
      <c r="E199" t="s">
        <v>646</v>
      </c>
      <c r="F199" s="237">
        <v>45428</v>
      </c>
      <c r="G199">
        <v>1.1100000000000001</v>
      </c>
      <c r="H199" t="s">
        <v>647</v>
      </c>
      <c r="I199" s="802">
        <f t="shared" si="3"/>
        <v>587190</v>
      </c>
      <c r="J199" t="s">
        <v>648</v>
      </c>
    </row>
    <row r="200" spans="1:10" x14ac:dyDescent="0.25">
      <c r="A200" t="s">
        <v>642</v>
      </c>
      <c r="B200" t="s">
        <v>643</v>
      </c>
      <c r="C200" t="s">
        <v>644</v>
      </c>
      <c r="D200" t="s">
        <v>1168</v>
      </c>
      <c r="E200" t="s">
        <v>646</v>
      </c>
      <c r="F200" s="237">
        <v>45425</v>
      </c>
      <c r="G200">
        <v>1.1100000000000001</v>
      </c>
      <c r="H200" t="s">
        <v>647</v>
      </c>
      <c r="I200" s="802">
        <f t="shared" si="3"/>
        <v>587190</v>
      </c>
      <c r="J200" t="s">
        <v>648</v>
      </c>
    </row>
    <row r="201" spans="1:10" x14ac:dyDescent="0.25">
      <c r="A201" t="s">
        <v>642</v>
      </c>
      <c r="B201" t="s">
        <v>643</v>
      </c>
      <c r="C201" t="s">
        <v>644</v>
      </c>
      <c r="D201" t="s">
        <v>1160</v>
      </c>
      <c r="E201" t="s">
        <v>646</v>
      </c>
      <c r="F201" s="237">
        <v>45423</v>
      </c>
      <c r="G201">
        <v>1.1100000000000001</v>
      </c>
      <c r="H201" t="s">
        <v>647</v>
      </c>
      <c r="I201" s="802">
        <f t="shared" si="3"/>
        <v>587190</v>
      </c>
      <c r="J201" t="s">
        <v>648</v>
      </c>
    </row>
    <row r="202" spans="1:10" x14ac:dyDescent="0.25">
      <c r="A202" t="s">
        <v>642</v>
      </c>
      <c r="B202" t="s">
        <v>643</v>
      </c>
      <c r="C202" t="s">
        <v>644</v>
      </c>
      <c r="D202" t="s">
        <v>1169</v>
      </c>
      <c r="E202" t="s">
        <v>646</v>
      </c>
      <c r="F202" s="237">
        <v>45423</v>
      </c>
      <c r="G202">
        <v>1.1100000000000001</v>
      </c>
      <c r="H202" t="s">
        <v>647</v>
      </c>
      <c r="I202" s="802">
        <f t="shared" si="3"/>
        <v>587190</v>
      </c>
      <c r="J202" t="s">
        <v>648</v>
      </c>
    </row>
    <row r="203" spans="1:10" x14ac:dyDescent="0.25">
      <c r="A203" t="s">
        <v>642</v>
      </c>
      <c r="B203" t="s">
        <v>643</v>
      </c>
      <c r="C203" t="s">
        <v>644</v>
      </c>
      <c r="D203" t="s">
        <v>1170</v>
      </c>
      <c r="E203" t="s">
        <v>646</v>
      </c>
      <c r="F203" s="237">
        <v>45423</v>
      </c>
      <c r="G203">
        <v>1.1100000000000001</v>
      </c>
      <c r="H203" t="s">
        <v>647</v>
      </c>
      <c r="I203" s="802">
        <f t="shared" si="3"/>
        <v>587190</v>
      </c>
      <c r="J203" t="s">
        <v>648</v>
      </c>
    </row>
    <row r="204" spans="1:10" x14ac:dyDescent="0.25">
      <c r="A204" t="s">
        <v>642</v>
      </c>
      <c r="B204" t="s">
        <v>643</v>
      </c>
      <c r="C204" t="s">
        <v>644</v>
      </c>
      <c r="D204" t="s">
        <v>691</v>
      </c>
      <c r="E204" t="s">
        <v>646</v>
      </c>
      <c r="F204" s="237">
        <v>45422</v>
      </c>
      <c r="G204">
        <v>1.1100000000000001</v>
      </c>
      <c r="H204" t="s">
        <v>647</v>
      </c>
      <c r="I204" s="802">
        <f t="shared" si="3"/>
        <v>587190</v>
      </c>
      <c r="J204" t="s">
        <v>648</v>
      </c>
    </row>
    <row r="205" spans="1:10" x14ac:dyDescent="0.25">
      <c r="A205" t="s">
        <v>642</v>
      </c>
      <c r="B205" t="s">
        <v>643</v>
      </c>
      <c r="C205" t="s">
        <v>644</v>
      </c>
      <c r="D205" t="s">
        <v>697</v>
      </c>
      <c r="E205" t="s">
        <v>646</v>
      </c>
      <c r="F205" s="237">
        <v>45422</v>
      </c>
      <c r="G205">
        <v>1.1100000000000001</v>
      </c>
      <c r="H205" t="s">
        <v>647</v>
      </c>
      <c r="I205" s="802">
        <f t="shared" si="3"/>
        <v>587190</v>
      </c>
      <c r="J205" t="s">
        <v>648</v>
      </c>
    </row>
    <row r="206" spans="1:10" x14ac:dyDescent="0.25">
      <c r="A206" t="s">
        <v>642</v>
      </c>
      <c r="B206" t="s">
        <v>643</v>
      </c>
      <c r="C206" t="s">
        <v>644</v>
      </c>
      <c r="D206" t="s">
        <v>1153</v>
      </c>
      <c r="E206" t="s">
        <v>646</v>
      </c>
      <c r="F206" s="237">
        <v>45422</v>
      </c>
      <c r="G206">
        <v>1.1100000000000001</v>
      </c>
      <c r="H206" t="s">
        <v>647</v>
      </c>
      <c r="I206" s="802">
        <f t="shared" si="3"/>
        <v>587190</v>
      </c>
      <c r="J206" t="s">
        <v>648</v>
      </c>
    </row>
    <row r="207" spans="1:10" x14ac:dyDescent="0.25">
      <c r="A207" t="s">
        <v>642</v>
      </c>
      <c r="B207" t="s">
        <v>643</v>
      </c>
      <c r="C207" t="s">
        <v>644</v>
      </c>
      <c r="D207" t="s">
        <v>1161</v>
      </c>
      <c r="E207" t="s">
        <v>646</v>
      </c>
      <c r="F207" s="237">
        <v>45422</v>
      </c>
      <c r="G207">
        <v>1.1100000000000001</v>
      </c>
      <c r="H207" t="s">
        <v>647</v>
      </c>
      <c r="I207" s="802">
        <f t="shared" si="3"/>
        <v>587190</v>
      </c>
      <c r="J207" t="s">
        <v>648</v>
      </c>
    </row>
    <row r="208" spans="1:10" x14ac:dyDescent="0.25">
      <c r="A208" t="s">
        <v>642</v>
      </c>
      <c r="B208" t="s">
        <v>643</v>
      </c>
      <c r="C208" t="s">
        <v>644</v>
      </c>
      <c r="D208" t="s">
        <v>1162</v>
      </c>
      <c r="E208" t="s">
        <v>646</v>
      </c>
      <c r="F208" s="237">
        <v>45422</v>
      </c>
      <c r="G208">
        <v>2</v>
      </c>
      <c r="H208" t="s">
        <v>647</v>
      </c>
      <c r="I208" s="802">
        <f t="shared" si="3"/>
        <v>1058000</v>
      </c>
      <c r="J208" t="s">
        <v>671</v>
      </c>
    </row>
    <row r="209" spans="1:10" x14ac:dyDescent="0.25">
      <c r="A209" t="s">
        <v>642</v>
      </c>
      <c r="B209" t="s">
        <v>643</v>
      </c>
      <c r="C209" t="s">
        <v>644</v>
      </c>
      <c r="D209" t="s">
        <v>1172</v>
      </c>
      <c r="E209" t="s">
        <v>646</v>
      </c>
      <c r="F209" s="237">
        <v>45422</v>
      </c>
      <c r="G209">
        <v>1.1100000000000001</v>
      </c>
      <c r="H209" t="s">
        <v>647</v>
      </c>
      <c r="I209" s="802">
        <f t="shared" si="3"/>
        <v>587190</v>
      </c>
      <c r="J209" t="s">
        <v>648</v>
      </c>
    </row>
    <row r="210" spans="1:10" x14ac:dyDescent="0.25">
      <c r="A210" t="s">
        <v>642</v>
      </c>
      <c r="B210" t="s">
        <v>643</v>
      </c>
      <c r="C210" t="s">
        <v>644</v>
      </c>
      <c r="D210" t="s">
        <v>695</v>
      </c>
      <c r="E210" t="s">
        <v>646</v>
      </c>
      <c r="F210" s="237">
        <v>45418</v>
      </c>
      <c r="G210">
        <v>1.1100000000000001</v>
      </c>
      <c r="H210" t="s">
        <v>647</v>
      </c>
      <c r="I210" s="802">
        <f t="shared" si="3"/>
        <v>587190</v>
      </c>
      <c r="J210" t="s">
        <v>648</v>
      </c>
    </row>
    <row r="211" spans="1:10" x14ac:dyDescent="0.25">
      <c r="A211" t="s">
        <v>642</v>
      </c>
      <c r="B211" t="s">
        <v>643</v>
      </c>
      <c r="C211" t="s">
        <v>705</v>
      </c>
      <c r="D211" t="s">
        <v>791</v>
      </c>
      <c r="E211" t="s">
        <v>646</v>
      </c>
      <c r="F211" s="237">
        <v>45418</v>
      </c>
      <c r="G211">
        <v>60</v>
      </c>
      <c r="H211" t="s">
        <v>651</v>
      </c>
      <c r="I211" s="802">
        <f t="shared" si="3"/>
        <v>4037640</v>
      </c>
      <c r="J211" t="s">
        <v>792</v>
      </c>
    </row>
    <row r="212" spans="1:10" x14ac:dyDescent="0.25">
      <c r="A212" t="s">
        <v>642</v>
      </c>
      <c r="B212" t="s">
        <v>643</v>
      </c>
      <c r="C212" t="s">
        <v>705</v>
      </c>
      <c r="D212" t="s">
        <v>793</v>
      </c>
      <c r="E212" t="s">
        <v>646</v>
      </c>
      <c r="F212" s="237">
        <v>45418</v>
      </c>
      <c r="G212">
        <v>60</v>
      </c>
      <c r="H212" t="s">
        <v>651</v>
      </c>
      <c r="I212" s="802">
        <f t="shared" si="3"/>
        <v>4037640</v>
      </c>
      <c r="J212" t="s">
        <v>794</v>
      </c>
    </row>
    <row r="213" spans="1:10" x14ac:dyDescent="0.25">
      <c r="A213" t="s">
        <v>642</v>
      </c>
      <c r="B213" t="s">
        <v>643</v>
      </c>
      <c r="C213" t="s">
        <v>705</v>
      </c>
      <c r="D213" t="s">
        <v>795</v>
      </c>
      <c r="E213" t="s">
        <v>646</v>
      </c>
      <c r="F213" s="237">
        <v>45418</v>
      </c>
      <c r="G213">
        <v>60</v>
      </c>
      <c r="H213" t="s">
        <v>651</v>
      </c>
      <c r="I213" s="802">
        <f t="shared" si="3"/>
        <v>4037640</v>
      </c>
      <c r="J213" t="s">
        <v>796</v>
      </c>
    </row>
    <row r="214" spans="1:10" x14ac:dyDescent="0.25">
      <c r="A214" t="s">
        <v>642</v>
      </c>
      <c r="B214" t="s">
        <v>643</v>
      </c>
      <c r="C214" t="s">
        <v>644</v>
      </c>
      <c r="D214" t="s">
        <v>1164</v>
      </c>
      <c r="E214" t="s">
        <v>646</v>
      </c>
      <c r="F214" s="237">
        <v>45417</v>
      </c>
      <c r="G214">
        <v>1.1100000000000001</v>
      </c>
      <c r="H214" t="s">
        <v>647</v>
      </c>
      <c r="I214" s="802">
        <f t="shared" si="3"/>
        <v>587190</v>
      </c>
      <c r="J214" t="s">
        <v>648</v>
      </c>
    </row>
    <row r="215" spans="1:10" x14ac:dyDescent="0.25">
      <c r="A215" t="s">
        <v>642</v>
      </c>
      <c r="B215" t="s">
        <v>643</v>
      </c>
      <c r="C215" t="s">
        <v>644</v>
      </c>
      <c r="D215" t="s">
        <v>1176</v>
      </c>
      <c r="E215" t="s">
        <v>646</v>
      </c>
      <c r="F215" s="237">
        <v>45417</v>
      </c>
      <c r="G215">
        <v>1.1100000000000001</v>
      </c>
      <c r="H215" t="s">
        <v>647</v>
      </c>
      <c r="I215" s="802">
        <f t="shared" si="3"/>
        <v>587190</v>
      </c>
      <c r="J215" t="s">
        <v>648</v>
      </c>
    </row>
    <row r="216" spans="1:10" x14ac:dyDescent="0.25">
      <c r="A216" t="s">
        <v>642</v>
      </c>
      <c r="B216" t="s">
        <v>643</v>
      </c>
      <c r="C216" t="s">
        <v>644</v>
      </c>
      <c r="D216" t="s">
        <v>1149</v>
      </c>
      <c r="E216" t="s">
        <v>646</v>
      </c>
      <c r="F216" s="237">
        <v>45416</v>
      </c>
      <c r="G216">
        <v>2</v>
      </c>
      <c r="H216" t="s">
        <v>647</v>
      </c>
      <c r="I216" s="802">
        <f t="shared" si="3"/>
        <v>1058000</v>
      </c>
      <c r="J216" t="s">
        <v>671</v>
      </c>
    </row>
    <row r="217" spans="1:10" x14ac:dyDescent="0.25">
      <c r="A217" t="s">
        <v>642</v>
      </c>
      <c r="B217" t="s">
        <v>643</v>
      </c>
      <c r="C217" t="s">
        <v>705</v>
      </c>
      <c r="D217" t="s">
        <v>1743</v>
      </c>
      <c r="E217" t="s">
        <v>646</v>
      </c>
      <c r="F217" s="237">
        <v>45415</v>
      </c>
      <c r="G217">
        <v>60</v>
      </c>
      <c r="H217" t="s">
        <v>651</v>
      </c>
      <c r="I217" s="802">
        <f t="shared" si="3"/>
        <v>4037640</v>
      </c>
      <c r="J217" t="s">
        <v>777</v>
      </c>
    </row>
    <row r="218" spans="1:10" x14ac:dyDescent="0.25">
      <c r="A218" t="s">
        <v>642</v>
      </c>
      <c r="B218" t="s">
        <v>643</v>
      </c>
      <c r="C218" t="s">
        <v>644</v>
      </c>
      <c r="D218" t="s">
        <v>1157</v>
      </c>
      <c r="E218" t="s">
        <v>646</v>
      </c>
      <c r="F218" s="237">
        <v>45414</v>
      </c>
      <c r="G218">
        <v>1.1100000000000001</v>
      </c>
      <c r="H218" t="s">
        <v>647</v>
      </c>
      <c r="I218" s="802">
        <f t="shared" si="3"/>
        <v>587190</v>
      </c>
      <c r="J218" t="s">
        <v>648</v>
      </c>
    </row>
    <row r="219" spans="1:10" x14ac:dyDescent="0.25">
      <c r="A219" t="s">
        <v>642</v>
      </c>
      <c r="B219" t="s">
        <v>643</v>
      </c>
      <c r="C219" t="s">
        <v>644</v>
      </c>
      <c r="D219" t="s">
        <v>1175</v>
      </c>
      <c r="E219" t="s">
        <v>646</v>
      </c>
      <c r="F219" s="237">
        <v>45410</v>
      </c>
      <c r="G219">
        <v>1.1100000000000001</v>
      </c>
      <c r="H219" t="s">
        <v>647</v>
      </c>
      <c r="I219" s="802">
        <f t="shared" si="3"/>
        <v>587190</v>
      </c>
      <c r="J219" t="s">
        <v>648</v>
      </c>
    </row>
    <row r="220" spans="1:10" x14ac:dyDescent="0.25">
      <c r="A220" t="s">
        <v>642</v>
      </c>
      <c r="B220" t="s">
        <v>643</v>
      </c>
      <c r="C220" t="s">
        <v>705</v>
      </c>
      <c r="D220" t="s">
        <v>801</v>
      </c>
      <c r="E220" t="s">
        <v>646</v>
      </c>
      <c r="F220" s="237">
        <v>45409</v>
      </c>
      <c r="G220">
        <v>60</v>
      </c>
      <c r="H220" t="s">
        <v>651</v>
      </c>
      <c r="I220" s="802">
        <f t="shared" si="3"/>
        <v>4037640</v>
      </c>
      <c r="J220" t="s">
        <v>792</v>
      </c>
    </row>
    <row r="221" spans="1:10" x14ac:dyDescent="0.25">
      <c r="A221" t="s">
        <v>642</v>
      </c>
      <c r="B221" t="s">
        <v>643</v>
      </c>
      <c r="C221" t="s">
        <v>705</v>
      </c>
      <c r="D221" t="s">
        <v>802</v>
      </c>
      <c r="E221" t="s">
        <v>646</v>
      </c>
      <c r="F221" s="237">
        <v>45409</v>
      </c>
      <c r="G221">
        <v>60</v>
      </c>
      <c r="H221" t="s">
        <v>651</v>
      </c>
      <c r="I221" s="802">
        <f t="shared" si="3"/>
        <v>4037640</v>
      </c>
      <c r="J221" t="s">
        <v>803</v>
      </c>
    </row>
    <row r="222" spans="1:10" x14ac:dyDescent="0.25">
      <c r="A222" t="s">
        <v>642</v>
      </c>
      <c r="B222" t="s">
        <v>643</v>
      </c>
      <c r="C222" t="s">
        <v>705</v>
      </c>
      <c r="D222" t="s">
        <v>804</v>
      </c>
      <c r="E222" t="s">
        <v>646</v>
      </c>
      <c r="F222" s="237">
        <v>45409</v>
      </c>
      <c r="G222">
        <v>26.73</v>
      </c>
      <c r="H222" t="s">
        <v>647</v>
      </c>
      <c r="I222" s="802">
        <f t="shared" si="3"/>
        <v>14140170</v>
      </c>
      <c r="J222" t="s">
        <v>712</v>
      </c>
    </row>
    <row r="223" spans="1:10" x14ac:dyDescent="0.25">
      <c r="A223" t="s">
        <v>642</v>
      </c>
      <c r="B223" t="s">
        <v>643</v>
      </c>
      <c r="C223" t="s">
        <v>644</v>
      </c>
      <c r="D223" t="s">
        <v>1143</v>
      </c>
      <c r="E223" t="s">
        <v>646</v>
      </c>
      <c r="F223" s="237">
        <v>45409</v>
      </c>
      <c r="G223">
        <v>2</v>
      </c>
      <c r="H223" t="s">
        <v>647</v>
      </c>
      <c r="I223" s="802">
        <f t="shared" si="3"/>
        <v>1058000</v>
      </c>
      <c r="J223" t="s">
        <v>671</v>
      </c>
    </row>
    <row r="224" spans="1:10" x14ac:dyDescent="0.25">
      <c r="A224" t="s">
        <v>642</v>
      </c>
      <c r="B224" t="s">
        <v>643</v>
      </c>
      <c r="C224" t="s">
        <v>705</v>
      </c>
      <c r="D224" t="s">
        <v>1737</v>
      </c>
      <c r="E224" t="s">
        <v>646</v>
      </c>
      <c r="F224" s="237">
        <v>45409</v>
      </c>
      <c r="G224">
        <v>26.73</v>
      </c>
      <c r="H224" t="s">
        <v>647</v>
      </c>
      <c r="I224" s="802">
        <f t="shared" si="3"/>
        <v>14140170</v>
      </c>
      <c r="J224" t="s">
        <v>712</v>
      </c>
    </row>
    <row r="225" spans="1:10" x14ac:dyDescent="0.25">
      <c r="A225" t="s">
        <v>642</v>
      </c>
      <c r="B225" t="s">
        <v>643</v>
      </c>
      <c r="C225" t="s">
        <v>644</v>
      </c>
      <c r="D225" t="s">
        <v>699</v>
      </c>
      <c r="E225" t="s">
        <v>646</v>
      </c>
      <c r="F225" s="237">
        <v>45408</v>
      </c>
      <c r="G225">
        <v>1.1100000000000001</v>
      </c>
      <c r="H225" t="s">
        <v>647</v>
      </c>
      <c r="I225" s="802">
        <f t="shared" si="3"/>
        <v>587190</v>
      </c>
      <c r="J225" t="s">
        <v>648</v>
      </c>
    </row>
    <row r="226" spans="1:10" x14ac:dyDescent="0.25">
      <c r="A226" t="s">
        <v>642</v>
      </c>
      <c r="B226" t="s">
        <v>643</v>
      </c>
      <c r="C226" t="s">
        <v>644</v>
      </c>
      <c r="D226" t="s">
        <v>1165</v>
      </c>
      <c r="E226" t="s">
        <v>646</v>
      </c>
      <c r="F226" s="237">
        <v>45408</v>
      </c>
      <c r="G226">
        <v>1.1100000000000001</v>
      </c>
      <c r="H226" t="s">
        <v>647</v>
      </c>
      <c r="I226" s="802">
        <f t="shared" si="3"/>
        <v>587190</v>
      </c>
      <c r="J226" t="s">
        <v>648</v>
      </c>
    </row>
    <row r="227" spans="1:10" x14ac:dyDescent="0.25">
      <c r="A227" t="s">
        <v>642</v>
      </c>
      <c r="B227" t="s">
        <v>643</v>
      </c>
      <c r="C227" t="s">
        <v>644</v>
      </c>
      <c r="D227" t="s">
        <v>1171</v>
      </c>
      <c r="E227" t="s">
        <v>646</v>
      </c>
      <c r="F227" s="237">
        <v>45402</v>
      </c>
      <c r="G227">
        <v>1.1100000000000001</v>
      </c>
      <c r="H227" t="s">
        <v>647</v>
      </c>
      <c r="I227" s="802">
        <f t="shared" si="3"/>
        <v>587190</v>
      </c>
      <c r="J227" t="s">
        <v>648</v>
      </c>
    </row>
    <row r="228" spans="1:10" x14ac:dyDescent="0.25">
      <c r="A228" t="s">
        <v>642</v>
      </c>
      <c r="B228" t="s">
        <v>643</v>
      </c>
      <c r="C228" t="s">
        <v>644</v>
      </c>
      <c r="D228" t="s">
        <v>1145</v>
      </c>
      <c r="E228" t="s">
        <v>646</v>
      </c>
      <c r="F228" s="237">
        <v>45401</v>
      </c>
      <c r="G228">
        <v>1.1100000000000001</v>
      </c>
      <c r="H228" t="s">
        <v>647</v>
      </c>
      <c r="I228" s="802">
        <f t="shared" si="3"/>
        <v>587190</v>
      </c>
      <c r="J228" t="s">
        <v>648</v>
      </c>
    </row>
    <row r="229" spans="1:10" x14ac:dyDescent="0.25">
      <c r="A229" t="s">
        <v>642</v>
      </c>
      <c r="B229" t="s">
        <v>643</v>
      </c>
      <c r="C229" t="s">
        <v>644</v>
      </c>
      <c r="D229" t="s">
        <v>1158</v>
      </c>
      <c r="E229" t="s">
        <v>646</v>
      </c>
      <c r="F229" s="237">
        <v>45401</v>
      </c>
      <c r="G229">
        <v>1.1100000000000001</v>
      </c>
      <c r="H229" t="s">
        <v>647</v>
      </c>
      <c r="I229" s="802">
        <f t="shared" si="3"/>
        <v>587190</v>
      </c>
      <c r="J229" t="s">
        <v>648</v>
      </c>
    </row>
    <row r="230" spans="1:10" x14ac:dyDescent="0.25">
      <c r="A230" t="s">
        <v>642</v>
      </c>
      <c r="B230" t="s">
        <v>643</v>
      </c>
      <c r="C230" t="s">
        <v>705</v>
      </c>
      <c r="D230" t="s">
        <v>720</v>
      </c>
      <c r="E230" t="s">
        <v>646</v>
      </c>
      <c r="F230" s="237">
        <v>45400</v>
      </c>
      <c r="G230">
        <v>60</v>
      </c>
      <c r="H230" t="s">
        <v>651</v>
      </c>
      <c r="I230" s="802">
        <f t="shared" si="3"/>
        <v>4037640</v>
      </c>
      <c r="J230" t="s">
        <v>721</v>
      </c>
    </row>
    <row r="231" spans="1:10" x14ac:dyDescent="0.25">
      <c r="A231" t="s">
        <v>642</v>
      </c>
      <c r="B231" t="s">
        <v>643</v>
      </c>
      <c r="C231" t="s">
        <v>705</v>
      </c>
      <c r="D231" t="s">
        <v>772</v>
      </c>
      <c r="E231" t="s">
        <v>646</v>
      </c>
      <c r="F231" s="237">
        <v>45395</v>
      </c>
      <c r="G231">
        <v>60</v>
      </c>
      <c r="H231" t="s">
        <v>651</v>
      </c>
      <c r="I231" s="802">
        <f t="shared" si="3"/>
        <v>4037640</v>
      </c>
      <c r="J231" t="s">
        <v>744</v>
      </c>
    </row>
    <row r="232" spans="1:10" x14ac:dyDescent="0.25">
      <c r="A232" t="s">
        <v>642</v>
      </c>
      <c r="B232" t="s">
        <v>643</v>
      </c>
      <c r="C232" t="s">
        <v>705</v>
      </c>
      <c r="D232" t="s">
        <v>1079</v>
      </c>
      <c r="E232" t="s">
        <v>646</v>
      </c>
      <c r="F232" s="237">
        <v>45394</v>
      </c>
      <c r="G232">
        <v>60</v>
      </c>
      <c r="H232" t="s">
        <v>651</v>
      </c>
      <c r="I232" s="802">
        <f t="shared" si="3"/>
        <v>4037640</v>
      </c>
      <c r="J232" t="s">
        <v>715</v>
      </c>
    </row>
    <row r="233" spans="1:10" x14ac:dyDescent="0.25">
      <c r="A233" t="s">
        <v>642</v>
      </c>
      <c r="B233" t="s">
        <v>643</v>
      </c>
      <c r="C233" t="s">
        <v>644</v>
      </c>
      <c r="D233" t="s">
        <v>693</v>
      </c>
      <c r="E233" t="s">
        <v>646</v>
      </c>
      <c r="F233" s="237">
        <v>45393</v>
      </c>
      <c r="G233">
        <v>1.1100000000000001</v>
      </c>
      <c r="H233" t="s">
        <v>647</v>
      </c>
      <c r="I233" s="802">
        <f t="shared" si="3"/>
        <v>587190</v>
      </c>
      <c r="J233" t="s">
        <v>648</v>
      </c>
    </row>
    <row r="234" spans="1:10" x14ac:dyDescent="0.25">
      <c r="A234" t="s">
        <v>642</v>
      </c>
      <c r="B234" t="s">
        <v>643</v>
      </c>
      <c r="C234" t="s">
        <v>644</v>
      </c>
      <c r="D234" t="s">
        <v>1148</v>
      </c>
      <c r="E234" t="s">
        <v>646</v>
      </c>
      <c r="F234" s="237">
        <v>45393</v>
      </c>
      <c r="G234">
        <v>1.1100000000000001</v>
      </c>
      <c r="H234" t="s">
        <v>647</v>
      </c>
      <c r="I234" s="802">
        <f t="shared" si="3"/>
        <v>587190</v>
      </c>
      <c r="J234" t="s">
        <v>648</v>
      </c>
    </row>
    <row r="235" spans="1:10" x14ac:dyDescent="0.25">
      <c r="A235" t="s">
        <v>642</v>
      </c>
      <c r="B235" t="s">
        <v>643</v>
      </c>
      <c r="C235" t="s">
        <v>705</v>
      </c>
      <c r="D235" t="s">
        <v>892</v>
      </c>
      <c r="E235" t="s">
        <v>646</v>
      </c>
      <c r="F235" s="237">
        <v>45390</v>
      </c>
      <c r="G235">
        <v>60</v>
      </c>
      <c r="H235" t="s">
        <v>651</v>
      </c>
      <c r="I235" s="802">
        <f t="shared" si="3"/>
        <v>4037640</v>
      </c>
      <c r="J235" t="s">
        <v>731</v>
      </c>
    </row>
    <row r="236" spans="1:10" x14ac:dyDescent="0.25">
      <c r="A236" t="s">
        <v>642</v>
      </c>
      <c r="B236" t="s">
        <v>643</v>
      </c>
      <c r="C236" t="s">
        <v>644</v>
      </c>
      <c r="D236" t="s">
        <v>1147</v>
      </c>
      <c r="E236" t="s">
        <v>646</v>
      </c>
      <c r="F236" s="237">
        <v>45390</v>
      </c>
      <c r="G236">
        <v>1.1100000000000001</v>
      </c>
      <c r="H236" t="s">
        <v>647</v>
      </c>
      <c r="I236" s="802">
        <f t="shared" si="3"/>
        <v>587190</v>
      </c>
      <c r="J236" t="s">
        <v>648</v>
      </c>
    </row>
    <row r="237" spans="1:10" x14ac:dyDescent="0.25">
      <c r="A237" t="s">
        <v>642</v>
      </c>
      <c r="B237" t="s">
        <v>643</v>
      </c>
      <c r="C237" t="s">
        <v>644</v>
      </c>
      <c r="D237" t="s">
        <v>1146</v>
      </c>
      <c r="E237" t="s">
        <v>646</v>
      </c>
      <c r="F237" s="237">
        <v>45389</v>
      </c>
      <c r="G237">
        <v>1.1100000000000001</v>
      </c>
      <c r="H237" t="s">
        <v>647</v>
      </c>
      <c r="I237" s="802">
        <f t="shared" si="3"/>
        <v>587190</v>
      </c>
      <c r="J237" t="s">
        <v>648</v>
      </c>
    </row>
    <row r="238" spans="1:10" x14ac:dyDescent="0.25">
      <c r="A238" t="s">
        <v>642</v>
      </c>
      <c r="B238" t="s">
        <v>643</v>
      </c>
      <c r="C238" t="s">
        <v>644</v>
      </c>
      <c r="D238" t="s">
        <v>1235</v>
      </c>
      <c r="E238" t="s">
        <v>646</v>
      </c>
      <c r="F238" s="237">
        <v>45387</v>
      </c>
      <c r="G238">
        <v>60</v>
      </c>
      <c r="H238" t="s">
        <v>651</v>
      </c>
      <c r="I238" s="802">
        <f t="shared" si="3"/>
        <v>4037640</v>
      </c>
      <c r="J238" t="s">
        <v>842</v>
      </c>
    </row>
    <row r="239" spans="1:10" x14ac:dyDescent="0.25">
      <c r="A239" t="s">
        <v>642</v>
      </c>
      <c r="B239" t="s">
        <v>643</v>
      </c>
      <c r="C239" t="s">
        <v>644</v>
      </c>
      <c r="D239" t="s">
        <v>700</v>
      </c>
      <c r="E239" t="s">
        <v>646</v>
      </c>
      <c r="F239" s="237">
        <v>45382</v>
      </c>
      <c r="G239">
        <v>1.1100000000000001</v>
      </c>
      <c r="H239" t="s">
        <v>647</v>
      </c>
      <c r="I239" s="802">
        <f t="shared" si="3"/>
        <v>587190</v>
      </c>
      <c r="J239" t="s">
        <v>648</v>
      </c>
    </row>
    <row r="240" spans="1:10" x14ac:dyDescent="0.25">
      <c r="A240" t="s">
        <v>642</v>
      </c>
      <c r="B240" t="s">
        <v>643</v>
      </c>
      <c r="C240" t="s">
        <v>705</v>
      </c>
      <c r="D240" t="s">
        <v>897</v>
      </c>
      <c r="E240" t="s">
        <v>646</v>
      </c>
      <c r="F240" s="237">
        <v>45382</v>
      </c>
      <c r="G240">
        <v>60</v>
      </c>
      <c r="H240" t="s">
        <v>651</v>
      </c>
      <c r="I240" s="802">
        <f t="shared" si="3"/>
        <v>4037640</v>
      </c>
      <c r="J240" t="s">
        <v>898</v>
      </c>
    </row>
    <row r="241" spans="1:10" x14ac:dyDescent="0.25">
      <c r="A241" t="s">
        <v>642</v>
      </c>
      <c r="B241" t="s">
        <v>643</v>
      </c>
      <c r="C241" t="s">
        <v>705</v>
      </c>
      <c r="D241" t="s">
        <v>887</v>
      </c>
      <c r="E241" t="s">
        <v>646</v>
      </c>
      <c r="F241" s="237">
        <v>45376</v>
      </c>
      <c r="G241">
        <v>60</v>
      </c>
      <c r="H241" t="s">
        <v>651</v>
      </c>
      <c r="I241" s="802">
        <f t="shared" si="3"/>
        <v>4037640</v>
      </c>
      <c r="J241" t="s">
        <v>731</v>
      </c>
    </row>
    <row r="242" spans="1:10" x14ac:dyDescent="0.25">
      <c r="A242" t="s">
        <v>642</v>
      </c>
      <c r="B242" t="s">
        <v>643</v>
      </c>
      <c r="C242" t="s">
        <v>705</v>
      </c>
      <c r="D242" t="s">
        <v>888</v>
      </c>
      <c r="E242" t="s">
        <v>646</v>
      </c>
      <c r="F242" s="237">
        <v>45376</v>
      </c>
      <c r="G242">
        <v>60</v>
      </c>
      <c r="H242" t="s">
        <v>651</v>
      </c>
      <c r="I242" s="802">
        <f t="shared" si="3"/>
        <v>4037640</v>
      </c>
      <c r="J242" t="s">
        <v>777</v>
      </c>
    </row>
    <row r="243" spans="1:10" x14ac:dyDescent="0.25">
      <c r="A243" t="s">
        <v>642</v>
      </c>
      <c r="B243" t="s">
        <v>643</v>
      </c>
      <c r="C243" t="s">
        <v>644</v>
      </c>
      <c r="D243" t="s">
        <v>1151</v>
      </c>
      <c r="E243" t="s">
        <v>646</v>
      </c>
      <c r="F243" s="237">
        <v>45376</v>
      </c>
      <c r="G243">
        <v>1.1100000000000001</v>
      </c>
      <c r="H243" t="s">
        <v>647</v>
      </c>
      <c r="I243" s="802">
        <f t="shared" si="3"/>
        <v>587190</v>
      </c>
      <c r="J243" t="s">
        <v>648</v>
      </c>
    </row>
    <row r="244" spans="1:10" x14ac:dyDescent="0.25">
      <c r="A244" t="s">
        <v>642</v>
      </c>
      <c r="B244" t="s">
        <v>643</v>
      </c>
      <c r="C244" t="s">
        <v>705</v>
      </c>
      <c r="D244" t="s">
        <v>886</v>
      </c>
      <c r="E244" t="s">
        <v>646</v>
      </c>
      <c r="F244" s="237">
        <v>45374</v>
      </c>
      <c r="G244">
        <v>60</v>
      </c>
      <c r="H244" t="s">
        <v>651</v>
      </c>
      <c r="I244" s="802">
        <f t="shared" si="3"/>
        <v>4037640</v>
      </c>
      <c r="J244" t="s">
        <v>731</v>
      </c>
    </row>
    <row r="245" spans="1:10" x14ac:dyDescent="0.25">
      <c r="A245" t="s">
        <v>642</v>
      </c>
      <c r="B245" t="s">
        <v>643</v>
      </c>
      <c r="C245" t="s">
        <v>644</v>
      </c>
      <c r="D245" t="s">
        <v>701</v>
      </c>
      <c r="E245" t="s">
        <v>646</v>
      </c>
      <c r="F245" s="237">
        <v>45368</v>
      </c>
      <c r="G245">
        <v>1.1100000000000001</v>
      </c>
      <c r="H245" t="s">
        <v>647</v>
      </c>
      <c r="I245" s="802">
        <f t="shared" si="3"/>
        <v>587190</v>
      </c>
      <c r="J245" t="s">
        <v>648</v>
      </c>
    </row>
    <row r="246" spans="1:10" x14ac:dyDescent="0.25">
      <c r="A246" t="s">
        <v>642</v>
      </c>
      <c r="B246" t="s">
        <v>643</v>
      </c>
      <c r="C246" t="s">
        <v>644</v>
      </c>
      <c r="D246" t="s">
        <v>676</v>
      </c>
      <c r="E246" t="s">
        <v>646</v>
      </c>
      <c r="F246" s="237">
        <v>45366</v>
      </c>
      <c r="G246">
        <v>1.1100000000000001</v>
      </c>
      <c r="H246" t="s">
        <v>647</v>
      </c>
      <c r="I246" s="802">
        <f t="shared" si="3"/>
        <v>587190</v>
      </c>
      <c r="J246" t="s">
        <v>648</v>
      </c>
    </row>
    <row r="247" spans="1:10" x14ac:dyDescent="0.25">
      <c r="A247" t="s">
        <v>642</v>
      </c>
      <c r="B247" t="s">
        <v>643</v>
      </c>
      <c r="C247" t="s">
        <v>705</v>
      </c>
      <c r="D247" t="s">
        <v>889</v>
      </c>
      <c r="E247" t="s">
        <v>646</v>
      </c>
      <c r="F247" s="237">
        <v>45362</v>
      </c>
      <c r="G247">
        <v>60</v>
      </c>
      <c r="H247" t="s">
        <v>651</v>
      </c>
      <c r="I247" s="802">
        <f t="shared" si="3"/>
        <v>4037640</v>
      </c>
      <c r="J247" t="s">
        <v>715</v>
      </c>
    </row>
    <row r="248" spans="1:10" x14ac:dyDescent="0.25">
      <c r="A248" t="s">
        <v>642</v>
      </c>
      <c r="B248" t="s">
        <v>643</v>
      </c>
      <c r="C248" t="s">
        <v>705</v>
      </c>
      <c r="D248" t="s">
        <v>890</v>
      </c>
      <c r="E248" t="s">
        <v>646</v>
      </c>
      <c r="F248" s="237">
        <v>45362</v>
      </c>
      <c r="G248">
        <v>26.73</v>
      </c>
      <c r="H248" t="s">
        <v>647</v>
      </c>
      <c r="I248" s="802">
        <f t="shared" si="3"/>
        <v>14140170</v>
      </c>
      <c r="J248" t="s">
        <v>712</v>
      </c>
    </row>
    <row r="249" spans="1:10" x14ac:dyDescent="0.25">
      <c r="A249" t="s">
        <v>642</v>
      </c>
      <c r="B249" t="s">
        <v>643</v>
      </c>
      <c r="C249" t="s">
        <v>644</v>
      </c>
      <c r="D249" t="s">
        <v>1237</v>
      </c>
      <c r="E249" t="s">
        <v>646</v>
      </c>
      <c r="F249" s="237">
        <v>45361</v>
      </c>
      <c r="G249">
        <v>1.1100000000000001</v>
      </c>
      <c r="H249" t="s">
        <v>647</v>
      </c>
      <c r="I249" s="802">
        <f t="shared" si="3"/>
        <v>587190</v>
      </c>
      <c r="J249" t="s">
        <v>648</v>
      </c>
    </row>
    <row r="250" spans="1:10" x14ac:dyDescent="0.25">
      <c r="A250" t="s">
        <v>642</v>
      </c>
      <c r="B250" t="s">
        <v>643</v>
      </c>
      <c r="C250" t="s">
        <v>644</v>
      </c>
      <c r="D250" t="s">
        <v>1150</v>
      </c>
      <c r="E250" t="s">
        <v>646</v>
      </c>
      <c r="F250" s="237">
        <v>45360</v>
      </c>
      <c r="G250">
        <v>1.1100000000000001</v>
      </c>
      <c r="H250" t="s">
        <v>647</v>
      </c>
      <c r="I250" s="802">
        <f t="shared" si="3"/>
        <v>587190</v>
      </c>
      <c r="J250" t="s">
        <v>648</v>
      </c>
    </row>
    <row r="251" spans="1:10" x14ac:dyDescent="0.25">
      <c r="A251" t="s">
        <v>642</v>
      </c>
      <c r="B251" t="s">
        <v>643</v>
      </c>
      <c r="C251" t="s">
        <v>644</v>
      </c>
      <c r="D251" t="s">
        <v>1256</v>
      </c>
      <c r="E251" t="s">
        <v>646</v>
      </c>
      <c r="F251" s="237">
        <v>45360</v>
      </c>
      <c r="G251">
        <v>60</v>
      </c>
      <c r="H251" t="s">
        <v>651</v>
      </c>
      <c r="I251" s="802">
        <f t="shared" si="3"/>
        <v>4037640</v>
      </c>
      <c r="J251" t="s">
        <v>652</v>
      </c>
    </row>
    <row r="252" spans="1:10" x14ac:dyDescent="0.25">
      <c r="A252" t="s">
        <v>642</v>
      </c>
      <c r="B252" t="s">
        <v>643</v>
      </c>
      <c r="C252" t="s">
        <v>644</v>
      </c>
      <c r="D252" t="s">
        <v>1257</v>
      </c>
      <c r="E252" t="s">
        <v>646</v>
      </c>
      <c r="F252" s="237">
        <v>45360</v>
      </c>
      <c r="G252">
        <v>2</v>
      </c>
      <c r="H252" t="s">
        <v>647</v>
      </c>
      <c r="I252" s="802">
        <f t="shared" si="3"/>
        <v>1058000</v>
      </c>
      <c r="J252" t="s">
        <v>671</v>
      </c>
    </row>
    <row r="253" spans="1:10" x14ac:dyDescent="0.25">
      <c r="A253" t="s">
        <v>642</v>
      </c>
      <c r="B253" t="s">
        <v>643</v>
      </c>
      <c r="C253" t="s">
        <v>644</v>
      </c>
      <c r="D253" t="s">
        <v>680</v>
      </c>
      <c r="E253" t="s">
        <v>646</v>
      </c>
      <c r="F253" s="237">
        <v>45359</v>
      </c>
      <c r="G253">
        <v>2</v>
      </c>
      <c r="H253" t="s">
        <v>647</v>
      </c>
      <c r="I253" s="802">
        <f t="shared" si="3"/>
        <v>1058000</v>
      </c>
      <c r="J253" t="s">
        <v>671</v>
      </c>
    </row>
    <row r="254" spans="1:10" x14ac:dyDescent="0.25">
      <c r="A254" t="s">
        <v>642</v>
      </c>
      <c r="B254" t="s">
        <v>643</v>
      </c>
      <c r="C254" t="s">
        <v>705</v>
      </c>
      <c r="D254" t="s">
        <v>884</v>
      </c>
      <c r="E254" t="s">
        <v>646</v>
      </c>
      <c r="F254" s="237">
        <v>45358</v>
      </c>
      <c r="G254">
        <v>60</v>
      </c>
      <c r="H254" t="s">
        <v>651</v>
      </c>
      <c r="I254" s="802">
        <f t="shared" si="3"/>
        <v>4037640</v>
      </c>
      <c r="J254" t="s">
        <v>792</v>
      </c>
    </row>
    <row r="255" spans="1:10" x14ac:dyDescent="0.25">
      <c r="A255" t="s">
        <v>642</v>
      </c>
      <c r="B255" t="s">
        <v>643</v>
      </c>
      <c r="C255" t="s">
        <v>705</v>
      </c>
      <c r="D255" t="s">
        <v>885</v>
      </c>
      <c r="E255" t="s">
        <v>646</v>
      </c>
      <c r="F255" s="237">
        <v>45358</v>
      </c>
      <c r="G255">
        <v>60</v>
      </c>
      <c r="H255" t="s">
        <v>651</v>
      </c>
      <c r="I255" s="802">
        <f t="shared" si="3"/>
        <v>4037640</v>
      </c>
      <c r="J255" t="s">
        <v>803</v>
      </c>
    </row>
    <row r="256" spans="1:10" x14ac:dyDescent="0.25">
      <c r="A256" t="s">
        <v>642</v>
      </c>
      <c r="B256" t="s">
        <v>643</v>
      </c>
      <c r="C256" t="s">
        <v>705</v>
      </c>
      <c r="D256" t="s">
        <v>1748</v>
      </c>
      <c r="E256" t="s">
        <v>646</v>
      </c>
      <c r="F256" s="237">
        <v>45358</v>
      </c>
      <c r="G256">
        <v>26.73</v>
      </c>
      <c r="H256" t="s">
        <v>647</v>
      </c>
      <c r="I256" s="802">
        <f t="shared" si="3"/>
        <v>14140170</v>
      </c>
      <c r="J256" t="s">
        <v>712</v>
      </c>
    </row>
    <row r="257" spans="1:10" x14ac:dyDescent="0.25">
      <c r="A257" t="s">
        <v>642</v>
      </c>
      <c r="B257" t="s">
        <v>643</v>
      </c>
      <c r="C257" t="s">
        <v>644</v>
      </c>
      <c r="D257" t="s">
        <v>1233</v>
      </c>
      <c r="E257" t="s">
        <v>646</v>
      </c>
      <c r="F257" s="237">
        <v>45355</v>
      </c>
      <c r="G257">
        <v>1.1100000000000001</v>
      </c>
      <c r="H257" t="s">
        <v>647</v>
      </c>
      <c r="I257" s="802">
        <f t="shared" si="3"/>
        <v>587190</v>
      </c>
      <c r="J257" t="s">
        <v>648</v>
      </c>
    </row>
    <row r="258" spans="1:10" x14ac:dyDescent="0.25">
      <c r="A258" t="s">
        <v>642</v>
      </c>
      <c r="B258" t="s">
        <v>643</v>
      </c>
      <c r="C258" t="s">
        <v>644</v>
      </c>
      <c r="D258" t="s">
        <v>692</v>
      </c>
      <c r="E258" t="s">
        <v>646</v>
      </c>
      <c r="F258" s="237">
        <v>45353</v>
      </c>
      <c r="G258">
        <v>2</v>
      </c>
      <c r="H258" t="s">
        <v>647</v>
      </c>
      <c r="I258" s="802">
        <f t="shared" si="3"/>
        <v>1058000</v>
      </c>
      <c r="J258" t="s">
        <v>671</v>
      </c>
    </row>
    <row r="259" spans="1:10" x14ac:dyDescent="0.25">
      <c r="A259" t="s">
        <v>642</v>
      </c>
      <c r="B259" t="s">
        <v>643</v>
      </c>
      <c r="C259" t="s">
        <v>644</v>
      </c>
      <c r="D259" t="s">
        <v>1230</v>
      </c>
      <c r="E259" t="s">
        <v>646</v>
      </c>
      <c r="F259" s="237">
        <v>45353</v>
      </c>
      <c r="G259">
        <v>1.1100000000000001</v>
      </c>
      <c r="H259" t="s">
        <v>647</v>
      </c>
      <c r="I259" s="802">
        <f t="shared" ref="I259:I322" si="4">+IF(H259="IMM",+G259*529000,+G259*67294)</f>
        <v>587190</v>
      </c>
      <c r="J259" t="s">
        <v>648</v>
      </c>
    </row>
    <row r="260" spans="1:10" x14ac:dyDescent="0.25">
      <c r="A260" t="s">
        <v>642</v>
      </c>
      <c r="B260" t="s">
        <v>643</v>
      </c>
      <c r="C260" t="s">
        <v>705</v>
      </c>
      <c r="D260" t="s">
        <v>1040</v>
      </c>
      <c r="E260" t="s">
        <v>646</v>
      </c>
      <c r="F260" s="237">
        <v>45351</v>
      </c>
      <c r="G260">
        <v>60</v>
      </c>
      <c r="H260" t="s">
        <v>651</v>
      </c>
      <c r="I260" s="802">
        <f t="shared" si="4"/>
        <v>4037640</v>
      </c>
      <c r="J260" t="s">
        <v>777</v>
      </c>
    </row>
    <row r="261" spans="1:10" x14ac:dyDescent="0.25">
      <c r="A261" t="s">
        <v>642</v>
      </c>
      <c r="B261" t="s">
        <v>643</v>
      </c>
      <c r="C261" t="s">
        <v>644</v>
      </c>
      <c r="D261" t="s">
        <v>678</v>
      </c>
      <c r="E261" t="s">
        <v>646</v>
      </c>
      <c r="F261" s="237">
        <v>45348</v>
      </c>
      <c r="G261">
        <v>1.1100000000000001</v>
      </c>
      <c r="H261" t="s">
        <v>647</v>
      </c>
      <c r="I261" s="802">
        <f t="shared" si="4"/>
        <v>587190</v>
      </c>
      <c r="J261" t="s">
        <v>648</v>
      </c>
    </row>
    <row r="262" spans="1:10" x14ac:dyDescent="0.25">
      <c r="A262" t="s">
        <v>642</v>
      </c>
      <c r="B262" t="s">
        <v>643</v>
      </c>
      <c r="C262" t="s">
        <v>644</v>
      </c>
      <c r="D262" t="s">
        <v>677</v>
      </c>
      <c r="E262" t="s">
        <v>646</v>
      </c>
      <c r="F262" s="237">
        <v>45347</v>
      </c>
      <c r="G262">
        <v>1.1100000000000001</v>
      </c>
      <c r="H262" t="s">
        <v>647</v>
      </c>
      <c r="I262" s="802">
        <f t="shared" si="4"/>
        <v>587190</v>
      </c>
      <c r="J262" t="s">
        <v>648</v>
      </c>
    </row>
    <row r="263" spans="1:10" x14ac:dyDescent="0.25">
      <c r="A263" t="s">
        <v>642</v>
      </c>
      <c r="B263" t="s">
        <v>643</v>
      </c>
      <c r="C263" t="s">
        <v>644</v>
      </c>
      <c r="D263" t="s">
        <v>1247</v>
      </c>
      <c r="E263" t="s">
        <v>646</v>
      </c>
      <c r="F263" s="237">
        <v>45346</v>
      </c>
      <c r="G263">
        <v>2</v>
      </c>
      <c r="H263" t="s">
        <v>647</v>
      </c>
      <c r="I263" s="802">
        <f t="shared" si="4"/>
        <v>1058000</v>
      </c>
      <c r="J263" t="s">
        <v>671</v>
      </c>
    </row>
    <row r="264" spans="1:10" x14ac:dyDescent="0.25">
      <c r="A264" t="s">
        <v>642</v>
      </c>
      <c r="B264" t="s">
        <v>643</v>
      </c>
      <c r="C264" t="s">
        <v>644</v>
      </c>
      <c r="D264" t="s">
        <v>688</v>
      </c>
      <c r="E264" t="s">
        <v>646</v>
      </c>
      <c r="F264" s="237">
        <v>45344</v>
      </c>
      <c r="G264">
        <v>60</v>
      </c>
      <c r="H264" t="s">
        <v>651</v>
      </c>
      <c r="I264" s="802">
        <f t="shared" si="4"/>
        <v>4037640</v>
      </c>
      <c r="J264" t="s">
        <v>689</v>
      </c>
    </row>
    <row r="265" spans="1:10" x14ac:dyDescent="0.25">
      <c r="A265" t="s">
        <v>642</v>
      </c>
      <c r="B265" t="s">
        <v>643</v>
      </c>
      <c r="C265" t="s">
        <v>644</v>
      </c>
      <c r="D265" t="s">
        <v>690</v>
      </c>
      <c r="E265" t="s">
        <v>646</v>
      </c>
      <c r="F265" s="237">
        <v>45344</v>
      </c>
      <c r="G265">
        <v>1.1100000000000001</v>
      </c>
      <c r="H265" t="s">
        <v>647</v>
      </c>
      <c r="I265" s="802">
        <f t="shared" si="4"/>
        <v>587190</v>
      </c>
      <c r="J265" t="s">
        <v>648</v>
      </c>
    </row>
    <row r="266" spans="1:10" x14ac:dyDescent="0.25">
      <c r="A266" t="s">
        <v>642</v>
      </c>
      <c r="B266" t="s">
        <v>643</v>
      </c>
      <c r="C266" t="s">
        <v>705</v>
      </c>
      <c r="D266" t="s">
        <v>883</v>
      </c>
      <c r="E266" t="s">
        <v>646</v>
      </c>
      <c r="F266" s="237">
        <v>45340</v>
      </c>
      <c r="G266">
        <v>60</v>
      </c>
      <c r="H266" t="s">
        <v>651</v>
      </c>
      <c r="I266" s="802">
        <f t="shared" si="4"/>
        <v>4037640</v>
      </c>
      <c r="J266" t="s">
        <v>731</v>
      </c>
    </row>
    <row r="267" spans="1:10" x14ac:dyDescent="0.25">
      <c r="A267" t="s">
        <v>642</v>
      </c>
      <c r="B267" t="s">
        <v>643</v>
      </c>
      <c r="C267" t="s">
        <v>644</v>
      </c>
      <c r="D267" t="s">
        <v>1227</v>
      </c>
      <c r="E267" t="s">
        <v>646</v>
      </c>
      <c r="F267" s="237">
        <v>45340</v>
      </c>
      <c r="G267">
        <v>1.1100000000000001</v>
      </c>
      <c r="H267" t="s">
        <v>647</v>
      </c>
      <c r="I267" s="802">
        <f t="shared" si="4"/>
        <v>587190</v>
      </c>
      <c r="J267" t="s">
        <v>648</v>
      </c>
    </row>
    <row r="268" spans="1:10" x14ac:dyDescent="0.25">
      <c r="A268" t="s">
        <v>642</v>
      </c>
      <c r="B268" t="s">
        <v>643</v>
      </c>
      <c r="C268" t="s">
        <v>644</v>
      </c>
      <c r="D268" t="s">
        <v>1228</v>
      </c>
      <c r="E268" t="s">
        <v>646</v>
      </c>
      <c r="F268" s="237">
        <v>45340</v>
      </c>
      <c r="G268">
        <v>1.1000000000000001</v>
      </c>
      <c r="H268" t="s">
        <v>647</v>
      </c>
      <c r="I268" s="802">
        <f t="shared" si="4"/>
        <v>581900</v>
      </c>
      <c r="J268" t="s">
        <v>648</v>
      </c>
    </row>
    <row r="269" spans="1:10" x14ac:dyDescent="0.25">
      <c r="A269" t="s">
        <v>642</v>
      </c>
      <c r="B269" t="s">
        <v>643</v>
      </c>
      <c r="C269" t="s">
        <v>705</v>
      </c>
      <c r="D269" t="s">
        <v>1127</v>
      </c>
      <c r="E269" t="s">
        <v>646</v>
      </c>
      <c r="F269" s="237">
        <v>45338</v>
      </c>
      <c r="G269">
        <v>60</v>
      </c>
      <c r="H269" t="s">
        <v>651</v>
      </c>
      <c r="I269" s="802">
        <f t="shared" si="4"/>
        <v>4037640</v>
      </c>
      <c r="J269" t="s">
        <v>707</v>
      </c>
    </row>
    <row r="270" spans="1:10" x14ac:dyDescent="0.25">
      <c r="A270" t="s">
        <v>642</v>
      </c>
      <c r="B270" t="s">
        <v>643</v>
      </c>
      <c r="C270" t="s">
        <v>705</v>
      </c>
      <c r="D270" t="s">
        <v>873</v>
      </c>
      <c r="E270" t="s">
        <v>646</v>
      </c>
      <c r="F270" s="237">
        <v>45336</v>
      </c>
      <c r="G270">
        <v>30</v>
      </c>
      <c r="H270" t="s">
        <v>651</v>
      </c>
      <c r="I270" s="802">
        <f t="shared" si="4"/>
        <v>2018820</v>
      </c>
      <c r="J270" t="s">
        <v>874</v>
      </c>
    </row>
    <row r="271" spans="1:10" x14ac:dyDescent="0.25">
      <c r="A271" t="s">
        <v>642</v>
      </c>
      <c r="B271" t="s">
        <v>643</v>
      </c>
      <c r="C271" t="s">
        <v>644</v>
      </c>
      <c r="D271" t="s">
        <v>1229</v>
      </c>
      <c r="E271" t="s">
        <v>646</v>
      </c>
      <c r="F271" s="237">
        <v>45334</v>
      </c>
      <c r="G271">
        <v>1.1100000000000001</v>
      </c>
      <c r="H271" t="s">
        <v>647</v>
      </c>
      <c r="I271" s="802">
        <f t="shared" si="4"/>
        <v>587190</v>
      </c>
      <c r="J271" t="s">
        <v>648</v>
      </c>
    </row>
    <row r="272" spans="1:10" x14ac:dyDescent="0.25">
      <c r="A272" t="s">
        <v>642</v>
      </c>
      <c r="B272" t="s">
        <v>643</v>
      </c>
      <c r="C272" t="s">
        <v>644</v>
      </c>
      <c r="D272" t="s">
        <v>679</v>
      </c>
      <c r="E272" t="s">
        <v>646</v>
      </c>
      <c r="F272" s="237">
        <v>45333</v>
      </c>
      <c r="G272">
        <v>1.1100000000000001</v>
      </c>
      <c r="H272" t="s">
        <v>647</v>
      </c>
      <c r="I272" s="802">
        <f t="shared" si="4"/>
        <v>587190</v>
      </c>
      <c r="J272" t="s">
        <v>648</v>
      </c>
    </row>
    <row r="273" spans="1:10" x14ac:dyDescent="0.25">
      <c r="A273" t="s">
        <v>642</v>
      </c>
      <c r="B273" t="s">
        <v>643</v>
      </c>
      <c r="C273" t="s">
        <v>644</v>
      </c>
      <c r="D273" t="s">
        <v>681</v>
      </c>
      <c r="E273" t="s">
        <v>646</v>
      </c>
      <c r="F273" s="237">
        <v>45325</v>
      </c>
      <c r="G273">
        <v>60</v>
      </c>
      <c r="H273" t="s">
        <v>651</v>
      </c>
      <c r="I273" s="802">
        <f t="shared" si="4"/>
        <v>4037640</v>
      </c>
      <c r="J273" t="s">
        <v>682</v>
      </c>
    </row>
    <row r="274" spans="1:10" x14ac:dyDescent="0.25">
      <c r="A274" t="s">
        <v>642</v>
      </c>
      <c r="B274" t="s">
        <v>643</v>
      </c>
      <c r="C274" t="s">
        <v>644</v>
      </c>
      <c r="D274" t="s">
        <v>683</v>
      </c>
      <c r="E274" t="s">
        <v>646</v>
      </c>
      <c r="F274" s="237">
        <v>45325</v>
      </c>
      <c r="G274">
        <v>15</v>
      </c>
      <c r="H274" t="s">
        <v>651</v>
      </c>
      <c r="I274" s="802">
        <f t="shared" si="4"/>
        <v>1009410</v>
      </c>
      <c r="J274" t="s">
        <v>684</v>
      </c>
    </row>
    <row r="275" spans="1:10" x14ac:dyDescent="0.25">
      <c r="A275" t="s">
        <v>642</v>
      </c>
      <c r="B275" t="s">
        <v>643</v>
      </c>
      <c r="C275" t="s">
        <v>644</v>
      </c>
      <c r="D275" t="s">
        <v>685</v>
      </c>
      <c r="E275" t="s">
        <v>646</v>
      </c>
      <c r="F275" s="237">
        <v>45325</v>
      </c>
      <c r="G275">
        <v>60</v>
      </c>
      <c r="H275" t="s">
        <v>651</v>
      </c>
      <c r="I275" s="802">
        <f t="shared" si="4"/>
        <v>4037640</v>
      </c>
      <c r="J275" t="s">
        <v>686</v>
      </c>
    </row>
    <row r="276" spans="1:10" x14ac:dyDescent="0.25">
      <c r="A276" t="s">
        <v>642</v>
      </c>
      <c r="B276" t="s">
        <v>643</v>
      </c>
      <c r="C276" t="s">
        <v>644</v>
      </c>
      <c r="D276" t="s">
        <v>687</v>
      </c>
      <c r="E276" t="s">
        <v>646</v>
      </c>
      <c r="F276" s="237">
        <v>45325</v>
      </c>
      <c r="G276">
        <v>2</v>
      </c>
      <c r="H276" t="s">
        <v>647</v>
      </c>
      <c r="I276" s="802">
        <f t="shared" si="4"/>
        <v>1058000</v>
      </c>
      <c r="J276" t="s">
        <v>671</v>
      </c>
    </row>
    <row r="277" spans="1:10" x14ac:dyDescent="0.25">
      <c r="A277" t="s">
        <v>642</v>
      </c>
      <c r="B277" t="s">
        <v>643</v>
      </c>
      <c r="C277" t="s">
        <v>705</v>
      </c>
      <c r="D277" t="s">
        <v>1078</v>
      </c>
      <c r="E277" t="s">
        <v>646</v>
      </c>
      <c r="F277" s="237">
        <v>45325</v>
      </c>
      <c r="G277">
        <v>60</v>
      </c>
      <c r="H277" t="s">
        <v>651</v>
      </c>
      <c r="I277" s="802">
        <f t="shared" si="4"/>
        <v>4037640</v>
      </c>
      <c r="J277" t="s">
        <v>859</v>
      </c>
    </row>
    <row r="278" spans="1:10" x14ac:dyDescent="0.25">
      <c r="A278" t="s">
        <v>642</v>
      </c>
      <c r="B278" t="s">
        <v>643</v>
      </c>
      <c r="C278" t="s">
        <v>644</v>
      </c>
      <c r="D278" t="s">
        <v>1223</v>
      </c>
      <c r="E278" t="s">
        <v>646</v>
      </c>
      <c r="F278" s="237">
        <v>45324</v>
      </c>
      <c r="G278">
        <v>2</v>
      </c>
      <c r="H278" t="s">
        <v>647</v>
      </c>
      <c r="I278" s="802">
        <f t="shared" si="4"/>
        <v>1058000</v>
      </c>
      <c r="J278" t="s">
        <v>671</v>
      </c>
    </row>
    <row r="279" spans="1:10" x14ac:dyDescent="0.25">
      <c r="A279" t="s">
        <v>642</v>
      </c>
      <c r="B279" t="s">
        <v>643</v>
      </c>
      <c r="C279" t="s">
        <v>644</v>
      </c>
      <c r="D279" t="s">
        <v>1224</v>
      </c>
      <c r="E279" t="s">
        <v>646</v>
      </c>
      <c r="F279" s="237">
        <v>45324</v>
      </c>
      <c r="G279">
        <v>60</v>
      </c>
      <c r="H279" t="s">
        <v>651</v>
      </c>
      <c r="I279" s="802">
        <f t="shared" si="4"/>
        <v>4037640</v>
      </c>
      <c r="J279" t="s">
        <v>842</v>
      </c>
    </row>
    <row r="280" spans="1:10" x14ac:dyDescent="0.25">
      <c r="A280" t="s">
        <v>642</v>
      </c>
      <c r="B280" t="s">
        <v>643</v>
      </c>
      <c r="C280" t="s">
        <v>644</v>
      </c>
      <c r="D280" t="s">
        <v>1225</v>
      </c>
      <c r="E280" t="s">
        <v>646</v>
      </c>
      <c r="F280" s="237">
        <v>45324</v>
      </c>
      <c r="G280">
        <v>60</v>
      </c>
      <c r="H280" t="s">
        <v>651</v>
      </c>
      <c r="I280" s="802">
        <f t="shared" si="4"/>
        <v>4037640</v>
      </c>
      <c r="J280" t="s">
        <v>1226</v>
      </c>
    </row>
    <row r="281" spans="1:10" x14ac:dyDescent="0.25">
      <c r="A281" t="s">
        <v>642</v>
      </c>
      <c r="B281" t="s">
        <v>643</v>
      </c>
      <c r="C281" t="s">
        <v>644</v>
      </c>
      <c r="D281" t="s">
        <v>1231</v>
      </c>
      <c r="E281" t="s">
        <v>646</v>
      </c>
      <c r="F281" s="237">
        <v>45324</v>
      </c>
      <c r="G281">
        <v>2</v>
      </c>
      <c r="H281" t="s">
        <v>647</v>
      </c>
      <c r="I281" s="802">
        <f t="shared" si="4"/>
        <v>1058000</v>
      </c>
      <c r="J281" t="s">
        <v>671</v>
      </c>
    </row>
    <row r="282" spans="1:10" x14ac:dyDescent="0.25">
      <c r="A282" t="s">
        <v>642</v>
      </c>
      <c r="B282" t="s">
        <v>643</v>
      </c>
      <c r="C282" t="s">
        <v>644</v>
      </c>
      <c r="D282" t="s">
        <v>1232</v>
      </c>
      <c r="E282" t="s">
        <v>646</v>
      </c>
      <c r="F282" s="237">
        <v>45324</v>
      </c>
      <c r="G282">
        <v>60</v>
      </c>
      <c r="H282" t="s">
        <v>651</v>
      </c>
      <c r="I282" s="802">
        <f t="shared" si="4"/>
        <v>4037640</v>
      </c>
      <c r="J282" t="s">
        <v>1226</v>
      </c>
    </row>
    <row r="283" spans="1:10" x14ac:dyDescent="0.25">
      <c r="A283" t="s">
        <v>642</v>
      </c>
      <c r="B283" t="s">
        <v>643</v>
      </c>
      <c r="C283" t="s">
        <v>705</v>
      </c>
      <c r="D283" t="s">
        <v>893</v>
      </c>
      <c r="E283" t="s">
        <v>646</v>
      </c>
      <c r="F283" s="237">
        <v>45319</v>
      </c>
      <c r="G283">
        <v>60</v>
      </c>
      <c r="H283" t="s">
        <v>651</v>
      </c>
      <c r="I283" s="802">
        <f t="shared" si="4"/>
        <v>4037640</v>
      </c>
      <c r="J283" t="s">
        <v>731</v>
      </c>
    </row>
    <row r="284" spans="1:10" x14ac:dyDescent="0.25">
      <c r="A284" t="s">
        <v>642</v>
      </c>
      <c r="B284" t="s">
        <v>643</v>
      </c>
      <c r="C284" t="s">
        <v>644</v>
      </c>
      <c r="D284" t="s">
        <v>1236</v>
      </c>
      <c r="E284" t="s">
        <v>646</v>
      </c>
      <c r="F284" s="237">
        <v>45313</v>
      </c>
      <c r="G284">
        <v>0.89</v>
      </c>
      <c r="H284" t="s">
        <v>647</v>
      </c>
      <c r="I284" s="802">
        <f t="shared" si="4"/>
        <v>470810</v>
      </c>
      <c r="J284" t="s">
        <v>648</v>
      </c>
    </row>
    <row r="285" spans="1:10" x14ac:dyDescent="0.25">
      <c r="A285" t="s">
        <v>642</v>
      </c>
      <c r="B285" t="s">
        <v>643</v>
      </c>
      <c r="C285" t="s">
        <v>705</v>
      </c>
      <c r="D285" t="s">
        <v>1030</v>
      </c>
      <c r="E285" t="s">
        <v>646</v>
      </c>
      <c r="F285" s="237">
        <v>45312</v>
      </c>
      <c r="G285">
        <v>60</v>
      </c>
      <c r="H285" t="s">
        <v>651</v>
      </c>
      <c r="I285" s="802">
        <f t="shared" si="4"/>
        <v>4037640</v>
      </c>
      <c r="J285" t="s">
        <v>655</v>
      </c>
    </row>
    <row r="286" spans="1:10" x14ac:dyDescent="0.25">
      <c r="A286" t="s">
        <v>642</v>
      </c>
      <c r="B286" t="s">
        <v>643</v>
      </c>
      <c r="C286" t="s">
        <v>705</v>
      </c>
      <c r="D286" t="s">
        <v>1031</v>
      </c>
      <c r="E286" t="s">
        <v>646</v>
      </c>
      <c r="F286" s="237">
        <v>45312</v>
      </c>
      <c r="G286">
        <v>60</v>
      </c>
      <c r="H286" t="s">
        <v>651</v>
      </c>
      <c r="I286" s="802">
        <f t="shared" si="4"/>
        <v>4037640</v>
      </c>
      <c r="J286" t="s">
        <v>1022</v>
      </c>
    </row>
    <row r="287" spans="1:10" x14ac:dyDescent="0.25">
      <c r="A287" t="s">
        <v>642</v>
      </c>
      <c r="B287" t="s">
        <v>643</v>
      </c>
      <c r="C287" t="s">
        <v>644</v>
      </c>
      <c r="D287" t="s">
        <v>1253</v>
      </c>
      <c r="E287" t="s">
        <v>646</v>
      </c>
      <c r="F287" s="237">
        <v>45312</v>
      </c>
      <c r="G287">
        <v>0.89</v>
      </c>
      <c r="H287" t="s">
        <v>647</v>
      </c>
      <c r="I287" s="802">
        <f t="shared" si="4"/>
        <v>470810</v>
      </c>
      <c r="J287" t="s">
        <v>648</v>
      </c>
    </row>
    <row r="288" spans="1:10" x14ac:dyDescent="0.25">
      <c r="A288" t="s">
        <v>642</v>
      </c>
      <c r="B288" t="s">
        <v>643</v>
      </c>
      <c r="C288" t="s">
        <v>644</v>
      </c>
      <c r="D288" t="s">
        <v>1252</v>
      </c>
      <c r="E288" t="s">
        <v>646</v>
      </c>
      <c r="F288" s="237">
        <v>45311</v>
      </c>
      <c r="G288">
        <v>1.1100000000000001</v>
      </c>
      <c r="H288" t="s">
        <v>647</v>
      </c>
      <c r="I288" s="802">
        <f t="shared" si="4"/>
        <v>587190</v>
      </c>
      <c r="J288" t="s">
        <v>648</v>
      </c>
    </row>
    <row r="289" spans="1:10" x14ac:dyDescent="0.25">
      <c r="A289" t="s">
        <v>642</v>
      </c>
      <c r="B289" t="s">
        <v>643</v>
      </c>
      <c r="C289" t="s">
        <v>644</v>
      </c>
      <c r="D289" t="s">
        <v>1222</v>
      </c>
      <c r="E289" t="s">
        <v>646</v>
      </c>
      <c r="F289" s="237">
        <v>45310</v>
      </c>
      <c r="G289">
        <v>60</v>
      </c>
      <c r="H289" t="s">
        <v>651</v>
      </c>
      <c r="I289" s="802">
        <f t="shared" si="4"/>
        <v>4037640</v>
      </c>
      <c r="J289" t="s">
        <v>686</v>
      </c>
    </row>
    <row r="290" spans="1:10" x14ac:dyDescent="0.25">
      <c r="A290" t="s">
        <v>642</v>
      </c>
      <c r="B290" t="s">
        <v>643</v>
      </c>
      <c r="C290" t="s">
        <v>705</v>
      </c>
      <c r="D290" t="s">
        <v>950</v>
      </c>
      <c r="E290" t="s">
        <v>646</v>
      </c>
      <c r="F290" s="237">
        <v>45303</v>
      </c>
      <c r="G290">
        <v>26.73</v>
      </c>
      <c r="H290" t="s">
        <v>647</v>
      </c>
      <c r="I290" s="802">
        <f t="shared" si="4"/>
        <v>14140170</v>
      </c>
      <c r="J290" t="s">
        <v>712</v>
      </c>
    </row>
    <row r="291" spans="1:10" x14ac:dyDescent="0.25">
      <c r="A291" t="s">
        <v>642</v>
      </c>
      <c r="B291" t="s">
        <v>643</v>
      </c>
      <c r="C291" t="s">
        <v>644</v>
      </c>
      <c r="D291" t="s">
        <v>1234</v>
      </c>
      <c r="E291" t="s">
        <v>646</v>
      </c>
      <c r="F291" s="237">
        <v>45302</v>
      </c>
      <c r="G291">
        <v>1.1100000000000001</v>
      </c>
      <c r="H291" t="s">
        <v>647</v>
      </c>
      <c r="I291" s="802">
        <f t="shared" si="4"/>
        <v>587190</v>
      </c>
      <c r="J291" t="s">
        <v>648</v>
      </c>
    </row>
    <row r="292" spans="1:10" x14ac:dyDescent="0.25">
      <c r="A292" t="s">
        <v>642</v>
      </c>
      <c r="B292" t="s">
        <v>643</v>
      </c>
      <c r="C292" t="s">
        <v>644</v>
      </c>
      <c r="D292" t="s">
        <v>1248</v>
      </c>
      <c r="E292" t="s">
        <v>646</v>
      </c>
      <c r="F292" s="237">
        <v>45302</v>
      </c>
      <c r="G292">
        <v>0.67</v>
      </c>
      <c r="H292" t="s">
        <v>647</v>
      </c>
      <c r="I292" s="802">
        <f t="shared" si="4"/>
        <v>354430</v>
      </c>
      <c r="J292" t="s">
        <v>648</v>
      </c>
    </row>
    <row r="293" spans="1:10" x14ac:dyDescent="0.25">
      <c r="A293" t="s">
        <v>642</v>
      </c>
      <c r="B293" t="s">
        <v>643</v>
      </c>
      <c r="C293" t="s">
        <v>644</v>
      </c>
      <c r="D293" t="s">
        <v>1250</v>
      </c>
      <c r="E293" t="s">
        <v>646</v>
      </c>
      <c r="F293" s="237">
        <v>45302</v>
      </c>
      <c r="G293">
        <v>2</v>
      </c>
      <c r="H293" t="s">
        <v>647</v>
      </c>
      <c r="I293" s="802">
        <f t="shared" si="4"/>
        <v>1058000</v>
      </c>
      <c r="J293" t="s">
        <v>671</v>
      </c>
    </row>
    <row r="294" spans="1:10" x14ac:dyDescent="0.25">
      <c r="A294" t="s">
        <v>642</v>
      </c>
      <c r="B294" t="s">
        <v>643</v>
      </c>
      <c r="C294" t="s">
        <v>705</v>
      </c>
      <c r="D294" t="s">
        <v>1011</v>
      </c>
      <c r="E294" t="s">
        <v>646</v>
      </c>
      <c r="F294" s="237">
        <v>45297</v>
      </c>
      <c r="G294">
        <v>26.73</v>
      </c>
      <c r="H294" t="s">
        <v>647</v>
      </c>
      <c r="I294" s="802">
        <f t="shared" si="4"/>
        <v>14140170</v>
      </c>
      <c r="J294" t="s">
        <v>712</v>
      </c>
    </row>
    <row r="295" spans="1:10" x14ac:dyDescent="0.25">
      <c r="A295" t="s">
        <v>642</v>
      </c>
      <c r="B295" t="s">
        <v>643</v>
      </c>
      <c r="C295" t="s">
        <v>705</v>
      </c>
      <c r="D295" t="s">
        <v>991</v>
      </c>
      <c r="E295" t="s">
        <v>646</v>
      </c>
      <c r="F295" s="237">
        <v>45296</v>
      </c>
      <c r="G295">
        <v>60</v>
      </c>
      <c r="H295" t="s">
        <v>651</v>
      </c>
      <c r="I295" s="802">
        <f t="shared" si="4"/>
        <v>4037640</v>
      </c>
      <c r="J295" t="s">
        <v>715</v>
      </c>
    </row>
    <row r="296" spans="1:10" x14ac:dyDescent="0.25">
      <c r="A296" t="s">
        <v>642</v>
      </c>
      <c r="B296" t="s">
        <v>643</v>
      </c>
      <c r="C296" t="s">
        <v>705</v>
      </c>
      <c r="D296" t="s">
        <v>992</v>
      </c>
      <c r="E296" t="s">
        <v>646</v>
      </c>
      <c r="F296" s="237">
        <v>45296</v>
      </c>
      <c r="G296">
        <v>60</v>
      </c>
      <c r="H296" t="s">
        <v>651</v>
      </c>
      <c r="I296" s="802">
        <f t="shared" si="4"/>
        <v>4037640</v>
      </c>
      <c r="J296" t="s">
        <v>655</v>
      </c>
    </row>
    <row r="297" spans="1:10" x14ac:dyDescent="0.25">
      <c r="A297" t="s">
        <v>642</v>
      </c>
      <c r="B297" t="s">
        <v>643</v>
      </c>
      <c r="C297" t="s">
        <v>644</v>
      </c>
      <c r="D297" t="s">
        <v>1245</v>
      </c>
      <c r="E297" t="s">
        <v>646</v>
      </c>
      <c r="F297" s="237">
        <v>45292</v>
      </c>
      <c r="G297">
        <v>2</v>
      </c>
      <c r="H297" t="s">
        <v>647</v>
      </c>
      <c r="I297" s="802">
        <f t="shared" si="4"/>
        <v>1058000</v>
      </c>
      <c r="J297" t="s">
        <v>671</v>
      </c>
    </row>
    <row r="298" spans="1:10" x14ac:dyDescent="0.25">
      <c r="A298" t="s">
        <v>642</v>
      </c>
      <c r="B298" t="s">
        <v>643</v>
      </c>
      <c r="C298" t="s">
        <v>644</v>
      </c>
      <c r="D298" t="s">
        <v>1260</v>
      </c>
      <c r="E298" t="s">
        <v>646</v>
      </c>
      <c r="F298" s="237">
        <v>45292</v>
      </c>
      <c r="G298">
        <v>1.1100000000000001</v>
      </c>
      <c r="H298" t="s">
        <v>647</v>
      </c>
      <c r="I298" s="802">
        <f t="shared" si="4"/>
        <v>587190</v>
      </c>
      <c r="J298" t="s">
        <v>648</v>
      </c>
    </row>
    <row r="299" spans="1:10" x14ac:dyDescent="0.25">
      <c r="A299" t="s">
        <v>642</v>
      </c>
      <c r="B299" t="s">
        <v>643</v>
      </c>
      <c r="C299" t="s">
        <v>644</v>
      </c>
      <c r="D299" t="s">
        <v>1261</v>
      </c>
      <c r="E299" t="s">
        <v>646</v>
      </c>
      <c r="F299" s="237">
        <v>45292</v>
      </c>
      <c r="G299">
        <v>1.1100000000000001</v>
      </c>
      <c r="H299" t="s">
        <v>647</v>
      </c>
      <c r="I299" s="802">
        <f t="shared" si="4"/>
        <v>587190</v>
      </c>
      <c r="J299" t="s">
        <v>648</v>
      </c>
    </row>
    <row r="300" spans="1:10" x14ac:dyDescent="0.25">
      <c r="A300" t="s">
        <v>642</v>
      </c>
      <c r="B300" t="s">
        <v>643</v>
      </c>
      <c r="C300" t="s">
        <v>644</v>
      </c>
      <c r="D300" t="s">
        <v>1239</v>
      </c>
      <c r="E300" t="s">
        <v>646</v>
      </c>
      <c r="F300" s="237">
        <v>45291</v>
      </c>
      <c r="G300">
        <v>2</v>
      </c>
      <c r="H300" t="s">
        <v>647</v>
      </c>
      <c r="I300" s="802">
        <f t="shared" si="4"/>
        <v>1058000</v>
      </c>
      <c r="J300" t="s">
        <v>671</v>
      </c>
    </row>
    <row r="301" spans="1:10" x14ac:dyDescent="0.25">
      <c r="A301" t="s">
        <v>642</v>
      </c>
      <c r="B301" t="s">
        <v>643</v>
      </c>
      <c r="C301" t="s">
        <v>644</v>
      </c>
      <c r="D301" t="s">
        <v>1246</v>
      </c>
      <c r="E301" t="s">
        <v>646</v>
      </c>
      <c r="F301" s="237">
        <v>45290</v>
      </c>
      <c r="G301">
        <v>1.1100000000000001</v>
      </c>
      <c r="H301" t="s">
        <v>647</v>
      </c>
      <c r="I301" s="802">
        <f t="shared" si="4"/>
        <v>587190</v>
      </c>
      <c r="J301" t="s">
        <v>648</v>
      </c>
    </row>
    <row r="302" spans="1:10" x14ac:dyDescent="0.25">
      <c r="A302" t="s">
        <v>642</v>
      </c>
      <c r="B302" t="s">
        <v>643</v>
      </c>
      <c r="C302" t="s">
        <v>705</v>
      </c>
      <c r="D302" t="s">
        <v>1734</v>
      </c>
      <c r="E302" t="s">
        <v>646</v>
      </c>
      <c r="F302" s="237">
        <v>45290</v>
      </c>
      <c r="G302">
        <v>60</v>
      </c>
      <c r="H302" t="s">
        <v>651</v>
      </c>
      <c r="I302" s="802">
        <f t="shared" si="4"/>
        <v>4037640</v>
      </c>
      <c r="J302" t="s">
        <v>1735</v>
      </c>
    </row>
    <row r="303" spans="1:10" x14ac:dyDescent="0.25">
      <c r="A303" t="s">
        <v>642</v>
      </c>
      <c r="B303" t="s">
        <v>643</v>
      </c>
      <c r="C303" t="s">
        <v>644</v>
      </c>
      <c r="D303" t="s">
        <v>1273</v>
      </c>
      <c r="E303" t="s">
        <v>646</v>
      </c>
      <c r="F303" s="237">
        <v>45286</v>
      </c>
      <c r="G303">
        <v>60</v>
      </c>
      <c r="H303" t="s">
        <v>651</v>
      </c>
      <c r="I303" s="802">
        <f t="shared" si="4"/>
        <v>4037640</v>
      </c>
      <c r="J303" t="s">
        <v>842</v>
      </c>
    </row>
    <row r="304" spans="1:10" x14ac:dyDescent="0.25">
      <c r="A304" t="s">
        <v>642</v>
      </c>
      <c r="B304" t="s">
        <v>643</v>
      </c>
      <c r="C304" t="s">
        <v>644</v>
      </c>
      <c r="D304" t="s">
        <v>1243</v>
      </c>
      <c r="E304" t="s">
        <v>646</v>
      </c>
      <c r="F304" s="237">
        <v>45284</v>
      </c>
      <c r="G304">
        <v>1.1100000000000001</v>
      </c>
      <c r="H304" t="s">
        <v>647</v>
      </c>
      <c r="I304" s="802">
        <f t="shared" si="4"/>
        <v>587190</v>
      </c>
      <c r="J304" t="s">
        <v>648</v>
      </c>
    </row>
    <row r="305" spans="1:10" x14ac:dyDescent="0.25">
      <c r="A305" t="s">
        <v>642</v>
      </c>
      <c r="B305" t="s">
        <v>643</v>
      </c>
      <c r="C305" t="s">
        <v>705</v>
      </c>
      <c r="D305" t="s">
        <v>875</v>
      </c>
      <c r="E305" t="s">
        <v>646</v>
      </c>
      <c r="F305" s="237">
        <v>45283</v>
      </c>
      <c r="G305">
        <v>60</v>
      </c>
      <c r="H305" t="s">
        <v>651</v>
      </c>
      <c r="I305" s="802">
        <f t="shared" si="4"/>
        <v>4037640</v>
      </c>
      <c r="J305" t="s">
        <v>715</v>
      </c>
    </row>
    <row r="306" spans="1:10" x14ac:dyDescent="0.25">
      <c r="A306" t="s">
        <v>642</v>
      </c>
      <c r="B306" t="s">
        <v>643</v>
      </c>
      <c r="C306" t="s">
        <v>705</v>
      </c>
      <c r="D306" t="s">
        <v>876</v>
      </c>
      <c r="E306" t="s">
        <v>646</v>
      </c>
      <c r="F306" s="237">
        <v>45283</v>
      </c>
      <c r="G306">
        <v>60</v>
      </c>
      <c r="H306" t="s">
        <v>651</v>
      </c>
      <c r="I306" s="802">
        <f t="shared" si="4"/>
        <v>4037640</v>
      </c>
      <c r="J306" t="s">
        <v>682</v>
      </c>
    </row>
    <row r="307" spans="1:10" x14ac:dyDescent="0.25">
      <c r="A307" t="s">
        <v>642</v>
      </c>
      <c r="B307" t="s">
        <v>643</v>
      </c>
      <c r="C307" t="s">
        <v>705</v>
      </c>
      <c r="D307" t="s">
        <v>877</v>
      </c>
      <c r="E307" t="s">
        <v>646</v>
      </c>
      <c r="F307" s="237">
        <v>45283</v>
      </c>
      <c r="G307">
        <v>60</v>
      </c>
      <c r="H307" t="s">
        <v>651</v>
      </c>
      <c r="I307" s="802">
        <f t="shared" si="4"/>
        <v>4037640</v>
      </c>
      <c r="J307" t="s">
        <v>689</v>
      </c>
    </row>
    <row r="308" spans="1:10" x14ac:dyDescent="0.25">
      <c r="A308" t="s">
        <v>642</v>
      </c>
      <c r="B308" t="s">
        <v>643</v>
      </c>
      <c r="C308" t="s">
        <v>644</v>
      </c>
      <c r="D308" t="s">
        <v>1265</v>
      </c>
      <c r="E308" t="s">
        <v>646</v>
      </c>
      <c r="F308" s="237">
        <v>45283</v>
      </c>
      <c r="G308">
        <v>1.1100000000000001</v>
      </c>
      <c r="H308" t="s">
        <v>647</v>
      </c>
      <c r="I308" s="802">
        <f t="shared" si="4"/>
        <v>587190</v>
      </c>
      <c r="J308" t="s">
        <v>648</v>
      </c>
    </row>
    <row r="309" spans="1:10" x14ac:dyDescent="0.25">
      <c r="A309" t="s">
        <v>642</v>
      </c>
      <c r="B309" t="s">
        <v>643</v>
      </c>
      <c r="C309" t="s">
        <v>705</v>
      </c>
      <c r="D309" t="s">
        <v>1738</v>
      </c>
      <c r="E309" t="s">
        <v>646</v>
      </c>
      <c r="F309" s="237">
        <v>45283</v>
      </c>
      <c r="G309">
        <v>60</v>
      </c>
      <c r="H309" t="s">
        <v>651</v>
      </c>
      <c r="I309" s="802">
        <f t="shared" si="4"/>
        <v>4037640</v>
      </c>
      <c r="J309" t="s">
        <v>731</v>
      </c>
    </row>
    <row r="310" spans="1:10" x14ac:dyDescent="0.25">
      <c r="A310" t="s">
        <v>642</v>
      </c>
      <c r="B310" t="s">
        <v>643</v>
      </c>
      <c r="C310" t="s">
        <v>705</v>
      </c>
      <c r="D310" t="s">
        <v>775</v>
      </c>
      <c r="E310" t="s">
        <v>646</v>
      </c>
      <c r="F310" s="237">
        <v>45282</v>
      </c>
      <c r="G310">
        <v>60</v>
      </c>
      <c r="H310" t="s">
        <v>651</v>
      </c>
      <c r="I310" s="802">
        <f t="shared" si="4"/>
        <v>4037640</v>
      </c>
      <c r="J310" t="s">
        <v>707</v>
      </c>
    </row>
    <row r="311" spans="1:10" x14ac:dyDescent="0.25">
      <c r="A311" t="s">
        <v>642</v>
      </c>
      <c r="B311" t="s">
        <v>643</v>
      </c>
      <c r="C311" t="s">
        <v>705</v>
      </c>
      <c r="D311" t="s">
        <v>776</v>
      </c>
      <c r="E311" t="s">
        <v>646</v>
      </c>
      <c r="F311" s="237">
        <v>45282</v>
      </c>
      <c r="G311">
        <v>60</v>
      </c>
      <c r="H311" t="s">
        <v>651</v>
      </c>
      <c r="I311" s="802">
        <f t="shared" si="4"/>
        <v>4037640</v>
      </c>
      <c r="J311" t="s">
        <v>777</v>
      </c>
    </row>
    <row r="312" spans="1:10" x14ac:dyDescent="0.25">
      <c r="A312" t="s">
        <v>642</v>
      </c>
      <c r="B312" t="s">
        <v>643</v>
      </c>
      <c r="C312" t="s">
        <v>705</v>
      </c>
      <c r="D312" t="s">
        <v>778</v>
      </c>
      <c r="E312" t="s">
        <v>646</v>
      </c>
      <c r="F312" s="237">
        <v>45282</v>
      </c>
      <c r="G312">
        <v>60</v>
      </c>
      <c r="H312" t="s">
        <v>651</v>
      </c>
      <c r="I312" s="802">
        <f t="shared" si="4"/>
        <v>4037640</v>
      </c>
      <c r="J312" t="s">
        <v>779</v>
      </c>
    </row>
    <row r="313" spans="1:10" x14ac:dyDescent="0.25">
      <c r="A313" t="s">
        <v>642</v>
      </c>
      <c r="B313" t="s">
        <v>643</v>
      </c>
      <c r="C313" t="s">
        <v>705</v>
      </c>
      <c r="D313" t="s">
        <v>1029</v>
      </c>
      <c r="E313" t="s">
        <v>646</v>
      </c>
      <c r="F313" s="237">
        <v>45281</v>
      </c>
      <c r="G313">
        <v>26.73</v>
      </c>
      <c r="H313" t="s">
        <v>647</v>
      </c>
      <c r="I313" s="802">
        <f t="shared" si="4"/>
        <v>14140170</v>
      </c>
      <c r="J313" t="s">
        <v>712</v>
      </c>
    </row>
    <row r="314" spans="1:10" x14ac:dyDescent="0.25">
      <c r="A314" t="s">
        <v>642</v>
      </c>
      <c r="B314" t="s">
        <v>643</v>
      </c>
      <c r="C314" t="s">
        <v>644</v>
      </c>
      <c r="D314" t="s">
        <v>1249</v>
      </c>
      <c r="E314" t="s">
        <v>646</v>
      </c>
      <c r="F314" s="237">
        <v>45281</v>
      </c>
      <c r="G314">
        <v>1.1100000000000001</v>
      </c>
      <c r="H314" t="s">
        <v>647</v>
      </c>
      <c r="I314" s="802">
        <f t="shared" si="4"/>
        <v>587190</v>
      </c>
      <c r="J314" t="s">
        <v>648</v>
      </c>
    </row>
    <row r="315" spans="1:10" x14ac:dyDescent="0.25">
      <c r="A315" t="s">
        <v>642</v>
      </c>
      <c r="B315" t="s">
        <v>643</v>
      </c>
      <c r="C315" t="s">
        <v>705</v>
      </c>
      <c r="D315" t="s">
        <v>1740</v>
      </c>
      <c r="E315" t="s">
        <v>646</v>
      </c>
      <c r="F315" s="237">
        <v>45281</v>
      </c>
      <c r="G315">
        <v>60</v>
      </c>
      <c r="H315" t="s">
        <v>651</v>
      </c>
      <c r="I315" s="802">
        <f t="shared" si="4"/>
        <v>4037640</v>
      </c>
      <c r="J315" t="s">
        <v>731</v>
      </c>
    </row>
    <row r="316" spans="1:10" x14ac:dyDescent="0.25">
      <c r="A316" t="s">
        <v>642</v>
      </c>
      <c r="B316" t="s">
        <v>643</v>
      </c>
      <c r="C316" t="s">
        <v>705</v>
      </c>
      <c r="D316" t="s">
        <v>706</v>
      </c>
      <c r="E316" t="s">
        <v>646</v>
      </c>
      <c r="F316" s="237">
        <v>45280</v>
      </c>
      <c r="G316">
        <v>60</v>
      </c>
      <c r="H316" t="s">
        <v>651</v>
      </c>
      <c r="I316" s="802">
        <f t="shared" si="4"/>
        <v>4037640</v>
      </c>
      <c r="J316" t="s">
        <v>707</v>
      </c>
    </row>
    <row r="317" spans="1:10" x14ac:dyDescent="0.25">
      <c r="A317" t="s">
        <v>642</v>
      </c>
      <c r="B317" t="s">
        <v>643</v>
      </c>
      <c r="C317" t="s">
        <v>705</v>
      </c>
      <c r="D317" t="s">
        <v>758</v>
      </c>
      <c r="E317" t="s">
        <v>646</v>
      </c>
      <c r="F317" s="237">
        <v>45280</v>
      </c>
      <c r="G317">
        <v>60</v>
      </c>
      <c r="H317" t="s">
        <v>651</v>
      </c>
      <c r="I317" s="802">
        <f t="shared" si="4"/>
        <v>4037640</v>
      </c>
      <c r="J317" t="s">
        <v>707</v>
      </c>
    </row>
    <row r="318" spans="1:10" x14ac:dyDescent="0.25">
      <c r="A318" t="s">
        <v>642</v>
      </c>
      <c r="B318" t="s">
        <v>643</v>
      </c>
      <c r="C318" t="s">
        <v>705</v>
      </c>
      <c r="D318" t="s">
        <v>894</v>
      </c>
      <c r="E318" t="s">
        <v>646</v>
      </c>
      <c r="F318" s="237">
        <v>45280</v>
      </c>
      <c r="G318">
        <v>60</v>
      </c>
      <c r="H318" t="s">
        <v>651</v>
      </c>
      <c r="I318" s="802">
        <f t="shared" si="4"/>
        <v>4037640</v>
      </c>
      <c r="J318" t="s">
        <v>707</v>
      </c>
    </row>
    <row r="319" spans="1:10" x14ac:dyDescent="0.25">
      <c r="A319" t="s">
        <v>642</v>
      </c>
      <c r="B319" t="s">
        <v>643</v>
      </c>
      <c r="C319" t="s">
        <v>705</v>
      </c>
      <c r="D319" t="s">
        <v>895</v>
      </c>
      <c r="E319" t="s">
        <v>646</v>
      </c>
      <c r="F319" s="237">
        <v>45280</v>
      </c>
      <c r="G319">
        <v>60</v>
      </c>
      <c r="H319" t="s">
        <v>651</v>
      </c>
      <c r="I319" s="802">
        <f t="shared" si="4"/>
        <v>4037640</v>
      </c>
      <c r="J319" t="s">
        <v>779</v>
      </c>
    </row>
    <row r="320" spans="1:10" x14ac:dyDescent="0.25">
      <c r="A320" t="s">
        <v>642</v>
      </c>
      <c r="B320" t="s">
        <v>643</v>
      </c>
      <c r="C320" t="s">
        <v>705</v>
      </c>
      <c r="D320" t="s">
        <v>896</v>
      </c>
      <c r="E320" t="s">
        <v>646</v>
      </c>
      <c r="F320" s="237">
        <v>45280</v>
      </c>
      <c r="G320">
        <v>60</v>
      </c>
      <c r="H320" t="s">
        <v>651</v>
      </c>
      <c r="I320" s="802">
        <f t="shared" si="4"/>
        <v>4037640</v>
      </c>
      <c r="J320" t="s">
        <v>777</v>
      </c>
    </row>
    <row r="321" spans="1:10" x14ac:dyDescent="0.25">
      <c r="A321" t="s">
        <v>642</v>
      </c>
      <c r="B321" t="s">
        <v>643</v>
      </c>
      <c r="C321" t="s">
        <v>705</v>
      </c>
      <c r="D321" t="s">
        <v>1128</v>
      </c>
      <c r="E321" t="s">
        <v>646</v>
      </c>
      <c r="F321" s="237">
        <v>45278</v>
      </c>
      <c r="G321">
        <v>60</v>
      </c>
      <c r="H321" t="s">
        <v>651</v>
      </c>
      <c r="I321" s="802">
        <f t="shared" si="4"/>
        <v>4037640</v>
      </c>
      <c r="J321" t="s">
        <v>707</v>
      </c>
    </row>
    <row r="322" spans="1:10" x14ac:dyDescent="0.25">
      <c r="A322" t="s">
        <v>642</v>
      </c>
      <c r="B322" t="s">
        <v>643</v>
      </c>
      <c r="C322" t="s">
        <v>705</v>
      </c>
      <c r="D322" t="s">
        <v>1129</v>
      </c>
      <c r="E322" t="s">
        <v>646</v>
      </c>
      <c r="F322" s="237">
        <v>45278</v>
      </c>
      <c r="G322">
        <v>60</v>
      </c>
      <c r="H322" t="s">
        <v>651</v>
      </c>
      <c r="I322" s="802">
        <f t="shared" si="4"/>
        <v>4037640</v>
      </c>
      <c r="J322" t="s">
        <v>777</v>
      </c>
    </row>
    <row r="323" spans="1:10" x14ac:dyDescent="0.25">
      <c r="A323" t="s">
        <v>642</v>
      </c>
      <c r="B323" t="s">
        <v>643</v>
      </c>
      <c r="C323" t="s">
        <v>705</v>
      </c>
      <c r="D323" t="s">
        <v>1130</v>
      </c>
      <c r="E323" t="s">
        <v>646</v>
      </c>
      <c r="F323" s="237">
        <v>45278</v>
      </c>
      <c r="G323">
        <v>60</v>
      </c>
      <c r="H323" t="s">
        <v>651</v>
      </c>
      <c r="I323" s="802">
        <f t="shared" ref="I323:I386" si="5">+IF(H323="IMM",+G323*529000,+G323*67294)</f>
        <v>4037640</v>
      </c>
      <c r="J323" t="s">
        <v>779</v>
      </c>
    </row>
    <row r="324" spans="1:10" x14ac:dyDescent="0.25">
      <c r="A324" t="s">
        <v>642</v>
      </c>
      <c r="B324" t="s">
        <v>643</v>
      </c>
      <c r="C324" t="s">
        <v>644</v>
      </c>
      <c r="D324" t="s">
        <v>1238</v>
      </c>
      <c r="E324" t="s">
        <v>646</v>
      </c>
      <c r="F324" s="237">
        <v>45276</v>
      </c>
      <c r="G324">
        <v>1.1100000000000001</v>
      </c>
      <c r="H324" t="s">
        <v>647</v>
      </c>
      <c r="I324" s="802">
        <f t="shared" si="5"/>
        <v>587190</v>
      </c>
      <c r="J324" t="s">
        <v>648</v>
      </c>
    </row>
    <row r="325" spans="1:10" x14ac:dyDescent="0.25">
      <c r="A325" t="s">
        <v>642</v>
      </c>
      <c r="B325" t="s">
        <v>643</v>
      </c>
      <c r="C325" t="s">
        <v>644</v>
      </c>
      <c r="D325" t="s">
        <v>1251</v>
      </c>
      <c r="E325" t="s">
        <v>646</v>
      </c>
      <c r="F325" s="237">
        <v>45276</v>
      </c>
      <c r="G325">
        <v>2</v>
      </c>
      <c r="H325" t="s">
        <v>647</v>
      </c>
      <c r="I325" s="802">
        <f t="shared" si="5"/>
        <v>1058000</v>
      </c>
      <c r="J325" t="s">
        <v>671</v>
      </c>
    </row>
    <row r="326" spans="1:10" x14ac:dyDescent="0.25">
      <c r="A326" t="s">
        <v>642</v>
      </c>
      <c r="B326" t="s">
        <v>643</v>
      </c>
      <c r="C326" t="s">
        <v>644</v>
      </c>
      <c r="D326" t="s">
        <v>1255</v>
      </c>
      <c r="E326" t="s">
        <v>646</v>
      </c>
      <c r="F326" s="237">
        <v>45276</v>
      </c>
      <c r="G326">
        <v>2</v>
      </c>
      <c r="H326" t="s">
        <v>647</v>
      </c>
      <c r="I326" s="802">
        <f t="shared" si="5"/>
        <v>1058000</v>
      </c>
      <c r="J326" t="s">
        <v>671</v>
      </c>
    </row>
    <row r="327" spans="1:10" x14ac:dyDescent="0.25">
      <c r="A327" t="s">
        <v>642</v>
      </c>
      <c r="B327" t="s">
        <v>643</v>
      </c>
      <c r="C327" t="s">
        <v>705</v>
      </c>
      <c r="D327" t="s">
        <v>984</v>
      </c>
      <c r="E327" t="s">
        <v>646</v>
      </c>
      <c r="F327" s="237">
        <v>45271</v>
      </c>
      <c r="G327">
        <v>60</v>
      </c>
      <c r="H327" t="s">
        <v>651</v>
      </c>
      <c r="I327" s="802">
        <f t="shared" si="5"/>
        <v>4037640</v>
      </c>
      <c r="J327" t="s">
        <v>689</v>
      </c>
    </row>
    <row r="328" spans="1:10" x14ac:dyDescent="0.25">
      <c r="A328" t="s">
        <v>642</v>
      </c>
      <c r="B328" t="s">
        <v>643</v>
      </c>
      <c r="C328" t="s">
        <v>644</v>
      </c>
      <c r="D328" t="s">
        <v>1240</v>
      </c>
      <c r="E328" t="s">
        <v>646</v>
      </c>
      <c r="F328" s="237">
        <v>45270</v>
      </c>
      <c r="G328">
        <v>1.1100000000000001</v>
      </c>
      <c r="H328" t="s">
        <v>647</v>
      </c>
      <c r="I328" s="802">
        <f t="shared" si="5"/>
        <v>587190</v>
      </c>
      <c r="J328" t="s">
        <v>648</v>
      </c>
    </row>
    <row r="329" spans="1:10" x14ac:dyDescent="0.25">
      <c r="A329" t="s">
        <v>642</v>
      </c>
      <c r="B329" t="s">
        <v>643</v>
      </c>
      <c r="C329" t="s">
        <v>644</v>
      </c>
      <c r="D329" t="s">
        <v>1241</v>
      </c>
      <c r="E329" t="s">
        <v>646</v>
      </c>
      <c r="F329" s="237">
        <v>45270</v>
      </c>
      <c r="G329">
        <v>1.1100000000000001</v>
      </c>
      <c r="H329" t="s">
        <v>647</v>
      </c>
      <c r="I329" s="802">
        <f t="shared" si="5"/>
        <v>587190</v>
      </c>
      <c r="J329" t="s">
        <v>648</v>
      </c>
    </row>
    <row r="330" spans="1:10" x14ac:dyDescent="0.25">
      <c r="A330" t="s">
        <v>642</v>
      </c>
      <c r="B330" t="s">
        <v>643</v>
      </c>
      <c r="C330" t="s">
        <v>705</v>
      </c>
      <c r="D330" t="s">
        <v>740</v>
      </c>
      <c r="E330" t="s">
        <v>646</v>
      </c>
      <c r="F330" s="237">
        <v>45269</v>
      </c>
      <c r="G330">
        <v>26.73</v>
      </c>
      <c r="H330" t="s">
        <v>647</v>
      </c>
      <c r="I330" s="802">
        <f t="shared" si="5"/>
        <v>14140170</v>
      </c>
      <c r="J330" t="s">
        <v>712</v>
      </c>
    </row>
    <row r="331" spans="1:10" x14ac:dyDescent="0.25">
      <c r="A331" t="s">
        <v>642</v>
      </c>
      <c r="B331" t="s">
        <v>643</v>
      </c>
      <c r="C331" t="s">
        <v>705</v>
      </c>
      <c r="D331" t="s">
        <v>1131</v>
      </c>
      <c r="E331" t="s">
        <v>646</v>
      </c>
      <c r="F331" s="237">
        <v>45267</v>
      </c>
      <c r="G331">
        <v>20</v>
      </c>
      <c r="H331" t="s">
        <v>651</v>
      </c>
      <c r="I331" s="802">
        <f t="shared" si="5"/>
        <v>1345880</v>
      </c>
      <c r="J331" t="s">
        <v>707</v>
      </c>
    </row>
    <row r="332" spans="1:10" x14ac:dyDescent="0.25">
      <c r="A332" t="s">
        <v>642</v>
      </c>
      <c r="B332" t="s">
        <v>643</v>
      </c>
      <c r="C332" t="s">
        <v>705</v>
      </c>
      <c r="D332" t="s">
        <v>767</v>
      </c>
      <c r="E332" t="s">
        <v>646</v>
      </c>
      <c r="F332" s="237">
        <v>45256</v>
      </c>
      <c r="G332">
        <v>60</v>
      </c>
      <c r="H332" t="s">
        <v>651</v>
      </c>
      <c r="I332" s="802">
        <f t="shared" si="5"/>
        <v>4037640</v>
      </c>
      <c r="J332" t="s">
        <v>655</v>
      </c>
    </row>
    <row r="333" spans="1:10" x14ac:dyDescent="0.25">
      <c r="A333" t="s">
        <v>642</v>
      </c>
      <c r="B333" t="s">
        <v>643</v>
      </c>
      <c r="C333" t="s">
        <v>705</v>
      </c>
      <c r="D333" t="s">
        <v>768</v>
      </c>
      <c r="E333" t="s">
        <v>646</v>
      </c>
      <c r="F333" s="237">
        <v>45256</v>
      </c>
      <c r="G333">
        <v>26.73</v>
      </c>
      <c r="H333" t="s">
        <v>647</v>
      </c>
      <c r="I333" s="802">
        <f t="shared" si="5"/>
        <v>14140170</v>
      </c>
      <c r="J333" t="s">
        <v>710</v>
      </c>
    </row>
    <row r="334" spans="1:10" x14ac:dyDescent="0.25">
      <c r="A334" t="s">
        <v>642</v>
      </c>
      <c r="B334" t="s">
        <v>643</v>
      </c>
      <c r="C334" t="s">
        <v>644</v>
      </c>
      <c r="D334" t="s">
        <v>1244</v>
      </c>
      <c r="E334" t="s">
        <v>646</v>
      </c>
      <c r="F334" s="237">
        <v>45255</v>
      </c>
      <c r="G334">
        <v>1.1100000000000001</v>
      </c>
      <c r="H334" t="s">
        <v>647</v>
      </c>
      <c r="I334" s="802">
        <f t="shared" si="5"/>
        <v>587190</v>
      </c>
      <c r="J334" t="s">
        <v>648</v>
      </c>
    </row>
    <row r="335" spans="1:10" x14ac:dyDescent="0.25">
      <c r="A335" t="s">
        <v>642</v>
      </c>
      <c r="B335" t="s">
        <v>643</v>
      </c>
      <c r="C335" t="s">
        <v>644</v>
      </c>
      <c r="D335" t="s">
        <v>1262</v>
      </c>
      <c r="E335" t="s">
        <v>646</v>
      </c>
      <c r="F335" s="237">
        <v>45250</v>
      </c>
      <c r="G335">
        <v>1.1100000000000001</v>
      </c>
      <c r="H335" t="s">
        <v>647</v>
      </c>
      <c r="I335" s="802">
        <f t="shared" si="5"/>
        <v>587190</v>
      </c>
      <c r="J335" t="s">
        <v>648</v>
      </c>
    </row>
    <row r="336" spans="1:10" x14ac:dyDescent="0.25">
      <c r="A336" t="s">
        <v>642</v>
      </c>
      <c r="B336" t="s">
        <v>643</v>
      </c>
      <c r="C336" t="s">
        <v>644</v>
      </c>
      <c r="D336" t="s">
        <v>1263</v>
      </c>
      <c r="E336" t="s">
        <v>646</v>
      </c>
      <c r="F336" s="237">
        <v>45250</v>
      </c>
      <c r="G336">
        <v>2</v>
      </c>
      <c r="H336" t="s">
        <v>647</v>
      </c>
      <c r="I336" s="802">
        <f t="shared" si="5"/>
        <v>1058000</v>
      </c>
      <c r="J336" t="s">
        <v>671</v>
      </c>
    </row>
    <row r="337" spans="1:10" x14ac:dyDescent="0.25">
      <c r="A337" t="s">
        <v>642</v>
      </c>
      <c r="B337" t="s">
        <v>643</v>
      </c>
      <c r="C337" t="s">
        <v>644</v>
      </c>
      <c r="D337" t="s">
        <v>1264</v>
      </c>
      <c r="E337" t="s">
        <v>646</v>
      </c>
      <c r="F337" s="237">
        <v>45250</v>
      </c>
      <c r="G337">
        <v>60</v>
      </c>
      <c r="H337" t="s">
        <v>651</v>
      </c>
      <c r="I337" s="802">
        <f t="shared" si="5"/>
        <v>4037640</v>
      </c>
      <c r="J337" t="s">
        <v>665</v>
      </c>
    </row>
    <row r="338" spans="1:10" x14ac:dyDescent="0.25">
      <c r="A338" t="s">
        <v>642</v>
      </c>
      <c r="B338" t="s">
        <v>643</v>
      </c>
      <c r="C338" t="s">
        <v>644</v>
      </c>
      <c r="D338" t="s">
        <v>1242</v>
      </c>
      <c r="E338" t="s">
        <v>646</v>
      </c>
      <c r="F338" s="237">
        <v>45248</v>
      </c>
      <c r="G338">
        <v>1.1100000000000001</v>
      </c>
      <c r="H338" t="s">
        <v>647</v>
      </c>
      <c r="I338" s="802">
        <f t="shared" si="5"/>
        <v>587190</v>
      </c>
      <c r="J338" t="s">
        <v>648</v>
      </c>
    </row>
    <row r="339" spans="1:10" x14ac:dyDescent="0.25">
      <c r="A339" t="s">
        <v>642</v>
      </c>
      <c r="B339" t="s">
        <v>643</v>
      </c>
      <c r="C339" t="s">
        <v>644</v>
      </c>
      <c r="D339" t="s">
        <v>1268</v>
      </c>
      <c r="E339" t="s">
        <v>646</v>
      </c>
      <c r="F339" s="237">
        <v>45248</v>
      </c>
      <c r="G339">
        <v>1.1100000000000001</v>
      </c>
      <c r="H339" t="s">
        <v>647</v>
      </c>
      <c r="I339" s="802">
        <f t="shared" si="5"/>
        <v>587190</v>
      </c>
      <c r="J339" t="s">
        <v>648</v>
      </c>
    </row>
    <row r="340" spans="1:10" x14ac:dyDescent="0.25">
      <c r="A340" t="s">
        <v>642</v>
      </c>
      <c r="B340" t="s">
        <v>643</v>
      </c>
      <c r="C340" t="s">
        <v>644</v>
      </c>
      <c r="D340" t="s">
        <v>1254</v>
      </c>
      <c r="E340" t="s">
        <v>646</v>
      </c>
      <c r="F340" s="237">
        <v>45243</v>
      </c>
      <c r="G340">
        <v>1.1100000000000001</v>
      </c>
      <c r="H340" t="s">
        <v>647</v>
      </c>
      <c r="I340" s="802">
        <f t="shared" si="5"/>
        <v>587190</v>
      </c>
      <c r="J340" t="s">
        <v>648</v>
      </c>
    </row>
    <row r="341" spans="1:10" x14ac:dyDescent="0.25">
      <c r="A341" t="s">
        <v>642</v>
      </c>
      <c r="B341" t="s">
        <v>643</v>
      </c>
      <c r="C341" t="s">
        <v>644</v>
      </c>
      <c r="D341" t="s">
        <v>1266</v>
      </c>
      <c r="E341" t="s">
        <v>646</v>
      </c>
      <c r="F341" s="237">
        <v>45243</v>
      </c>
      <c r="G341">
        <v>2</v>
      </c>
      <c r="H341" t="s">
        <v>647</v>
      </c>
      <c r="I341" s="802">
        <f t="shared" si="5"/>
        <v>1058000</v>
      </c>
      <c r="J341" t="s">
        <v>671</v>
      </c>
    </row>
    <row r="342" spans="1:10" x14ac:dyDescent="0.25">
      <c r="A342" t="s">
        <v>642</v>
      </c>
      <c r="B342" t="s">
        <v>643</v>
      </c>
      <c r="C342" t="s">
        <v>644</v>
      </c>
      <c r="D342" t="s">
        <v>1267</v>
      </c>
      <c r="E342" t="s">
        <v>646</v>
      </c>
      <c r="F342" s="237">
        <v>45243</v>
      </c>
      <c r="G342">
        <v>60</v>
      </c>
      <c r="H342" t="s">
        <v>651</v>
      </c>
      <c r="I342" s="802">
        <f t="shared" si="5"/>
        <v>4037640</v>
      </c>
      <c r="J342" t="s">
        <v>665</v>
      </c>
    </row>
    <row r="343" spans="1:10" x14ac:dyDescent="0.25">
      <c r="A343" t="s">
        <v>642</v>
      </c>
      <c r="B343" t="s">
        <v>643</v>
      </c>
      <c r="C343" t="s">
        <v>644</v>
      </c>
      <c r="D343" t="s">
        <v>1274</v>
      </c>
      <c r="E343" t="s">
        <v>646</v>
      </c>
      <c r="F343" s="237">
        <v>45241</v>
      </c>
      <c r="G343">
        <v>1.1100000000000001</v>
      </c>
      <c r="H343" t="s">
        <v>647</v>
      </c>
      <c r="I343" s="802">
        <f t="shared" si="5"/>
        <v>587190</v>
      </c>
      <c r="J343" t="s">
        <v>648</v>
      </c>
    </row>
    <row r="344" spans="1:10" x14ac:dyDescent="0.25">
      <c r="A344" t="s">
        <v>642</v>
      </c>
      <c r="B344" t="s">
        <v>643</v>
      </c>
      <c r="C344" t="s">
        <v>705</v>
      </c>
      <c r="D344" t="s">
        <v>1739</v>
      </c>
      <c r="E344" t="s">
        <v>646</v>
      </c>
      <c r="F344" s="237">
        <v>45235</v>
      </c>
      <c r="G344">
        <v>60</v>
      </c>
      <c r="H344" t="s">
        <v>651</v>
      </c>
      <c r="I344" s="802">
        <f t="shared" si="5"/>
        <v>4037640</v>
      </c>
      <c r="J344" t="s">
        <v>779</v>
      </c>
    </row>
    <row r="345" spans="1:10" x14ac:dyDescent="0.25">
      <c r="A345" t="s">
        <v>642</v>
      </c>
      <c r="B345" t="s">
        <v>643</v>
      </c>
      <c r="C345" t="s">
        <v>705</v>
      </c>
      <c r="D345" t="s">
        <v>1744</v>
      </c>
      <c r="E345" t="s">
        <v>646</v>
      </c>
      <c r="F345" s="237">
        <v>45235</v>
      </c>
      <c r="G345">
        <v>60</v>
      </c>
      <c r="H345" t="s">
        <v>651</v>
      </c>
      <c r="I345" s="802">
        <f t="shared" si="5"/>
        <v>4037640</v>
      </c>
      <c r="J345" t="s">
        <v>1745</v>
      </c>
    </row>
    <row r="346" spans="1:10" x14ac:dyDescent="0.25">
      <c r="A346" t="s">
        <v>642</v>
      </c>
      <c r="B346" t="s">
        <v>643</v>
      </c>
      <c r="C346" t="s">
        <v>705</v>
      </c>
      <c r="D346" t="s">
        <v>1746</v>
      </c>
      <c r="E346" t="s">
        <v>646</v>
      </c>
      <c r="F346" s="237">
        <v>45235</v>
      </c>
      <c r="G346">
        <v>60</v>
      </c>
      <c r="H346" t="s">
        <v>651</v>
      </c>
      <c r="I346" s="802">
        <f t="shared" si="5"/>
        <v>4037640</v>
      </c>
      <c r="J346" t="s">
        <v>1747</v>
      </c>
    </row>
    <row r="347" spans="1:10" x14ac:dyDescent="0.25">
      <c r="A347" t="s">
        <v>642</v>
      </c>
      <c r="B347" t="s">
        <v>643</v>
      </c>
      <c r="C347" t="s">
        <v>644</v>
      </c>
      <c r="D347" t="s">
        <v>1269</v>
      </c>
      <c r="E347" t="s">
        <v>646</v>
      </c>
      <c r="F347" s="237">
        <v>45229</v>
      </c>
      <c r="G347">
        <v>2</v>
      </c>
      <c r="H347" t="s">
        <v>647</v>
      </c>
      <c r="I347" s="802">
        <f t="shared" si="5"/>
        <v>1058000</v>
      </c>
      <c r="J347" t="s">
        <v>671</v>
      </c>
    </row>
    <row r="348" spans="1:10" x14ac:dyDescent="0.25">
      <c r="A348" t="s">
        <v>642</v>
      </c>
      <c r="B348" t="s">
        <v>643</v>
      </c>
      <c r="C348" t="s">
        <v>644</v>
      </c>
      <c r="D348" t="s">
        <v>1270</v>
      </c>
      <c r="E348" t="s">
        <v>646</v>
      </c>
      <c r="F348" s="237">
        <v>45228</v>
      </c>
      <c r="G348">
        <v>1.1100000000000001</v>
      </c>
      <c r="H348" t="s">
        <v>647</v>
      </c>
      <c r="I348" s="802">
        <f t="shared" si="5"/>
        <v>587190</v>
      </c>
      <c r="J348" t="s">
        <v>648</v>
      </c>
    </row>
    <row r="349" spans="1:10" x14ac:dyDescent="0.25">
      <c r="A349" t="s">
        <v>642</v>
      </c>
      <c r="B349" t="s">
        <v>643</v>
      </c>
      <c r="C349" t="s">
        <v>705</v>
      </c>
      <c r="D349" t="s">
        <v>1749</v>
      </c>
      <c r="E349" t="s">
        <v>646</v>
      </c>
      <c r="F349" s="237">
        <v>45226</v>
      </c>
      <c r="G349">
        <v>60</v>
      </c>
      <c r="H349" t="s">
        <v>651</v>
      </c>
      <c r="I349" s="802">
        <f t="shared" si="5"/>
        <v>4037640</v>
      </c>
      <c r="J349" t="s">
        <v>786</v>
      </c>
    </row>
    <row r="350" spans="1:10" x14ac:dyDescent="0.25">
      <c r="A350" t="s">
        <v>642</v>
      </c>
      <c r="B350" t="s">
        <v>643</v>
      </c>
      <c r="C350" t="s">
        <v>705</v>
      </c>
      <c r="D350" t="s">
        <v>1027</v>
      </c>
      <c r="E350" t="s">
        <v>646</v>
      </c>
      <c r="F350" s="237">
        <v>45216</v>
      </c>
      <c r="G350">
        <v>26.73</v>
      </c>
      <c r="H350" t="s">
        <v>647</v>
      </c>
      <c r="I350" s="802">
        <f t="shared" si="5"/>
        <v>14140170</v>
      </c>
      <c r="J350" t="s">
        <v>710</v>
      </c>
    </row>
    <row r="351" spans="1:10" x14ac:dyDescent="0.25">
      <c r="A351" t="s">
        <v>642</v>
      </c>
      <c r="B351" t="s">
        <v>643</v>
      </c>
      <c r="C351" t="s">
        <v>705</v>
      </c>
      <c r="D351" t="s">
        <v>832</v>
      </c>
      <c r="E351" t="s">
        <v>646</v>
      </c>
      <c r="F351" s="237">
        <v>45215</v>
      </c>
      <c r="G351">
        <v>60</v>
      </c>
      <c r="H351" t="s">
        <v>651</v>
      </c>
      <c r="I351" s="802">
        <f t="shared" si="5"/>
        <v>4037640</v>
      </c>
      <c r="J351" t="s">
        <v>731</v>
      </c>
    </row>
    <row r="352" spans="1:10" x14ac:dyDescent="0.25">
      <c r="A352" t="s">
        <v>642</v>
      </c>
      <c r="B352" t="s">
        <v>643</v>
      </c>
      <c r="C352" t="s">
        <v>644</v>
      </c>
      <c r="D352" t="s">
        <v>1258</v>
      </c>
      <c r="E352" t="s">
        <v>646</v>
      </c>
      <c r="F352" s="237">
        <v>45215</v>
      </c>
      <c r="G352">
        <v>1.1100000000000001</v>
      </c>
      <c r="H352" t="s">
        <v>647</v>
      </c>
      <c r="I352" s="802">
        <f t="shared" si="5"/>
        <v>587190</v>
      </c>
      <c r="J352" t="s">
        <v>1259</v>
      </c>
    </row>
    <row r="353" spans="1:10" x14ac:dyDescent="0.25">
      <c r="A353" t="s">
        <v>642</v>
      </c>
      <c r="B353" t="s">
        <v>643</v>
      </c>
      <c r="C353" t="s">
        <v>705</v>
      </c>
      <c r="D353" t="s">
        <v>781</v>
      </c>
      <c r="E353" t="s">
        <v>646</v>
      </c>
      <c r="F353" s="237">
        <v>45214</v>
      </c>
      <c r="G353">
        <v>60</v>
      </c>
      <c r="H353" t="s">
        <v>651</v>
      </c>
      <c r="I353" s="802">
        <f t="shared" si="5"/>
        <v>4037640</v>
      </c>
      <c r="J353" t="s">
        <v>731</v>
      </c>
    </row>
    <row r="354" spans="1:10" x14ac:dyDescent="0.25">
      <c r="A354" t="s">
        <v>642</v>
      </c>
      <c r="B354" t="s">
        <v>643</v>
      </c>
      <c r="C354" t="s">
        <v>705</v>
      </c>
      <c r="D354" t="s">
        <v>982</v>
      </c>
      <c r="E354" t="s">
        <v>646</v>
      </c>
      <c r="F354" s="237">
        <v>45209</v>
      </c>
      <c r="G354">
        <v>60</v>
      </c>
      <c r="H354" t="s">
        <v>651</v>
      </c>
      <c r="I354" s="802">
        <f t="shared" si="5"/>
        <v>4037640</v>
      </c>
      <c r="J354" t="s">
        <v>707</v>
      </c>
    </row>
    <row r="355" spans="1:10" x14ac:dyDescent="0.25">
      <c r="A355" t="s">
        <v>642</v>
      </c>
      <c r="B355" t="s">
        <v>643</v>
      </c>
      <c r="C355" t="s">
        <v>705</v>
      </c>
      <c r="D355" t="s">
        <v>1025</v>
      </c>
      <c r="E355" t="s">
        <v>646</v>
      </c>
      <c r="F355" s="237">
        <v>45205</v>
      </c>
      <c r="G355">
        <v>26.73</v>
      </c>
      <c r="H355" t="s">
        <v>647</v>
      </c>
      <c r="I355" s="802">
        <f t="shared" si="5"/>
        <v>14140170</v>
      </c>
      <c r="J355" t="s">
        <v>710</v>
      </c>
    </row>
    <row r="356" spans="1:10" x14ac:dyDescent="0.25">
      <c r="A356" t="s">
        <v>642</v>
      </c>
      <c r="B356" t="s">
        <v>643</v>
      </c>
      <c r="C356" t="s">
        <v>705</v>
      </c>
      <c r="D356" t="s">
        <v>1026</v>
      </c>
      <c r="E356" t="s">
        <v>646</v>
      </c>
      <c r="F356" s="237">
        <v>45205</v>
      </c>
      <c r="G356">
        <v>40</v>
      </c>
      <c r="H356" t="s">
        <v>651</v>
      </c>
      <c r="I356" s="802">
        <f t="shared" si="5"/>
        <v>2691760</v>
      </c>
      <c r="J356" t="s">
        <v>715</v>
      </c>
    </row>
    <row r="357" spans="1:10" x14ac:dyDescent="0.25">
      <c r="A357" t="s">
        <v>642</v>
      </c>
      <c r="B357" t="s">
        <v>643</v>
      </c>
      <c r="C357" t="s">
        <v>705</v>
      </c>
      <c r="D357" t="s">
        <v>1046</v>
      </c>
      <c r="E357" t="s">
        <v>646</v>
      </c>
      <c r="F357" s="237">
        <v>45205</v>
      </c>
      <c r="G357">
        <v>60</v>
      </c>
      <c r="H357" t="s">
        <v>651</v>
      </c>
      <c r="I357" s="802">
        <f t="shared" si="5"/>
        <v>4037640</v>
      </c>
      <c r="J357" t="s">
        <v>777</v>
      </c>
    </row>
    <row r="358" spans="1:10" x14ac:dyDescent="0.25">
      <c r="A358" t="s">
        <v>642</v>
      </c>
      <c r="B358" t="s">
        <v>643</v>
      </c>
      <c r="C358" t="s">
        <v>644</v>
      </c>
      <c r="D358" t="s">
        <v>1312</v>
      </c>
      <c r="E358" t="s">
        <v>646</v>
      </c>
      <c r="F358" s="237">
        <v>45201</v>
      </c>
      <c r="G358">
        <v>1.1100000000000001</v>
      </c>
      <c r="H358" t="s">
        <v>647</v>
      </c>
      <c r="I358" s="802">
        <f t="shared" si="5"/>
        <v>587190</v>
      </c>
      <c r="J358" t="s">
        <v>648</v>
      </c>
    </row>
    <row r="359" spans="1:10" x14ac:dyDescent="0.25">
      <c r="A359" t="s">
        <v>642</v>
      </c>
      <c r="B359" t="s">
        <v>643</v>
      </c>
      <c r="C359" t="s">
        <v>644</v>
      </c>
      <c r="D359" t="s">
        <v>1313</v>
      </c>
      <c r="E359" t="s">
        <v>646</v>
      </c>
      <c r="F359" s="237">
        <v>45201</v>
      </c>
      <c r="G359">
        <v>1.1100000000000001</v>
      </c>
      <c r="H359" t="s">
        <v>647</v>
      </c>
      <c r="I359" s="802">
        <f t="shared" si="5"/>
        <v>587190</v>
      </c>
      <c r="J359" t="s">
        <v>648</v>
      </c>
    </row>
    <row r="360" spans="1:10" x14ac:dyDescent="0.25">
      <c r="A360" t="s">
        <v>642</v>
      </c>
      <c r="B360" t="s">
        <v>643</v>
      </c>
      <c r="C360" t="s">
        <v>705</v>
      </c>
      <c r="D360" t="s">
        <v>751</v>
      </c>
      <c r="E360" t="s">
        <v>646</v>
      </c>
      <c r="F360" s="237">
        <v>45193</v>
      </c>
      <c r="G360">
        <v>60</v>
      </c>
      <c r="H360" t="s">
        <v>651</v>
      </c>
      <c r="I360" s="802">
        <f t="shared" si="5"/>
        <v>4037640</v>
      </c>
      <c r="J360" t="s">
        <v>752</v>
      </c>
    </row>
    <row r="361" spans="1:10" x14ac:dyDescent="0.25">
      <c r="A361" t="s">
        <v>642</v>
      </c>
      <c r="B361" t="s">
        <v>643</v>
      </c>
      <c r="C361" t="s">
        <v>705</v>
      </c>
      <c r="D361" t="s">
        <v>1041</v>
      </c>
      <c r="E361" t="s">
        <v>646</v>
      </c>
      <c r="F361" s="237">
        <v>45187</v>
      </c>
      <c r="G361">
        <v>26.73</v>
      </c>
      <c r="H361" t="s">
        <v>647</v>
      </c>
      <c r="I361" s="802">
        <f t="shared" si="5"/>
        <v>14140170</v>
      </c>
      <c r="J361" t="s">
        <v>710</v>
      </c>
    </row>
    <row r="362" spans="1:10" x14ac:dyDescent="0.25">
      <c r="A362" t="s">
        <v>642</v>
      </c>
      <c r="B362" t="s">
        <v>643</v>
      </c>
      <c r="C362" t="s">
        <v>644</v>
      </c>
      <c r="D362" t="s">
        <v>1279</v>
      </c>
      <c r="E362" t="s">
        <v>646</v>
      </c>
      <c r="F362" s="237">
        <v>45185</v>
      </c>
      <c r="G362">
        <v>60</v>
      </c>
      <c r="H362" t="s">
        <v>651</v>
      </c>
      <c r="I362" s="802">
        <f t="shared" si="5"/>
        <v>4037640</v>
      </c>
      <c r="J362" t="s">
        <v>686</v>
      </c>
    </row>
    <row r="363" spans="1:10" x14ac:dyDescent="0.25">
      <c r="A363" t="s">
        <v>642</v>
      </c>
      <c r="B363" t="s">
        <v>643</v>
      </c>
      <c r="C363" t="s">
        <v>644</v>
      </c>
      <c r="D363" t="s">
        <v>1280</v>
      </c>
      <c r="E363" t="s">
        <v>646</v>
      </c>
      <c r="F363" s="237">
        <v>45185</v>
      </c>
      <c r="G363">
        <v>60</v>
      </c>
      <c r="H363" t="s">
        <v>651</v>
      </c>
      <c r="I363" s="802">
        <f t="shared" si="5"/>
        <v>4037640</v>
      </c>
      <c r="J363" t="s">
        <v>665</v>
      </c>
    </row>
    <row r="364" spans="1:10" x14ac:dyDescent="0.25">
      <c r="A364" t="s">
        <v>642</v>
      </c>
      <c r="B364" t="s">
        <v>643</v>
      </c>
      <c r="C364" t="s">
        <v>644</v>
      </c>
      <c r="D364" t="s">
        <v>1281</v>
      </c>
      <c r="E364" t="s">
        <v>646</v>
      </c>
      <c r="F364" s="237">
        <v>45185</v>
      </c>
      <c r="G364">
        <v>48</v>
      </c>
      <c r="H364" t="s">
        <v>651</v>
      </c>
      <c r="I364" s="802">
        <f t="shared" si="5"/>
        <v>3230112</v>
      </c>
      <c r="J364" t="s">
        <v>669</v>
      </c>
    </row>
    <row r="365" spans="1:10" x14ac:dyDescent="0.25">
      <c r="A365" t="s">
        <v>642</v>
      </c>
      <c r="B365" t="s">
        <v>643</v>
      </c>
      <c r="C365" t="s">
        <v>644</v>
      </c>
      <c r="D365" t="s">
        <v>1271</v>
      </c>
      <c r="E365" t="s">
        <v>646</v>
      </c>
      <c r="F365" s="237">
        <v>45183</v>
      </c>
      <c r="G365">
        <v>1.1000000000000001</v>
      </c>
      <c r="H365" t="s">
        <v>647</v>
      </c>
      <c r="I365" s="802">
        <f t="shared" si="5"/>
        <v>581900</v>
      </c>
      <c r="J365" t="s">
        <v>648</v>
      </c>
    </row>
    <row r="366" spans="1:10" x14ac:dyDescent="0.25">
      <c r="A366" t="s">
        <v>642</v>
      </c>
      <c r="B366" t="s">
        <v>643</v>
      </c>
      <c r="C366" t="s">
        <v>644</v>
      </c>
      <c r="D366" t="s">
        <v>1272</v>
      </c>
      <c r="E366" t="s">
        <v>646</v>
      </c>
      <c r="F366" s="237">
        <v>45180</v>
      </c>
      <c r="G366">
        <v>1.1100000000000001</v>
      </c>
      <c r="H366" t="s">
        <v>647</v>
      </c>
      <c r="I366" s="802">
        <f t="shared" si="5"/>
        <v>587190</v>
      </c>
      <c r="J366" t="s">
        <v>648</v>
      </c>
    </row>
    <row r="367" spans="1:10" x14ac:dyDescent="0.25">
      <c r="A367" t="s">
        <v>642</v>
      </c>
      <c r="B367" t="s">
        <v>643</v>
      </c>
      <c r="C367" t="s">
        <v>644</v>
      </c>
      <c r="D367" t="s">
        <v>1298</v>
      </c>
      <c r="E367" t="s">
        <v>646</v>
      </c>
      <c r="F367" s="237">
        <v>45176</v>
      </c>
      <c r="G367">
        <v>60</v>
      </c>
      <c r="H367" t="s">
        <v>651</v>
      </c>
      <c r="I367" s="802">
        <f t="shared" si="5"/>
        <v>4037640</v>
      </c>
      <c r="J367" t="s">
        <v>715</v>
      </c>
    </row>
    <row r="368" spans="1:10" x14ac:dyDescent="0.25">
      <c r="A368" t="s">
        <v>642</v>
      </c>
      <c r="B368" t="s">
        <v>643</v>
      </c>
      <c r="C368" t="s">
        <v>644</v>
      </c>
      <c r="D368" t="s">
        <v>1314</v>
      </c>
      <c r="E368" t="s">
        <v>646</v>
      </c>
      <c r="F368" s="237">
        <v>45173</v>
      </c>
      <c r="G368">
        <v>60</v>
      </c>
      <c r="H368" t="s">
        <v>651</v>
      </c>
      <c r="I368" s="802">
        <f t="shared" si="5"/>
        <v>4037640</v>
      </c>
      <c r="J368" t="s">
        <v>665</v>
      </c>
    </row>
    <row r="369" spans="1:10" x14ac:dyDescent="0.25">
      <c r="A369" t="s">
        <v>642</v>
      </c>
      <c r="B369" t="s">
        <v>643</v>
      </c>
      <c r="C369" t="s">
        <v>644</v>
      </c>
      <c r="D369" t="s">
        <v>1315</v>
      </c>
      <c r="E369" t="s">
        <v>646</v>
      </c>
      <c r="F369" s="237">
        <v>45173</v>
      </c>
      <c r="G369">
        <v>60</v>
      </c>
      <c r="H369" t="s">
        <v>651</v>
      </c>
      <c r="I369" s="802">
        <f t="shared" si="5"/>
        <v>4037640</v>
      </c>
      <c r="J369" t="s">
        <v>715</v>
      </c>
    </row>
    <row r="370" spans="1:10" x14ac:dyDescent="0.25">
      <c r="A370" t="s">
        <v>642</v>
      </c>
      <c r="B370" t="s">
        <v>643</v>
      </c>
      <c r="C370" t="s">
        <v>644</v>
      </c>
      <c r="D370" t="s">
        <v>1316</v>
      </c>
      <c r="E370" t="s">
        <v>646</v>
      </c>
      <c r="F370" s="237">
        <v>45173</v>
      </c>
      <c r="G370">
        <v>60</v>
      </c>
      <c r="H370" t="s">
        <v>651</v>
      </c>
      <c r="I370" s="802">
        <f t="shared" si="5"/>
        <v>4037640</v>
      </c>
      <c r="J370" t="s">
        <v>777</v>
      </c>
    </row>
    <row r="371" spans="1:10" x14ac:dyDescent="0.25">
      <c r="A371" t="s">
        <v>642</v>
      </c>
      <c r="B371" t="s">
        <v>643</v>
      </c>
      <c r="C371" t="s">
        <v>644</v>
      </c>
      <c r="D371" t="s">
        <v>1317</v>
      </c>
      <c r="E371" t="s">
        <v>646</v>
      </c>
      <c r="F371" s="237">
        <v>45173</v>
      </c>
      <c r="G371">
        <v>2</v>
      </c>
      <c r="H371" t="s">
        <v>647</v>
      </c>
      <c r="I371" s="802">
        <f t="shared" si="5"/>
        <v>1058000</v>
      </c>
      <c r="J371" t="s">
        <v>671</v>
      </c>
    </row>
    <row r="372" spans="1:10" x14ac:dyDescent="0.25">
      <c r="A372" t="s">
        <v>642</v>
      </c>
      <c r="B372" t="s">
        <v>643</v>
      </c>
      <c r="C372" t="s">
        <v>705</v>
      </c>
      <c r="D372" t="s">
        <v>878</v>
      </c>
      <c r="E372" t="s">
        <v>646</v>
      </c>
      <c r="F372" s="237">
        <v>45172</v>
      </c>
      <c r="G372">
        <v>60</v>
      </c>
      <c r="H372" t="s">
        <v>651</v>
      </c>
      <c r="I372" s="802">
        <f t="shared" si="5"/>
        <v>4037640</v>
      </c>
      <c r="J372" t="s">
        <v>689</v>
      </c>
    </row>
    <row r="373" spans="1:10" x14ac:dyDescent="0.25">
      <c r="A373" t="s">
        <v>642</v>
      </c>
      <c r="B373" t="s">
        <v>643</v>
      </c>
      <c r="C373" t="s">
        <v>705</v>
      </c>
      <c r="D373" t="s">
        <v>912</v>
      </c>
      <c r="E373" t="s">
        <v>646</v>
      </c>
      <c r="F373" s="237">
        <v>45166</v>
      </c>
      <c r="G373">
        <v>60</v>
      </c>
      <c r="H373" t="s">
        <v>651</v>
      </c>
      <c r="I373" s="802">
        <f t="shared" si="5"/>
        <v>4037640</v>
      </c>
      <c r="J373" t="s">
        <v>686</v>
      </c>
    </row>
    <row r="374" spans="1:10" x14ac:dyDescent="0.25">
      <c r="A374" t="s">
        <v>642</v>
      </c>
      <c r="B374" t="s">
        <v>643</v>
      </c>
      <c r="C374" t="s">
        <v>644</v>
      </c>
      <c r="D374" t="s">
        <v>1276</v>
      </c>
      <c r="E374" t="s">
        <v>646</v>
      </c>
      <c r="F374" s="237">
        <v>45166</v>
      </c>
      <c r="G374">
        <v>1.1100000000000001</v>
      </c>
      <c r="H374" t="s">
        <v>647</v>
      </c>
      <c r="I374" s="802">
        <f t="shared" si="5"/>
        <v>587190</v>
      </c>
      <c r="J374" t="s">
        <v>648</v>
      </c>
    </row>
    <row r="375" spans="1:10" x14ac:dyDescent="0.25">
      <c r="A375" t="s">
        <v>642</v>
      </c>
      <c r="B375" t="s">
        <v>643</v>
      </c>
      <c r="C375" t="s">
        <v>644</v>
      </c>
      <c r="D375" t="s">
        <v>1307</v>
      </c>
      <c r="E375" t="s">
        <v>646</v>
      </c>
      <c r="F375" s="237">
        <v>45166</v>
      </c>
      <c r="G375">
        <v>60</v>
      </c>
      <c r="H375" t="s">
        <v>651</v>
      </c>
      <c r="I375" s="802">
        <f t="shared" si="5"/>
        <v>4037640</v>
      </c>
      <c r="J375" t="s">
        <v>689</v>
      </c>
    </row>
    <row r="376" spans="1:10" x14ac:dyDescent="0.25">
      <c r="A376" t="s">
        <v>642</v>
      </c>
      <c r="B376" t="s">
        <v>643</v>
      </c>
      <c r="C376" t="s">
        <v>644</v>
      </c>
      <c r="D376" t="s">
        <v>1308</v>
      </c>
      <c r="E376" t="s">
        <v>646</v>
      </c>
      <c r="F376" s="237">
        <v>45166</v>
      </c>
      <c r="G376">
        <v>60</v>
      </c>
      <c r="H376" t="s">
        <v>651</v>
      </c>
      <c r="I376" s="802">
        <f t="shared" si="5"/>
        <v>4037640</v>
      </c>
      <c r="J376" t="s">
        <v>652</v>
      </c>
    </row>
    <row r="377" spans="1:10" x14ac:dyDescent="0.25">
      <c r="A377" t="s">
        <v>642</v>
      </c>
      <c r="B377" t="s">
        <v>643</v>
      </c>
      <c r="C377" t="s">
        <v>644</v>
      </c>
      <c r="D377" t="s">
        <v>1309</v>
      </c>
      <c r="E377" t="s">
        <v>646</v>
      </c>
      <c r="F377" s="237">
        <v>45166</v>
      </c>
      <c r="G377">
        <v>2</v>
      </c>
      <c r="H377" t="s">
        <v>647</v>
      </c>
      <c r="I377" s="802">
        <f t="shared" si="5"/>
        <v>1058000</v>
      </c>
      <c r="J377" t="s">
        <v>671</v>
      </c>
    </row>
    <row r="378" spans="1:10" x14ac:dyDescent="0.25">
      <c r="A378" t="s">
        <v>642</v>
      </c>
      <c r="B378" t="s">
        <v>643</v>
      </c>
      <c r="C378" t="s">
        <v>705</v>
      </c>
      <c r="D378" t="s">
        <v>891</v>
      </c>
      <c r="E378" t="s">
        <v>646</v>
      </c>
      <c r="F378" s="237">
        <v>45165</v>
      </c>
      <c r="G378">
        <v>60</v>
      </c>
      <c r="H378" t="s">
        <v>651</v>
      </c>
      <c r="I378" s="802">
        <f t="shared" si="5"/>
        <v>4037640</v>
      </c>
      <c r="J378" t="s">
        <v>851</v>
      </c>
    </row>
    <row r="379" spans="1:10" x14ac:dyDescent="0.25">
      <c r="A379" t="s">
        <v>642</v>
      </c>
      <c r="B379" t="s">
        <v>643</v>
      </c>
      <c r="C379" t="s">
        <v>644</v>
      </c>
      <c r="D379" t="s">
        <v>1311</v>
      </c>
      <c r="E379" t="s">
        <v>646</v>
      </c>
      <c r="F379" s="237">
        <v>45164</v>
      </c>
      <c r="G379">
        <v>1.1100000000000001</v>
      </c>
      <c r="H379" t="s">
        <v>647</v>
      </c>
      <c r="I379" s="802">
        <f t="shared" si="5"/>
        <v>587190</v>
      </c>
      <c r="J379" t="s">
        <v>648</v>
      </c>
    </row>
    <row r="380" spans="1:10" x14ac:dyDescent="0.25">
      <c r="A380" t="s">
        <v>642</v>
      </c>
      <c r="B380" t="s">
        <v>643</v>
      </c>
      <c r="C380" t="s">
        <v>644</v>
      </c>
      <c r="D380" t="s">
        <v>1310</v>
      </c>
      <c r="E380" t="s">
        <v>646</v>
      </c>
      <c r="F380" s="237">
        <v>45162</v>
      </c>
      <c r="G380">
        <v>1.1100000000000001</v>
      </c>
      <c r="H380" t="s">
        <v>647</v>
      </c>
      <c r="I380" s="802">
        <f t="shared" si="5"/>
        <v>587190</v>
      </c>
      <c r="J380" t="s">
        <v>648</v>
      </c>
    </row>
    <row r="381" spans="1:10" x14ac:dyDescent="0.25">
      <c r="A381" t="s">
        <v>642</v>
      </c>
      <c r="B381" t="s">
        <v>643</v>
      </c>
      <c r="C381" t="s">
        <v>644</v>
      </c>
      <c r="D381" t="s">
        <v>1319</v>
      </c>
      <c r="E381" t="s">
        <v>646</v>
      </c>
      <c r="F381" s="237">
        <v>45162</v>
      </c>
      <c r="G381">
        <v>2</v>
      </c>
      <c r="H381" t="s">
        <v>647</v>
      </c>
      <c r="I381" s="802">
        <f t="shared" si="5"/>
        <v>1058000</v>
      </c>
      <c r="J381" t="s">
        <v>671</v>
      </c>
    </row>
    <row r="382" spans="1:10" x14ac:dyDescent="0.25">
      <c r="A382" t="s">
        <v>642</v>
      </c>
      <c r="B382" t="s">
        <v>643</v>
      </c>
      <c r="C382" t="s">
        <v>705</v>
      </c>
      <c r="D382" t="s">
        <v>1094</v>
      </c>
      <c r="E382" t="s">
        <v>646</v>
      </c>
      <c r="F382" s="237">
        <v>45156</v>
      </c>
      <c r="G382">
        <v>60</v>
      </c>
      <c r="H382" t="s">
        <v>651</v>
      </c>
      <c r="I382" s="802">
        <f t="shared" si="5"/>
        <v>4037640</v>
      </c>
      <c r="J382" t="s">
        <v>707</v>
      </c>
    </row>
    <row r="383" spans="1:10" x14ac:dyDescent="0.25">
      <c r="A383" t="s">
        <v>642</v>
      </c>
      <c r="B383" t="s">
        <v>643</v>
      </c>
      <c r="C383" t="s">
        <v>644</v>
      </c>
      <c r="D383" t="s">
        <v>1306</v>
      </c>
      <c r="E383" t="s">
        <v>646</v>
      </c>
      <c r="F383" s="237">
        <v>45151</v>
      </c>
      <c r="G383">
        <v>1.1100000000000001</v>
      </c>
      <c r="H383" t="s">
        <v>647</v>
      </c>
      <c r="I383" s="802">
        <f t="shared" si="5"/>
        <v>587190</v>
      </c>
      <c r="J383" t="s">
        <v>648</v>
      </c>
    </row>
    <row r="384" spans="1:10" x14ac:dyDescent="0.25">
      <c r="A384" t="s">
        <v>642</v>
      </c>
      <c r="B384" t="s">
        <v>643</v>
      </c>
      <c r="C384" t="s">
        <v>644</v>
      </c>
      <c r="D384" t="s">
        <v>1320</v>
      </c>
      <c r="E384" t="s">
        <v>646</v>
      </c>
      <c r="F384" s="237">
        <v>45151</v>
      </c>
      <c r="G384">
        <v>2</v>
      </c>
      <c r="H384" t="s">
        <v>647</v>
      </c>
      <c r="I384" s="802">
        <f t="shared" si="5"/>
        <v>1058000</v>
      </c>
      <c r="J384" t="s">
        <v>671</v>
      </c>
    </row>
    <row r="385" spans="1:10" x14ac:dyDescent="0.25">
      <c r="A385" t="s">
        <v>642</v>
      </c>
      <c r="B385" t="s">
        <v>643</v>
      </c>
      <c r="C385" t="s">
        <v>644</v>
      </c>
      <c r="D385" t="s">
        <v>1302</v>
      </c>
      <c r="E385" t="s">
        <v>646</v>
      </c>
      <c r="F385" s="237">
        <v>45144</v>
      </c>
      <c r="G385">
        <v>60</v>
      </c>
      <c r="H385" t="s">
        <v>651</v>
      </c>
      <c r="I385" s="802">
        <f t="shared" si="5"/>
        <v>4037640</v>
      </c>
      <c r="J385" t="s">
        <v>1303</v>
      </c>
    </row>
    <row r="386" spans="1:10" x14ac:dyDescent="0.25">
      <c r="A386" t="s">
        <v>642</v>
      </c>
      <c r="B386" t="s">
        <v>643</v>
      </c>
      <c r="C386" t="s">
        <v>644</v>
      </c>
      <c r="D386" t="s">
        <v>1304</v>
      </c>
      <c r="E386" t="s">
        <v>646</v>
      </c>
      <c r="F386" s="237">
        <v>45144</v>
      </c>
      <c r="G386">
        <v>60</v>
      </c>
      <c r="H386" t="s">
        <v>651</v>
      </c>
      <c r="I386" s="802">
        <f t="shared" si="5"/>
        <v>4037640</v>
      </c>
      <c r="J386" t="s">
        <v>842</v>
      </c>
    </row>
    <row r="387" spans="1:10" x14ac:dyDescent="0.25">
      <c r="A387" t="s">
        <v>642</v>
      </c>
      <c r="B387" t="s">
        <v>643</v>
      </c>
      <c r="C387" t="s">
        <v>705</v>
      </c>
      <c r="D387" t="s">
        <v>879</v>
      </c>
      <c r="E387" t="s">
        <v>646</v>
      </c>
      <c r="F387" s="237">
        <v>45142</v>
      </c>
      <c r="G387">
        <v>9</v>
      </c>
      <c r="H387" t="s">
        <v>880</v>
      </c>
      <c r="I387" s="802">
        <f t="shared" ref="I387:I450" si="6">+IF(H387="IMM",+G387*529000,+G387*67294)</f>
        <v>605646</v>
      </c>
      <c r="J387" t="s">
        <v>881</v>
      </c>
    </row>
    <row r="388" spans="1:10" x14ac:dyDescent="0.25">
      <c r="A388" t="s">
        <v>642</v>
      </c>
      <c r="B388" t="s">
        <v>643</v>
      </c>
      <c r="C388" t="s">
        <v>644</v>
      </c>
      <c r="D388" t="s">
        <v>1301</v>
      </c>
      <c r="E388" t="s">
        <v>646</v>
      </c>
      <c r="F388" s="237">
        <v>45142</v>
      </c>
      <c r="G388">
        <v>1.1100000000000001</v>
      </c>
      <c r="H388" t="s">
        <v>647</v>
      </c>
      <c r="I388" s="802">
        <f t="shared" si="6"/>
        <v>587190</v>
      </c>
      <c r="J388" t="s">
        <v>648</v>
      </c>
    </row>
    <row r="389" spans="1:10" x14ac:dyDescent="0.25">
      <c r="A389" t="s">
        <v>642</v>
      </c>
      <c r="B389" t="s">
        <v>643</v>
      </c>
      <c r="C389" t="s">
        <v>644</v>
      </c>
      <c r="D389" t="s">
        <v>1305</v>
      </c>
      <c r="E389" t="s">
        <v>646</v>
      </c>
      <c r="F389" s="237">
        <v>45142</v>
      </c>
      <c r="G389">
        <v>1.1100000000000001</v>
      </c>
      <c r="H389" t="s">
        <v>647</v>
      </c>
      <c r="I389" s="802">
        <f t="shared" si="6"/>
        <v>587190</v>
      </c>
      <c r="J389" t="s">
        <v>648</v>
      </c>
    </row>
    <row r="390" spans="1:10" x14ac:dyDescent="0.25">
      <c r="A390" t="s">
        <v>642</v>
      </c>
      <c r="B390" t="s">
        <v>643</v>
      </c>
      <c r="C390" t="s">
        <v>705</v>
      </c>
      <c r="D390" t="s">
        <v>1073</v>
      </c>
      <c r="E390" t="s">
        <v>646</v>
      </c>
      <c r="F390" s="237">
        <v>45141</v>
      </c>
      <c r="G390">
        <v>60</v>
      </c>
      <c r="H390" t="s">
        <v>651</v>
      </c>
      <c r="I390" s="802">
        <f t="shared" si="6"/>
        <v>4037640</v>
      </c>
      <c r="J390" t="s">
        <v>761</v>
      </c>
    </row>
    <row r="391" spans="1:10" x14ac:dyDescent="0.25">
      <c r="A391" t="s">
        <v>642</v>
      </c>
      <c r="B391" t="s">
        <v>643</v>
      </c>
      <c r="C391" t="s">
        <v>644</v>
      </c>
      <c r="D391" t="s">
        <v>1282</v>
      </c>
      <c r="E391" t="s">
        <v>646</v>
      </c>
      <c r="F391" s="237">
        <v>45141</v>
      </c>
      <c r="G391">
        <v>1.1100000000000001</v>
      </c>
      <c r="H391" t="s">
        <v>647</v>
      </c>
      <c r="I391" s="802">
        <f t="shared" si="6"/>
        <v>587190</v>
      </c>
      <c r="J391" t="s">
        <v>648</v>
      </c>
    </row>
    <row r="392" spans="1:10" x14ac:dyDescent="0.25">
      <c r="A392" t="s">
        <v>642</v>
      </c>
      <c r="B392" t="s">
        <v>643</v>
      </c>
      <c r="C392" t="s">
        <v>644</v>
      </c>
      <c r="D392" t="s">
        <v>1318</v>
      </c>
      <c r="E392" t="s">
        <v>646</v>
      </c>
      <c r="F392" s="237">
        <v>45138</v>
      </c>
      <c r="G392">
        <v>1.1100000000000001</v>
      </c>
      <c r="H392" t="s">
        <v>647</v>
      </c>
      <c r="I392" s="802">
        <f t="shared" si="6"/>
        <v>587190</v>
      </c>
      <c r="J392" t="s">
        <v>1259</v>
      </c>
    </row>
    <row r="393" spans="1:10" x14ac:dyDescent="0.25">
      <c r="A393" t="s">
        <v>642</v>
      </c>
      <c r="B393" t="s">
        <v>643</v>
      </c>
      <c r="C393" t="s">
        <v>644</v>
      </c>
      <c r="D393" t="s">
        <v>1299</v>
      </c>
      <c r="E393" t="s">
        <v>646</v>
      </c>
      <c r="F393" s="237">
        <v>45137</v>
      </c>
      <c r="G393">
        <v>60</v>
      </c>
      <c r="H393" t="s">
        <v>651</v>
      </c>
      <c r="I393" s="802">
        <f t="shared" si="6"/>
        <v>4037640</v>
      </c>
      <c r="J393" t="s">
        <v>669</v>
      </c>
    </row>
    <row r="394" spans="1:10" x14ac:dyDescent="0.25">
      <c r="A394" t="s">
        <v>642</v>
      </c>
      <c r="B394" t="s">
        <v>643</v>
      </c>
      <c r="C394" t="s">
        <v>705</v>
      </c>
      <c r="D394" t="s">
        <v>780</v>
      </c>
      <c r="E394" t="s">
        <v>646</v>
      </c>
      <c r="F394" s="237">
        <v>45136</v>
      </c>
      <c r="G394">
        <v>60</v>
      </c>
      <c r="H394" t="s">
        <v>651</v>
      </c>
      <c r="I394" s="802">
        <f t="shared" si="6"/>
        <v>4037640</v>
      </c>
      <c r="J394" t="s">
        <v>689</v>
      </c>
    </row>
    <row r="395" spans="1:10" x14ac:dyDescent="0.25">
      <c r="A395" t="s">
        <v>642</v>
      </c>
      <c r="B395" t="s">
        <v>643</v>
      </c>
      <c r="C395" t="s">
        <v>644</v>
      </c>
      <c r="D395" t="s">
        <v>1296</v>
      </c>
      <c r="E395" t="s">
        <v>646</v>
      </c>
      <c r="F395" s="237">
        <v>45136</v>
      </c>
      <c r="G395">
        <v>1.1100000000000001</v>
      </c>
      <c r="H395" t="s">
        <v>647</v>
      </c>
      <c r="I395" s="802">
        <f t="shared" si="6"/>
        <v>587190</v>
      </c>
      <c r="J395" t="s">
        <v>648</v>
      </c>
    </row>
    <row r="396" spans="1:10" x14ac:dyDescent="0.25">
      <c r="A396" t="s">
        <v>642</v>
      </c>
      <c r="B396" t="s">
        <v>643</v>
      </c>
      <c r="C396" t="s">
        <v>705</v>
      </c>
      <c r="D396" t="s">
        <v>1733</v>
      </c>
      <c r="E396" t="s">
        <v>646</v>
      </c>
      <c r="F396" s="237">
        <v>45136</v>
      </c>
      <c r="G396">
        <v>60</v>
      </c>
      <c r="H396" t="s">
        <v>651</v>
      </c>
      <c r="I396" s="802">
        <f t="shared" si="6"/>
        <v>4037640</v>
      </c>
      <c r="J396" t="s">
        <v>1022</v>
      </c>
    </row>
    <row r="397" spans="1:10" x14ac:dyDescent="0.25">
      <c r="A397" t="s">
        <v>642</v>
      </c>
      <c r="B397" t="s">
        <v>643</v>
      </c>
      <c r="C397" t="s">
        <v>705</v>
      </c>
      <c r="D397" t="s">
        <v>1070</v>
      </c>
      <c r="E397" t="s">
        <v>646</v>
      </c>
      <c r="F397" s="237">
        <v>45135</v>
      </c>
      <c r="G397">
        <v>60</v>
      </c>
      <c r="H397" t="s">
        <v>651</v>
      </c>
      <c r="I397" s="802">
        <f t="shared" si="6"/>
        <v>4037640</v>
      </c>
      <c r="J397" t="s">
        <v>689</v>
      </c>
    </row>
    <row r="398" spans="1:10" x14ac:dyDescent="0.25">
      <c r="A398" t="s">
        <v>642</v>
      </c>
      <c r="B398" t="s">
        <v>643</v>
      </c>
      <c r="C398" t="s">
        <v>705</v>
      </c>
      <c r="D398" t="s">
        <v>1071</v>
      </c>
      <c r="E398" t="s">
        <v>646</v>
      </c>
      <c r="F398" s="237">
        <v>45135</v>
      </c>
      <c r="G398">
        <v>60</v>
      </c>
      <c r="H398" t="s">
        <v>651</v>
      </c>
      <c r="I398" s="802">
        <f t="shared" si="6"/>
        <v>4037640</v>
      </c>
      <c r="J398" t="s">
        <v>715</v>
      </c>
    </row>
    <row r="399" spans="1:10" x14ac:dyDescent="0.25">
      <c r="A399" t="s">
        <v>642</v>
      </c>
      <c r="B399" t="s">
        <v>643</v>
      </c>
      <c r="C399" t="s">
        <v>705</v>
      </c>
      <c r="D399" t="s">
        <v>1072</v>
      </c>
      <c r="E399" t="s">
        <v>646</v>
      </c>
      <c r="F399" s="237">
        <v>45135</v>
      </c>
      <c r="G399">
        <v>60</v>
      </c>
      <c r="H399" t="s">
        <v>651</v>
      </c>
      <c r="I399" s="802">
        <f t="shared" si="6"/>
        <v>4037640</v>
      </c>
      <c r="J399" t="s">
        <v>655</v>
      </c>
    </row>
    <row r="400" spans="1:10" x14ac:dyDescent="0.25">
      <c r="A400" t="s">
        <v>642</v>
      </c>
      <c r="B400" t="s">
        <v>643</v>
      </c>
      <c r="C400" t="s">
        <v>644</v>
      </c>
      <c r="D400" t="s">
        <v>1293</v>
      </c>
      <c r="E400" t="s">
        <v>646</v>
      </c>
      <c r="F400" s="237">
        <v>45135</v>
      </c>
      <c r="G400">
        <v>1.1100000000000001</v>
      </c>
      <c r="H400" t="s">
        <v>647</v>
      </c>
      <c r="I400" s="802">
        <f t="shared" si="6"/>
        <v>587190</v>
      </c>
      <c r="J400" t="s">
        <v>648</v>
      </c>
    </row>
    <row r="401" spans="1:10" x14ac:dyDescent="0.25">
      <c r="A401" t="s">
        <v>1612</v>
      </c>
      <c r="B401" t="s">
        <v>1613</v>
      </c>
      <c r="C401" t="s">
        <v>644</v>
      </c>
      <c r="D401" t="s">
        <v>1683</v>
      </c>
      <c r="E401" t="s">
        <v>646</v>
      </c>
      <c r="F401" s="237">
        <v>45135</v>
      </c>
      <c r="G401">
        <v>1.1100000000000001</v>
      </c>
      <c r="H401" t="s">
        <v>647</v>
      </c>
      <c r="I401" s="802">
        <f t="shared" si="6"/>
        <v>587190</v>
      </c>
      <c r="J401" t="s">
        <v>648</v>
      </c>
    </row>
    <row r="402" spans="1:10" x14ac:dyDescent="0.25">
      <c r="A402" t="s">
        <v>642</v>
      </c>
      <c r="B402" t="s">
        <v>643</v>
      </c>
      <c r="C402" t="s">
        <v>644</v>
      </c>
      <c r="D402" t="s">
        <v>1275</v>
      </c>
      <c r="E402" t="s">
        <v>646</v>
      </c>
      <c r="F402" s="237">
        <v>45130</v>
      </c>
      <c r="G402">
        <v>1.1100000000000001</v>
      </c>
      <c r="H402" t="s">
        <v>647</v>
      </c>
      <c r="I402" s="802">
        <f t="shared" si="6"/>
        <v>587190</v>
      </c>
      <c r="J402" t="s">
        <v>648</v>
      </c>
    </row>
    <row r="403" spans="1:10" x14ac:dyDescent="0.25">
      <c r="A403" t="s">
        <v>642</v>
      </c>
      <c r="B403" t="s">
        <v>643</v>
      </c>
      <c r="C403" t="s">
        <v>644</v>
      </c>
      <c r="D403" t="s">
        <v>1300</v>
      </c>
      <c r="E403" t="s">
        <v>646</v>
      </c>
      <c r="F403" s="237">
        <v>45130</v>
      </c>
      <c r="G403">
        <v>1.1100000000000001</v>
      </c>
      <c r="H403" t="s">
        <v>647</v>
      </c>
      <c r="I403" s="802">
        <f t="shared" si="6"/>
        <v>587190</v>
      </c>
      <c r="J403" t="s">
        <v>648</v>
      </c>
    </row>
    <row r="404" spans="1:10" x14ac:dyDescent="0.25">
      <c r="A404" t="s">
        <v>642</v>
      </c>
      <c r="B404" t="s">
        <v>643</v>
      </c>
      <c r="C404" t="s">
        <v>705</v>
      </c>
      <c r="D404" t="s">
        <v>941</v>
      </c>
      <c r="E404" t="s">
        <v>646</v>
      </c>
      <c r="F404" s="237">
        <v>45128</v>
      </c>
      <c r="G404">
        <v>60</v>
      </c>
      <c r="H404" t="s">
        <v>651</v>
      </c>
      <c r="I404" s="802">
        <f t="shared" si="6"/>
        <v>4037640</v>
      </c>
      <c r="J404" t="s">
        <v>942</v>
      </c>
    </row>
    <row r="405" spans="1:10" x14ac:dyDescent="0.25">
      <c r="A405" t="s">
        <v>642</v>
      </c>
      <c r="B405" t="s">
        <v>643</v>
      </c>
      <c r="C405" t="s">
        <v>705</v>
      </c>
      <c r="D405" t="s">
        <v>943</v>
      </c>
      <c r="E405" t="s">
        <v>646</v>
      </c>
      <c r="F405" s="237">
        <v>45128</v>
      </c>
      <c r="G405">
        <v>60</v>
      </c>
      <c r="H405" t="s">
        <v>651</v>
      </c>
      <c r="I405" s="802">
        <f t="shared" si="6"/>
        <v>4037640</v>
      </c>
      <c r="J405" t="s">
        <v>744</v>
      </c>
    </row>
    <row r="406" spans="1:10" x14ac:dyDescent="0.25">
      <c r="A406" t="s">
        <v>642</v>
      </c>
      <c r="B406" t="s">
        <v>643</v>
      </c>
      <c r="C406" t="s">
        <v>705</v>
      </c>
      <c r="D406" t="s">
        <v>1105</v>
      </c>
      <c r="E406" t="s">
        <v>646</v>
      </c>
      <c r="F406" s="237">
        <v>45127</v>
      </c>
      <c r="G406">
        <v>60</v>
      </c>
      <c r="H406" t="s">
        <v>651</v>
      </c>
      <c r="I406" s="802">
        <f t="shared" si="6"/>
        <v>4037640</v>
      </c>
      <c r="J406" t="s">
        <v>1022</v>
      </c>
    </row>
    <row r="407" spans="1:10" x14ac:dyDescent="0.25">
      <c r="A407" t="s">
        <v>642</v>
      </c>
      <c r="B407" t="s">
        <v>643</v>
      </c>
      <c r="C407" t="s">
        <v>705</v>
      </c>
      <c r="D407" t="s">
        <v>1106</v>
      </c>
      <c r="E407" t="s">
        <v>646</v>
      </c>
      <c r="F407" s="237">
        <v>45127</v>
      </c>
      <c r="G407">
        <v>60</v>
      </c>
      <c r="H407" t="s">
        <v>651</v>
      </c>
      <c r="I407" s="802">
        <f t="shared" si="6"/>
        <v>4037640</v>
      </c>
      <c r="J407" t="s">
        <v>655</v>
      </c>
    </row>
    <row r="408" spans="1:10" x14ac:dyDescent="0.25">
      <c r="A408" t="s">
        <v>642</v>
      </c>
      <c r="B408" t="s">
        <v>643</v>
      </c>
      <c r="C408" t="s">
        <v>644</v>
      </c>
      <c r="D408" t="s">
        <v>1283</v>
      </c>
      <c r="E408" t="s">
        <v>646</v>
      </c>
      <c r="F408" s="237">
        <v>45127</v>
      </c>
      <c r="G408">
        <v>1.1100000000000001</v>
      </c>
      <c r="H408" t="s">
        <v>647</v>
      </c>
      <c r="I408" s="802">
        <f t="shared" si="6"/>
        <v>587190</v>
      </c>
      <c r="J408" t="s">
        <v>1259</v>
      </c>
    </row>
    <row r="409" spans="1:10" x14ac:dyDescent="0.25">
      <c r="A409" t="s">
        <v>642</v>
      </c>
      <c r="B409" t="s">
        <v>643</v>
      </c>
      <c r="C409" t="s">
        <v>644</v>
      </c>
      <c r="D409" t="s">
        <v>1277</v>
      </c>
      <c r="E409" t="s">
        <v>646</v>
      </c>
      <c r="F409" s="237">
        <v>45123</v>
      </c>
      <c r="G409">
        <v>1.1100000000000001</v>
      </c>
      <c r="H409" t="s">
        <v>647</v>
      </c>
      <c r="I409" s="802">
        <f t="shared" si="6"/>
        <v>587190</v>
      </c>
      <c r="J409" t="s">
        <v>648</v>
      </c>
    </row>
    <row r="410" spans="1:10" x14ac:dyDescent="0.25">
      <c r="A410" t="s">
        <v>642</v>
      </c>
      <c r="B410" t="s">
        <v>643</v>
      </c>
      <c r="C410" t="s">
        <v>644</v>
      </c>
      <c r="D410" t="s">
        <v>1287</v>
      </c>
      <c r="E410" t="s">
        <v>646</v>
      </c>
      <c r="F410" s="237">
        <v>45123</v>
      </c>
      <c r="G410">
        <v>1.1100000000000001</v>
      </c>
      <c r="H410" t="s">
        <v>647</v>
      </c>
      <c r="I410" s="802">
        <f t="shared" si="6"/>
        <v>587190</v>
      </c>
      <c r="J410" t="s">
        <v>648</v>
      </c>
    </row>
    <row r="411" spans="1:10" x14ac:dyDescent="0.25">
      <c r="A411" t="s">
        <v>642</v>
      </c>
      <c r="B411" t="s">
        <v>643</v>
      </c>
      <c r="C411" t="s">
        <v>644</v>
      </c>
      <c r="D411" t="s">
        <v>1346</v>
      </c>
      <c r="E411" t="s">
        <v>646</v>
      </c>
      <c r="F411" s="237">
        <v>45122</v>
      </c>
      <c r="G411">
        <v>60</v>
      </c>
      <c r="H411" t="s">
        <v>651</v>
      </c>
      <c r="I411" s="802">
        <f t="shared" si="6"/>
        <v>4037640</v>
      </c>
      <c r="J411" t="s">
        <v>1226</v>
      </c>
    </row>
    <row r="412" spans="1:10" x14ac:dyDescent="0.25">
      <c r="A412" t="s">
        <v>642</v>
      </c>
      <c r="B412" t="s">
        <v>643</v>
      </c>
      <c r="C412" t="s">
        <v>644</v>
      </c>
      <c r="D412" t="s">
        <v>1347</v>
      </c>
      <c r="E412" t="s">
        <v>646</v>
      </c>
      <c r="F412" s="237">
        <v>45122</v>
      </c>
      <c r="G412">
        <v>60</v>
      </c>
      <c r="H412" t="s">
        <v>651</v>
      </c>
      <c r="I412" s="802">
        <f t="shared" si="6"/>
        <v>4037640</v>
      </c>
      <c r="J412" t="s">
        <v>1226</v>
      </c>
    </row>
    <row r="413" spans="1:10" x14ac:dyDescent="0.25">
      <c r="A413" t="s">
        <v>642</v>
      </c>
      <c r="B413" t="s">
        <v>643</v>
      </c>
      <c r="C413" t="s">
        <v>644</v>
      </c>
      <c r="D413" t="s">
        <v>1286</v>
      </c>
      <c r="E413" t="s">
        <v>646</v>
      </c>
      <c r="F413" s="237">
        <v>45121</v>
      </c>
      <c r="G413">
        <v>1.1100000000000001</v>
      </c>
      <c r="H413" t="s">
        <v>647</v>
      </c>
      <c r="I413" s="802">
        <f t="shared" si="6"/>
        <v>587190</v>
      </c>
      <c r="J413" t="s">
        <v>648</v>
      </c>
    </row>
    <row r="414" spans="1:10" x14ac:dyDescent="0.25">
      <c r="A414" t="s">
        <v>642</v>
      </c>
      <c r="B414" t="s">
        <v>643</v>
      </c>
      <c r="C414" t="s">
        <v>644</v>
      </c>
      <c r="D414" t="s">
        <v>1288</v>
      </c>
      <c r="E414" t="s">
        <v>646</v>
      </c>
      <c r="F414" s="237">
        <v>45121</v>
      </c>
      <c r="G414">
        <v>60</v>
      </c>
      <c r="H414" t="s">
        <v>651</v>
      </c>
      <c r="I414" s="802">
        <f t="shared" si="6"/>
        <v>4037640</v>
      </c>
      <c r="J414" t="s">
        <v>665</v>
      </c>
    </row>
    <row r="415" spans="1:10" x14ac:dyDescent="0.25">
      <c r="A415" t="s">
        <v>642</v>
      </c>
      <c r="B415" t="s">
        <v>643</v>
      </c>
      <c r="C415" t="s">
        <v>644</v>
      </c>
      <c r="D415" t="s">
        <v>1289</v>
      </c>
      <c r="E415" t="s">
        <v>646</v>
      </c>
      <c r="F415" s="237">
        <v>45121</v>
      </c>
      <c r="G415">
        <v>1.1100000000000001</v>
      </c>
      <c r="H415" t="s">
        <v>647</v>
      </c>
      <c r="I415" s="802">
        <f t="shared" si="6"/>
        <v>587190</v>
      </c>
      <c r="J415" t="s">
        <v>648</v>
      </c>
    </row>
    <row r="416" spans="1:10" x14ac:dyDescent="0.25">
      <c r="A416" t="s">
        <v>642</v>
      </c>
      <c r="B416" t="s">
        <v>643</v>
      </c>
      <c r="C416" t="s">
        <v>644</v>
      </c>
      <c r="D416" t="s">
        <v>1285</v>
      </c>
      <c r="E416" t="s">
        <v>646</v>
      </c>
      <c r="F416" s="237">
        <v>45117</v>
      </c>
      <c r="G416">
        <v>60</v>
      </c>
      <c r="H416" t="s">
        <v>651</v>
      </c>
      <c r="I416" s="802">
        <f t="shared" si="6"/>
        <v>4037640</v>
      </c>
      <c r="J416" t="s">
        <v>689</v>
      </c>
    </row>
    <row r="417" spans="1:10" x14ac:dyDescent="0.25">
      <c r="A417" t="s">
        <v>642</v>
      </c>
      <c r="B417" t="s">
        <v>643</v>
      </c>
      <c r="C417" t="s">
        <v>644</v>
      </c>
      <c r="D417" t="s">
        <v>1295</v>
      </c>
      <c r="E417" t="s">
        <v>646</v>
      </c>
      <c r="F417" s="237">
        <v>45116</v>
      </c>
      <c r="G417">
        <v>2</v>
      </c>
      <c r="H417" t="s">
        <v>647</v>
      </c>
      <c r="I417" s="802">
        <f t="shared" si="6"/>
        <v>1058000</v>
      </c>
      <c r="J417" t="s">
        <v>671</v>
      </c>
    </row>
    <row r="418" spans="1:10" x14ac:dyDescent="0.25">
      <c r="A418" t="s">
        <v>642</v>
      </c>
      <c r="B418" t="s">
        <v>643</v>
      </c>
      <c r="C418" t="s">
        <v>644</v>
      </c>
      <c r="D418" t="s">
        <v>1362</v>
      </c>
      <c r="E418" t="s">
        <v>646</v>
      </c>
      <c r="F418" s="237">
        <v>45116</v>
      </c>
      <c r="G418">
        <v>1.1100000000000001</v>
      </c>
      <c r="H418" t="s">
        <v>647</v>
      </c>
      <c r="I418" s="802">
        <f t="shared" si="6"/>
        <v>587190</v>
      </c>
      <c r="J418" t="s">
        <v>648</v>
      </c>
    </row>
    <row r="419" spans="1:10" x14ac:dyDescent="0.25">
      <c r="A419" t="s">
        <v>642</v>
      </c>
      <c r="B419" t="s">
        <v>643</v>
      </c>
      <c r="C419" t="s">
        <v>644</v>
      </c>
      <c r="D419" t="s">
        <v>1284</v>
      </c>
      <c r="E419" t="s">
        <v>646</v>
      </c>
      <c r="F419" s="237">
        <v>45115</v>
      </c>
      <c r="G419">
        <v>1.1100000000000001</v>
      </c>
      <c r="H419" t="s">
        <v>647</v>
      </c>
      <c r="I419" s="802">
        <f t="shared" si="6"/>
        <v>587190</v>
      </c>
      <c r="J419" t="s">
        <v>648</v>
      </c>
    </row>
    <row r="420" spans="1:10" x14ac:dyDescent="0.25">
      <c r="A420" t="s">
        <v>642</v>
      </c>
      <c r="B420" t="s">
        <v>643</v>
      </c>
      <c r="C420" t="s">
        <v>705</v>
      </c>
      <c r="D420" t="s">
        <v>911</v>
      </c>
      <c r="E420" t="s">
        <v>646</v>
      </c>
      <c r="F420" s="237">
        <v>45114</v>
      </c>
      <c r="G420">
        <v>60</v>
      </c>
      <c r="H420" t="s">
        <v>651</v>
      </c>
      <c r="I420" s="802">
        <f t="shared" si="6"/>
        <v>4037640</v>
      </c>
      <c r="J420" t="s">
        <v>689</v>
      </c>
    </row>
    <row r="421" spans="1:10" x14ac:dyDescent="0.25">
      <c r="A421" t="s">
        <v>642</v>
      </c>
      <c r="B421" t="s">
        <v>643</v>
      </c>
      <c r="C421" t="s">
        <v>644</v>
      </c>
      <c r="D421" t="s">
        <v>1292</v>
      </c>
      <c r="E421" t="s">
        <v>646</v>
      </c>
      <c r="F421" s="237">
        <v>45113</v>
      </c>
      <c r="G421">
        <v>1.1100000000000001</v>
      </c>
      <c r="H421" t="s">
        <v>647</v>
      </c>
      <c r="I421" s="802">
        <f t="shared" si="6"/>
        <v>587190</v>
      </c>
      <c r="J421" t="s">
        <v>648</v>
      </c>
    </row>
    <row r="422" spans="1:10" x14ac:dyDescent="0.25">
      <c r="A422" t="s">
        <v>642</v>
      </c>
      <c r="B422" t="s">
        <v>643</v>
      </c>
      <c r="C422" t="s">
        <v>644</v>
      </c>
      <c r="D422" t="s">
        <v>1294</v>
      </c>
      <c r="E422" t="s">
        <v>646</v>
      </c>
      <c r="F422" s="237">
        <v>45113</v>
      </c>
      <c r="G422">
        <v>1.1100000000000001</v>
      </c>
      <c r="H422" t="s">
        <v>647</v>
      </c>
      <c r="I422" s="802">
        <f t="shared" si="6"/>
        <v>587190</v>
      </c>
      <c r="J422" t="s">
        <v>648</v>
      </c>
    </row>
    <row r="423" spans="1:10" x14ac:dyDescent="0.25">
      <c r="A423" t="s">
        <v>642</v>
      </c>
      <c r="B423" t="s">
        <v>643</v>
      </c>
      <c r="C423" t="s">
        <v>705</v>
      </c>
      <c r="D423" t="s">
        <v>868</v>
      </c>
      <c r="E423" t="s">
        <v>646</v>
      </c>
      <c r="F423" s="237">
        <v>45109</v>
      </c>
      <c r="G423">
        <v>60</v>
      </c>
      <c r="H423" t="s">
        <v>651</v>
      </c>
      <c r="I423" s="802">
        <f t="shared" si="6"/>
        <v>4037640</v>
      </c>
      <c r="J423" t="s">
        <v>869</v>
      </c>
    </row>
    <row r="424" spans="1:10" x14ac:dyDescent="0.25">
      <c r="A424" t="s">
        <v>642</v>
      </c>
      <c r="B424" t="s">
        <v>643</v>
      </c>
      <c r="C424" t="s">
        <v>705</v>
      </c>
      <c r="D424" t="s">
        <v>870</v>
      </c>
      <c r="E424" t="s">
        <v>646</v>
      </c>
      <c r="F424" s="237">
        <v>45109</v>
      </c>
      <c r="G424">
        <v>60</v>
      </c>
      <c r="H424" t="s">
        <v>651</v>
      </c>
      <c r="I424" s="802">
        <f t="shared" si="6"/>
        <v>4037640</v>
      </c>
      <c r="J424" t="s">
        <v>871</v>
      </c>
    </row>
    <row r="425" spans="1:10" x14ac:dyDescent="0.25">
      <c r="A425" t="s">
        <v>642</v>
      </c>
      <c r="B425" t="s">
        <v>643</v>
      </c>
      <c r="C425" t="s">
        <v>705</v>
      </c>
      <c r="D425" t="s">
        <v>872</v>
      </c>
      <c r="E425" t="s">
        <v>646</v>
      </c>
      <c r="F425" s="237">
        <v>45109</v>
      </c>
      <c r="G425">
        <v>26.73</v>
      </c>
      <c r="H425" t="s">
        <v>647</v>
      </c>
      <c r="I425" s="802">
        <f t="shared" si="6"/>
        <v>14140170</v>
      </c>
      <c r="J425" t="s">
        <v>710</v>
      </c>
    </row>
    <row r="426" spans="1:10" x14ac:dyDescent="0.25">
      <c r="A426" t="s">
        <v>642</v>
      </c>
      <c r="B426" t="s">
        <v>643</v>
      </c>
      <c r="C426" t="s">
        <v>644</v>
      </c>
      <c r="D426" t="s">
        <v>1278</v>
      </c>
      <c r="E426" t="s">
        <v>646</v>
      </c>
      <c r="F426" s="237">
        <v>45109</v>
      </c>
      <c r="G426">
        <v>60</v>
      </c>
      <c r="H426" t="s">
        <v>651</v>
      </c>
      <c r="I426" s="802">
        <f t="shared" si="6"/>
        <v>4037640</v>
      </c>
      <c r="J426" t="s">
        <v>715</v>
      </c>
    </row>
    <row r="427" spans="1:10" x14ac:dyDescent="0.25">
      <c r="A427" t="s">
        <v>642</v>
      </c>
      <c r="B427" t="s">
        <v>643</v>
      </c>
      <c r="C427" t="s">
        <v>705</v>
      </c>
      <c r="D427" t="s">
        <v>861</v>
      </c>
      <c r="E427" t="s">
        <v>646</v>
      </c>
      <c r="F427" s="237">
        <v>45107</v>
      </c>
      <c r="G427">
        <v>60</v>
      </c>
      <c r="H427" t="s">
        <v>651</v>
      </c>
      <c r="I427" s="802">
        <f t="shared" si="6"/>
        <v>4037640</v>
      </c>
      <c r="J427" t="s">
        <v>715</v>
      </c>
    </row>
    <row r="428" spans="1:10" x14ac:dyDescent="0.25">
      <c r="A428" t="s">
        <v>642</v>
      </c>
      <c r="B428" t="s">
        <v>643</v>
      </c>
      <c r="C428" t="s">
        <v>705</v>
      </c>
      <c r="D428" t="s">
        <v>862</v>
      </c>
      <c r="E428" t="s">
        <v>646</v>
      </c>
      <c r="F428" s="237">
        <v>45107</v>
      </c>
      <c r="G428">
        <v>60</v>
      </c>
      <c r="H428" t="s">
        <v>651</v>
      </c>
      <c r="I428" s="802">
        <f t="shared" si="6"/>
        <v>4037640</v>
      </c>
      <c r="J428" t="s">
        <v>731</v>
      </c>
    </row>
    <row r="429" spans="1:10" x14ac:dyDescent="0.25">
      <c r="A429" t="s">
        <v>642</v>
      </c>
      <c r="B429" t="s">
        <v>643</v>
      </c>
      <c r="C429" t="s">
        <v>705</v>
      </c>
      <c r="D429" t="s">
        <v>756</v>
      </c>
      <c r="E429" t="s">
        <v>646</v>
      </c>
      <c r="F429" s="237">
        <v>45106</v>
      </c>
      <c r="G429">
        <v>40</v>
      </c>
      <c r="H429" t="s">
        <v>651</v>
      </c>
      <c r="I429" s="802">
        <f t="shared" si="6"/>
        <v>2691760</v>
      </c>
      <c r="J429" t="s">
        <v>757</v>
      </c>
    </row>
    <row r="430" spans="1:10" x14ac:dyDescent="0.25">
      <c r="A430" t="s">
        <v>642</v>
      </c>
      <c r="B430" t="s">
        <v>643</v>
      </c>
      <c r="C430" t="s">
        <v>705</v>
      </c>
      <c r="D430" t="s">
        <v>930</v>
      </c>
      <c r="E430" t="s">
        <v>646</v>
      </c>
      <c r="F430" s="237">
        <v>45100</v>
      </c>
      <c r="G430">
        <v>60</v>
      </c>
      <c r="H430" t="s">
        <v>651</v>
      </c>
      <c r="I430" s="802">
        <f t="shared" si="6"/>
        <v>4037640</v>
      </c>
      <c r="J430" t="s">
        <v>731</v>
      </c>
    </row>
    <row r="431" spans="1:10" x14ac:dyDescent="0.25">
      <c r="A431" t="s">
        <v>642</v>
      </c>
      <c r="B431" t="s">
        <v>643</v>
      </c>
      <c r="C431" t="s">
        <v>644</v>
      </c>
      <c r="D431" t="s">
        <v>1291</v>
      </c>
      <c r="E431" t="s">
        <v>646</v>
      </c>
      <c r="F431" s="237">
        <v>45099</v>
      </c>
      <c r="G431">
        <v>1.1100000000000001</v>
      </c>
      <c r="H431" t="s">
        <v>647</v>
      </c>
      <c r="I431" s="802">
        <f t="shared" si="6"/>
        <v>587190</v>
      </c>
      <c r="J431" t="s">
        <v>648</v>
      </c>
    </row>
    <row r="432" spans="1:10" x14ac:dyDescent="0.25">
      <c r="A432" t="s">
        <v>642</v>
      </c>
      <c r="B432" t="s">
        <v>643</v>
      </c>
      <c r="C432" t="s">
        <v>644</v>
      </c>
      <c r="D432" t="s">
        <v>1350</v>
      </c>
      <c r="E432" t="s">
        <v>646</v>
      </c>
      <c r="F432" s="237">
        <v>45099</v>
      </c>
      <c r="G432">
        <v>2</v>
      </c>
      <c r="H432" t="s">
        <v>647</v>
      </c>
      <c r="I432" s="802">
        <f t="shared" si="6"/>
        <v>1058000</v>
      </c>
      <c r="J432" t="s">
        <v>671</v>
      </c>
    </row>
    <row r="433" spans="1:10" x14ac:dyDescent="0.25">
      <c r="A433" t="s">
        <v>642</v>
      </c>
      <c r="B433" t="s">
        <v>643</v>
      </c>
      <c r="C433" t="s">
        <v>644</v>
      </c>
      <c r="D433" t="s">
        <v>1351</v>
      </c>
      <c r="E433" t="s">
        <v>646</v>
      </c>
      <c r="F433" s="237">
        <v>45099</v>
      </c>
      <c r="G433">
        <v>60</v>
      </c>
      <c r="H433" t="s">
        <v>651</v>
      </c>
      <c r="I433" s="802">
        <f t="shared" si="6"/>
        <v>4037640</v>
      </c>
      <c r="J433" t="s">
        <v>665</v>
      </c>
    </row>
    <row r="434" spans="1:10" x14ac:dyDescent="0.25">
      <c r="A434" t="s">
        <v>642</v>
      </c>
      <c r="B434" t="s">
        <v>643</v>
      </c>
      <c r="C434" t="s">
        <v>644</v>
      </c>
      <c r="D434" t="s">
        <v>1290</v>
      </c>
      <c r="E434" t="s">
        <v>646</v>
      </c>
      <c r="F434" s="237">
        <v>45094</v>
      </c>
      <c r="G434">
        <v>2</v>
      </c>
      <c r="H434" t="s">
        <v>647</v>
      </c>
      <c r="I434" s="802">
        <f t="shared" si="6"/>
        <v>1058000</v>
      </c>
      <c r="J434" t="s">
        <v>671</v>
      </c>
    </row>
    <row r="435" spans="1:10" x14ac:dyDescent="0.25">
      <c r="A435" t="s">
        <v>642</v>
      </c>
      <c r="B435" t="s">
        <v>643</v>
      </c>
      <c r="C435" t="s">
        <v>644</v>
      </c>
      <c r="D435" t="s">
        <v>1297</v>
      </c>
      <c r="E435" t="s">
        <v>646</v>
      </c>
      <c r="F435" s="237">
        <v>45094</v>
      </c>
      <c r="G435">
        <v>1.1100000000000001</v>
      </c>
      <c r="H435" t="s">
        <v>647</v>
      </c>
      <c r="I435" s="802">
        <f t="shared" si="6"/>
        <v>587190</v>
      </c>
      <c r="J435" t="s">
        <v>648</v>
      </c>
    </row>
    <row r="436" spans="1:10" x14ac:dyDescent="0.25">
      <c r="A436" t="s">
        <v>642</v>
      </c>
      <c r="B436" t="s">
        <v>643</v>
      </c>
      <c r="C436" t="s">
        <v>644</v>
      </c>
      <c r="D436" t="s">
        <v>1357</v>
      </c>
      <c r="E436" t="s">
        <v>646</v>
      </c>
      <c r="F436" s="237">
        <v>45092</v>
      </c>
      <c r="G436">
        <v>1.1100000000000001</v>
      </c>
      <c r="H436" t="s">
        <v>647</v>
      </c>
      <c r="I436" s="802">
        <f t="shared" si="6"/>
        <v>587190</v>
      </c>
      <c r="J436" t="s">
        <v>648</v>
      </c>
    </row>
    <row r="437" spans="1:10" x14ac:dyDescent="0.25">
      <c r="A437" t="s">
        <v>642</v>
      </c>
      <c r="B437" t="s">
        <v>643</v>
      </c>
      <c r="C437" t="s">
        <v>644</v>
      </c>
      <c r="D437" t="s">
        <v>1358</v>
      </c>
      <c r="E437" t="s">
        <v>646</v>
      </c>
      <c r="F437" s="237">
        <v>45092</v>
      </c>
      <c r="G437">
        <v>1.1100000000000001</v>
      </c>
      <c r="H437" t="s">
        <v>647</v>
      </c>
      <c r="I437" s="802">
        <f t="shared" si="6"/>
        <v>587190</v>
      </c>
      <c r="J437" t="s">
        <v>648</v>
      </c>
    </row>
    <row r="438" spans="1:10" x14ac:dyDescent="0.25">
      <c r="A438" t="s">
        <v>642</v>
      </c>
      <c r="B438" t="s">
        <v>643</v>
      </c>
      <c r="C438" t="s">
        <v>705</v>
      </c>
      <c r="D438" t="s">
        <v>843</v>
      </c>
      <c r="E438" t="s">
        <v>646</v>
      </c>
      <c r="F438" s="237">
        <v>45088</v>
      </c>
      <c r="G438">
        <v>60</v>
      </c>
      <c r="H438" t="s">
        <v>651</v>
      </c>
      <c r="I438" s="802">
        <f t="shared" si="6"/>
        <v>4037640</v>
      </c>
      <c r="J438" t="s">
        <v>844</v>
      </c>
    </row>
    <row r="439" spans="1:10" x14ac:dyDescent="0.25">
      <c r="A439" t="s">
        <v>642</v>
      </c>
      <c r="B439" t="s">
        <v>643</v>
      </c>
      <c r="C439" t="s">
        <v>705</v>
      </c>
      <c r="D439" t="s">
        <v>845</v>
      </c>
      <c r="E439" t="s">
        <v>646</v>
      </c>
      <c r="F439" s="237">
        <v>45088</v>
      </c>
      <c r="G439">
        <v>26.73</v>
      </c>
      <c r="H439" t="s">
        <v>647</v>
      </c>
      <c r="I439" s="802">
        <f t="shared" si="6"/>
        <v>14140170</v>
      </c>
      <c r="J439" t="s">
        <v>710</v>
      </c>
    </row>
    <row r="440" spans="1:10" x14ac:dyDescent="0.25">
      <c r="A440" t="s">
        <v>642</v>
      </c>
      <c r="B440" t="s">
        <v>643</v>
      </c>
      <c r="C440" t="s">
        <v>705</v>
      </c>
      <c r="D440" t="s">
        <v>846</v>
      </c>
      <c r="E440" t="s">
        <v>646</v>
      </c>
      <c r="F440" s="237">
        <v>45088</v>
      </c>
      <c r="G440">
        <v>60</v>
      </c>
      <c r="H440" t="s">
        <v>651</v>
      </c>
      <c r="I440" s="802">
        <f t="shared" si="6"/>
        <v>4037640</v>
      </c>
      <c r="J440" t="s">
        <v>715</v>
      </c>
    </row>
    <row r="441" spans="1:10" x14ac:dyDescent="0.25">
      <c r="A441" t="s">
        <v>642</v>
      </c>
      <c r="B441" t="s">
        <v>643</v>
      </c>
      <c r="C441" t="s">
        <v>705</v>
      </c>
      <c r="D441" t="s">
        <v>847</v>
      </c>
      <c r="E441" t="s">
        <v>646</v>
      </c>
      <c r="F441" s="237">
        <v>45088</v>
      </c>
      <c r="G441">
        <v>60</v>
      </c>
      <c r="H441" t="s">
        <v>651</v>
      </c>
      <c r="I441" s="802">
        <f t="shared" si="6"/>
        <v>4037640</v>
      </c>
      <c r="J441" t="s">
        <v>777</v>
      </c>
    </row>
    <row r="442" spans="1:10" x14ac:dyDescent="0.25">
      <c r="A442" t="s">
        <v>642</v>
      </c>
      <c r="B442" t="s">
        <v>643</v>
      </c>
      <c r="C442" t="s">
        <v>705</v>
      </c>
      <c r="D442" t="s">
        <v>857</v>
      </c>
      <c r="E442" t="s">
        <v>646</v>
      </c>
      <c r="F442" s="237">
        <v>45088</v>
      </c>
      <c r="G442">
        <v>26.73</v>
      </c>
      <c r="H442" t="s">
        <v>647</v>
      </c>
      <c r="I442" s="802">
        <f t="shared" si="6"/>
        <v>14140170</v>
      </c>
      <c r="J442" t="s">
        <v>710</v>
      </c>
    </row>
    <row r="443" spans="1:10" x14ac:dyDescent="0.25">
      <c r="A443" t="s">
        <v>642</v>
      </c>
      <c r="B443" t="s">
        <v>643</v>
      </c>
      <c r="C443" t="s">
        <v>644</v>
      </c>
      <c r="D443" t="s">
        <v>1360</v>
      </c>
      <c r="E443" t="s">
        <v>646</v>
      </c>
      <c r="F443" s="237">
        <v>45086</v>
      </c>
      <c r="G443">
        <v>2</v>
      </c>
      <c r="H443" t="s">
        <v>647</v>
      </c>
      <c r="I443" s="802">
        <f t="shared" si="6"/>
        <v>1058000</v>
      </c>
      <c r="J443" t="s">
        <v>671</v>
      </c>
    </row>
    <row r="444" spans="1:10" x14ac:dyDescent="0.25">
      <c r="A444" t="s">
        <v>642</v>
      </c>
      <c r="B444" t="s">
        <v>643</v>
      </c>
      <c r="C444" t="s">
        <v>644</v>
      </c>
      <c r="D444" t="s">
        <v>1361</v>
      </c>
      <c r="E444" t="s">
        <v>646</v>
      </c>
      <c r="F444" s="237">
        <v>45086</v>
      </c>
      <c r="G444">
        <v>2</v>
      </c>
      <c r="H444" t="s">
        <v>647</v>
      </c>
      <c r="I444" s="802">
        <f t="shared" si="6"/>
        <v>1058000</v>
      </c>
      <c r="J444" t="s">
        <v>671</v>
      </c>
    </row>
    <row r="445" spans="1:10" x14ac:dyDescent="0.25">
      <c r="A445" t="s">
        <v>642</v>
      </c>
      <c r="B445" t="s">
        <v>643</v>
      </c>
      <c r="C445" t="s">
        <v>644</v>
      </c>
      <c r="D445" t="s">
        <v>1355</v>
      </c>
      <c r="E445" t="s">
        <v>646</v>
      </c>
      <c r="F445" s="237">
        <v>45075</v>
      </c>
      <c r="G445">
        <v>2</v>
      </c>
      <c r="H445" t="s">
        <v>647</v>
      </c>
      <c r="I445" s="802">
        <f t="shared" si="6"/>
        <v>1058000</v>
      </c>
      <c r="J445" t="s">
        <v>671</v>
      </c>
    </row>
    <row r="446" spans="1:10" x14ac:dyDescent="0.25">
      <c r="A446" t="s">
        <v>642</v>
      </c>
      <c r="B446" t="s">
        <v>643</v>
      </c>
      <c r="C446" t="s">
        <v>644</v>
      </c>
      <c r="D446" t="s">
        <v>1356</v>
      </c>
      <c r="E446" t="s">
        <v>646</v>
      </c>
      <c r="F446" s="237">
        <v>45075</v>
      </c>
      <c r="G446">
        <v>60</v>
      </c>
      <c r="H446" t="s">
        <v>651</v>
      </c>
      <c r="I446" s="802">
        <f t="shared" si="6"/>
        <v>4037640</v>
      </c>
      <c r="J446" t="s">
        <v>665</v>
      </c>
    </row>
    <row r="447" spans="1:10" x14ac:dyDescent="0.25">
      <c r="A447" t="s">
        <v>642</v>
      </c>
      <c r="B447" t="s">
        <v>643</v>
      </c>
      <c r="C447" t="s">
        <v>644</v>
      </c>
      <c r="D447" t="s">
        <v>1354</v>
      </c>
      <c r="E447" t="s">
        <v>646</v>
      </c>
      <c r="F447" s="237">
        <v>45074</v>
      </c>
      <c r="G447">
        <v>1.1100000000000001</v>
      </c>
      <c r="H447" t="s">
        <v>647</v>
      </c>
      <c r="I447" s="802">
        <f t="shared" si="6"/>
        <v>587190</v>
      </c>
      <c r="J447" t="s">
        <v>648</v>
      </c>
    </row>
    <row r="448" spans="1:10" x14ac:dyDescent="0.25">
      <c r="A448" t="s">
        <v>642</v>
      </c>
      <c r="B448" t="s">
        <v>643</v>
      </c>
      <c r="C448" t="s">
        <v>644</v>
      </c>
      <c r="D448" t="s">
        <v>1364</v>
      </c>
      <c r="E448" t="s">
        <v>646</v>
      </c>
      <c r="F448" s="237">
        <v>45068</v>
      </c>
      <c r="G448">
        <v>60</v>
      </c>
      <c r="H448" t="s">
        <v>651</v>
      </c>
      <c r="I448" s="802">
        <f t="shared" si="6"/>
        <v>4037640</v>
      </c>
      <c r="J448" t="s">
        <v>665</v>
      </c>
    </row>
    <row r="449" spans="1:10" x14ac:dyDescent="0.25">
      <c r="A449" t="s">
        <v>642</v>
      </c>
      <c r="B449" t="s">
        <v>643</v>
      </c>
      <c r="C449" t="s">
        <v>644</v>
      </c>
      <c r="D449" t="s">
        <v>1365</v>
      </c>
      <c r="E449" t="s">
        <v>646</v>
      </c>
      <c r="F449" s="237">
        <v>45068</v>
      </c>
      <c r="G449">
        <v>2</v>
      </c>
      <c r="H449" t="s">
        <v>647</v>
      </c>
      <c r="I449" s="802">
        <f t="shared" si="6"/>
        <v>1058000</v>
      </c>
      <c r="J449" t="s">
        <v>671</v>
      </c>
    </row>
    <row r="450" spans="1:10" x14ac:dyDescent="0.25">
      <c r="A450" t="s">
        <v>642</v>
      </c>
      <c r="B450" t="s">
        <v>643</v>
      </c>
      <c r="C450" t="s">
        <v>705</v>
      </c>
      <c r="D450" t="s">
        <v>1018</v>
      </c>
      <c r="E450" t="s">
        <v>646</v>
      </c>
      <c r="F450" s="237">
        <v>45066</v>
      </c>
      <c r="G450">
        <v>60</v>
      </c>
      <c r="H450" t="s">
        <v>651</v>
      </c>
      <c r="I450" s="802">
        <f t="shared" si="6"/>
        <v>4037640</v>
      </c>
      <c r="J450" t="s">
        <v>859</v>
      </c>
    </row>
    <row r="451" spans="1:10" x14ac:dyDescent="0.25">
      <c r="A451" t="s">
        <v>642</v>
      </c>
      <c r="B451" t="s">
        <v>643</v>
      </c>
      <c r="C451" t="s">
        <v>705</v>
      </c>
      <c r="D451" t="s">
        <v>1019</v>
      </c>
      <c r="E451" t="s">
        <v>646</v>
      </c>
      <c r="F451" s="237">
        <v>45066</v>
      </c>
      <c r="G451">
        <v>26.73</v>
      </c>
      <c r="H451" t="s">
        <v>647</v>
      </c>
      <c r="I451" s="802">
        <f t="shared" ref="I451:I514" si="7">+IF(H451="IMM",+G451*529000,+G451*67294)</f>
        <v>14140170</v>
      </c>
      <c r="J451" t="s">
        <v>1020</v>
      </c>
    </row>
    <row r="452" spans="1:10" x14ac:dyDescent="0.25">
      <c r="A452" t="s">
        <v>642</v>
      </c>
      <c r="B452" t="s">
        <v>643</v>
      </c>
      <c r="C452" t="s">
        <v>644</v>
      </c>
      <c r="D452" t="s">
        <v>1352</v>
      </c>
      <c r="E452" t="s">
        <v>646</v>
      </c>
      <c r="F452" s="237">
        <v>45065</v>
      </c>
      <c r="G452">
        <v>60</v>
      </c>
      <c r="H452" t="s">
        <v>651</v>
      </c>
      <c r="I452" s="802">
        <f t="shared" si="7"/>
        <v>4037640</v>
      </c>
      <c r="J452" t="s">
        <v>842</v>
      </c>
    </row>
    <row r="453" spans="1:10" x14ac:dyDescent="0.25">
      <c r="A453" t="s">
        <v>642</v>
      </c>
      <c r="B453" t="s">
        <v>643</v>
      </c>
      <c r="C453" t="s">
        <v>644</v>
      </c>
      <c r="D453" t="s">
        <v>1353</v>
      </c>
      <c r="E453" t="s">
        <v>646</v>
      </c>
      <c r="F453" s="237">
        <v>45065</v>
      </c>
      <c r="G453">
        <v>60</v>
      </c>
      <c r="H453" t="s">
        <v>651</v>
      </c>
      <c r="I453" s="802">
        <f t="shared" si="7"/>
        <v>4037640</v>
      </c>
      <c r="J453" t="s">
        <v>665</v>
      </c>
    </row>
    <row r="454" spans="1:10" x14ac:dyDescent="0.25">
      <c r="A454" t="s">
        <v>642</v>
      </c>
      <c r="B454" t="s">
        <v>643</v>
      </c>
      <c r="C454" t="s">
        <v>644</v>
      </c>
      <c r="D454" t="s">
        <v>1359</v>
      </c>
      <c r="E454" t="s">
        <v>646</v>
      </c>
      <c r="F454" s="237">
        <v>45065</v>
      </c>
      <c r="G454">
        <v>60</v>
      </c>
      <c r="H454" t="s">
        <v>651</v>
      </c>
      <c r="I454" s="802">
        <f t="shared" si="7"/>
        <v>4037640</v>
      </c>
      <c r="J454" t="s">
        <v>665</v>
      </c>
    </row>
    <row r="455" spans="1:10" x14ac:dyDescent="0.25">
      <c r="A455" t="s">
        <v>642</v>
      </c>
      <c r="B455" t="s">
        <v>643</v>
      </c>
      <c r="C455" t="s">
        <v>644</v>
      </c>
      <c r="D455" t="s">
        <v>1371</v>
      </c>
      <c r="E455" t="s">
        <v>646</v>
      </c>
      <c r="F455" s="237">
        <v>45065</v>
      </c>
      <c r="G455">
        <v>60</v>
      </c>
      <c r="H455" t="s">
        <v>651</v>
      </c>
      <c r="I455" s="802">
        <f t="shared" si="7"/>
        <v>4037640</v>
      </c>
      <c r="J455" t="s">
        <v>777</v>
      </c>
    </row>
    <row r="456" spans="1:10" x14ac:dyDescent="0.25">
      <c r="A456" t="s">
        <v>642</v>
      </c>
      <c r="B456" t="s">
        <v>643</v>
      </c>
      <c r="C456" t="s">
        <v>705</v>
      </c>
      <c r="D456" t="s">
        <v>983</v>
      </c>
      <c r="E456" t="s">
        <v>646</v>
      </c>
      <c r="F456" s="237">
        <v>45061</v>
      </c>
      <c r="G456">
        <v>60</v>
      </c>
      <c r="H456" t="s">
        <v>651</v>
      </c>
      <c r="I456" s="802">
        <f t="shared" si="7"/>
        <v>4037640</v>
      </c>
      <c r="J456" t="s">
        <v>689</v>
      </c>
    </row>
    <row r="457" spans="1:10" x14ac:dyDescent="0.25">
      <c r="A457" t="s">
        <v>642</v>
      </c>
      <c r="B457" t="s">
        <v>643</v>
      </c>
      <c r="C457" t="s">
        <v>705</v>
      </c>
      <c r="D457" t="s">
        <v>1108</v>
      </c>
      <c r="E457" t="s">
        <v>646</v>
      </c>
      <c r="F457" s="237">
        <v>45060</v>
      </c>
      <c r="G457">
        <v>60</v>
      </c>
      <c r="H457" t="s">
        <v>651</v>
      </c>
      <c r="I457" s="802">
        <f t="shared" si="7"/>
        <v>4037640</v>
      </c>
      <c r="J457" t="s">
        <v>715</v>
      </c>
    </row>
    <row r="458" spans="1:10" x14ac:dyDescent="0.25">
      <c r="A458" t="s">
        <v>642</v>
      </c>
      <c r="B458" t="s">
        <v>643</v>
      </c>
      <c r="C458" t="s">
        <v>705</v>
      </c>
      <c r="D458" t="s">
        <v>1109</v>
      </c>
      <c r="E458" t="s">
        <v>646</v>
      </c>
      <c r="F458" s="237">
        <v>45060</v>
      </c>
      <c r="G458">
        <v>60</v>
      </c>
      <c r="H458" t="s">
        <v>651</v>
      </c>
      <c r="I458" s="802">
        <f t="shared" si="7"/>
        <v>4037640</v>
      </c>
      <c r="J458" t="s">
        <v>784</v>
      </c>
    </row>
    <row r="459" spans="1:10" x14ac:dyDescent="0.25">
      <c r="A459" t="s">
        <v>642</v>
      </c>
      <c r="B459" t="s">
        <v>643</v>
      </c>
      <c r="C459" t="s">
        <v>644</v>
      </c>
      <c r="D459" t="s">
        <v>1363</v>
      </c>
      <c r="E459" t="s">
        <v>646</v>
      </c>
      <c r="F459" s="237">
        <v>45060</v>
      </c>
      <c r="G459">
        <v>60</v>
      </c>
      <c r="H459" t="s">
        <v>651</v>
      </c>
      <c r="I459" s="802">
        <f t="shared" si="7"/>
        <v>4037640</v>
      </c>
      <c r="J459" t="s">
        <v>665</v>
      </c>
    </row>
    <row r="460" spans="1:10" x14ac:dyDescent="0.25">
      <c r="A460" t="s">
        <v>642</v>
      </c>
      <c r="B460" t="s">
        <v>643</v>
      </c>
      <c r="C460" t="s">
        <v>705</v>
      </c>
      <c r="D460" t="s">
        <v>783</v>
      </c>
      <c r="E460" t="s">
        <v>646</v>
      </c>
      <c r="F460" s="237">
        <v>45059</v>
      </c>
      <c r="G460">
        <v>60</v>
      </c>
      <c r="H460" t="s">
        <v>651</v>
      </c>
      <c r="I460" s="802">
        <f t="shared" si="7"/>
        <v>4037640</v>
      </c>
      <c r="J460" t="s">
        <v>784</v>
      </c>
    </row>
    <row r="461" spans="1:10" x14ac:dyDescent="0.25">
      <c r="A461" t="s">
        <v>642</v>
      </c>
      <c r="B461" t="s">
        <v>643</v>
      </c>
      <c r="C461" t="s">
        <v>705</v>
      </c>
      <c r="D461" t="s">
        <v>785</v>
      </c>
      <c r="E461" t="s">
        <v>646</v>
      </c>
      <c r="F461" s="237">
        <v>45059</v>
      </c>
      <c r="G461">
        <v>60</v>
      </c>
      <c r="H461" t="s">
        <v>651</v>
      </c>
      <c r="I461" s="802">
        <f t="shared" si="7"/>
        <v>4037640</v>
      </c>
      <c r="J461" t="s">
        <v>786</v>
      </c>
    </row>
    <row r="462" spans="1:10" x14ac:dyDescent="0.25">
      <c r="A462" t="s">
        <v>642</v>
      </c>
      <c r="B462" t="s">
        <v>643</v>
      </c>
      <c r="C462" t="s">
        <v>705</v>
      </c>
      <c r="D462" t="s">
        <v>1074</v>
      </c>
      <c r="E462" t="s">
        <v>646</v>
      </c>
      <c r="F462" s="237">
        <v>45059</v>
      </c>
      <c r="G462">
        <v>60</v>
      </c>
      <c r="H462" t="s">
        <v>651</v>
      </c>
      <c r="I462" s="802">
        <f t="shared" si="7"/>
        <v>4037640</v>
      </c>
      <c r="J462" t="s">
        <v>1022</v>
      </c>
    </row>
    <row r="463" spans="1:10" x14ac:dyDescent="0.25">
      <c r="A463" t="s">
        <v>642</v>
      </c>
      <c r="B463" t="s">
        <v>643</v>
      </c>
      <c r="C463" t="s">
        <v>705</v>
      </c>
      <c r="D463" t="s">
        <v>1115</v>
      </c>
      <c r="E463" t="s">
        <v>646</v>
      </c>
      <c r="F463" s="237">
        <v>45050</v>
      </c>
      <c r="G463">
        <v>60</v>
      </c>
      <c r="H463" t="s">
        <v>651</v>
      </c>
      <c r="I463" s="802">
        <f t="shared" si="7"/>
        <v>4037640</v>
      </c>
      <c r="J463" t="s">
        <v>655</v>
      </c>
    </row>
    <row r="464" spans="1:10" x14ac:dyDescent="0.25">
      <c r="A464" t="s">
        <v>642</v>
      </c>
      <c r="B464" t="s">
        <v>643</v>
      </c>
      <c r="C464" t="s">
        <v>644</v>
      </c>
      <c r="D464" t="s">
        <v>1372</v>
      </c>
      <c r="E464" t="s">
        <v>646</v>
      </c>
      <c r="F464" s="237">
        <v>45046</v>
      </c>
      <c r="G464">
        <v>60</v>
      </c>
      <c r="H464" t="s">
        <v>651</v>
      </c>
      <c r="I464" s="802">
        <f t="shared" si="7"/>
        <v>4037640</v>
      </c>
      <c r="J464" t="s">
        <v>665</v>
      </c>
    </row>
    <row r="465" spans="1:10" x14ac:dyDescent="0.25">
      <c r="A465" t="s">
        <v>642</v>
      </c>
      <c r="B465" t="s">
        <v>643</v>
      </c>
      <c r="C465" t="s">
        <v>705</v>
      </c>
      <c r="D465" t="s">
        <v>993</v>
      </c>
      <c r="E465" t="s">
        <v>646</v>
      </c>
      <c r="F465" s="237">
        <v>45045</v>
      </c>
      <c r="G465">
        <v>60</v>
      </c>
      <c r="H465" t="s">
        <v>651</v>
      </c>
      <c r="I465" s="802">
        <f t="shared" si="7"/>
        <v>4037640</v>
      </c>
      <c r="J465" t="s">
        <v>715</v>
      </c>
    </row>
    <row r="466" spans="1:10" x14ac:dyDescent="0.25">
      <c r="A466" t="s">
        <v>642</v>
      </c>
      <c r="B466" t="s">
        <v>643</v>
      </c>
      <c r="C466" t="s">
        <v>644</v>
      </c>
      <c r="D466" t="s">
        <v>1366</v>
      </c>
      <c r="E466" t="s">
        <v>646</v>
      </c>
      <c r="F466" s="237">
        <v>45044</v>
      </c>
      <c r="G466">
        <v>60</v>
      </c>
      <c r="H466" t="s">
        <v>651</v>
      </c>
      <c r="I466" s="802">
        <f t="shared" si="7"/>
        <v>4037640</v>
      </c>
      <c r="J466" t="s">
        <v>842</v>
      </c>
    </row>
    <row r="467" spans="1:10" x14ac:dyDescent="0.25">
      <c r="A467" t="s">
        <v>642</v>
      </c>
      <c r="B467" t="s">
        <v>643</v>
      </c>
      <c r="C467" t="s">
        <v>644</v>
      </c>
      <c r="D467" t="s">
        <v>1373</v>
      </c>
      <c r="E467" t="s">
        <v>646</v>
      </c>
      <c r="F467" s="237">
        <v>45040</v>
      </c>
      <c r="G467">
        <v>1.1100000000000001</v>
      </c>
      <c r="H467" t="s">
        <v>647</v>
      </c>
      <c r="I467" s="802">
        <f t="shared" si="7"/>
        <v>587190</v>
      </c>
      <c r="J467" t="s">
        <v>648</v>
      </c>
    </row>
    <row r="468" spans="1:10" x14ac:dyDescent="0.25">
      <c r="A468" t="s">
        <v>642</v>
      </c>
      <c r="B468" t="s">
        <v>643</v>
      </c>
      <c r="C468" t="s">
        <v>644</v>
      </c>
      <c r="D468" t="s">
        <v>1370</v>
      </c>
      <c r="E468" t="s">
        <v>646</v>
      </c>
      <c r="F468" s="237">
        <v>45037</v>
      </c>
      <c r="G468">
        <v>60</v>
      </c>
      <c r="H468" t="s">
        <v>651</v>
      </c>
      <c r="I468" s="802">
        <f t="shared" si="7"/>
        <v>4037640</v>
      </c>
      <c r="J468" t="s">
        <v>665</v>
      </c>
    </row>
    <row r="469" spans="1:10" x14ac:dyDescent="0.25">
      <c r="A469" t="s">
        <v>642</v>
      </c>
      <c r="B469" t="s">
        <v>643</v>
      </c>
      <c r="C469" t="s">
        <v>644</v>
      </c>
      <c r="D469" t="s">
        <v>1367</v>
      </c>
      <c r="E469" t="s">
        <v>646</v>
      </c>
      <c r="F469" s="237">
        <v>45036</v>
      </c>
      <c r="G469">
        <v>60</v>
      </c>
      <c r="H469" t="s">
        <v>651</v>
      </c>
      <c r="I469" s="802">
        <f t="shared" si="7"/>
        <v>4037640</v>
      </c>
      <c r="J469" t="s">
        <v>777</v>
      </c>
    </row>
    <row r="470" spans="1:10" x14ac:dyDescent="0.25">
      <c r="A470" t="s">
        <v>642</v>
      </c>
      <c r="B470" t="s">
        <v>643</v>
      </c>
      <c r="C470" t="s">
        <v>644</v>
      </c>
      <c r="D470" t="s">
        <v>1368</v>
      </c>
      <c r="E470" t="s">
        <v>646</v>
      </c>
      <c r="F470" s="237">
        <v>45036</v>
      </c>
      <c r="G470">
        <v>60</v>
      </c>
      <c r="H470" t="s">
        <v>651</v>
      </c>
      <c r="I470" s="802">
        <f t="shared" si="7"/>
        <v>4037640</v>
      </c>
      <c r="J470" t="s">
        <v>669</v>
      </c>
    </row>
    <row r="471" spans="1:10" x14ac:dyDescent="0.25">
      <c r="A471" t="s">
        <v>642</v>
      </c>
      <c r="B471" t="s">
        <v>643</v>
      </c>
      <c r="C471" t="s">
        <v>644</v>
      </c>
      <c r="D471" t="s">
        <v>1369</v>
      </c>
      <c r="E471" t="s">
        <v>646</v>
      </c>
      <c r="F471" s="237">
        <v>45036</v>
      </c>
      <c r="G471">
        <v>60</v>
      </c>
      <c r="H471" t="s">
        <v>651</v>
      </c>
      <c r="I471" s="802">
        <f t="shared" si="7"/>
        <v>4037640</v>
      </c>
      <c r="J471" t="s">
        <v>665</v>
      </c>
    </row>
    <row r="472" spans="1:10" x14ac:dyDescent="0.25">
      <c r="A472" t="s">
        <v>642</v>
      </c>
      <c r="B472" t="s">
        <v>643</v>
      </c>
      <c r="C472" t="s">
        <v>705</v>
      </c>
      <c r="D472" t="s">
        <v>1736</v>
      </c>
      <c r="E472" t="s">
        <v>646</v>
      </c>
      <c r="F472" s="237">
        <v>45036</v>
      </c>
      <c r="G472">
        <v>1.1100000000000001</v>
      </c>
      <c r="H472" t="s">
        <v>647</v>
      </c>
      <c r="I472" s="802">
        <f t="shared" si="7"/>
        <v>587190</v>
      </c>
      <c r="J472" t="s">
        <v>648</v>
      </c>
    </row>
    <row r="473" spans="1:10" x14ac:dyDescent="0.25">
      <c r="A473" t="s">
        <v>642</v>
      </c>
      <c r="B473" t="s">
        <v>643</v>
      </c>
      <c r="C473" t="s">
        <v>644</v>
      </c>
      <c r="D473" t="s">
        <v>1344</v>
      </c>
      <c r="E473" t="s">
        <v>646</v>
      </c>
      <c r="F473" s="237">
        <v>45018</v>
      </c>
      <c r="G473">
        <v>2</v>
      </c>
      <c r="H473" t="s">
        <v>647</v>
      </c>
      <c r="I473" s="802">
        <f t="shared" si="7"/>
        <v>1058000</v>
      </c>
      <c r="J473" t="s">
        <v>671</v>
      </c>
    </row>
    <row r="474" spans="1:10" x14ac:dyDescent="0.25">
      <c r="A474" t="s">
        <v>642</v>
      </c>
      <c r="B474" t="s">
        <v>643</v>
      </c>
      <c r="C474" t="s">
        <v>644</v>
      </c>
      <c r="D474" t="s">
        <v>1345</v>
      </c>
      <c r="E474" t="s">
        <v>646</v>
      </c>
      <c r="F474" s="237">
        <v>45018</v>
      </c>
      <c r="G474">
        <v>60</v>
      </c>
      <c r="H474" t="s">
        <v>651</v>
      </c>
      <c r="I474" s="802">
        <f t="shared" si="7"/>
        <v>4037640</v>
      </c>
      <c r="J474" t="s">
        <v>669</v>
      </c>
    </row>
    <row r="475" spans="1:10" x14ac:dyDescent="0.25">
      <c r="A475" t="s">
        <v>642</v>
      </c>
      <c r="B475" t="s">
        <v>643</v>
      </c>
      <c r="C475" t="s">
        <v>705</v>
      </c>
      <c r="D475" t="s">
        <v>966</v>
      </c>
      <c r="E475" t="s">
        <v>646</v>
      </c>
      <c r="F475" s="237">
        <v>45005</v>
      </c>
      <c r="G475">
        <v>60</v>
      </c>
      <c r="H475" t="s">
        <v>651</v>
      </c>
      <c r="I475" s="802">
        <f t="shared" si="7"/>
        <v>4037640</v>
      </c>
      <c r="J475" t="s">
        <v>655</v>
      </c>
    </row>
    <row r="476" spans="1:10" x14ac:dyDescent="0.25">
      <c r="A476" t="s">
        <v>642</v>
      </c>
      <c r="B476" t="s">
        <v>643</v>
      </c>
      <c r="C476" t="s">
        <v>705</v>
      </c>
      <c r="D476" t="s">
        <v>746</v>
      </c>
      <c r="E476" t="s">
        <v>646</v>
      </c>
      <c r="F476" s="237">
        <v>44997</v>
      </c>
      <c r="G476">
        <v>60</v>
      </c>
      <c r="H476" t="s">
        <v>651</v>
      </c>
      <c r="I476" s="802">
        <f t="shared" si="7"/>
        <v>4037640</v>
      </c>
      <c r="J476" t="s">
        <v>731</v>
      </c>
    </row>
    <row r="477" spans="1:10" x14ac:dyDescent="0.25">
      <c r="A477" t="s">
        <v>642</v>
      </c>
      <c r="B477" t="s">
        <v>643</v>
      </c>
      <c r="C477" t="s">
        <v>705</v>
      </c>
      <c r="D477" t="s">
        <v>931</v>
      </c>
      <c r="E477" t="s">
        <v>646</v>
      </c>
      <c r="F477" s="237">
        <v>44997</v>
      </c>
      <c r="G477">
        <v>26.73</v>
      </c>
      <c r="H477" t="s">
        <v>647</v>
      </c>
      <c r="I477" s="802">
        <f t="shared" si="7"/>
        <v>14140170</v>
      </c>
      <c r="J477" t="s">
        <v>710</v>
      </c>
    </row>
    <row r="478" spans="1:10" x14ac:dyDescent="0.25">
      <c r="A478" t="s">
        <v>642</v>
      </c>
      <c r="B478" t="s">
        <v>643</v>
      </c>
      <c r="C478" t="s">
        <v>705</v>
      </c>
      <c r="D478" t="s">
        <v>858</v>
      </c>
      <c r="E478" t="s">
        <v>646</v>
      </c>
      <c r="F478" s="237">
        <v>44990</v>
      </c>
      <c r="G478">
        <v>60</v>
      </c>
      <c r="H478" t="s">
        <v>651</v>
      </c>
      <c r="I478" s="802">
        <f t="shared" si="7"/>
        <v>4037640</v>
      </c>
      <c r="J478" t="s">
        <v>859</v>
      </c>
    </row>
    <row r="479" spans="1:10" x14ac:dyDescent="0.25">
      <c r="A479" t="s">
        <v>642</v>
      </c>
      <c r="B479" t="s">
        <v>643</v>
      </c>
      <c r="C479" t="s">
        <v>705</v>
      </c>
      <c r="D479" t="s">
        <v>860</v>
      </c>
      <c r="E479" t="s">
        <v>646</v>
      </c>
      <c r="F479" s="237">
        <v>44990</v>
      </c>
      <c r="G479">
        <v>60</v>
      </c>
      <c r="H479" t="s">
        <v>651</v>
      </c>
      <c r="I479" s="802">
        <f t="shared" si="7"/>
        <v>4037640</v>
      </c>
      <c r="J479" t="s">
        <v>731</v>
      </c>
    </row>
    <row r="480" spans="1:10" x14ac:dyDescent="0.25">
      <c r="A480" t="s">
        <v>642</v>
      </c>
      <c r="B480" t="s">
        <v>643</v>
      </c>
      <c r="C480" t="s">
        <v>644</v>
      </c>
      <c r="D480" t="s">
        <v>1343</v>
      </c>
      <c r="E480" t="s">
        <v>646</v>
      </c>
      <c r="F480" s="237">
        <v>44990</v>
      </c>
      <c r="G480">
        <v>1.1100000000000001</v>
      </c>
      <c r="H480" t="s">
        <v>647</v>
      </c>
      <c r="I480" s="802">
        <f t="shared" si="7"/>
        <v>587190</v>
      </c>
      <c r="J480" t="s">
        <v>648</v>
      </c>
    </row>
    <row r="481" spans="1:10" x14ac:dyDescent="0.25">
      <c r="A481" t="s">
        <v>642</v>
      </c>
      <c r="B481" t="s">
        <v>643</v>
      </c>
      <c r="C481" t="s">
        <v>705</v>
      </c>
      <c r="D481" t="s">
        <v>863</v>
      </c>
      <c r="E481" t="s">
        <v>646</v>
      </c>
      <c r="F481" s="237">
        <v>44989</v>
      </c>
      <c r="G481">
        <v>60</v>
      </c>
      <c r="H481" t="s">
        <v>651</v>
      </c>
      <c r="I481" s="802">
        <f t="shared" si="7"/>
        <v>4037640</v>
      </c>
      <c r="J481" t="s">
        <v>736</v>
      </c>
    </row>
    <row r="482" spans="1:10" x14ac:dyDescent="0.25">
      <c r="A482" t="s">
        <v>642</v>
      </c>
      <c r="B482" t="s">
        <v>643</v>
      </c>
      <c r="C482" t="s">
        <v>705</v>
      </c>
      <c r="D482" t="s">
        <v>865</v>
      </c>
      <c r="E482" t="s">
        <v>646</v>
      </c>
      <c r="F482" s="237">
        <v>44989</v>
      </c>
      <c r="G482">
        <v>26.73</v>
      </c>
      <c r="H482" t="s">
        <v>647</v>
      </c>
      <c r="I482" s="802">
        <f t="shared" si="7"/>
        <v>14140170</v>
      </c>
      <c r="J482" t="s">
        <v>710</v>
      </c>
    </row>
    <row r="483" spans="1:10" x14ac:dyDescent="0.25">
      <c r="A483" t="s">
        <v>642</v>
      </c>
      <c r="B483" t="s">
        <v>643</v>
      </c>
      <c r="C483" t="s">
        <v>644</v>
      </c>
      <c r="D483" t="s">
        <v>1341</v>
      </c>
      <c r="E483" t="s">
        <v>646</v>
      </c>
      <c r="F483" s="237">
        <v>44983</v>
      </c>
      <c r="G483">
        <v>2</v>
      </c>
      <c r="H483" t="s">
        <v>647</v>
      </c>
      <c r="I483" s="802">
        <f t="shared" si="7"/>
        <v>1058000</v>
      </c>
      <c r="J483" t="s">
        <v>671</v>
      </c>
    </row>
    <row r="484" spans="1:10" x14ac:dyDescent="0.25">
      <c r="A484" t="s">
        <v>642</v>
      </c>
      <c r="B484" t="s">
        <v>643</v>
      </c>
      <c r="C484" t="s">
        <v>644</v>
      </c>
      <c r="D484" t="s">
        <v>1339</v>
      </c>
      <c r="E484" t="s">
        <v>646</v>
      </c>
      <c r="F484" s="237">
        <v>44982</v>
      </c>
      <c r="G484">
        <v>60</v>
      </c>
      <c r="H484" t="s">
        <v>651</v>
      </c>
      <c r="I484" s="802">
        <f t="shared" si="7"/>
        <v>4037640</v>
      </c>
      <c r="J484" t="s">
        <v>1340</v>
      </c>
    </row>
    <row r="485" spans="1:10" x14ac:dyDescent="0.25">
      <c r="A485" t="s">
        <v>642</v>
      </c>
      <c r="B485" t="s">
        <v>643</v>
      </c>
      <c r="C485" t="s">
        <v>705</v>
      </c>
      <c r="D485" t="s">
        <v>1718</v>
      </c>
      <c r="E485" t="s">
        <v>646</v>
      </c>
      <c r="F485" s="237">
        <v>44980</v>
      </c>
      <c r="G485">
        <v>60</v>
      </c>
      <c r="H485" t="s">
        <v>651</v>
      </c>
      <c r="I485" s="802">
        <f t="shared" si="7"/>
        <v>4037640</v>
      </c>
      <c r="J485" t="s">
        <v>655</v>
      </c>
    </row>
    <row r="486" spans="1:10" x14ac:dyDescent="0.25">
      <c r="A486" t="s">
        <v>642</v>
      </c>
      <c r="B486" t="s">
        <v>643</v>
      </c>
      <c r="C486" t="s">
        <v>644</v>
      </c>
      <c r="D486" t="s">
        <v>1342</v>
      </c>
      <c r="E486" t="s">
        <v>646</v>
      </c>
      <c r="F486" s="237">
        <v>44977</v>
      </c>
      <c r="G486">
        <v>2</v>
      </c>
      <c r="H486" t="s">
        <v>647</v>
      </c>
      <c r="I486" s="802">
        <f t="shared" si="7"/>
        <v>1058000</v>
      </c>
      <c r="J486" t="s">
        <v>671</v>
      </c>
    </row>
    <row r="487" spans="1:10" x14ac:dyDescent="0.25">
      <c r="A487" t="s">
        <v>642</v>
      </c>
      <c r="B487" t="s">
        <v>643</v>
      </c>
      <c r="C487" t="s">
        <v>705</v>
      </c>
      <c r="D487" t="s">
        <v>1076</v>
      </c>
      <c r="E487" t="s">
        <v>646</v>
      </c>
      <c r="F487" s="237">
        <v>44975</v>
      </c>
      <c r="G487">
        <v>60</v>
      </c>
      <c r="H487" t="s">
        <v>651</v>
      </c>
      <c r="I487" s="802">
        <f t="shared" si="7"/>
        <v>4037640</v>
      </c>
      <c r="J487" t="s">
        <v>761</v>
      </c>
    </row>
    <row r="488" spans="1:10" x14ac:dyDescent="0.25">
      <c r="A488" t="s">
        <v>642</v>
      </c>
      <c r="B488" t="s">
        <v>643</v>
      </c>
      <c r="C488" t="s">
        <v>705</v>
      </c>
      <c r="D488" t="s">
        <v>998</v>
      </c>
      <c r="E488" t="s">
        <v>646</v>
      </c>
      <c r="F488" s="237">
        <v>44974</v>
      </c>
      <c r="G488">
        <v>60</v>
      </c>
      <c r="H488" t="s">
        <v>651</v>
      </c>
      <c r="I488" s="802">
        <f t="shared" si="7"/>
        <v>4037640</v>
      </c>
      <c r="J488" t="s">
        <v>655</v>
      </c>
    </row>
    <row r="489" spans="1:10" x14ac:dyDescent="0.25">
      <c r="A489" t="s">
        <v>642</v>
      </c>
      <c r="B489" t="s">
        <v>643</v>
      </c>
      <c r="C489" t="s">
        <v>644</v>
      </c>
      <c r="D489" t="s">
        <v>1349</v>
      </c>
      <c r="E489" t="s">
        <v>646</v>
      </c>
      <c r="F489" s="237">
        <v>44968</v>
      </c>
      <c r="G489">
        <v>2</v>
      </c>
      <c r="H489" t="s">
        <v>647</v>
      </c>
      <c r="I489" s="802">
        <f t="shared" si="7"/>
        <v>1058000</v>
      </c>
      <c r="J489" t="s">
        <v>671</v>
      </c>
    </row>
    <row r="490" spans="1:10" x14ac:dyDescent="0.25">
      <c r="A490" t="s">
        <v>642</v>
      </c>
      <c r="B490" t="s">
        <v>643</v>
      </c>
      <c r="C490" t="s">
        <v>705</v>
      </c>
      <c r="D490" t="s">
        <v>864</v>
      </c>
      <c r="E490" t="s">
        <v>646</v>
      </c>
      <c r="F490" s="237">
        <v>44960</v>
      </c>
      <c r="G490">
        <v>60</v>
      </c>
      <c r="H490" t="s">
        <v>651</v>
      </c>
      <c r="I490" s="802">
        <f t="shared" si="7"/>
        <v>4037640</v>
      </c>
      <c r="J490" t="s">
        <v>731</v>
      </c>
    </row>
    <row r="491" spans="1:10" x14ac:dyDescent="0.25">
      <c r="A491" t="s">
        <v>642</v>
      </c>
      <c r="B491" t="s">
        <v>643</v>
      </c>
      <c r="C491" t="s">
        <v>705</v>
      </c>
      <c r="D491" t="s">
        <v>867</v>
      </c>
      <c r="E491" t="s">
        <v>646</v>
      </c>
      <c r="F491" s="237">
        <v>44956</v>
      </c>
      <c r="G491">
        <v>60</v>
      </c>
      <c r="H491" t="s">
        <v>651</v>
      </c>
      <c r="I491" s="802">
        <f t="shared" si="7"/>
        <v>4037640</v>
      </c>
      <c r="J491" t="s">
        <v>731</v>
      </c>
    </row>
    <row r="492" spans="1:10" x14ac:dyDescent="0.25">
      <c r="A492" t="s">
        <v>642</v>
      </c>
      <c r="B492" t="s">
        <v>643</v>
      </c>
      <c r="C492" t="s">
        <v>644</v>
      </c>
      <c r="D492" t="s">
        <v>1348</v>
      </c>
      <c r="E492" t="s">
        <v>646</v>
      </c>
      <c r="F492" s="237">
        <v>44953</v>
      </c>
      <c r="G492">
        <v>60</v>
      </c>
      <c r="H492" t="s">
        <v>651</v>
      </c>
      <c r="I492" s="802">
        <f t="shared" si="7"/>
        <v>4037640</v>
      </c>
      <c r="J492" t="s">
        <v>665</v>
      </c>
    </row>
    <row r="493" spans="1:10" x14ac:dyDescent="0.25">
      <c r="A493" t="s">
        <v>642</v>
      </c>
      <c r="B493" t="s">
        <v>643</v>
      </c>
      <c r="C493" t="s">
        <v>644</v>
      </c>
      <c r="D493" t="s">
        <v>1338</v>
      </c>
      <c r="E493" t="s">
        <v>646</v>
      </c>
      <c r="F493" s="237">
        <v>44947</v>
      </c>
      <c r="G493">
        <v>60</v>
      </c>
      <c r="H493" t="s">
        <v>651</v>
      </c>
      <c r="I493" s="802">
        <f t="shared" si="7"/>
        <v>4037640</v>
      </c>
      <c r="J493" t="s">
        <v>842</v>
      </c>
    </row>
    <row r="494" spans="1:10" x14ac:dyDescent="0.25">
      <c r="A494" t="s">
        <v>642</v>
      </c>
      <c r="B494" t="s">
        <v>643</v>
      </c>
      <c r="C494" t="s">
        <v>644</v>
      </c>
      <c r="D494" t="s">
        <v>1333</v>
      </c>
      <c r="E494" t="s">
        <v>646</v>
      </c>
      <c r="F494" s="237">
        <v>44942</v>
      </c>
      <c r="G494">
        <v>1.1100000000000001</v>
      </c>
      <c r="H494" t="s">
        <v>647</v>
      </c>
      <c r="I494" s="802">
        <f t="shared" si="7"/>
        <v>587190</v>
      </c>
      <c r="J494" t="s">
        <v>648</v>
      </c>
    </row>
    <row r="495" spans="1:10" x14ac:dyDescent="0.25">
      <c r="A495" t="s">
        <v>642</v>
      </c>
      <c r="B495" t="s">
        <v>643</v>
      </c>
      <c r="C495" t="s">
        <v>644</v>
      </c>
      <c r="D495" t="s">
        <v>1321</v>
      </c>
      <c r="E495" t="s">
        <v>646</v>
      </c>
      <c r="F495" s="237">
        <v>44933</v>
      </c>
      <c r="G495">
        <v>2</v>
      </c>
      <c r="H495" t="s">
        <v>647</v>
      </c>
      <c r="I495" s="802">
        <f t="shared" si="7"/>
        <v>1058000</v>
      </c>
      <c r="J495" t="s">
        <v>671</v>
      </c>
    </row>
    <row r="496" spans="1:10" x14ac:dyDescent="0.25">
      <c r="A496" t="s">
        <v>642</v>
      </c>
      <c r="B496" t="s">
        <v>643</v>
      </c>
      <c r="C496" t="s">
        <v>644</v>
      </c>
      <c r="D496" t="s">
        <v>1334</v>
      </c>
      <c r="E496" t="s">
        <v>646</v>
      </c>
      <c r="F496" s="237">
        <v>44932</v>
      </c>
      <c r="G496">
        <v>60</v>
      </c>
      <c r="H496" t="s">
        <v>651</v>
      </c>
      <c r="I496" s="802">
        <f t="shared" si="7"/>
        <v>4037640</v>
      </c>
      <c r="J496" t="s">
        <v>777</v>
      </c>
    </row>
    <row r="497" spans="1:10" x14ac:dyDescent="0.25">
      <c r="A497" t="s">
        <v>642</v>
      </c>
      <c r="B497" t="s">
        <v>643</v>
      </c>
      <c r="C497" t="s">
        <v>644</v>
      </c>
      <c r="D497" t="s">
        <v>1335</v>
      </c>
      <c r="E497" t="s">
        <v>646</v>
      </c>
      <c r="F497" s="237">
        <v>44932</v>
      </c>
      <c r="G497">
        <v>60</v>
      </c>
      <c r="H497" t="s">
        <v>651</v>
      </c>
      <c r="I497" s="802">
        <f t="shared" si="7"/>
        <v>4037640</v>
      </c>
      <c r="J497" t="s">
        <v>665</v>
      </c>
    </row>
    <row r="498" spans="1:10" x14ac:dyDescent="0.25">
      <c r="A498" t="s">
        <v>642</v>
      </c>
      <c r="B498" t="s">
        <v>643</v>
      </c>
      <c r="C498" t="s">
        <v>644</v>
      </c>
      <c r="D498" t="s">
        <v>1336</v>
      </c>
      <c r="E498" t="s">
        <v>646</v>
      </c>
      <c r="F498" s="237">
        <v>44932</v>
      </c>
      <c r="G498">
        <v>60</v>
      </c>
      <c r="H498" t="s">
        <v>651</v>
      </c>
      <c r="I498" s="802">
        <f t="shared" si="7"/>
        <v>4037640</v>
      </c>
      <c r="J498" t="s">
        <v>655</v>
      </c>
    </row>
    <row r="499" spans="1:10" x14ac:dyDescent="0.25">
      <c r="A499" t="s">
        <v>642</v>
      </c>
      <c r="B499" t="s">
        <v>643</v>
      </c>
      <c r="C499" t="s">
        <v>644</v>
      </c>
      <c r="D499" t="s">
        <v>1337</v>
      </c>
      <c r="E499" t="s">
        <v>646</v>
      </c>
      <c r="F499" s="237">
        <v>44932</v>
      </c>
      <c r="G499">
        <v>2</v>
      </c>
      <c r="H499" t="s">
        <v>647</v>
      </c>
      <c r="I499" s="802">
        <f t="shared" si="7"/>
        <v>1058000</v>
      </c>
      <c r="J499" t="s">
        <v>671</v>
      </c>
    </row>
    <row r="500" spans="1:10" x14ac:dyDescent="0.25">
      <c r="A500" t="s">
        <v>642</v>
      </c>
      <c r="B500" t="s">
        <v>643</v>
      </c>
      <c r="C500" t="s">
        <v>705</v>
      </c>
      <c r="D500" t="s">
        <v>1062</v>
      </c>
      <c r="E500" t="s">
        <v>646</v>
      </c>
      <c r="F500" s="237">
        <v>44928</v>
      </c>
      <c r="G500">
        <v>26.73</v>
      </c>
      <c r="H500" t="s">
        <v>647</v>
      </c>
      <c r="I500" s="802">
        <f t="shared" si="7"/>
        <v>14140170</v>
      </c>
      <c r="J500" t="s">
        <v>710</v>
      </c>
    </row>
    <row r="501" spans="1:10" x14ac:dyDescent="0.25">
      <c r="A501" t="s">
        <v>642</v>
      </c>
      <c r="B501" t="s">
        <v>643</v>
      </c>
      <c r="C501" t="s">
        <v>705</v>
      </c>
      <c r="D501" t="s">
        <v>1075</v>
      </c>
      <c r="E501" t="s">
        <v>646</v>
      </c>
      <c r="F501" s="237">
        <v>44928</v>
      </c>
      <c r="G501">
        <v>60</v>
      </c>
      <c r="H501" t="s">
        <v>651</v>
      </c>
      <c r="I501" s="802">
        <f t="shared" si="7"/>
        <v>4037640</v>
      </c>
      <c r="J501" t="s">
        <v>655</v>
      </c>
    </row>
    <row r="502" spans="1:10" x14ac:dyDescent="0.25">
      <c r="A502" t="s">
        <v>642</v>
      </c>
      <c r="B502" t="s">
        <v>643</v>
      </c>
      <c r="C502" t="s">
        <v>705</v>
      </c>
      <c r="D502" t="s">
        <v>1095</v>
      </c>
      <c r="E502" t="s">
        <v>646</v>
      </c>
      <c r="F502" s="237">
        <v>44928</v>
      </c>
      <c r="G502">
        <v>60</v>
      </c>
      <c r="H502" t="s">
        <v>651</v>
      </c>
      <c r="I502" s="802">
        <f t="shared" si="7"/>
        <v>4037640</v>
      </c>
      <c r="J502" t="s">
        <v>715</v>
      </c>
    </row>
    <row r="503" spans="1:10" x14ac:dyDescent="0.25">
      <c r="A503" t="s">
        <v>642</v>
      </c>
      <c r="B503" t="s">
        <v>643</v>
      </c>
      <c r="C503" t="s">
        <v>705</v>
      </c>
      <c r="D503" t="s">
        <v>1096</v>
      </c>
      <c r="E503" t="s">
        <v>646</v>
      </c>
      <c r="F503" s="237">
        <v>44928</v>
      </c>
      <c r="G503">
        <v>60</v>
      </c>
      <c r="H503" t="s">
        <v>651</v>
      </c>
      <c r="I503" s="802">
        <f t="shared" si="7"/>
        <v>4037640</v>
      </c>
      <c r="J503" t="s">
        <v>655</v>
      </c>
    </row>
    <row r="504" spans="1:10" x14ac:dyDescent="0.25">
      <c r="A504" t="s">
        <v>642</v>
      </c>
      <c r="B504" t="s">
        <v>643</v>
      </c>
      <c r="C504" t="s">
        <v>705</v>
      </c>
      <c r="D504" t="s">
        <v>831</v>
      </c>
      <c r="E504" t="s">
        <v>646</v>
      </c>
      <c r="F504" s="237">
        <v>44927</v>
      </c>
      <c r="G504">
        <v>60</v>
      </c>
      <c r="H504" t="s">
        <v>651</v>
      </c>
      <c r="I504" s="802">
        <f t="shared" si="7"/>
        <v>4037640</v>
      </c>
      <c r="J504" t="s">
        <v>731</v>
      </c>
    </row>
    <row r="505" spans="1:10" x14ac:dyDescent="0.25">
      <c r="A505" t="s">
        <v>642</v>
      </c>
      <c r="B505" t="s">
        <v>643</v>
      </c>
      <c r="C505" t="s">
        <v>705</v>
      </c>
      <c r="D505" t="s">
        <v>833</v>
      </c>
      <c r="E505" t="s">
        <v>646</v>
      </c>
      <c r="F505" s="237">
        <v>44921</v>
      </c>
      <c r="G505">
        <v>1.1100000000000001</v>
      </c>
      <c r="H505" t="s">
        <v>647</v>
      </c>
      <c r="I505" s="802">
        <f t="shared" si="7"/>
        <v>587190</v>
      </c>
      <c r="J505" t="s">
        <v>648</v>
      </c>
    </row>
    <row r="506" spans="1:10" x14ac:dyDescent="0.25">
      <c r="A506" t="s">
        <v>642</v>
      </c>
      <c r="B506" t="s">
        <v>643</v>
      </c>
      <c r="C506" t="s">
        <v>705</v>
      </c>
      <c r="D506" t="s">
        <v>834</v>
      </c>
      <c r="E506" t="s">
        <v>646</v>
      </c>
      <c r="F506" s="237">
        <v>44921</v>
      </c>
      <c r="G506">
        <v>26.73</v>
      </c>
      <c r="H506" t="s">
        <v>647</v>
      </c>
      <c r="I506" s="802">
        <f t="shared" si="7"/>
        <v>14140170</v>
      </c>
      <c r="J506" t="s">
        <v>710</v>
      </c>
    </row>
    <row r="507" spans="1:10" x14ac:dyDescent="0.25">
      <c r="A507" t="s">
        <v>642</v>
      </c>
      <c r="B507" t="s">
        <v>643</v>
      </c>
      <c r="C507" t="s">
        <v>705</v>
      </c>
      <c r="D507" t="s">
        <v>709</v>
      </c>
      <c r="E507" t="s">
        <v>646</v>
      </c>
      <c r="F507" s="237">
        <v>44918</v>
      </c>
      <c r="G507">
        <v>26.73</v>
      </c>
      <c r="H507" t="s">
        <v>647</v>
      </c>
      <c r="I507" s="802">
        <f t="shared" si="7"/>
        <v>14140170</v>
      </c>
      <c r="J507" t="s">
        <v>710</v>
      </c>
    </row>
    <row r="508" spans="1:10" x14ac:dyDescent="0.25">
      <c r="A508" t="s">
        <v>642</v>
      </c>
      <c r="B508" t="s">
        <v>643</v>
      </c>
      <c r="C508" t="s">
        <v>644</v>
      </c>
      <c r="D508" t="s">
        <v>1330</v>
      </c>
      <c r="E508" t="s">
        <v>646</v>
      </c>
      <c r="F508" s="237">
        <v>44914</v>
      </c>
      <c r="G508">
        <v>60</v>
      </c>
      <c r="H508" t="s">
        <v>651</v>
      </c>
      <c r="I508" s="802">
        <f t="shared" si="7"/>
        <v>4037640</v>
      </c>
      <c r="J508" t="s">
        <v>1331</v>
      </c>
    </row>
    <row r="509" spans="1:10" x14ac:dyDescent="0.25">
      <c r="A509" t="s">
        <v>642</v>
      </c>
      <c r="B509" t="s">
        <v>643</v>
      </c>
      <c r="C509" t="s">
        <v>644</v>
      </c>
      <c r="D509" t="s">
        <v>1332</v>
      </c>
      <c r="E509" t="s">
        <v>646</v>
      </c>
      <c r="F509" s="237">
        <v>44914</v>
      </c>
      <c r="G509">
        <v>2</v>
      </c>
      <c r="H509" t="s">
        <v>647</v>
      </c>
      <c r="I509" s="802">
        <f t="shared" si="7"/>
        <v>1058000</v>
      </c>
      <c r="J509" t="s">
        <v>671</v>
      </c>
    </row>
    <row r="510" spans="1:10" x14ac:dyDescent="0.25">
      <c r="A510" t="s">
        <v>642</v>
      </c>
      <c r="B510" t="s">
        <v>643</v>
      </c>
      <c r="C510" t="s">
        <v>705</v>
      </c>
      <c r="D510" t="s">
        <v>830</v>
      </c>
      <c r="E510" t="s">
        <v>646</v>
      </c>
      <c r="F510" s="237">
        <v>44913</v>
      </c>
      <c r="G510">
        <v>26.73</v>
      </c>
      <c r="H510" t="s">
        <v>647</v>
      </c>
      <c r="I510" s="802">
        <f t="shared" si="7"/>
        <v>14140170</v>
      </c>
      <c r="J510" t="s">
        <v>710</v>
      </c>
    </row>
    <row r="511" spans="1:10" x14ac:dyDescent="0.25">
      <c r="A511" t="s">
        <v>642</v>
      </c>
      <c r="B511" t="s">
        <v>643</v>
      </c>
      <c r="C511" t="s">
        <v>644</v>
      </c>
      <c r="D511" t="s">
        <v>1324</v>
      </c>
      <c r="E511" t="s">
        <v>646</v>
      </c>
      <c r="F511" s="237">
        <v>44913</v>
      </c>
      <c r="G511">
        <v>2</v>
      </c>
      <c r="H511" t="s">
        <v>647</v>
      </c>
      <c r="I511" s="802">
        <f t="shared" si="7"/>
        <v>1058000</v>
      </c>
      <c r="J511" t="s">
        <v>671</v>
      </c>
    </row>
    <row r="512" spans="1:10" x14ac:dyDescent="0.25">
      <c r="A512" t="s">
        <v>642</v>
      </c>
      <c r="B512" t="s">
        <v>643</v>
      </c>
      <c r="C512" t="s">
        <v>644</v>
      </c>
      <c r="D512" t="s">
        <v>1322</v>
      </c>
      <c r="E512" t="s">
        <v>646</v>
      </c>
      <c r="F512" s="237">
        <v>44912</v>
      </c>
      <c r="G512">
        <v>60</v>
      </c>
      <c r="H512" t="s">
        <v>651</v>
      </c>
      <c r="I512" s="802">
        <f t="shared" si="7"/>
        <v>4037640</v>
      </c>
      <c r="J512" t="s">
        <v>665</v>
      </c>
    </row>
    <row r="513" spans="1:10" x14ac:dyDescent="0.25">
      <c r="A513" t="s">
        <v>642</v>
      </c>
      <c r="B513" t="s">
        <v>643</v>
      </c>
      <c r="C513" t="s">
        <v>644</v>
      </c>
      <c r="D513" t="s">
        <v>1323</v>
      </c>
      <c r="E513" t="s">
        <v>646</v>
      </c>
      <c r="F513" s="237">
        <v>44912</v>
      </c>
      <c r="G513">
        <v>2</v>
      </c>
      <c r="H513" t="s">
        <v>647</v>
      </c>
      <c r="I513" s="802">
        <f t="shared" si="7"/>
        <v>1058000</v>
      </c>
      <c r="J513" t="s">
        <v>671</v>
      </c>
    </row>
    <row r="514" spans="1:10" x14ac:dyDescent="0.25">
      <c r="A514" t="s">
        <v>642</v>
      </c>
      <c r="B514" t="s">
        <v>643</v>
      </c>
      <c r="C514" t="s">
        <v>644</v>
      </c>
      <c r="D514" t="s">
        <v>1533</v>
      </c>
      <c r="E514" t="s">
        <v>646</v>
      </c>
      <c r="F514" s="237">
        <v>44911</v>
      </c>
      <c r="G514">
        <v>1</v>
      </c>
      <c r="H514" t="s">
        <v>647</v>
      </c>
      <c r="I514" s="802">
        <f t="shared" si="7"/>
        <v>529000</v>
      </c>
      <c r="J514" t="s">
        <v>648</v>
      </c>
    </row>
    <row r="515" spans="1:10" x14ac:dyDescent="0.25">
      <c r="A515" t="s">
        <v>642</v>
      </c>
      <c r="B515" t="s">
        <v>643</v>
      </c>
      <c r="C515" t="s">
        <v>705</v>
      </c>
      <c r="D515" t="s">
        <v>1719</v>
      </c>
      <c r="E515" t="s">
        <v>646</v>
      </c>
      <c r="F515" s="237">
        <v>44911</v>
      </c>
      <c r="G515">
        <v>60</v>
      </c>
      <c r="H515" t="s">
        <v>651</v>
      </c>
      <c r="I515" s="802">
        <f t="shared" ref="I515:I578" si="8">+IF(H515="IMM",+G515*529000,+G515*67294)</f>
        <v>4037640</v>
      </c>
      <c r="J515" t="s">
        <v>777</v>
      </c>
    </row>
    <row r="516" spans="1:10" x14ac:dyDescent="0.25">
      <c r="A516" t="s">
        <v>642</v>
      </c>
      <c r="B516" t="s">
        <v>643</v>
      </c>
      <c r="C516" t="s">
        <v>705</v>
      </c>
      <c r="D516" t="s">
        <v>835</v>
      </c>
      <c r="E516" t="s">
        <v>646</v>
      </c>
      <c r="F516" s="237">
        <v>44910</v>
      </c>
      <c r="G516">
        <v>60</v>
      </c>
      <c r="H516" t="s">
        <v>651</v>
      </c>
      <c r="I516" s="802">
        <f t="shared" si="8"/>
        <v>4037640</v>
      </c>
      <c r="J516" t="s">
        <v>777</v>
      </c>
    </row>
    <row r="517" spans="1:10" x14ac:dyDescent="0.25">
      <c r="A517" t="s">
        <v>642</v>
      </c>
      <c r="B517" t="s">
        <v>643</v>
      </c>
      <c r="C517" t="s">
        <v>705</v>
      </c>
      <c r="D517" t="s">
        <v>836</v>
      </c>
      <c r="E517" t="s">
        <v>646</v>
      </c>
      <c r="F517" s="237">
        <v>44910</v>
      </c>
      <c r="G517">
        <v>60</v>
      </c>
      <c r="H517" t="s">
        <v>651</v>
      </c>
      <c r="I517" s="802">
        <f t="shared" si="8"/>
        <v>4037640</v>
      </c>
      <c r="J517" t="s">
        <v>689</v>
      </c>
    </row>
    <row r="518" spans="1:10" x14ac:dyDescent="0.25">
      <c r="A518" t="s">
        <v>642</v>
      </c>
      <c r="B518" t="s">
        <v>643</v>
      </c>
      <c r="C518" t="s">
        <v>705</v>
      </c>
      <c r="D518" t="s">
        <v>920</v>
      </c>
      <c r="E518" t="s">
        <v>646</v>
      </c>
      <c r="F518" s="237">
        <v>44910</v>
      </c>
      <c r="G518">
        <v>26.73</v>
      </c>
      <c r="H518" t="s">
        <v>647</v>
      </c>
      <c r="I518" s="802">
        <f t="shared" si="8"/>
        <v>14140170</v>
      </c>
      <c r="J518" t="s">
        <v>710</v>
      </c>
    </row>
    <row r="519" spans="1:10" x14ac:dyDescent="0.25">
      <c r="A519" t="s">
        <v>642</v>
      </c>
      <c r="B519" t="s">
        <v>643</v>
      </c>
      <c r="C519" t="s">
        <v>705</v>
      </c>
      <c r="D519" t="s">
        <v>782</v>
      </c>
      <c r="E519" t="s">
        <v>646</v>
      </c>
      <c r="F519" s="237">
        <v>44906</v>
      </c>
      <c r="G519">
        <v>60</v>
      </c>
      <c r="H519" t="s">
        <v>651</v>
      </c>
      <c r="I519" s="802">
        <f t="shared" si="8"/>
        <v>4037640</v>
      </c>
      <c r="J519" t="s">
        <v>655</v>
      </c>
    </row>
    <row r="520" spans="1:10" x14ac:dyDescent="0.25">
      <c r="A520" t="s">
        <v>642</v>
      </c>
      <c r="B520" t="s">
        <v>643</v>
      </c>
      <c r="C520" t="s">
        <v>644</v>
      </c>
      <c r="D520" t="s">
        <v>1475</v>
      </c>
      <c r="E520" t="s">
        <v>646</v>
      </c>
      <c r="F520" s="237">
        <v>44906</v>
      </c>
      <c r="G520">
        <v>48</v>
      </c>
      <c r="H520" t="s">
        <v>651</v>
      </c>
      <c r="I520" s="802">
        <f t="shared" si="8"/>
        <v>3230112</v>
      </c>
      <c r="J520" t="s">
        <v>669</v>
      </c>
    </row>
    <row r="521" spans="1:10" x14ac:dyDescent="0.25">
      <c r="A521" t="s">
        <v>642</v>
      </c>
      <c r="B521" t="s">
        <v>643</v>
      </c>
      <c r="C521" t="s">
        <v>705</v>
      </c>
      <c r="D521" t="s">
        <v>1012</v>
      </c>
      <c r="E521" t="s">
        <v>646</v>
      </c>
      <c r="F521" s="237">
        <v>44905</v>
      </c>
      <c r="G521">
        <v>60</v>
      </c>
      <c r="H521" t="s">
        <v>651</v>
      </c>
      <c r="I521" s="802">
        <f t="shared" si="8"/>
        <v>4037640</v>
      </c>
      <c r="J521" t="s">
        <v>655</v>
      </c>
    </row>
    <row r="522" spans="1:10" x14ac:dyDescent="0.25">
      <c r="A522" t="s">
        <v>642</v>
      </c>
      <c r="B522" t="s">
        <v>643</v>
      </c>
      <c r="C522" t="s">
        <v>705</v>
      </c>
      <c r="D522" t="s">
        <v>1013</v>
      </c>
      <c r="E522" t="s">
        <v>646</v>
      </c>
      <c r="F522" s="237">
        <v>44905</v>
      </c>
      <c r="G522">
        <v>60</v>
      </c>
      <c r="H522" t="s">
        <v>651</v>
      </c>
      <c r="I522" s="802">
        <f t="shared" si="8"/>
        <v>4037640</v>
      </c>
      <c r="J522" t="s">
        <v>689</v>
      </c>
    </row>
    <row r="523" spans="1:10" x14ac:dyDescent="0.25">
      <c r="A523" t="s">
        <v>642</v>
      </c>
      <c r="B523" t="s">
        <v>643</v>
      </c>
      <c r="C523" t="s">
        <v>705</v>
      </c>
      <c r="D523" t="s">
        <v>1014</v>
      </c>
      <c r="E523" t="s">
        <v>646</v>
      </c>
      <c r="F523" s="237">
        <v>44905</v>
      </c>
      <c r="G523">
        <v>3</v>
      </c>
      <c r="H523" t="s">
        <v>880</v>
      </c>
      <c r="I523" s="802">
        <f t="shared" si="8"/>
        <v>201882</v>
      </c>
      <c r="J523" t="s">
        <v>1015</v>
      </c>
    </row>
    <row r="524" spans="1:10" x14ac:dyDescent="0.25">
      <c r="A524" t="s">
        <v>642</v>
      </c>
      <c r="B524" t="s">
        <v>643</v>
      </c>
      <c r="C524" t="s">
        <v>705</v>
      </c>
      <c r="D524" t="s">
        <v>1016</v>
      </c>
      <c r="E524" t="s">
        <v>646</v>
      </c>
      <c r="F524" s="237">
        <v>44905</v>
      </c>
      <c r="G524">
        <v>4</v>
      </c>
      <c r="H524" t="s">
        <v>880</v>
      </c>
      <c r="I524" s="802">
        <f t="shared" si="8"/>
        <v>269176</v>
      </c>
      <c r="J524" t="s">
        <v>1017</v>
      </c>
    </row>
    <row r="525" spans="1:10" x14ac:dyDescent="0.25">
      <c r="A525" t="s">
        <v>642</v>
      </c>
      <c r="B525" t="s">
        <v>643</v>
      </c>
      <c r="C525" t="s">
        <v>705</v>
      </c>
      <c r="D525" t="s">
        <v>853</v>
      </c>
      <c r="E525" t="s">
        <v>646</v>
      </c>
      <c r="F525" s="237">
        <v>44904</v>
      </c>
      <c r="G525">
        <v>60</v>
      </c>
      <c r="H525" t="s">
        <v>651</v>
      </c>
      <c r="I525" s="802">
        <f t="shared" si="8"/>
        <v>4037640</v>
      </c>
      <c r="J525" t="s">
        <v>655</v>
      </c>
    </row>
    <row r="526" spans="1:10" x14ac:dyDescent="0.25">
      <c r="A526" t="s">
        <v>642</v>
      </c>
      <c r="B526" t="s">
        <v>643</v>
      </c>
      <c r="C526" t="s">
        <v>705</v>
      </c>
      <c r="D526" t="s">
        <v>955</v>
      </c>
      <c r="E526" t="s">
        <v>646</v>
      </c>
      <c r="F526" s="237">
        <v>44904</v>
      </c>
      <c r="G526">
        <v>26.73</v>
      </c>
      <c r="H526" t="s">
        <v>647</v>
      </c>
      <c r="I526" s="802">
        <f t="shared" si="8"/>
        <v>14140170</v>
      </c>
      <c r="J526" t="s">
        <v>710</v>
      </c>
    </row>
    <row r="527" spans="1:10" x14ac:dyDescent="0.25">
      <c r="A527" t="s">
        <v>642</v>
      </c>
      <c r="B527" t="s">
        <v>643</v>
      </c>
      <c r="C527" t="s">
        <v>705</v>
      </c>
      <c r="D527" t="s">
        <v>956</v>
      </c>
      <c r="E527" t="s">
        <v>646</v>
      </c>
      <c r="F527" s="237">
        <v>44904</v>
      </c>
      <c r="G527">
        <v>60</v>
      </c>
      <c r="H527" t="s">
        <v>651</v>
      </c>
      <c r="I527" s="802">
        <f t="shared" si="8"/>
        <v>4037640</v>
      </c>
      <c r="J527" t="s">
        <v>957</v>
      </c>
    </row>
    <row r="528" spans="1:10" x14ac:dyDescent="0.25">
      <c r="A528" t="s">
        <v>642</v>
      </c>
      <c r="B528" t="s">
        <v>643</v>
      </c>
      <c r="C528" t="s">
        <v>644</v>
      </c>
      <c r="D528" t="s">
        <v>1326</v>
      </c>
      <c r="E528" t="s">
        <v>646</v>
      </c>
      <c r="F528" s="237">
        <v>44904</v>
      </c>
      <c r="G528">
        <v>2</v>
      </c>
      <c r="H528" t="s">
        <v>647</v>
      </c>
      <c r="I528" s="802">
        <f t="shared" si="8"/>
        <v>1058000</v>
      </c>
      <c r="J528" t="s">
        <v>671</v>
      </c>
    </row>
    <row r="529" spans="1:10" x14ac:dyDescent="0.25">
      <c r="A529" t="s">
        <v>642</v>
      </c>
      <c r="B529" t="s">
        <v>643</v>
      </c>
      <c r="C529" t="s">
        <v>644</v>
      </c>
      <c r="D529" t="s">
        <v>1327</v>
      </c>
      <c r="E529" t="s">
        <v>646</v>
      </c>
      <c r="F529" s="237">
        <v>44904</v>
      </c>
      <c r="G529">
        <v>2</v>
      </c>
      <c r="H529" t="s">
        <v>647</v>
      </c>
      <c r="I529" s="802">
        <f t="shared" si="8"/>
        <v>1058000</v>
      </c>
      <c r="J529" t="s">
        <v>671</v>
      </c>
    </row>
    <row r="530" spans="1:10" x14ac:dyDescent="0.25">
      <c r="A530" t="s">
        <v>642</v>
      </c>
      <c r="B530" t="s">
        <v>643</v>
      </c>
      <c r="C530" t="s">
        <v>705</v>
      </c>
      <c r="D530" t="s">
        <v>981</v>
      </c>
      <c r="E530" t="s">
        <v>646</v>
      </c>
      <c r="F530" s="237">
        <v>44903</v>
      </c>
      <c r="G530">
        <v>60</v>
      </c>
      <c r="H530" t="s">
        <v>651</v>
      </c>
      <c r="I530" s="802">
        <f t="shared" si="8"/>
        <v>4037640</v>
      </c>
      <c r="J530" t="s">
        <v>655</v>
      </c>
    </row>
    <row r="531" spans="1:10" x14ac:dyDescent="0.25">
      <c r="A531" t="s">
        <v>642</v>
      </c>
      <c r="B531" t="s">
        <v>643</v>
      </c>
      <c r="C531" t="s">
        <v>705</v>
      </c>
      <c r="D531" t="s">
        <v>759</v>
      </c>
      <c r="E531" t="s">
        <v>646</v>
      </c>
      <c r="F531" s="237">
        <v>44899</v>
      </c>
      <c r="G531">
        <v>60</v>
      </c>
      <c r="H531" t="s">
        <v>651</v>
      </c>
      <c r="I531" s="802">
        <f t="shared" si="8"/>
        <v>4037640</v>
      </c>
      <c r="J531" t="s">
        <v>655</v>
      </c>
    </row>
    <row r="532" spans="1:10" x14ac:dyDescent="0.25">
      <c r="A532" t="s">
        <v>642</v>
      </c>
      <c r="B532" t="s">
        <v>643</v>
      </c>
      <c r="C532" t="s">
        <v>705</v>
      </c>
      <c r="D532" t="s">
        <v>1077</v>
      </c>
      <c r="E532" t="s">
        <v>646</v>
      </c>
      <c r="F532" s="237">
        <v>44899</v>
      </c>
      <c r="G532">
        <v>60</v>
      </c>
      <c r="H532" t="s">
        <v>651</v>
      </c>
      <c r="I532" s="802">
        <f t="shared" si="8"/>
        <v>4037640</v>
      </c>
      <c r="J532" t="s">
        <v>1022</v>
      </c>
    </row>
    <row r="533" spans="1:10" x14ac:dyDescent="0.25">
      <c r="A533" t="s">
        <v>642</v>
      </c>
      <c r="B533" t="s">
        <v>643</v>
      </c>
      <c r="C533" t="s">
        <v>644</v>
      </c>
      <c r="D533" t="s">
        <v>1328</v>
      </c>
      <c r="E533" t="s">
        <v>646</v>
      </c>
      <c r="F533" s="237">
        <v>44899</v>
      </c>
      <c r="G533">
        <v>1.1100000000000001</v>
      </c>
      <c r="H533" t="s">
        <v>647</v>
      </c>
      <c r="I533" s="802">
        <f t="shared" si="8"/>
        <v>587190</v>
      </c>
      <c r="J533" t="s">
        <v>648</v>
      </c>
    </row>
    <row r="534" spans="1:10" x14ac:dyDescent="0.25">
      <c r="A534" t="s">
        <v>642</v>
      </c>
      <c r="B534" t="s">
        <v>643</v>
      </c>
      <c r="C534" t="s">
        <v>644</v>
      </c>
      <c r="D534" t="s">
        <v>1329</v>
      </c>
      <c r="E534" t="s">
        <v>646</v>
      </c>
      <c r="F534" s="237">
        <v>44899</v>
      </c>
      <c r="G534">
        <v>1.1100000000000001</v>
      </c>
      <c r="H534" t="s">
        <v>647</v>
      </c>
      <c r="I534" s="802">
        <f t="shared" si="8"/>
        <v>587190</v>
      </c>
      <c r="J534" t="s">
        <v>648</v>
      </c>
    </row>
    <row r="535" spans="1:10" x14ac:dyDescent="0.25">
      <c r="A535" t="s">
        <v>642</v>
      </c>
      <c r="B535" t="s">
        <v>643</v>
      </c>
      <c r="C535" t="s">
        <v>705</v>
      </c>
      <c r="D535" t="s">
        <v>1059</v>
      </c>
      <c r="E535" t="s">
        <v>646</v>
      </c>
      <c r="F535" s="237">
        <v>44898</v>
      </c>
      <c r="G535">
        <v>60</v>
      </c>
      <c r="H535" t="s">
        <v>651</v>
      </c>
      <c r="I535" s="802">
        <f t="shared" si="8"/>
        <v>4037640</v>
      </c>
      <c r="J535" t="s">
        <v>655</v>
      </c>
    </row>
    <row r="536" spans="1:10" x14ac:dyDescent="0.25">
      <c r="A536" t="s">
        <v>642</v>
      </c>
      <c r="B536" t="s">
        <v>643</v>
      </c>
      <c r="C536" t="s">
        <v>705</v>
      </c>
      <c r="D536" t="s">
        <v>708</v>
      </c>
      <c r="E536" t="s">
        <v>646</v>
      </c>
      <c r="F536" s="237">
        <v>44893</v>
      </c>
      <c r="G536">
        <v>60</v>
      </c>
      <c r="H536" t="s">
        <v>651</v>
      </c>
      <c r="I536" s="802">
        <f t="shared" si="8"/>
        <v>4037640</v>
      </c>
      <c r="J536" t="s">
        <v>655</v>
      </c>
    </row>
    <row r="537" spans="1:10" x14ac:dyDescent="0.25">
      <c r="A537" t="s">
        <v>642</v>
      </c>
      <c r="B537" t="s">
        <v>643</v>
      </c>
      <c r="C537" t="s">
        <v>705</v>
      </c>
      <c r="D537" t="s">
        <v>917</v>
      </c>
      <c r="E537" t="s">
        <v>646</v>
      </c>
      <c r="F537" s="237">
        <v>44893</v>
      </c>
      <c r="G537">
        <v>60</v>
      </c>
      <c r="H537" t="s">
        <v>651</v>
      </c>
      <c r="I537" s="802">
        <f t="shared" si="8"/>
        <v>4037640</v>
      </c>
      <c r="J537" t="s">
        <v>731</v>
      </c>
    </row>
    <row r="538" spans="1:10" x14ac:dyDescent="0.25">
      <c r="A538" t="s">
        <v>642</v>
      </c>
      <c r="B538" t="s">
        <v>643</v>
      </c>
      <c r="C538" t="s">
        <v>705</v>
      </c>
      <c r="D538" t="s">
        <v>929</v>
      </c>
      <c r="E538" t="s">
        <v>646</v>
      </c>
      <c r="F538" s="237">
        <v>44893</v>
      </c>
      <c r="G538">
        <v>60</v>
      </c>
      <c r="H538" t="s">
        <v>651</v>
      </c>
      <c r="I538" s="802">
        <f t="shared" si="8"/>
        <v>4037640</v>
      </c>
      <c r="J538" t="s">
        <v>777</v>
      </c>
    </row>
    <row r="539" spans="1:10" x14ac:dyDescent="0.25">
      <c r="A539" t="s">
        <v>642</v>
      </c>
      <c r="B539" t="s">
        <v>643</v>
      </c>
      <c r="C539" t="s">
        <v>644</v>
      </c>
      <c r="D539" t="s">
        <v>1325</v>
      </c>
      <c r="E539" t="s">
        <v>646</v>
      </c>
      <c r="F539" s="237">
        <v>44893</v>
      </c>
      <c r="G539">
        <v>1.2</v>
      </c>
      <c r="H539" t="s">
        <v>647</v>
      </c>
      <c r="I539" s="802">
        <f t="shared" si="8"/>
        <v>634800</v>
      </c>
      <c r="J539" t="s">
        <v>671</v>
      </c>
    </row>
    <row r="540" spans="1:10" x14ac:dyDescent="0.25">
      <c r="A540" t="s">
        <v>642</v>
      </c>
      <c r="B540" t="s">
        <v>643</v>
      </c>
      <c r="C540" t="s">
        <v>644</v>
      </c>
      <c r="D540" t="s">
        <v>1550</v>
      </c>
      <c r="E540" t="s">
        <v>646</v>
      </c>
      <c r="F540" s="237">
        <v>44893</v>
      </c>
      <c r="G540">
        <v>2</v>
      </c>
      <c r="H540" t="s">
        <v>647</v>
      </c>
      <c r="I540" s="802">
        <f t="shared" si="8"/>
        <v>1058000</v>
      </c>
      <c r="J540" t="s">
        <v>671</v>
      </c>
    </row>
    <row r="541" spans="1:10" x14ac:dyDescent="0.25">
      <c r="A541" t="s">
        <v>642</v>
      </c>
      <c r="B541" t="s">
        <v>643</v>
      </c>
      <c r="C541" t="s">
        <v>644</v>
      </c>
      <c r="D541" t="s">
        <v>1552</v>
      </c>
      <c r="E541" t="s">
        <v>646</v>
      </c>
      <c r="F541" s="237">
        <v>44893</v>
      </c>
      <c r="G541">
        <v>2</v>
      </c>
      <c r="H541" t="s">
        <v>647</v>
      </c>
      <c r="I541" s="802">
        <f t="shared" si="8"/>
        <v>1058000</v>
      </c>
      <c r="J541" t="s">
        <v>671</v>
      </c>
    </row>
    <row r="542" spans="1:10" x14ac:dyDescent="0.25">
      <c r="A542" t="s">
        <v>642</v>
      </c>
      <c r="B542" t="s">
        <v>643</v>
      </c>
      <c r="C542" t="s">
        <v>644</v>
      </c>
      <c r="D542" t="s">
        <v>1560</v>
      </c>
      <c r="E542" t="s">
        <v>646</v>
      </c>
      <c r="F542" s="237">
        <v>44893</v>
      </c>
      <c r="G542">
        <v>1.2</v>
      </c>
      <c r="H542" t="s">
        <v>647</v>
      </c>
      <c r="I542" s="802">
        <f t="shared" si="8"/>
        <v>634800</v>
      </c>
      <c r="J542" t="s">
        <v>671</v>
      </c>
    </row>
    <row r="543" spans="1:10" x14ac:dyDescent="0.25">
      <c r="A543" t="s">
        <v>642</v>
      </c>
      <c r="B543" t="s">
        <v>643</v>
      </c>
      <c r="C543" t="s">
        <v>644</v>
      </c>
      <c r="D543" t="s">
        <v>1561</v>
      </c>
      <c r="E543" t="s">
        <v>646</v>
      </c>
      <c r="F543" s="237">
        <v>44893</v>
      </c>
      <c r="G543">
        <v>2</v>
      </c>
      <c r="H543" t="s">
        <v>647</v>
      </c>
      <c r="I543" s="802">
        <f t="shared" si="8"/>
        <v>1058000</v>
      </c>
      <c r="J543" t="s">
        <v>671</v>
      </c>
    </row>
    <row r="544" spans="1:10" x14ac:dyDescent="0.25">
      <c r="A544" t="s">
        <v>642</v>
      </c>
      <c r="B544" t="s">
        <v>643</v>
      </c>
      <c r="C544" t="s">
        <v>644</v>
      </c>
      <c r="D544" t="s">
        <v>1562</v>
      </c>
      <c r="E544" t="s">
        <v>646</v>
      </c>
      <c r="F544" s="237">
        <v>44893</v>
      </c>
      <c r="G544">
        <v>2</v>
      </c>
      <c r="H544" t="s">
        <v>647</v>
      </c>
      <c r="I544" s="802">
        <f t="shared" si="8"/>
        <v>1058000</v>
      </c>
      <c r="J544" t="s">
        <v>671</v>
      </c>
    </row>
    <row r="545" spans="1:10" x14ac:dyDescent="0.25">
      <c r="A545" t="s">
        <v>642</v>
      </c>
      <c r="B545" t="s">
        <v>643</v>
      </c>
      <c r="C545" t="s">
        <v>705</v>
      </c>
      <c r="D545" t="s">
        <v>724</v>
      </c>
      <c r="E545" t="s">
        <v>646</v>
      </c>
      <c r="F545" s="237">
        <v>44892</v>
      </c>
      <c r="G545">
        <v>60</v>
      </c>
      <c r="H545" t="s">
        <v>651</v>
      </c>
      <c r="I545" s="802">
        <f t="shared" si="8"/>
        <v>4037640</v>
      </c>
      <c r="J545" t="s">
        <v>655</v>
      </c>
    </row>
    <row r="546" spans="1:10" x14ac:dyDescent="0.25">
      <c r="A546" t="s">
        <v>642</v>
      </c>
      <c r="B546" t="s">
        <v>643</v>
      </c>
      <c r="C546" t="s">
        <v>705</v>
      </c>
      <c r="D546" t="s">
        <v>1048</v>
      </c>
      <c r="E546" t="s">
        <v>646</v>
      </c>
      <c r="F546" s="237">
        <v>44892</v>
      </c>
      <c r="G546">
        <v>60</v>
      </c>
      <c r="H546" t="s">
        <v>651</v>
      </c>
      <c r="I546" s="802">
        <f t="shared" si="8"/>
        <v>4037640</v>
      </c>
      <c r="J546" t="s">
        <v>655</v>
      </c>
    </row>
    <row r="547" spans="1:10" x14ac:dyDescent="0.25">
      <c r="A547" t="s">
        <v>642</v>
      </c>
      <c r="B547" t="s">
        <v>643</v>
      </c>
      <c r="C547" t="s">
        <v>705</v>
      </c>
      <c r="D547" t="s">
        <v>1132</v>
      </c>
      <c r="E547" t="s">
        <v>646</v>
      </c>
      <c r="F547" s="237">
        <v>44892</v>
      </c>
      <c r="G547">
        <v>60</v>
      </c>
      <c r="H547" t="s">
        <v>651</v>
      </c>
      <c r="I547" s="802">
        <f t="shared" si="8"/>
        <v>4037640</v>
      </c>
      <c r="J547" t="s">
        <v>655</v>
      </c>
    </row>
    <row r="548" spans="1:10" x14ac:dyDescent="0.25">
      <c r="A548" t="s">
        <v>642</v>
      </c>
      <c r="B548" t="s">
        <v>643</v>
      </c>
      <c r="C548" t="s">
        <v>705</v>
      </c>
      <c r="D548" t="s">
        <v>745</v>
      </c>
      <c r="E548" t="s">
        <v>646</v>
      </c>
      <c r="F548" s="237">
        <v>44885</v>
      </c>
      <c r="G548">
        <v>60</v>
      </c>
      <c r="H548" t="s">
        <v>651</v>
      </c>
      <c r="I548" s="802">
        <f t="shared" si="8"/>
        <v>4037640</v>
      </c>
      <c r="J548" t="s">
        <v>655</v>
      </c>
    </row>
    <row r="549" spans="1:10" x14ac:dyDescent="0.25">
      <c r="A549" t="s">
        <v>642</v>
      </c>
      <c r="B549" t="s">
        <v>643</v>
      </c>
      <c r="C549" t="s">
        <v>705</v>
      </c>
      <c r="D549" t="s">
        <v>918</v>
      </c>
      <c r="E549" t="s">
        <v>646</v>
      </c>
      <c r="F549" s="237">
        <v>44884</v>
      </c>
      <c r="G549">
        <v>60</v>
      </c>
      <c r="H549" t="s">
        <v>651</v>
      </c>
      <c r="I549" s="802">
        <f t="shared" si="8"/>
        <v>4037640</v>
      </c>
      <c r="J549" t="s">
        <v>655</v>
      </c>
    </row>
    <row r="550" spans="1:10" x14ac:dyDescent="0.25">
      <c r="A550" t="s">
        <v>642</v>
      </c>
      <c r="B550" t="s">
        <v>643</v>
      </c>
      <c r="C550" t="s">
        <v>705</v>
      </c>
      <c r="D550" t="s">
        <v>919</v>
      </c>
      <c r="E550" t="s">
        <v>646</v>
      </c>
      <c r="F550" s="237">
        <v>44884</v>
      </c>
      <c r="G550">
        <v>26.73</v>
      </c>
      <c r="H550" t="s">
        <v>647</v>
      </c>
      <c r="I550" s="802">
        <f t="shared" si="8"/>
        <v>14140170</v>
      </c>
      <c r="J550" t="s">
        <v>710</v>
      </c>
    </row>
    <row r="551" spans="1:10" x14ac:dyDescent="0.25">
      <c r="A551" t="s">
        <v>642</v>
      </c>
      <c r="B551" t="s">
        <v>643</v>
      </c>
      <c r="C551" t="s">
        <v>705</v>
      </c>
      <c r="D551" t="s">
        <v>1060</v>
      </c>
      <c r="E551" t="s">
        <v>646</v>
      </c>
      <c r="F551" s="237">
        <v>44884</v>
      </c>
      <c r="G551">
        <v>48</v>
      </c>
      <c r="H551" t="s">
        <v>651</v>
      </c>
      <c r="I551" s="802">
        <f t="shared" si="8"/>
        <v>3230112</v>
      </c>
      <c r="J551" t="s">
        <v>655</v>
      </c>
    </row>
    <row r="552" spans="1:10" x14ac:dyDescent="0.25">
      <c r="A552" t="s">
        <v>642</v>
      </c>
      <c r="B552" t="s">
        <v>643</v>
      </c>
      <c r="C552" t="s">
        <v>705</v>
      </c>
      <c r="D552" t="s">
        <v>1061</v>
      </c>
      <c r="E552" t="s">
        <v>646</v>
      </c>
      <c r="F552" s="237">
        <v>44884</v>
      </c>
      <c r="G552">
        <v>48</v>
      </c>
      <c r="H552" t="s">
        <v>651</v>
      </c>
      <c r="I552" s="802">
        <f t="shared" si="8"/>
        <v>3230112</v>
      </c>
      <c r="J552" t="s">
        <v>707</v>
      </c>
    </row>
    <row r="553" spans="1:10" x14ac:dyDescent="0.25">
      <c r="A553" t="s">
        <v>642</v>
      </c>
      <c r="B553" t="s">
        <v>643</v>
      </c>
      <c r="C553" t="s">
        <v>705</v>
      </c>
      <c r="D553" t="s">
        <v>1760</v>
      </c>
      <c r="E553" t="s">
        <v>646</v>
      </c>
      <c r="F553" s="237">
        <v>44882</v>
      </c>
      <c r="G553">
        <v>60</v>
      </c>
      <c r="H553" t="s">
        <v>651</v>
      </c>
      <c r="I553" s="802">
        <f t="shared" si="8"/>
        <v>4037640</v>
      </c>
      <c r="J553" t="s">
        <v>1022</v>
      </c>
    </row>
    <row r="554" spans="1:10" x14ac:dyDescent="0.25">
      <c r="A554" t="s">
        <v>642</v>
      </c>
      <c r="B554" t="s">
        <v>643</v>
      </c>
      <c r="C554" t="s">
        <v>705</v>
      </c>
      <c r="D554" t="s">
        <v>850</v>
      </c>
      <c r="E554" t="s">
        <v>646</v>
      </c>
      <c r="F554" s="237">
        <v>44879</v>
      </c>
      <c r="G554">
        <v>60</v>
      </c>
      <c r="H554" t="s">
        <v>651</v>
      </c>
      <c r="I554" s="802">
        <f t="shared" si="8"/>
        <v>4037640</v>
      </c>
      <c r="J554" t="s">
        <v>851</v>
      </c>
    </row>
    <row r="555" spans="1:10" x14ac:dyDescent="0.25">
      <c r="A555" t="s">
        <v>642</v>
      </c>
      <c r="B555" t="s">
        <v>643</v>
      </c>
      <c r="C555" t="s">
        <v>705</v>
      </c>
      <c r="D555" t="s">
        <v>852</v>
      </c>
      <c r="E555" t="s">
        <v>646</v>
      </c>
      <c r="F555" s="237">
        <v>44879</v>
      </c>
      <c r="G555">
        <v>60</v>
      </c>
      <c r="H555" t="s">
        <v>651</v>
      </c>
      <c r="I555" s="802">
        <f t="shared" si="8"/>
        <v>4037640</v>
      </c>
      <c r="J555" t="s">
        <v>794</v>
      </c>
    </row>
    <row r="556" spans="1:10" x14ac:dyDescent="0.25">
      <c r="A556" t="s">
        <v>642</v>
      </c>
      <c r="B556" t="s">
        <v>643</v>
      </c>
      <c r="C556" t="s">
        <v>644</v>
      </c>
      <c r="D556" t="s">
        <v>1547</v>
      </c>
      <c r="E556" t="s">
        <v>646</v>
      </c>
      <c r="F556" s="237">
        <v>44876</v>
      </c>
      <c r="G556">
        <v>1.2</v>
      </c>
      <c r="H556" t="s">
        <v>647</v>
      </c>
      <c r="I556" s="802">
        <f t="shared" si="8"/>
        <v>634800</v>
      </c>
      <c r="J556" t="s">
        <v>671</v>
      </c>
    </row>
    <row r="557" spans="1:10" x14ac:dyDescent="0.25">
      <c r="A557" t="s">
        <v>642</v>
      </c>
      <c r="B557" t="s">
        <v>643</v>
      </c>
      <c r="C557" t="s">
        <v>705</v>
      </c>
      <c r="D557" t="s">
        <v>995</v>
      </c>
      <c r="E557" t="s">
        <v>646</v>
      </c>
      <c r="F557" s="237">
        <v>44869</v>
      </c>
      <c r="G557">
        <v>60</v>
      </c>
      <c r="H557" t="s">
        <v>651</v>
      </c>
      <c r="I557" s="802">
        <f t="shared" si="8"/>
        <v>4037640</v>
      </c>
      <c r="J557" t="s">
        <v>655</v>
      </c>
    </row>
    <row r="558" spans="1:10" x14ac:dyDescent="0.25">
      <c r="A558" t="s">
        <v>642</v>
      </c>
      <c r="B558" t="s">
        <v>643</v>
      </c>
      <c r="C558" t="s">
        <v>705</v>
      </c>
      <c r="D558" t="s">
        <v>996</v>
      </c>
      <c r="E558" t="s">
        <v>646</v>
      </c>
      <c r="F558" s="237">
        <v>44869</v>
      </c>
      <c r="G558">
        <v>60</v>
      </c>
      <c r="H558" t="s">
        <v>651</v>
      </c>
      <c r="I558" s="802">
        <f t="shared" si="8"/>
        <v>4037640</v>
      </c>
      <c r="J558" t="s">
        <v>859</v>
      </c>
    </row>
    <row r="559" spans="1:10" x14ac:dyDescent="0.25">
      <c r="A559" t="s">
        <v>642</v>
      </c>
      <c r="B559" t="s">
        <v>643</v>
      </c>
      <c r="C559" t="s">
        <v>644</v>
      </c>
      <c r="D559" t="s">
        <v>1551</v>
      </c>
      <c r="E559" t="s">
        <v>646</v>
      </c>
      <c r="F559" s="237">
        <v>44868</v>
      </c>
      <c r="G559">
        <v>2</v>
      </c>
      <c r="H559" t="s">
        <v>647</v>
      </c>
      <c r="I559" s="802">
        <f t="shared" si="8"/>
        <v>1058000</v>
      </c>
      <c r="J559" t="s">
        <v>671</v>
      </c>
    </row>
    <row r="560" spans="1:10" x14ac:dyDescent="0.25">
      <c r="A560" t="s">
        <v>642</v>
      </c>
      <c r="B560" t="s">
        <v>643</v>
      </c>
      <c r="C560" t="s">
        <v>644</v>
      </c>
      <c r="D560" t="s">
        <v>1553</v>
      </c>
      <c r="E560" t="s">
        <v>646</v>
      </c>
      <c r="F560" s="237">
        <v>44868</v>
      </c>
      <c r="G560">
        <v>2</v>
      </c>
      <c r="H560" t="s">
        <v>647</v>
      </c>
      <c r="I560" s="802">
        <f t="shared" si="8"/>
        <v>1058000</v>
      </c>
      <c r="J560" t="s">
        <v>671</v>
      </c>
    </row>
    <row r="561" spans="1:10" x14ac:dyDescent="0.25">
      <c r="A561" t="s">
        <v>642</v>
      </c>
      <c r="B561" t="s">
        <v>643</v>
      </c>
      <c r="C561" t="s">
        <v>644</v>
      </c>
      <c r="D561" t="s">
        <v>1558</v>
      </c>
      <c r="E561" t="s">
        <v>646</v>
      </c>
      <c r="F561" s="237">
        <v>44864</v>
      </c>
      <c r="G561">
        <v>2</v>
      </c>
      <c r="H561" t="s">
        <v>647</v>
      </c>
      <c r="I561" s="802">
        <f t="shared" si="8"/>
        <v>1058000</v>
      </c>
      <c r="J561" t="s">
        <v>671</v>
      </c>
    </row>
    <row r="562" spans="1:10" x14ac:dyDescent="0.25">
      <c r="A562" t="s">
        <v>642</v>
      </c>
      <c r="B562" t="s">
        <v>643</v>
      </c>
      <c r="C562" t="s">
        <v>705</v>
      </c>
      <c r="D562" t="s">
        <v>854</v>
      </c>
      <c r="E562" t="s">
        <v>646</v>
      </c>
      <c r="F562" s="237">
        <v>44863</v>
      </c>
      <c r="G562">
        <v>60</v>
      </c>
      <c r="H562" t="s">
        <v>651</v>
      </c>
      <c r="I562" s="802">
        <f t="shared" si="8"/>
        <v>4037640</v>
      </c>
      <c r="J562" t="s">
        <v>731</v>
      </c>
    </row>
    <row r="563" spans="1:10" x14ac:dyDescent="0.25">
      <c r="A563" t="s">
        <v>642</v>
      </c>
      <c r="B563" t="s">
        <v>643</v>
      </c>
      <c r="C563" t="s">
        <v>705</v>
      </c>
      <c r="D563" t="s">
        <v>855</v>
      </c>
      <c r="E563" t="s">
        <v>646</v>
      </c>
      <c r="F563" s="237">
        <v>44863</v>
      </c>
      <c r="G563">
        <v>26.73</v>
      </c>
      <c r="H563" t="s">
        <v>647</v>
      </c>
      <c r="I563" s="802">
        <f t="shared" si="8"/>
        <v>14140170</v>
      </c>
      <c r="J563" t="s">
        <v>710</v>
      </c>
    </row>
    <row r="564" spans="1:10" x14ac:dyDescent="0.25">
      <c r="A564" t="s">
        <v>642</v>
      </c>
      <c r="B564" t="s">
        <v>643</v>
      </c>
      <c r="C564" t="s">
        <v>705</v>
      </c>
      <c r="D564" t="s">
        <v>965</v>
      </c>
      <c r="E564" t="s">
        <v>646</v>
      </c>
      <c r="F564" s="237">
        <v>44863</v>
      </c>
      <c r="G564">
        <v>26.73</v>
      </c>
      <c r="H564" t="s">
        <v>647</v>
      </c>
      <c r="I564" s="802">
        <f t="shared" si="8"/>
        <v>14140170</v>
      </c>
      <c r="J564" t="s">
        <v>710</v>
      </c>
    </row>
    <row r="565" spans="1:10" x14ac:dyDescent="0.25">
      <c r="A565" t="s">
        <v>642</v>
      </c>
      <c r="B565" t="s">
        <v>643</v>
      </c>
      <c r="C565" t="s">
        <v>644</v>
      </c>
      <c r="D565" t="s">
        <v>1554</v>
      </c>
      <c r="E565" t="s">
        <v>646</v>
      </c>
      <c r="F565" s="237">
        <v>44863</v>
      </c>
      <c r="G565">
        <v>2</v>
      </c>
      <c r="H565" t="s">
        <v>647</v>
      </c>
      <c r="I565" s="802">
        <f t="shared" si="8"/>
        <v>1058000</v>
      </c>
      <c r="J565" t="s">
        <v>671</v>
      </c>
    </row>
    <row r="566" spans="1:10" x14ac:dyDescent="0.25">
      <c r="A566" t="s">
        <v>642</v>
      </c>
      <c r="B566" t="s">
        <v>643</v>
      </c>
      <c r="C566" t="s">
        <v>644</v>
      </c>
      <c r="D566" t="s">
        <v>1555</v>
      </c>
      <c r="E566" t="s">
        <v>646</v>
      </c>
      <c r="F566" s="237">
        <v>44863</v>
      </c>
      <c r="G566">
        <v>2</v>
      </c>
      <c r="H566" t="s">
        <v>647</v>
      </c>
      <c r="I566" s="802">
        <f t="shared" si="8"/>
        <v>1058000</v>
      </c>
      <c r="J566" t="s">
        <v>671</v>
      </c>
    </row>
    <row r="567" spans="1:10" x14ac:dyDescent="0.25">
      <c r="A567" t="s">
        <v>642</v>
      </c>
      <c r="B567" t="s">
        <v>643</v>
      </c>
      <c r="C567" t="s">
        <v>644</v>
      </c>
      <c r="D567" t="s">
        <v>1556</v>
      </c>
      <c r="E567" t="s">
        <v>646</v>
      </c>
      <c r="F567" s="237">
        <v>44863</v>
      </c>
      <c r="G567">
        <v>2</v>
      </c>
      <c r="H567" t="s">
        <v>647</v>
      </c>
      <c r="I567" s="802">
        <f t="shared" si="8"/>
        <v>1058000</v>
      </c>
      <c r="J567" t="s">
        <v>671</v>
      </c>
    </row>
    <row r="568" spans="1:10" x14ac:dyDescent="0.25">
      <c r="A568" t="s">
        <v>642</v>
      </c>
      <c r="B568" t="s">
        <v>643</v>
      </c>
      <c r="C568" t="s">
        <v>644</v>
      </c>
      <c r="D568" t="s">
        <v>1557</v>
      </c>
      <c r="E568" t="s">
        <v>646</v>
      </c>
      <c r="F568" s="237">
        <v>44863</v>
      </c>
      <c r="G568">
        <v>2</v>
      </c>
      <c r="H568" t="s">
        <v>647</v>
      </c>
      <c r="I568" s="802">
        <f t="shared" si="8"/>
        <v>1058000</v>
      </c>
      <c r="J568" t="s">
        <v>671</v>
      </c>
    </row>
    <row r="569" spans="1:10" x14ac:dyDescent="0.25">
      <c r="A569" t="s">
        <v>642</v>
      </c>
      <c r="B569" t="s">
        <v>643</v>
      </c>
      <c r="C569" t="s">
        <v>644</v>
      </c>
      <c r="D569" t="s">
        <v>1559</v>
      </c>
      <c r="E569" t="s">
        <v>646</v>
      </c>
      <c r="F569" s="237">
        <v>44863</v>
      </c>
      <c r="G569">
        <v>2</v>
      </c>
      <c r="H569" t="s">
        <v>647</v>
      </c>
      <c r="I569" s="802">
        <f t="shared" si="8"/>
        <v>1058000</v>
      </c>
      <c r="J569" t="s">
        <v>671</v>
      </c>
    </row>
    <row r="570" spans="1:10" x14ac:dyDescent="0.25">
      <c r="A570" t="s">
        <v>642</v>
      </c>
      <c r="B570" t="s">
        <v>643</v>
      </c>
      <c r="C570" t="s">
        <v>644</v>
      </c>
      <c r="D570" t="s">
        <v>1548</v>
      </c>
      <c r="E570" t="s">
        <v>646</v>
      </c>
      <c r="F570" s="237">
        <v>44857</v>
      </c>
      <c r="G570">
        <v>2</v>
      </c>
      <c r="H570" t="s">
        <v>647</v>
      </c>
      <c r="I570" s="802">
        <f t="shared" si="8"/>
        <v>1058000</v>
      </c>
      <c r="J570" t="s">
        <v>671</v>
      </c>
    </row>
    <row r="571" spans="1:10" x14ac:dyDescent="0.25">
      <c r="A571" t="s">
        <v>642</v>
      </c>
      <c r="B571" t="s">
        <v>643</v>
      </c>
      <c r="C571" t="s">
        <v>644</v>
      </c>
      <c r="D571" t="s">
        <v>1543</v>
      </c>
      <c r="E571" t="s">
        <v>646</v>
      </c>
      <c r="F571" s="237">
        <v>44856</v>
      </c>
      <c r="G571">
        <v>2</v>
      </c>
      <c r="H571" t="s">
        <v>647</v>
      </c>
      <c r="I571" s="802">
        <f t="shared" si="8"/>
        <v>1058000</v>
      </c>
      <c r="J571" t="s">
        <v>671</v>
      </c>
    </row>
    <row r="572" spans="1:10" x14ac:dyDescent="0.25">
      <c r="A572" t="s">
        <v>642</v>
      </c>
      <c r="B572" t="s">
        <v>643</v>
      </c>
      <c r="C572" t="s">
        <v>644</v>
      </c>
      <c r="D572" t="s">
        <v>1544</v>
      </c>
      <c r="E572" t="s">
        <v>646</v>
      </c>
      <c r="F572" s="237">
        <v>44856</v>
      </c>
      <c r="G572">
        <v>60</v>
      </c>
      <c r="H572" t="s">
        <v>651</v>
      </c>
      <c r="I572" s="802">
        <f t="shared" si="8"/>
        <v>4037640</v>
      </c>
      <c r="J572" t="s">
        <v>842</v>
      </c>
    </row>
    <row r="573" spans="1:10" x14ac:dyDescent="0.25">
      <c r="A573" t="s">
        <v>642</v>
      </c>
      <c r="B573" t="s">
        <v>643</v>
      </c>
      <c r="C573" t="s">
        <v>644</v>
      </c>
      <c r="D573" t="s">
        <v>1545</v>
      </c>
      <c r="E573" t="s">
        <v>646</v>
      </c>
      <c r="F573" s="237">
        <v>44856</v>
      </c>
      <c r="G573">
        <v>60</v>
      </c>
      <c r="H573" t="s">
        <v>651</v>
      </c>
      <c r="I573" s="802">
        <f t="shared" si="8"/>
        <v>4037640</v>
      </c>
      <c r="J573" t="s">
        <v>665</v>
      </c>
    </row>
    <row r="574" spans="1:10" x14ac:dyDescent="0.25">
      <c r="A574" t="s">
        <v>642</v>
      </c>
      <c r="B574" t="s">
        <v>643</v>
      </c>
      <c r="C574" t="s">
        <v>644</v>
      </c>
      <c r="D574" t="s">
        <v>1546</v>
      </c>
      <c r="E574" t="s">
        <v>646</v>
      </c>
      <c r="F574" s="237">
        <v>44856</v>
      </c>
      <c r="G574">
        <v>2</v>
      </c>
      <c r="H574" t="s">
        <v>647</v>
      </c>
      <c r="I574" s="802">
        <f t="shared" si="8"/>
        <v>1058000</v>
      </c>
      <c r="J574" t="s">
        <v>671</v>
      </c>
    </row>
    <row r="575" spans="1:10" x14ac:dyDescent="0.25">
      <c r="A575" t="s">
        <v>642</v>
      </c>
      <c r="B575" t="s">
        <v>643</v>
      </c>
      <c r="C575" t="s">
        <v>644</v>
      </c>
      <c r="D575" t="s">
        <v>1549</v>
      </c>
      <c r="E575" t="s">
        <v>646</v>
      </c>
      <c r="F575" s="237">
        <v>44856</v>
      </c>
      <c r="G575">
        <v>2</v>
      </c>
      <c r="H575" t="s">
        <v>647</v>
      </c>
      <c r="I575" s="802">
        <f t="shared" si="8"/>
        <v>1058000</v>
      </c>
      <c r="J575" t="s">
        <v>671</v>
      </c>
    </row>
    <row r="576" spans="1:10" x14ac:dyDescent="0.25">
      <c r="A576" t="s">
        <v>642</v>
      </c>
      <c r="B576" t="s">
        <v>643</v>
      </c>
      <c r="C576" t="s">
        <v>705</v>
      </c>
      <c r="D576" t="s">
        <v>946</v>
      </c>
      <c r="E576" t="s">
        <v>646</v>
      </c>
      <c r="F576" s="237">
        <v>44855</v>
      </c>
      <c r="G576">
        <v>60</v>
      </c>
      <c r="H576" t="s">
        <v>651</v>
      </c>
      <c r="I576" s="802">
        <f t="shared" si="8"/>
        <v>4037640</v>
      </c>
      <c r="J576" t="s">
        <v>844</v>
      </c>
    </row>
    <row r="577" spans="1:10" x14ac:dyDescent="0.25">
      <c r="A577" t="s">
        <v>642</v>
      </c>
      <c r="B577" t="s">
        <v>643</v>
      </c>
      <c r="C577" t="s">
        <v>644</v>
      </c>
      <c r="D577" t="s">
        <v>1505</v>
      </c>
      <c r="E577" t="s">
        <v>646</v>
      </c>
      <c r="F577" s="237">
        <v>44850</v>
      </c>
      <c r="G577">
        <v>2</v>
      </c>
      <c r="H577" t="s">
        <v>647</v>
      </c>
      <c r="I577" s="802">
        <f t="shared" si="8"/>
        <v>1058000</v>
      </c>
      <c r="J577" t="s">
        <v>671</v>
      </c>
    </row>
    <row r="578" spans="1:10" x14ac:dyDescent="0.25">
      <c r="A578" t="s">
        <v>642</v>
      </c>
      <c r="B578" t="s">
        <v>643</v>
      </c>
      <c r="C578" t="s">
        <v>705</v>
      </c>
      <c r="D578" t="s">
        <v>1133</v>
      </c>
      <c r="E578" t="s">
        <v>646</v>
      </c>
      <c r="F578" s="237">
        <v>44849</v>
      </c>
      <c r="G578">
        <v>60</v>
      </c>
      <c r="H578" t="s">
        <v>651</v>
      </c>
      <c r="I578" s="802">
        <f t="shared" si="8"/>
        <v>4037640</v>
      </c>
      <c r="J578" t="s">
        <v>1022</v>
      </c>
    </row>
    <row r="579" spans="1:10" x14ac:dyDescent="0.25">
      <c r="A579" t="s">
        <v>642</v>
      </c>
      <c r="B579" t="s">
        <v>643</v>
      </c>
      <c r="C579" t="s">
        <v>705</v>
      </c>
      <c r="D579" t="s">
        <v>1065</v>
      </c>
      <c r="E579" t="s">
        <v>646</v>
      </c>
      <c r="F579" s="237">
        <v>44847</v>
      </c>
      <c r="G579">
        <v>60</v>
      </c>
      <c r="H579" t="s">
        <v>651</v>
      </c>
      <c r="I579" s="802">
        <f t="shared" ref="I579:I642" si="9">+IF(H579="IMM",+G579*529000,+G579*67294)</f>
        <v>4037640</v>
      </c>
      <c r="J579" t="s">
        <v>851</v>
      </c>
    </row>
    <row r="580" spans="1:10" x14ac:dyDescent="0.25">
      <c r="A580" t="s">
        <v>642</v>
      </c>
      <c r="B580" t="s">
        <v>643</v>
      </c>
      <c r="C580" t="s">
        <v>705</v>
      </c>
      <c r="D580" t="s">
        <v>1066</v>
      </c>
      <c r="E580" t="s">
        <v>646</v>
      </c>
      <c r="F580" s="237">
        <v>44847</v>
      </c>
      <c r="G580">
        <v>60</v>
      </c>
      <c r="H580" t="s">
        <v>651</v>
      </c>
      <c r="I580" s="802">
        <f t="shared" si="9"/>
        <v>4037640</v>
      </c>
      <c r="J580" t="s">
        <v>715</v>
      </c>
    </row>
    <row r="581" spans="1:10" x14ac:dyDescent="0.25">
      <c r="A581" t="s">
        <v>642</v>
      </c>
      <c r="B581" t="s">
        <v>643</v>
      </c>
      <c r="C581" t="s">
        <v>705</v>
      </c>
      <c r="D581" t="s">
        <v>1067</v>
      </c>
      <c r="E581" t="s">
        <v>646</v>
      </c>
      <c r="F581" s="237">
        <v>44847</v>
      </c>
      <c r="G581">
        <v>60</v>
      </c>
      <c r="H581" t="s">
        <v>651</v>
      </c>
      <c r="I581" s="802">
        <f t="shared" si="9"/>
        <v>4037640</v>
      </c>
      <c r="J581" t="s">
        <v>655</v>
      </c>
    </row>
    <row r="582" spans="1:10" x14ac:dyDescent="0.25">
      <c r="A582" t="s">
        <v>642</v>
      </c>
      <c r="B582" t="s">
        <v>643</v>
      </c>
      <c r="C582" t="s">
        <v>644</v>
      </c>
      <c r="D582" t="s">
        <v>1491</v>
      </c>
      <c r="E582" t="s">
        <v>646</v>
      </c>
      <c r="F582" s="237">
        <v>44847</v>
      </c>
      <c r="G582">
        <v>1.1100000000000001</v>
      </c>
      <c r="H582" t="s">
        <v>647</v>
      </c>
      <c r="I582" s="802">
        <f t="shared" si="9"/>
        <v>587190</v>
      </c>
      <c r="J582" t="s">
        <v>648</v>
      </c>
    </row>
    <row r="583" spans="1:10" x14ac:dyDescent="0.25">
      <c r="A583" t="s">
        <v>642</v>
      </c>
      <c r="B583" t="s">
        <v>643</v>
      </c>
      <c r="C583" t="s">
        <v>644</v>
      </c>
      <c r="D583" t="s">
        <v>1541</v>
      </c>
      <c r="E583" t="s">
        <v>646</v>
      </c>
      <c r="F583" s="237">
        <v>44847</v>
      </c>
      <c r="G583">
        <v>1.1100000000000001</v>
      </c>
      <c r="H583" t="s">
        <v>647</v>
      </c>
      <c r="I583" s="802">
        <f t="shared" si="9"/>
        <v>587190</v>
      </c>
      <c r="J583" t="s">
        <v>648</v>
      </c>
    </row>
    <row r="584" spans="1:10" x14ac:dyDescent="0.25">
      <c r="A584" t="s">
        <v>642</v>
      </c>
      <c r="B584" t="s">
        <v>643</v>
      </c>
      <c r="C584" t="s">
        <v>644</v>
      </c>
      <c r="D584" t="s">
        <v>1480</v>
      </c>
      <c r="E584" t="s">
        <v>646</v>
      </c>
      <c r="F584" s="237">
        <v>44844</v>
      </c>
      <c r="G584">
        <v>1.1000000000000001</v>
      </c>
      <c r="H584" t="s">
        <v>647</v>
      </c>
      <c r="I584" s="802">
        <f t="shared" si="9"/>
        <v>581900</v>
      </c>
      <c r="J584" t="s">
        <v>648</v>
      </c>
    </row>
    <row r="585" spans="1:10" x14ac:dyDescent="0.25">
      <c r="A585" t="s">
        <v>642</v>
      </c>
      <c r="B585" t="s">
        <v>643</v>
      </c>
      <c r="C585" t="s">
        <v>644</v>
      </c>
      <c r="D585" t="s">
        <v>1473</v>
      </c>
      <c r="E585" t="s">
        <v>646</v>
      </c>
      <c r="F585" s="237">
        <v>44841</v>
      </c>
      <c r="G585">
        <v>1.1100000000000001</v>
      </c>
      <c r="H585" t="s">
        <v>647</v>
      </c>
      <c r="I585" s="802">
        <f t="shared" si="9"/>
        <v>587190</v>
      </c>
      <c r="J585" t="s">
        <v>648</v>
      </c>
    </row>
    <row r="586" spans="1:10" x14ac:dyDescent="0.25">
      <c r="A586" t="s">
        <v>642</v>
      </c>
      <c r="B586" t="s">
        <v>643</v>
      </c>
      <c r="C586" t="s">
        <v>644</v>
      </c>
      <c r="D586" t="s">
        <v>1524</v>
      </c>
      <c r="E586" t="s">
        <v>646</v>
      </c>
      <c r="F586" s="237">
        <v>44841</v>
      </c>
      <c r="G586">
        <v>1.1100000000000001</v>
      </c>
      <c r="H586" t="s">
        <v>647</v>
      </c>
      <c r="I586" s="802">
        <f t="shared" si="9"/>
        <v>587190</v>
      </c>
      <c r="J586" t="s">
        <v>648</v>
      </c>
    </row>
    <row r="587" spans="1:10" x14ac:dyDescent="0.25">
      <c r="A587" t="s">
        <v>642</v>
      </c>
      <c r="B587" t="s">
        <v>643</v>
      </c>
      <c r="C587" t="s">
        <v>644</v>
      </c>
      <c r="D587" t="s">
        <v>1542</v>
      </c>
      <c r="E587" t="s">
        <v>646</v>
      </c>
      <c r="F587" s="237">
        <v>44841</v>
      </c>
      <c r="G587">
        <v>2</v>
      </c>
      <c r="H587" t="s">
        <v>647</v>
      </c>
      <c r="I587" s="802">
        <f t="shared" si="9"/>
        <v>1058000</v>
      </c>
      <c r="J587" t="s">
        <v>671</v>
      </c>
    </row>
    <row r="588" spans="1:10" x14ac:dyDescent="0.25">
      <c r="A588" t="s">
        <v>642</v>
      </c>
      <c r="B588" t="s">
        <v>643</v>
      </c>
      <c r="C588" t="s">
        <v>644</v>
      </c>
      <c r="D588" t="s">
        <v>1479</v>
      </c>
      <c r="E588" t="s">
        <v>646</v>
      </c>
      <c r="F588" s="237">
        <v>44836</v>
      </c>
      <c r="G588">
        <v>1.1100000000000001</v>
      </c>
      <c r="H588" t="s">
        <v>647</v>
      </c>
      <c r="I588" s="802">
        <f t="shared" si="9"/>
        <v>587190</v>
      </c>
      <c r="J588" t="s">
        <v>648</v>
      </c>
    </row>
    <row r="589" spans="1:10" x14ac:dyDescent="0.25">
      <c r="A589" t="s">
        <v>642</v>
      </c>
      <c r="B589" t="s">
        <v>643</v>
      </c>
      <c r="C589" t="s">
        <v>644</v>
      </c>
      <c r="D589" t="s">
        <v>1481</v>
      </c>
      <c r="E589" t="s">
        <v>646</v>
      </c>
      <c r="F589" s="237">
        <v>44834</v>
      </c>
      <c r="G589">
        <v>2</v>
      </c>
      <c r="H589" t="s">
        <v>647</v>
      </c>
      <c r="I589" s="802">
        <f t="shared" si="9"/>
        <v>1058000</v>
      </c>
      <c r="J589" t="s">
        <v>671</v>
      </c>
    </row>
    <row r="590" spans="1:10" x14ac:dyDescent="0.25">
      <c r="A590" t="s">
        <v>642</v>
      </c>
      <c r="B590" t="s">
        <v>643</v>
      </c>
      <c r="C590" t="s">
        <v>644</v>
      </c>
      <c r="D590" t="s">
        <v>1496</v>
      </c>
      <c r="E590" t="s">
        <v>646</v>
      </c>
      <c r="F590" s="237">
        <v>44833</v>
      </c>
      <c r="G590">
        <v>1.1100000000000001</v>
      </c>
      <c r="H590" t="s">
        <v>647</v>
      </c>
      <c r="I590" s="802">
        <f t="shared" si="9"/>
        <v>587190</v>
      </c>
      <c r="J590" t="s">
        <v>648</v>
      </c>
    </row>
    <row r="591" spans="1:10" x14ac:dyDescent="0.25">
      <c r="A591" t="s">
        <v>642</v>
      </c>
      <c r="B591" t="s">
        <v>643</v>
      </c>
      <c r="C591" t="s">
        <v>644</v>
      </c>
      <c r="D591" t="s">
        <v>1527</v>
      </c>
      <c r="E591" t="s">
        <v>646</v>
      </c>
      <c r="F591" s="237">
        <v>44833</v>
      </c>
      <c r="G591">
        <v>1.1100000000000001</v>
      </c>
      <c r="H591" t="s">
        <v>647</v>
      </c>
      <c r="I591" s="802">
        <f t="shared" si="9"/>
        <v>587190</v>
      </c>
      <c r="J591" t="s">
        <v>648</v>
      </c>
    </row>
    <row r="592" spans="1:10" x14ac:dyDescent="0.25">
      <c r="A592" t="s">
        <v>642</v>
      </c>
      <c r="B592" t="s">
        <v>643</v>
      </c>
      <c r="C592" t="s">
        <v>644</v>
      </c>
      <c r="D592" t="s">
        <v>1537</v>
      </c>
      <c r="E592" t="s">
        <v>646</v>
      </c>
      <c r="F592" s="237">
        <v>44830</v>
      </c>
      <c r="G592">
        <v>1.1100000000000001</v>
      </c>
      <c r="H592" t="s">
        <v>647</v>
      </c>
      <c r="I592" s="802">
        <f t="shared" si="9"/>
        <v>587190</v>
      </c>
      <c r="J592" t="s">
        <v>648</v>
      </c>
    </row>
    <row r="593" spans="1:10" x14ac:dyDescent="0.25">
      <c r="A593" t="s">
        <v>642</v>
      </c>
      <c r="B593" t="s">
        <v>643</v>
      </c>
      <c r="C593" t="s">
        <v>644</v>
      </c>
      <c r="D593" t="s">
        <v>1531</v>
      </c>
      <c r="E593" t="s">
        <v>646</v>
      </c>
      <c r="F593" s="237">
        <v>44829</v>
      </c>
      <c r="G593">
        <v>1.1100000000000001</v>
      </c>
      <c r="H593" t="s">
        <v>647</v>
      </c>
      <c r="I593" s="802">
        <f t="shared" si="9"/>
        <v>587190</v>
      </c>
      <c r="J593" t="s">
        <v>648</v>
      </c>
    </row>
    <row r="594" spans="1:10" x14ac:dyDescent="0.25">
      <c r="A594" t="s">
        <v>642</v>
      </c>
      <c r="B594" t="s">
        <v>643</v>
      </c>
      <c r="C594" t="s">
        <v>644</v>
      </c>
      <c r="D594" t="s">
        <v>1532</v>
      </c>
      <c r="E594" t="s">
        <v>646</v>
      </c>
      <c r="F594" s="237">
        <v>44829</v>
      </c>
      <c r="G594">
        <v>2</v>
      </c>
      <c r="H594" t="s">
        <v>647</v>
      </c>
      <c r="I594" s="802">
        <f t="shared" si="9"/>
        <v>1058000</v>
      </c>
      <c r="J594" t="s">
        <v>671</v>
      </c>
    </row>
    <row r="595" spans="1:10" x14ac:dyDescent="0.25">
      <c r="A595" t="s">
        <v>642</v>
      </c>
      <c r="B595" t="s">
        <v>643</v>
      </c>
      <c r="C595" t="s">
        <v>705</v>
      </c>
      <c r="D595" t="s">
        <v>730</v>
      </c>
      <c r="E595" t="s">
        <v>646</v>
      </c>
      <c r="F595" s="237">
        <v>44828</v>
      </c>
      <c r="G595">
        <v>60</v>
      </c>
      <c r="H595" t="s">
        <v>651</v>
      </c>
      <c r="I595" s="802">
        <f t="shared" si="9"/>
        <v>4037640</v>
      </c>
      <c r="J595" t="s">
        <v>731</v>
      </c>
    </row>
    <row r="596" spans="1:10" x14ac:dyDescent="0.25">
      <c r="A596" t="s">
        <v>642</v>
      </c>
      <c r="B596" t="s">
        <v>643</v>
      </c>
      <c r="C596" t="s">
        <v>705</v>
      </c>
      <c r="D596" t="s">
        <v>926</v>
      </c>
      <c r="E596" t="s">
        <v>646</v>
      </c>
      <c r="F596" s="237">
        <v>44825</v>
      </c>
      <c r="G596">
        <v>3.6</v>
      </c>
      <c r="H596" t="s">
        <v>651</v>
      </c>
      <c r="I596" s="802">
        <f t="shared" si="9"/>
        <v>242258.4</v>
      </c>
      <c r="J596" t="s">
        <v>924</v>
      </c>
    </row>
    <row r="597" spans="1:10" x14ac:dyDescent="0.25">
      <c r="A597" t="s">
        <v>642</v>
      </c>
      <c r="B597" t="s">
        <v>643</v>
      </c>
      <c r="C597" t="s">
        <v>705</v>
      </c>
      <c r="D597" t="s">
        <v>927</v>
      </c>
      <c r="E597" t="s">
        <v>646</v>
      </c>
      <c r="F597" s="237">
        <v>44825</v>
      </c>
      <c r="G597">
        <v>36</v>
      </c>
      <c r="H597" t="s">
        <v>651</v>
      </c>
      <c r="I597" s="802">
        <f t="shared" si="9"/>
        <v>2422584</v>
      </c>
      <c r="J597" t="s">
        <v>792</v>
      </c>
    </row>
    <row r="598" spans="1:10" x14ac:dyDescent="0.25">
      <c r="A598" t="s">
        <v>642</v>
      </c>
      <c r="B598" t="s">
        <v>643</v>
      </c>
      <c r="C598" t="s">
        <v>644</v>
      </c>
      <c r="D598" t="s">
        <v>1539</v>
      </c>
      <c r="E598" t="s">
        <v>646</v>
      </c>
      <c r="F598" s="237">
        <v>44823</v>
      </c>
      <c r="G598">
        <v>1.1100000000000001</v>
      </c>
      <c r="H598" t="s">
        <v>647</v>
      </c>
      <c r="I598" s="802">
        <f t="shared" si="9"/>
        <v>587190</v>
      </c>
      <c r="J598" t="s">
        <v>648</v>
      </c>
    </row>
    <row r="599" spans="1:10" x14ac:dyDescent="0.25">
      <c r="A599" t="s">
        <v>642</v>
      </c>
      <c r="B599" t="s">
        <v>643</v>
      </c>
      <c r="C599" t="s">
        <v>644</v>
      </c>
      <c r="D599" t="s">
        <v>1540</v>
      </c>
      <c r="E599" t="s">
        <v>646</v>
      </c>
      <c r="F599" s="237">
        <v>44823</v>
      </c>
      <c r="G599">
        <v>2</v>
      </c>
      <c r="H599" t="s">
        <v>647</v>
      </c>
      <c r="I599" s="802">
        <f t="shared" si="9"/>
        <v>1058000</v>
      </c>
      <c r="J599" t="s">
        <v>671</v>
      </c>
    </row>
    <row r="600" spans="1:10" x14ac:dyDescent="0.25">
      <c r="A600" t="s">
        <v>642</v>
      </c>
      <c r="B600" t="s">
        <v>643</v>
      </c>
      <c r="C600" t="s">
        <v>644</v>
      </c>
      <c r="D600" t="s">
        <v>1483</v>
      </c>
      <c r="E600" t="s">
        <v>646</v>
      </c>
      <c r="F600" s="237">
        <v>44822</v>
      </c>
      <c r="G600">
        <v>1.1100000000000001</v>
      </c>
      <c r="H600" t="s">
        <v>647</v>
      </c>
      <c r="I600" s="802">
        <f t="shared" si="9"/>
        <v>587190</v>
      </c>
      <c r="J600" t="s">
        <v>648</v>
      </c>
    </row>
    <row r="601" spans="1:10" x14ac:dyDescent="0.25">
      <c r="A601" t="s">
        <v>642</v>
      </c>
      <c r="B601" t="s">
        <v>643</v>
      </c>
      <c r="C601" t="s">
        <v>705</v>
      </c>
      <c r="D601" t="s">
        <v>1720</v>
      </c>
      <c r="E601" t="s">
        <v>646</v>
      </c>
      <c r="F601" s="237">
        <v>44822</v>
      </c>
      <c r="G601">
        <v>60</v>
      </c>
      <c r="H601" t="s">
        <v>651</v>
      </c>
      <c r="I601" s="802">
        <f t="shared" si="9"/>
        <v>4037640</v>
      </c>
      <c r="J601" t="s">
        <v>686</v>
      </c>
    </row>
    <row r="602" spans="1:10" x14ac:dyDescent="0.25">
      <c r="A602" t="s">
        <v>642</v>
      </c>
      <c r="B602" t="s">
        <v>643</v>
      </c>
      <c r="C602" t="s">
        <v>705</v>
      </c>
      <c r="D602" t="s">
        <v>1721</v>
      </c>
      <c r="E602" t="s">
        <v>646</v>
      </c>
      <c r="F602" s="237">
        <v>44822</v>
      </c>
      <c r="G602">
        <v>26.73</v>
      </c>
      <c r="H602" t="s">
        <v>647</v>
      </c>
      <c r="I602" s="802">
        <f t="shared" si="9"/>
        <v>14140170</v>
      </c>
      <c r="J602" t="s">
        <v>710</v>
      </c>
    </row>
    <row r="603" spans="1:10" x14ac:dyDescent="0.25">
      <c r="A603" t="s">
        <v>642</v>
      </c>
      <c r="B603" t="s">
        <v>643</v>
      </c>
      <c r="C603" t="s">
        <v>705</v>
      </c>
      <c r="D603" t="s">
        <v>1722</v>
      </c>
      <c r="E603" t="s">
        <v>646</v>
      </c>
      <c r="F603" s="237">
        <v>44822</v>
      </c>
      <c r="G603">
        <v>60</v>
      </c>
      <c r="H603" t="s">
        <v>651</v>
      </c>
      <c r="I603" s="802">
        <f t="shared" si="9"/>
        <v>4037640</v>
      </c>
      <c r="J603" t="s">
        <v>655</v>
      </c>
    </row>
    <row r="604" spans="1:10" x14ac:dyDescent="0.25">
      <c r="A604" t="s">
        <v>642</v>
      </c>
      <c r="B604" t="s">
        <v>643</v>
      </c>
      <c r="C604" t="s">
        <v>705</v>
      </c>
      <c r="D604" t="s">
        <v>1723</v>
      </c>
      <c r="E604" t="s">
        <v>646</v>
      </c>
      <c r="F604" s="237">
        <v>44822</v>
      </c>
      <c r="G604">
        <v>60</v>
      </c>
      <c r="H604" t="s">
        <v>651</v>
      </c>
      <c r="I604" s="802">
        <f t="shared" si="9"/>
        <v>4037640</v>
      </c>
      <c r="J604" t="s">
        <v>682</v>
      </c>
    </row>
    <row r="605" spans="1:10" x14ac:dyDescent="0.25">
      <c r="A605" t="s">
        <v>642</v>
      </c>
      <c r="B605" t="s">
        <v>643</v>
      </c>
      <c r="C605" t="s">
        <v>644</v>
      </c>
      <c r="D605" t="s">
        <v>1374</v>
      </c>
      <c r="E605" t="s">
        <v>646</v>
      </c>
      <c r="F605" s="237">
        <v>44820</v>
      </c>
      <c r="G605">
        <v>2</v>
      </c>
      <c r="H605" t="s">
        <v>647</v>
      </c>
      <c r="I605" s="802">
        <f t="shared" si="9"/>
        <v>1058000</v>
      </c>
      <c r="J605" t="s">
        <v>671</v>
      </c>
    </row>
    <row r="606" spans="1:10" x14ac:dyDescent="0.25">
      <c r="A606" t="s">
        <v>642</v>
      </c>
      <c r="B606" t="s">
        <v>643</v>
      </c>
      <c r="C606" t="s">
        <v>644</v>
      </c>
      <c r="D606" t="s">
        <v>1476</v>
      </c>
      <c r="E606" t="s">
        <v>646</v>
      </c>
      <c r="F606" s="237">
        <v>44816</v>
      </c>
      <c r="G606">
        <v>1.1100000000000001</v>
      </c>
      <c r="H606" t="s">
        <v>647</v>
      </c>
      <c r="I606" s="802">
        <f t="shared" si="9"/>
        <v>587190</v>
      </c>
      <c r="J606" t="s">
        <v>648</v>
      </c>
    </row>
    <row r="607" spans="1:10" x14ac:dyDescent="0.25">
      <c r="A607" t="s">
        <v>642</v>
      </c>
      <c r="B607" t="s">
        <v>643</v>
      </c>
      <c r="C607" t="s">
        <v>644</v>
      </c>
      <c r="D607" t="s">
        <v>1477</v>
      </c>
      <c r="E607" t="s">
        <v>646</v>
      </c>
      <c r="F607" s="237">
        <v>44816</v>
      </c>
      <c r="G607">
        <v>2</v>
      </c>
      <c r="H607" t="s">
        <v>647</v>
      </c>
      <c r="I607" s="802">
        <f t="shared" si="9"/>
        <v>1058000</v>
      </c>
      <c r="J607" t="s">
        <v>671</v>
      </c>
    </row>
    <row r="608" spans="1:10" x14ac:dyDescent="0.25">
      <c r="A608" t="s">
        <v>642</v>
      </c>
      <c r="B608" t="s">
        <v>643</v>
      </c>
      <c r="C608" t="s">
        <v>644</v>
      </c>
      <c r="D608" t="s">
        <v>1519</v>
      </c>
      <c r="E608" t="s">
        <v>646</v>
      </c>
      <c r="F608" s="237">
        <v>44816</v>
      </c>
      <c r="G608">
        <v>60</v>
      </c>
      <c r="H608" t="s">
        <v>651</v>
      </c>
      <c r="I608" s="802">
        <f t="shared" si="9"/>
        <v>4037640</v>
      </c>
      <c r="J608" t="s">
        <v>652</v>
      </c>
    </row>
    <row r="609" spans="1:10" x14ac:dyDescent="0.25">
      <c r="A609" t="s">
        <v>642</v>
      </c>
      <c r="B609" t="s">
        <v>643</v>
      </c>
      <c r="C609" t="s">
        <v>644</v>
      </c>
      <c r="D609" t="s">
        <v>1520</v>
      </c>
      <c r="E609" t="s">
        <v>646</v>
      </c>
      <c r="F609" s="237">
        <v>44816</v>
      </c>
      <c r="G609">
        <v>60</v>
      </c>
      <c r="H609" t="s">
        <v>651</v>
      </c>
      <c r="I609" s="802">
        <f t="shared" si="9"/>
        <v>4037640</v>
      </c>
      <c r="J609" t="s">
        <v>1521</v>
      </c>
    </row>
    <row r="610" spans="1:10" x14ac:dyDescent="0.25">
      <c r="A610" t="s">
        <v>642</v>
      </c>
      <c r="B610" t="s">
        <v>643</v>
      </c>
      <c r="C610" t="s">
        <v>644</v>
      </c>
      <c r="D610" t="s">
        <v>1522</v>
      </c>
      <c r="E610" t="s">
        <v>646</v>
      </c>
      <c r="F610" s="237">
        <v>44816</v>
      </c>
      <c r="G610">
        <v>2</v>
      </c>
      <c r="H610" t="s">
        <v>647</v>
      </c>
      <c r="I610" s="802">
        <f t="shared" si="9"/>
        <v>1058000</v>
      </c>
      <c r="J610" t="s">
        <v>671</v>
      </c>
    </row>
    <row r="611" spans="1:10" x14ac:dyDescent="0.25">
      <c r="A611" t="s">
        <v>642</v>
      </c>
      <c r="B611" t="s">
        <v>643</v>
      </c>
      <c r="C611" t="s">
        <v>644</v>
      </c>
      <c r="D611" t="s">
        <v>1525</v>
      </c>
      <c r="E611" t="s">
        <v>646</v>
      </c>
      <c r="F611" s="237">
        <v>44816</v>
      </c>
      <c r="G611">
        <v>2</v>
      </c>
      <c r="H611" t="s">
        <v>647</v>
      </c>
      <c r="I611" s="802">
        <f t="shared" si="9"/>
        <v>1058000</v>
      </c>
      <c r="J611" t="s">
        <v>671</v>
      </c>
    </row>
    <row r="612" spans="1:10" x14ac:dyDescent="0.25">
      <c r="A612" t="s">
        <v>642</v>
      </c>
      <c r="B612" t="s">
        <v>643</v>
      </c>
      <c r="C612" t="s">
        <v>644</v>
      </c>
      <c r="D612" t="s">
        <v>1526</v>
      </c>
      <c r="E612" t="s">
        <v>646</v>
      </c>
      <c r="F612" s="237">
        <v>44816</v>
      </c>
      <c r="G612">
        <v>60</v>
      </c>
      <c r="H612" t="s">
        <v>651</v>
      </c>
      <c r="I612" s="802">
        <f t="shared" si="9"/>
        <v>4037640</v>
      </c>
      <c r="J612" t="s">
        <v>842</v>
      </c>
    </row>
    <row r="613" spans="1:10" x14ac:dyDescent="0.25">
      <c r="A613" t="s">
        <v>642</v>
      </c>
      <c r="B613" t="s">
        <v>643</v>
      </c>
      <c r="C613" t="s">
        <v>644</v>
      </c>
      <c r="D613" t="s">
        <v>1534</v>
      </c>
      <c r="E613" t="s">
        <v>646</v>
      </c>
      <c r="F613" s="237">
        <v>44816</v>
      </c>
      <c r="G613">
        <v>1.1100000000000001</v>
      </c>
      <c r="H613" t="s">
        <v>647</v>
      </c>
      <c r="I613" s="802">
        <f t="shared" si="9"/>
        <v>587190</v>
      </c>
      <c r="J613" t="s">
        <v>648</v>
      </c>
    </row>
    <row r="614" spans="1:10" x14ac:dyDescent="0.25">
      <c r="A614" t="s">
        <v>642</v>
      </c>
      <c r="B614" t="s">
        <v>643</v>
      </c>
      <c r="C614" t="s">
        <v>644</v>
      </c>
      <c r="D614" t="s">
        <v>1535</v>
      </c>
      <c r="E614" t="s">
        <v>646</v>
      </c>
      <c r="F614" s="237">
        <v>44816</v>
      </c>
      <c r="G614">
        <v>2</v>
      </c>
      <c r="H614" t="s">
        <v>647</v>
      </c>
      <c r="I614" s="802">
        <f t="shared" si="9"/>
        <v>1058000</v>
      </c>
      <c r="J614" t="s">
        <v>671</v>
      </c>
    </row>
    <row r="615" spans="1:10" x14ac:dyDescent="0.25">
      <c r="A615" t="s">
        <v>642</v>
      </c>
      <c r="B615" t="s">
        <v>643</v>
      </c>
      <c r="C615" t="s">
        <v>644</v>
      </c>
      <c r="D615" t="s">
        <v>1523</v>
      </c>
      <c r="E615" t="s">
        <v>646</v>
      </c>
      <c r="F615" s="237">
        <v>44815</v>
      </c>
      <c r="G615">
        <v>1.1100000000000001</v>
      </c>
      <c r="H615" t="s">
        <v>647</v>
      </c>
      <c r="I615" s="802">
        <f t="shared" si="9"/>
        <v>587190</v>
      </c>
      <c r="J615" t="s">
        <v>648</v>
      </c>
    </row>
    <row r="616" spans="1:10" x14ac:dyDescent="0.25">
      <c r="A616" t="s">
        <v>642</v>
      </c>
      <c r="B616" t="s">
        <v>643</v>
      </c>
      <c r="C616" t="s">
        <v>644</v>
      </c>
      <c r="D616" t="s">
        <v>1515</v>
      </c>
      <c r="E616" t="s">
        <v>646</v>
      </c>
      <c r="F616" s="237">
        <v>44809</v>
      </c>
      <c r="G616">
        <v>1.1100000000000001</v>
      </c>
      <c r="H616" t="s">
        <v>647</v>
      </c>
      <c r="I616" s="802">
        <f t="shared" si="9"/>
        <v>587190</v>
      </c>
      <c r="J616" t="s">
        <v>648</v>
      </c>
    </row>
    <row r="617" spans="1:10" x14ac:dyDescent="0.25">
      <c r="A617" t="s">
        <v>642</v>
      </c>
      <c r="B617" t="s">
        <v>643</v>
      </c>
      <c r="C617" t="s">
        <v>644</v>
      </c>
      <c r="D617" t="s">
        <v>1536</v>
      </c>
      <c r="E617" t="s">
        <v>646</v>
      </c>
      <c r="F617" s="237">
        <v>44809</v>
      </c>
      <c r="G617">
        <v>1.1100000000000001</v>
      </c>
      <c r="H617" t="s">
        <v>647</v>
      </c>
      <c r="I617" s="802">
        <f t="shared" si="9"/>
        <v>587190</v>
      </c>
      <c r="J617" t="s">
        <v>648</v>
      </c>
    </row>
    <row r="618" spans="1:10" x14ac:dyDescent="0.25">
      <c r="A618" t="s">
        <v>642</v>
      </c>
      <c r="B618" t="s">
        <v>643</v>
      </c>
      <c r="C618" t="s">
        <v>705</v>
      </c>
      <c r="D618" t="s">
        <v>921</v>
      </c>
      <c r="E618" t="s">
        <v>646</v>
      </c>
      <c r="F618" s="237">
        <v>44807</v>
      </c>
      <c r="G618">
        <v>26.73</v>
      </c>
      <c r="H618" t="s">
        <v>647</v>
      </c>
      <c r="I618" s="802">
        <f t="shared" si="9"/>
        <v>14140170</v>
      </c>
      <c r="J618" t="s">
        <v>710</v>
      </c>
    </row>
    <row r="619" spans="1:10" x14ac:dyDescent="0.25">
      <c r="A619" t="s">
        <v>642</v>
      </c>
      <c r="B619" t="s">
        <v>643</v>
      </c>
      <c r="C619" t="s">
        <v>705</v>
      </c>
      <c r="D619" t="s">
        <v>928</v>
      </c>
      <c r="E619" t="s">
        <v>646</v>
      </c>
      <c r="F619" s="237">
        <v>44807</v>
      </c>
      <c r="G619">
        <v>36</v>
      </c>
      <c r="H619" t="s">
        <v>651</v>
      </c>
      <c r="I619" s="802">
        <f t="shared" si="9"/>
        <v>2422584</v>
      </c>
      <c r="J619" t="s">
        <v>784</v>
      </c>
    </row>
    <row r="620" spans="1:10" x14ac:dyDescent="0.25">
      <c r="A620" t="s">
        <v>642</v>
      </c>
      <c r="B620" t="s">
        <v>643</v>
      </c>
      <c r="C620" t="s">
        <v>705</v>
      </c>
      <c r="D620" t="s">
        <v>1114</v>
      </c>
      <c r="E620" t="s">
        <v>646</v>
      </c>
      <c r="F620" s="237">
        <v>44807</v>
      </c>
      <c r="G620">
        <v>26.73</v>
      </c>
      <c r="H620" t="s">
        <v>647</v>
      </c>
      <c r="I620" s="802">
        <f t="shared" si="9"/>
        <v>14140170</v>
      </c>
      <c r="J620" t="s">
        <v>710</v>
      </c>
    </row>
    <row r="621" spans="1:10" x14ac:dyDescent="0.25">
      <c r="A621" t="s">
        <v>642</v>
      </c>
      <c r="B621" t="s">
        <v>643</v>
      </c>
      <c r="C621" t="s">
        <v>644</v>
      </c>
      <c r="D621" t="s">
        <v>1518</v>
      </c>
      <c r="E621" t="s">
        <v>646</v>
      </c>
      <c r="F621" s="237">
        <v>44807</v>
      </c>
      <c r="G621">
        <v>1.1100000000000001</v>
      </c>
      <c r="H621" t="s">
        <v>647</v>
      </c>
      <c r="I621" s="802">
        <f t="shared" si="9"/>
        <v>587190</v>
      </c>
      <c r="J621" t="s">
        <v>648</v>
      </c>
    </row>
    <row r="622" spans="1:10" x14ac:dyDescent="0.25">
      <c r="A622" t="s">
        <v>642</v>
      </c>
      <c r="B622" t="s">
        <v>643</v>
      </c>
      <c r="C622" t="s">
        <v>644</v>
      </c>
      <c r="D622" t="s">
        <v>1528</v>
      </c>
      <c r="E622" t="s">
        <v>646</v>
      </c>
      <c r="F622" s="237">
        <v>44807</v>
      </c>
      <c r="G622">
        <v>2</v>
      </c>
      <c r="H622" t="s">
        <v>647</v>
      </c>
      <c r="I622" s="802">
        <f t="shared" si="9"/>
        <v>1058000</v>
      </c>
      <c r="J622" t="s">
        <v>671</v>
      </c>
    </row>
    <row r="623" spans="1:10" x14ac:dyDescent="0.25">
      <c r="A623" t="s">
        <v>642</v>
      </c>
      <c r="B623" t="s">
        <v>643</v>
      </c>
      <c r="C623" t="s">
        <v>644</v>
      </c>
      <c r="D623" t="s">
        <v>1529</v>
      </c>
      <c r="E623" t="s">
        <v>646</v>
      </c>
      <c r="F623" s="237">
        <v>44807</v>
      </c>
      <c r="G623">
        <v>60</v>
      </c>
      <c r="H623" t="s">
        <v>651</v>
      </c>
      <c r="I623" s="802">
        <f t="shared" si="9"/>
        <v>4037640</v>
      </c>
      <c r="J623" t="s">
        <v>1226</v>
      </c>
    </row>
    <row r="624" spans="1:10" x14ac:dyDescent="0.25">
      <c r="A624" t="s">
        <v>642</v>
      </c>
      <c r="B624" t="s">
        <v>643</v>
      </c>
      <c r="C624" t="s">
        <v>644</v>
      </c>
      <c r="D624" t="s">
        <v>1530</v>
      </c>
      <c r="E624" t="s">
        <v>646</v>
      </c>
      <c r="F624" s="237">
        <v>44807</v>
      </c>
      <c r="G624">
        <v>60</v>
      </c>
      <c r="H624" t="s">
        <v>651</v>
      </c>
      <c r="I624" s="802">
        <f t="shared" si="9"/>
        <v>4037640</v>
      </c>
      <c r="J624" t="s">
        <v>842</v>
      </c>
    </row>
    <row r="625" spans="1:10" x14ac:dyDescent="0.25">
      <c r="A625" t="s">
        <v>642</v>
      </c>
      <c r="B625" t="s">
        <v>643</v>
      </c>
      <c r="C625" t="s">
        <v>644</v>
      </c>
      <c r="D625" t="s">
        <v>1538</v>
      </c>
      <c r="E625" t="s">
        <v>646</v>
      </c>
      <c r="F625" s="237">
        <v>44806</v>
      </c>
      <c r="G625">
        <v>1.1100000000000001</v>
      </c>
      <c r="H625" t="s">
        <v>647</v>
      </c>
      <c r="I625" s="802">
        <f t="shared" si="9"/>
        <v>587190</v>
      </c>
      <c r="J625" t="s">
        <v>648</v>
      </c>
    </row>
    <row r="626" spans="1:10" x14ac:dyDescent="0.25">
      <c r="A626" t="s">
        <v>642</v>
      </c>
      <c r="B626" t="s">
        <v>643</v>
      </c>
      <c r="C626" t="s">
        <v>644</v>
      </c>
      <c r="D626" t="s">
        <v>1394</v>
      </c>
      <c r="E626" t="s">
        <v>646</v>
      </c>
      <c r="F626" s="237">
        <v>44805</v>
      </c>
      <c r="G626">
        <v>1.1100000000000001</v>
      </c>
      <c r="H626" t="s">
        <v>647</v>
      </c>
      <c r="I626" s="802">
        <f t="shared" si="9"/>
        <v>587190</v>
      </c>
      <c r="J626" t="s">
        <v>648</v>
      </c>
    </row>
    <row r="627" spans="1:10" x14ac:dyDescent="0.25">
      <c r="A627" t="s">
        <v>642</v>
      </c>
      <c r="B627" t="s">
        <v>643</v>
      </c>
      <c r="C627" t="s">
        <v>644</v>
      </c>
      <c r="D627" t="s">
        <v>1378</v>
      </c>
      <c r="E627" t="s">
        <v>646</v>
      </c>
      <c r="F627" s="237">
        <v>44802</v>
      </c>
      <c r="G627">
        <v>1.1100000000000001</v>
      </c>
      <c r="H627" t="s">
        <v>647</v>
      </c>
      <c r="I627" s="802">
        <f t="shared" si="9"/>
        <v>587190</v>
      </c>
      <c r="J627" t="s">
        <v>648</v>
      </c>
    </row>
    <row r="628" spans="1:10" x14ac:dyDescent="0.25">
      <c r="A628" t="s">
        <v>642</v>
      </c>
      <c r="B628" t="s">
        <v>643</v>
      </c>
      <c r="C628" t="s">
        <v>705</v>
      </c>
      <c r="D628" t="s">
        <v>994</v>
      </c>
      <c r="E628" t="s">
        <v>646</v>
      </c>
      <c r="F628" s="237">
        <v>44801</v>
      </c>
      <c r="G628">
        <v>60</v>
      </c>
      <c r="H628" t="s">
        <v>651</v>
      </c>
      <c r="I628" s="802">
        <f t="shared" si="9"/>
        <v>4037640</v>
      </c>
      <c r="J628" t="s">
        <v>655</v>
      </c>
    </row>
    <row r="629" spans="1:10" x14ac:dyDescent="0.25">
      <c r="A629" t="s">
        <v>642</v>
      </c>
      <c r="B629" t="s">
        <v>643</v>
      </c>
      <c r="C629" t="s">
        <v>644</v>
      </c>
      <c r="D629" t="s">
        <v>1399</v>
      </c>
      <c r="E629" t="s">
        <v>646</v>
      </c>
      <c r="F629" s="237">
        <v>44792</v>
      </c>
      <c r="G629">
        <v>48</v>
      </c>
      <c r="H629" t="s">
        <v>651</v>
      </c>
      <c r="I629" s="802">
        <f t="shared" si="9"/>
        <v>3230112</v>
      </c>
      <c r="J629" t="s">
        <v>669</v>
      </c>
    </row>
    <row r="630" spans="1:10" x14ac:dyDescent="0.25">
      <c r="A630" t="s">
        <v>642</v>
      </c>
      <c r="B630" t="s">
        <v>643</v>
      </c>
      <c r="C630" t="s">
        <v>644</v>
      </c>
      <c r="D630" t="s">
        <v>1400</v>
      </c>
      <c r="E630" t="s">
        <v>646</v>
      </c>
      <c r="F630" s="237">
        <v>44792</v>
      </c>
      <c r="G630">
        <v>60</v>
      </c>
      <c r="H630" t="s">
        <v>651</v>
      </c>
      <c r="I630" s="802">
        <f t="shared" si="9"/>
        <v>4037640</v>
      </c>
      <c r="J630" t="s">
        <v>777</v>
      </c>
    </row>
    <row r="631" spans="1:10" x14ac:dyDescent="0.25">
      <c r="A631" t="s">
        <v>642</v>
      </c>
      <c r="B631" t="s">
        <v>643</v>
      </c>
      <c r="C631" t="s">
        <v>644</v>
      </c>
      <c r="D631" t="s">
        <v>1401</v>
      </c>
      <c r="E631" t="s">
        <v>646</v>
      </c>
      <c r="F631" s="237">
        <v>44792</v>
      </c>
      <c r="G631">
        <v>2</v>
      </c>
      <c r="H631" t="s">
        <v>647</v>
      </c>
      <c r="I631" s="802">
        <f t="shared" si="9"/>
        <v>1058000</v>
      </c>
      <c r="J631" t="s">
        <v>671</v>
      </c>
    </row>
    <row r="632" spans="1:10" x14ac:dyDescent="0.25">
      <c r="A632" t="s">
        <v>642</v>
      </c>
      <c r="B632" t="s">
        <v>643</v>
      </c>
      <c r="C632" t="s">
        <v>644</v>
      </c>
      <c r="D632" t="s">
        <v>1402</v>
      </c>
      <c r="E632" t="s">
        <v>646</v>
      </c>
      <c r="F632" s="237">
        <v>44792</v>
      </c>
      <c r="G632">
        <v>60</v>
      </c>
      <c r="H632" t="s">
        <v>651</v>
      </c>
      <c r="I632" s="802">
        <f t="shared" si="9"/>
        <v>4037640</v>
      </c>
      <c r="J632" t="s">
        <v>842</v>
      </c>
    </row>
    <row r="633" spans="1:10" x14ac:dyDescent="0.25">
      <c r="A633" t="s">
        <v>642</v>
      </c>
      <c r="B633" t="s">
        <v>643</v>
      </c>
      <c r="C633" t="s">
        <v>644</v>
      </c>
      <c r="D633" t="s">
        <v>1474</v>
      </c>
      <c r="E633" t="s">
        <v>646</v>
      </c>
      <c r="F633" s="237">
        <v>44792</v>
      </c>
      <c r="G633">
        <v>2</v>
      </c>
      <c r="H633" t="s">
        <v>647</v>
      </c>
      <c r="I633" s="802">
        <f t="shared" si="9"/>
        <v>1058000</v>
      </c>
      <c r="J633" t="s">
        <v>671</v>
      </c>
    </row>
    <row r="634" spans="1:10" x14ac:dyDescent="0.25">
      <c r="A634" t="s">
        <v>642</v>
      </c>
      <c r="B634" t="s">
        <v>643</v>
      </c>
      <c r="C634" t="s">
        <v>644</v>
      </c>
      <c r="D634" t="s">
        <v>1489</v>
      </c>
      <c r="E634" t="s">
        <v>646</v>
      </c>
      <c r="F634" s="237">
        <v>44792</v>
      </c>
      <c r="G634">
        <v>1.1100000000000001</v>
      </c>
      <c r="H634" t="s">
        <v>647</v>
      </c>
      <c r="I634" s="802">
        <f t="shared" si="9"/>
        <v>587190</v>
      </c>
      <c r="J634" t="s">
        <v>648</v>
      </c>
    </row>
    <row r="635" spans="1:10" x14ac:dyDescent="0.25">
      <c r="A635" t="s">
        <v>642</v>
      </c>
      <c r="B635" t="s">
        <v>643</v>
      </c>
      <c r="C635" t="s">
        <v>644</v>
      </c>
      <c r="D635" t="s">
        <v>1386</v>
      </c>
      <c r="E635" t="s">
        <v>646</v>
      </c>
      <c r="F635" s="237">
        <v>44791</v>
      </c>
      <c r="G635">
        <v>1.1100000000000001</v>
      </c>
      <c r="H635" t="s">
        <v>647</v>
      </c>
      <c r="I635" s="802">
        <f t="shared" si="9"/>
        <v>587190</v>
      </c>
      <c r="J635" t="s">
        <v>648</v>
      </c>
    </row>
    <row r="636" spans="1:10" x14ac:dyDescent="0.25">
      <c r="A636" t="s">
        <v>642</v>
      </c>
      <c r="B636" t="s">
        <v>643</v>
      </c>
      <c r="C636" t="s">
        <v>644</v>
      </c>
      <c r="D636" t="s">
        <v>1406</v>
      </c>
      <c r="E636" t="s">
        <v>646</v>
      </c>
      <c r="F636" s="237">
        <v>44791</v>
      </c>
      <c r="G636">
        <v>1.1100000000000001</v>
      </c>
      <c r="H636" t="s">
        <v>647</v>
      </c>
      <c r="I636" s="802">
        <f t="shared" si="9"/>
        <v>587190</v>
      </c>
      <c r="J636" t="s">
        <v>648</v>
      </c>
    </row>
    <row r="637" spans="1:10" x14ac:dyDescent="0.25">
      <c r="A637" t="s">
        <v>642</v>
      </c>
      <c r="B637" t="s">
        <v>643</v>
      </c>
      <c r="C637" t="s">
        <v>644</v>
      </c>
      <c r="D637" t="s">
        <v>1472</v>
      </c>
      <c r="E637" t="s">
        <v>646</v>
      </c>
      <c r="F637" s="237">
        <v>44788</v>
      </c>
      <c r="G637">
        <v>1.1100000000000001</v>
      </c>
      <c r="H637" t="s">
        <v>647</v>
      </c>
      <c r="I637" s="802">
        <f t="shared" si="9"/>
        <v>587190</v>
      </c>
      <c r="J637" t="s">
        <v>648</v>
      </c>
    </row>
    <row r="638" spans="1:10" x14ac:dyDescent="0.25">
      <c r="A638" t="s">
        <v>642</v>
      </c>
      <c r="B638" t="s">
        <v>643</v>
      </c>
      <c r="C638" t="s">
        <v>644</v>
      </c>
      <c r="D638" t="s">
        <v>1498</v>
      </c>
      <c r="E638" t="s">
        <v>646</v>
      </c>
      <c r="F638" s="237">
        <v>44785</v>
      </c>
      <c r="G638">
        <v>2</v>
      </c>
      <c r="H638" t="s">
        <v>647</v>
      </c>
      <c r="I638" s="802">
        <f t="shared" si="9"/>
        <v>1058000</v>
      </c>
      <c r="J638" t="s">
        <v>671</v>
      </c>
    </row>
    <row r="639" spans="1:10" x14ac:dyDescent="0.25">
      <c r="A639" t="s">
        <v>642</v>
      </c>
      <c r="B639" t="s">
        <v>643</v>
      </c>
      <c r="C639" t="s">
        <v>644</v>
      </c>
      <c r="D639" t="s">
        <v>1504</v>
      </c>
      <c r="E639" t="s">
        <v>646</v>
      </c>
      <c r="F639" s="237">
        <v>44784</v>
      </c>
      <c r="G639">
        <v>1.1100000000000001</v>
      </c>
      <c r="H639" t="s">
        <v>647</v>
      </c>
      <c r="I639" s="802">
        <f t="shared" si="9"/>
        <v>587190</v>
      </c>
      <c r="J639" t="s">
        <v>648</v>
      </c>
    </row>
    <row r="640" spans="1:10" x14ac:dyDescent="0.25">
      <c r="A640" t="s">
        <v>642</v>
      </c>
      <c r="B640" t="s">
        <v>643</v>
      </c>
      <c r="C640" t="s">
        <v>644</v>
      </c>
      <c r="D640" t="s">
        <v>1384</v>
      </c>
      <c r="E640" t="s">
        <v>646</v>
      </c>
      <c r="F640" s="237">
        <v>44781</v>
      </c>
      <c r="G640">
        <v>1.1100000000000001</v>
      </c>
      <c r="H640" t="s">
        <v>647</v>
      </c>
      <c r="I640" s="802">
        <f t="shared" si="9"/>
        <v>587190</v>
      </c>
      <c r="J640" t="s">
        <v>648</v>
      </c>
    </row>
    <row r="641" spans="1:10" x14ac:dyDescent="0.25">
      <c r="A641" t="s">
        <v>642</v>
      </c>
      <c r="B641" t="s">
        <v>643</v>
      </c>
      <c r="C641" t="s">
        <v>644</v>
      </c>
      <c r="D641" t="s">
        <v>1492</v>
      </c>
      <c r="E641" t="s">
        <v>646</v>
      </c>
      <c r="F641" s="237">
        <v>44781</v>
      </c>
      <c r="G641">
        <v>1.1100000000000001</v>
      </c>
      <c r="H641" t="s">
        <v>647</v>
      </c>
      <c r="I641" s="802">
        <f t="shared" si="9"/>
        <v>587190</v>
      </c>
      <c r="J641" t="s">
        <v>648</v>
      </c>
    </row>
    <row r="642" spans="1:10" x14ac:dyDescent="0.25">
      <c r="A642" t="s">
        <v>642</v>
      </c>
      <c r="B642" t="s">
        <v>643</v>
      </c>
      <c r="C642" t="s">
        <v>644</v>
      </c>
      <c r="D642" t="s">
        <v>1516</v>
      </c>
      <c r="E642" t="s">
        <v>646</v>
      </c>
      <c r="F642" s="237">
        <v>44781</v>
      </c>
      <c r="G642">
        <v>2</v>
      </c>
      <c r="H642" t="s">
        <v>647</v>
      </c>
      <c r="I642" s="802">
        <f t="shared" si="9"/>
        <v>1058000</v>
      </c>
      <c r="J642" t="s">
        <v>671</v>
      </c>
    </row>
    <row r="643" spans="1:10" x14ac:dyDescent="0.25">
      <c r="A643" t="s">
        <v>642</v>
      </c>
      <c r="B643" t="s">
        <v>643</v>
      </c>
      <c r="C643" t="s">
        <v>644</v>
      </c>
      <c r="D643" t="s">
        <v>1517</v>
      </c>
      <c r="E643" t="s">
        <v>646</v>
      </c>
      <c r="F643" s="237">
        <v>44781</v>
      </c>
      <c r="G643">
        <v>2</v>
      </c>
      <c r="H643" t="s">
        <v>647</v>
      </c>
      <c r="I643" s="802">
        <f t="shared" ref="I643:I706" si="10">+IF(H643="IMM",+G643*529000,+G643*67294)</f>
        <v>1058000</v>
      </c>
      <c r="J643" t="s">
        <v>671</v>
      </c>
    </row>
    <row r="644" spans="1:10" x14ac:dyDescent="0.25">
      <c r="A644" t="s">
        <v>642</v>
      </c>
      <c r="B644" t="s">
        <v>643</v>
      </c>
      <c r="C644" t="s">
        <v>644</v>
      </c>
      <c r="D644" t="s">
        <v>1502</v>
      </c>
      <c r="E644" t="s">
        <v>646</v>
      </c>
      <c r="F644" s="237">
        <v>44780</v>
      </c>
      <c r="G644">
        <v>1.1100000000000001</v>
      </c>
      <c r="H644" t="s">
        <v>647</v>
      </c>
      <c r="I644" s="802">
        <f t="shared" si="10"/>
        <v>587190</v>
      </c>
      <c r="J644" t="s">
        <v>648</v>
      </c>
    </row>
    <row r="645" spans="1:10" x14ac:dyDescent="0.25">
      <c r="A645" t="s">
        <v>642</v>
      </c>
      <c r="B645" t="s">
        <v>643</v>
      </c>
      <c r="C645" t="s">
        <v>644</v>
      </c>
      <c r="D645" t="s">
        <v>1383</v>
      </c>
      <c r="E645" t="s">
        <v>646</v>
      </c>
      <c r="F645" s="237">
        <v>44777</v>
      </c>
      <c r="G645">
        <v>1.1100000000000001</v>
      </c>
      <c r="H645" t="s">
        <v>647</v>
      </c>
      <c r="I645" s="802">
        <f t="shared" si="10"/>
        <v>587190</v>
      </c>
      <c r="J645" t="s">
        <v>648</v>
      </c>
    </row>
    <row r="646" spans="1:10" x14ac:dyDescent="0.25">
      <c r="A646" t="s">
        <v>642</v>
      </c>
      <c r="B646" t="s">
        <v>643</v>
      </c>
      <c r="C646" t="s">
        <v>644</v>
      </c>
      <c r="D646" t="s">
        <v>1410</v>
      </c>
      <c r="E646" t="s">
        <v>646</v>
      </c>
      <c r="F646" s="237">
        <v>44775</v>
      </c>
      <c r="G646">
        <v>60</v>
      </c>
      <c r="H646" t="s">
        <v>651</v>
      </c>
      <c r="I646" s="802">
        <f t="shared" si="10"/>
        <v>4037640</v>
      </c>
      <c r="J646" t="s">
        <v>1331</v>
      </c>
    </row>
    <row r="647" spans="1:10" x14ac:dyDescent="0.25">
      <c r="A647" t="s">
        <v>642</v>
      </c>
      <c r="B647" t="s">
        <v>643</v>
      </c>
      <c r="C647" t="s">
        <v>644</v>
      </c>
      <c r="D647" t="s">
        <v>1512</v>
      </c>
      <c r="E647" t="s">
        <v>646</v>
      </c>
      <c r="F647" s="237">
        <v>44774</v>
      </c>
      <c r="G647">
        <v>1.1100000000000001</v>
      </c>
      <c r="H647" t="s">
        <v>647</v>
      </c>
      <c r="I647" s="802">
        <f t="shared" si="10"/>
        <v>587190</v>
      </c>
      <c r="J647" t="s">
        <v>648</v>
      </c>
    </row>
    <row r="648" spans="1:10" x14ac:dyDescent="0.25">
      <c r="A648" t="s">
        <v>642</v>
      </c>
      <c r="B648" t="s">
        <v>643</v>
      </c>
      <c r="C648" t="s">
        <v>644</v>
      </c>
      <c r="D648" t="s">
        <v>1513</v>
      </c>
      <c r="E648" t="s">
        <v>646</v>
      </c>
      <c r="F648" s="237">
        <v>44774</v>
      </c>
      <c r="G648">
        <v>2</v>
      </c>
      <c r="H648" t="s">
        <v>647</v>
      </c>
      <c r="I648" s="802">
        <f t="shared" si="10"/>
        <v>1058000</v>
      </c>
      <c r="J648" t="s">
        <v>671</v>
      </c>
    </row>
    <row r="649" spans="1:10" x14ac:dyDescent="0.25">
      <c r="A649" t="s">
        <v>642</v>
      </c>
      <c r="B649" t="s">
        <v>643</v>
      </c>
      <c r="C649" t="s">
        <v>705</v>
      </c>
      <c r="D649" t="s">
        <v>922</v>
      </c>
      <c r="E649" t="s">
        <v>646</v>
      </c>
      <c r="F649" s="237">
        <v>44773</v>
      </c>
      <c r="G649">
        <v>60</v>
      </c>
      <c r="H649" t="s">
        <v>651</v>
      </c>
      <c r="I649" s="802">
        <f t="shared" si="10"/>
        <v>4037640</v>
      </c>
      <c r="J649" t="s">
        <v>851</v>
      </c>
    </row>
    <row r="650" spans="1:10" x14ac:dyDescent="0.25">
      <c r="A650" t="s">
        <v>642</v>
      </c>
      <c r="B650" t="s">
        <v>643</v>
      </c>
      <c r="C650" t="s">
        <v>705</v>
      </c>
      <c r="D650" t="s">
        <v>923</v>
      </c>
      <c r="E650" t="s">
        <v>646</v>
      </c>
      <c r="F650" s="237">
        <v>44773</v>
      </c>
      <c r="G650">
        <v>6</v>
      </c>
      <c r="H650" t="s">
        <v>651</v>
      </c>
      <c r="I650" s="802">
        <f t="shared" si="10"/>
        <v>403764</v>
      </c>
      <c r="J650" t="s">
        <v>924</v>
      </c>
    </row>
    <row r="651" spans="1:10" x14ac:dyDescent="0.25">
      <c r="A651" t="s">
        <v>642</v>
      </c>
      <c r="B651" t="s">
        <v>643</v>
      </c>
      <c r="C651" t="s">
        <v>705</v>
      </c>
      <c r="D651" t="s">
        <v>925</v>
      </c>
      <c r="E651" t="s">
        <v>646</v>
      </c>
      <c r="F651" s="237">
        <v>44773</v>
      </c>
      <c r="G651">
        <v>60</v>
      </c>
      <c r="H651" t="s">
        <v>651</v>
      </c>
      <c r="I651" s="802">
        <f t="shared" si="10"/>
        <v>4037640</v>
      </c>
      <c r="J651" t="s">
        <v>752</v>
      </c>
    </row>
    <row r="652" spans="1:10" x14ac:dyDescent="0.25">
      <c r="A652" t="s">
        <v>642</v>
      </c>
      <c r="B652" t="s">
        <v>643</v>
      </c>
      <c r="C652" t="s">
        <v>644</v>
      </c>
      <c r="D652" t="s">
        <v>1501</v>
      </c>
      <c r="E652" t="s">
        <v>646</v>
      </c>
      <c r="F652" s="237">
        <v>44773</v>
      </c>
      <c r="G652">
        <v>1.1100000000000001</v>
      </c>
      <c r="H652" t="s">
        <v>647</v>
      </c>
      <c r="I652" s="802">
        <f t="shared" si="10"/>
        <v>587190</v>
      </c>
      <c r="J652" t="s">
        <v>648</v>
      </c>
    </row>
    <row r="653" spans="1:10" x14ac:dyDescent="0.25">
      <c r="A653" t="s">
        <v>642</v>
      </c>
      <c r="B653" t="s">
        <v>643</v>
      </c>
      <c r="C653" t="s">
        <v>644</v>
      </c>
      <c r="D653" t="s">
        <v>1503</v>
      </c>
      <c r="E653" t="s">
        <v>646</v>
      </c>
      <c r="F653" s="237">
        <v>44773</v>
      </c>
      <c r="G653">
        <v>1.1100000000000001</v>
      </c>
      <c r="H653" t="s">
        <v>647</v>
      </c>
      <c r="I653" s="802">
        <f t="shared" si="10"/>
        <v>587190</v>
      </c>
      <c r="J653" t="s">
        <v>648</v>
      </c>
    </row>
    <row r="654" spans="1:10" x14ac:dyDescent="0.25">
      <c r="A654" t="s">
        <v>642</v>
      </c>
      <c r="B654" t="s">
        <v>643</v>
      </c>
      <c r="C654" t="s">
        <v>644</v>
      </c>
      <c r="D654" t="s">
        <v>1507</v>
      </c>
      <c r="E654" t="s">
        <v>646</v>
      </c>
      <c r="F654" s="237">
        <v>44773</v>
      </c>
      <c r="G654">
        <v>1.1100000000000001</v>
      </c>
      <c r="H654" t="s">
        <v>647</v>
      </c>
      <c r="I654" s="802">
        <f t="shared" si="10"/>
        <v>587190</v>
      </c>
      <c r="J654" t="s">
        <v>648</v>
      </c>
    </row>
    <row r="655" spans="1:10" x14ac:dyDescent="0.25">
      <c r="A655" t="s">
        <v>642</v>
      </c>
      <c r="B655" t="s">
        <v>643</v>
      </c>
      <c r="C655" t="s">
        <v>644</v>
      </c>
      <c r="D655" t="s">
        <v>1508</v>
      </c>
      <c r="E655" t="s">
        <v>646</v>
      </c>
      <c r="F655" s="237">
        <v>44773</v>
      </c>
      <c r="G655">
        <v>1.1100000000000001</v>
      </c>
      <c r="H655" t="s">
        <v>647</v>
      </c>
      <c r="I655" s="802">
        <f t="shared" si="10"/>
        <v>587190</v>
      </c>
      <c r="J655" t="s">
        <v>648</v>
      </c>
    </row>
    <row r="656" spans="1:10" x14ac:dyDescent="0.25">
      <c r="A656" t="s">
        <v>642</v>
      </c>
      <c r="B656" t="s">
        <v>643</v>
      </c>
      <c r="C656" t="s">
        <v>644</v>
      </c>
      <c r="D656" t="s">
        <v>1506</v>
      </c>
      <c r="E656" t="s">
        <v>646</v>
      </c>
      <c r="F656" s="237">
        <v>44771</v>
      </c>
      <c r="G656">
        <v>1.1100000000000001</v>
      </c>
      <c r="H656" t="s">
        <v>647</v>
      </c>
      <c r="I656" s="802">
        <f t="shared" si="10"/>
        <v>587190</v>
      </c>
      <c r="J656" t="s">
        <v>648</v>
      </c>
    </row>
    <row r="657" spans="1:10" x14ac:dyDescent="0.25">
      <c r="A657" t="s">
        <v>642</v>
      </c>
      <c r="B657" t="s">
        <v>643</v>
      </c>
      <c r="C657" t="s">
        <v>644</v>
      </c>
      <c r="D657" t="s">
        <v>1398</v>
      </c>
      <c r="E657" t="s">
        <v>646</v>
      </c>
      <c r="F657" s="237">
        <v>44767</v>
      </c>
      <c r="G657">
        <v>1.1100000000000001</v>
      </c>
      <c r="H657" t="s">
        <v>647</v>
      </c>
      <c r="I657" s="802">
        <f t="shared" si="10"/>
        <v>587190</v>
      </c>
      <c r="J657" t="s">
        <v>648</v>
      </c>
    </row>
    <row r="658" spans="1:10" x14ac:dyDescent="0.25">
      <c r="A658" t="s">
        <v>642</v>
      </c>
      <c r="B658" t="s">
        <v>643</v>
      </c>
      <c r="C658" t="s">
        <v>644</v>
      </c>
      <c r="D658" t="s">
        <v>1478</v>
      </c>
      <c r="E658" t="s">
        <v>646</v>
      </c>
      <c r="F658" s="237">
        <v>44767</v>
      </c>
      <c r="G658">
        <v>1.1100000000000001</v>
      </c>
      <c r="H658" t="s">
        <v>647</v>
      </c>
      <c r="I658" s="802">
        <f t="shared" si="10"/>
        <v>587190</v>
      </c>
      <c r="J658" t="s">
        <v>648</v>
      </c>
    </row>
    <row r="659" spans="1:10" x14ac:dyDescent="0.25">
      <c r="A659" t="s">
        <v>642</v>
      </c>
      <c r="B659" t="s">
        <v>643</v>
      </c>
      <c r="C659" t="s">
        <v>644</v>
      </c>
      <c r="D659" t="s">
        <v>1499</v>
      </c>
      <c r="E659" t="s">
        <v>646</v>
      </c>
      <c r="F659" s="237">
        <v>44766</v>
      </c>
      <c r="G659">
        <v>1.1100000000000001</v>
      </c>
      <c r="H659" t="s">
        <v>647</v>
      </c>
      <c r="I659" s="802">
        <f t="shared" si="10"/>
        <v>587190</v>
      </c>
      <c r="J659" t="s">
        <v>648</v>
      </c>
    </row>
    <row r="660" spans="1:10" x14ac:dyDescent="0.25">
      <c r="A660" t="s">
        <v>642</v>
      </c>
      <c r="B660" t="s">
        <v>643</v>
      </c>
      <c r="C660" t="s">
        <v>644</v>
      </c>
      <c r="D660" t="s">
        <v>1514</v>
      </c>
      <c r="E660" t="s">
        <v>646</v>
      </c>
      <c r="F660" s="237">
        <v>44765</v>
      </c>
      <c r="G660">
        <v>1.1100000000000001</v>
      </c>
      <c r="H660" t="s">
        <v>647</v>
      </c>
      <c r="I660" s="802">
        <f t="shared" si="10"/>
        <v>587190</v>
      </c>
      <c r="J660" t="s">
        <v>648</v>
      </c>
    </row>
    <row r="661" spans="1:10" x14ac:dyDescent="0.25">
      <c r="A661" t="s">
        <v>642</v>
      </c>
      <c r="B661" t="s">
        <v>643</v>
      </c>
      <c r="C661" t="s">
        <v>644</v>
      </c>
      <c r="D661" t="s">
        <v>1484</v>
      </c>
      <c r="E661" t="s">
        <v>646</v>
      </c>
      <c r="F661" s="237">
        <v>44763</v>
      </c>
      <c r="G661">
        <v>1.1100000000000001</v>
      </c>
      <c r="H661" t="s">
        <v>647</v>
      </c>
      <c r="I661" s="802">
        <f t="shared" si="10"/>
        <v>587190</v>
      </c>
      <c r="J661" t="s">
        <v>648</v>
      </c>
    </row>
    <row r="662" spans="1:10" x14ac:dyDescent="0.25">
      <c r="A662" t="s">
        <v>642</v>
      </c>
      <c r="B662" t="s">
        <v>643</v>
      </c>
      <c r="C662" t="s">
        <v>644</v>
      </c>
      <c r="D662" t="s">
        <v>1403</v>
      </c>
      <c r="E662" t="s">
        <v>646</v>
      </c>
      <c r="F662" s="237">
        <v>44760</v>
      </c>
      <c r="G662">
        <v>1.1100000000000001</v>
      </c>
      <c r="H662" t="s">
        <v>647</v>
      </c>
      <c r="I662" s="802">
        <f t="shared" si="10"/>
        <v>587190</v>
      </c>
      <c r="J662" t="s">
        <v>648</v>
      </c>
    </row>
    <row r="663" spans="1:10" x14ac:dyDescent="0.25">
      <c r="A663" t="s">
        <v>642</v>
      </c>
      <c r="B663" t="s">
        <v>643</v>
      </c>
      <c r="C663" t="s">
        <v>644</v>
      </c>
      <c r="D663" t="s">
        <v>1493</v>
      </c>
      <c r="E663" t="s">
        <v>646</v>
      </c>
      <c r="F663" s="237">
        <v>44760</v>
      </c>
      <c r="G663">
        <v>2</v>
      </c>
      <c r="H663" t="s">
        <v>647</v>
      </c>
      <c r="I663" s="802">
        <f t="shared" si="10"/>
        <v>1058000</v>
      </c>
      <c r="J663" t="s">
        <v>671</v>
      </c>
    </row>
    <row r="664" spans="1:10" x14ac:dyDescent="0.25">
      <c r="A664" t="s">
        <v>642</v>
      </c>
      <c r="B664" t="s">
        <v>643</v>
      </c>
      <c r="C664" t="s">
        <v>644</v>
      </c>
      <c r="D664" t="s">
        <v>1408</v>
      </c>
      <c r="E664" t="s">
        <v>646</v>
      </c>
      <c r="F664" s="237">
        <v>44759</v>
      </c>
      <c r="G664">
        <v>1.1100000000000001</v>
      </c>
      <c r="H664" t="s">
        <v>647</v>
      </c>
      <c r="I664" s="802">
        <f t="shared" si="10"/>
        <v>587190</v>
      </c>
      <c r="J664" t="s">
        <v>648</v>
      </c>
    </row>
    <row r="665" spans="1:10" x14ac:dyDescent="0.25">
      <c r="A665" t="s">
        <v>642</v>
      </c>
      <c r="B665" t="s">
        <v>643</v>
      </c>
      <c r="C665" t="s">
        <v>644</v>
      </c>
      <c r="D665" t="s">
        <v>1494</v>
      </c>
      <c r="E665" t="s">
        <v>646</v>
      </c>
      <c r="F665" s="237">
        <v>44759</v>
      </c>
      <c r="G665">
        <v>0.67</v>
      </c>
      <c r="H665" t="s">
        <v>647</v>
      </c>
      <c r="I665" s="802">
        <f t="shared" si="10"/>
        <v>354430</v>
      </c>
      <c r="J665" t="s">
        <v>648</v>
      </c>
    </row>
    <row r="666" spans="1:10" x14ac:dyDescent="0.25">
      <c r="A666" t="s">
        <v>642</v>
      </c>
      <c r="B666" t="s">
        <v>643</v>
      </c>
      <c r="C666" t="s">
        <v>644</v>
      </c>
      <c r="D666" t="s">
        <v>1495</v>
      </c>
      <c r="E666" t="s">
        <v>646</v>
      </c>
      <c r="F666" s="237">
        <v>44759</v>
      </c>
      <c r="G666">
        <v>2</v>
      </c>
      <c r="H666" t="s">
        <v>647</v>
      </c>
      <c r="I666" s="802">
        <f t="shared" si="10"/>
        <v>1058000</v>
      </c>
      <c r="J666" t="s">
        <v>671</v>
      </c>
    </row>
    <row r="667" spans="1:10" x14ac:dyDescent="0.25">
      <c r="A667" t="s">
        <v>642</v>
      </c>
      <c r="B667" t="s">
        <v>643</v>
      </c>
      <c r="C667" t="s">
        <v>644</v>
      </c>
      <c r="D667" t="s">
        <v>1500</v>
      </c>
      <c r="E667" t="s">
        <v>646</v>
      </c>
      <c r="F667" s="237">
        <v>44759</v>
      </c>
      <c r="G667">
        <v>1.1100000000000001</v>
      </c>
      <c r="H667" t="s">
        <v>647</v>
      </c>
      <c r="I667" s="802">
        <f t="shared" si="10"/>
        <v>587190</v>
      </c>
      <c r="J667" t="s">
        <v>648</v>
      </c>
    </row>
    <row r="668" spans="1:10" x14ac:dyDescent="0.25">
      <c r="A668" t="s">
        <v>642</v>
      </c>
      <c r="B668" t="s">
        <v>643</v>
      </c>
      <c r="C668" t="s">
        <v>644</v>
      </c>
      <c r="D668" t="s">
        <v>1405</v>
      </c>
      <c r="E668" t="s">
        <v>646</v>
      </c>
      <c r="F668" s="237">
        <v>44756</v>
      </c>
      <c r="G668">
        <v>1.1100000000000001</v>
      </c>
      <c r="H668" t="s">
        <v>647</v>
      </c>
      <c r="I668" s="802">
        <f t="shared" si="10"/>
        <v>587190</v>
      </c>
      <c r="J668" t="s">
        <v>648</v>
      </c>
    </row>
    <row r="669" spans="1:10" x14ac:dyDescent="0.25">
      <c r="A669" t="s">
        <v>642</v>
      </c>
      <c r="B669" t="s">
        <v>643</v>
      </c>
      <c r="C669" t="s">
        <v>644</v>
      </c>
      <c r="D669" t="s">
        <v>1509</v>
      </c>
      <c r="E669" t="s">
        <v>646</v>
      </c>
      <c r="F669" s="237">
        <v>44753</v>
      </c>
      <c r="G669">
        <v>1.1100000000000001</v>
      </c>
      <c r="H669" t="s">
        <v>647</v>
      </c>
      <c r="I669" s="802">
        <f t="shared" si="10"/>
        <v>587190</v>
      </c>
      <c r="J669" t="s">
        <v>648</v>
      </c>
    </row>
    <row r="670" spans="1:10" x14ac:dyDescent="0.25">
      <c r="A670" t="s">
        <v>642</v>
      </c>
      <c r="B670" t="s">
        <v>643</v>
      </c>
      <c r="C670" t="s">
        <v>644</v>
      </c>
      <c r="D670" t="s">
        <v>1510</v>
      </c>
      <c r="E670" t="s">
        <v>646</v>
      </c>
      <c r="F670" s="237">
        <v>44753</v>
      </c>
      <c r="G670">
        <v>1.1100000000000001</v>
      </c>
      <c r="H670" t="s">
        <v>647</v>
      </c>
      <c r="I670" s="802">
        <f t="shared" si="10"/>
        <v>587190</v>
      </c>
      <c r="J670" t="s">
        <v>648</v>
      </c>
    </row>
    <row r="671" spans="1:10" x14ac:dyDescent="0.25">
      <c r="A671" t="s">
        <v>642</v>
      </c>
      <c r="B671" t="s">
        <v>643</v>
      </c>
      <c r="C671" t="s">
        <v>644</v>
      </c>
      <c r="D671" t="s">
        <v>1511</v>
      </c>
      <c r="E671" t="s">
        <v>646</v>
      </c>
      <c r="F671" s="237">
        <v>44753</v>
      </c>
      <c r="G671">
        <v>1.1100000000000001</v>
      </c>
      <c r="H671" t="s">
        <v>647</v>
      </c>
      <c r="I671" s="802">
        <f t="shared" si="10"/>
        <v>587190</v>
      </c>
      <c r="J671" t="s">
        <v>648</v>
      </c>
    </row>
    <row r="672" spans="1:10" x14ac:dyDescent="0.25">
      <c r="A672" t="s">
        <v>642</v>
      </c>
      <c r="B672" t="s">
        <v>643</v>
      </c>
      <c r="C672" t="s">
        <v>644</v>
      </c>
      <c r="D672" t="s">
        <v>1490</v>
      </c>
      <c r="E672" t="s">
        <v>646</v>
      </c>
      <c r="F672" s="237">
        <v>44752</v>
      </c>
      <c r="G672">
        <v>1.1100000000000001</v>
      </c>
      <c r="H672" t="s">
        <v>647</v>
      </c>
      <c r="I672" s="802">
        <f t="shared" si="10"/>
        <v>587190</v>
      </c>
      <c r="J672" t="s">
        <v>648</v>
      </c>
    </row>
    <row r="673" spans="1:10" x14ac:dyDescent="0.25">
      <c r="A673" t="s">
        <v>642</v>
      </c>
      <c r="B673" t="s">
        <v>643</v>
      </c>
      <c r="C673" t="s">
        <v>644</v>
      </c>
      <c r="D673" t="s">
        <v>1396</v>
      </c>
      <c r="E673" t="s">
        <v>646</v>
      </c>
      <c r="F673" s="237">
        <v>44751</v>
      </c>
      <c r="G673">
        <v>1.1100000000000001</v>
      </c>
      <c r="H673" t="s">
        <v>647</v>
      </c>
      <c r="I673" s="802">
        <f t="shared" si="10"/>
        <v>587190</v>
      </c>
      <c r="J673" t="s">
        <v>648</v>
      </c>
    </row>
    <row r="674" spans="1:10" x14ac:dyDescent="0.25">
      <c r="A674" t="s">
        <v>642</v>
      </c>
      <c r="B674" t="s">
        <v>643</v>
      </c>
      <c r="C674" t="s">
        <v>644</v>
      </c>
      <c r="D674" t="s">
        <v>1397</v>
      </c>
      <c r="E674" t="s">
        <v>646</v>
      </c>
      <c r="F674" s="237">
        <v>44751</v>
      </c>
      <c r="G674">
        <v>2</v>
      </c>
      <c r="H674" t="s">
        <v>647</v>
      </c>
      <c r="I674" s="802">
        <f t="shared" si="10"/>
        <v>1058000</v>
      </c>
      <c r="J674" t="s">
        <v>671</v>
      </c>
    </row>
    <row r="675" spans="1:10" x14ac:dyDescent="0.25">
      <c r="A675" t="s">
        <v>642</v>
      </c>
      <c r="B675" t="s">
        <v>643</v>
      </c>
      <c r="C675" t="s">
        <v>644</v>
      </c>
      <c r="D675" t="s">
        <v>1404</v>
      </c>
      <c r="E675" t="s">
        <v>646</v>
      </c>
      <c r="F675" s="237">
        <v>44750</v>
      </c>
      <c r="G675">
        <v>1.1100000000000001</v>
      </c>
      <c r="H675" t="s">
        <v>647</v>
      </c>
      <c r="I675" s="802">
        <f t="shared" si="10"/>
        <v>587190</v>
      </c>
      <c r="J675" t="s">
        <v>648</v>
      </c>
    </row>
    <row r="676" spans="1:10" x14ac:dyDescent="0.25">
      <c r="A676" t="s">
        <v>642</v>
      </c>
      <c r="B676" t="s">
        <v>643</v>
      </c>
      <c r="C676" t="s">
        <v>705</v>
      </c>
      <c r="D676" t="s">
        <v>837</v>
      </c>
      <c r="E676" t="s">
        <v>646</v>
      </c>
      <c r="F676" s="237">
        <v>44746</v>
      </c>
      <c r="G676">
        <v>60</v>
      </c>
      <c r="H676" t="s">
        <v>651</v>
      </c>
      <c r="I676" s="802">
        <f t="shared" si="10"/>
        <v>4037640</v>
      </c>
      <c r="J676" t="s">
        <v>731</v>
      </c>
    </row>
    <row r="677" spans="1:10" x14ac:dyDescent="0.25">
      <c r="A677" t="s">
        <v>642</v>
      </c>
      <c r="B677" t="s">
        <v>643</v>
      </c>
      <c r="C677" t="s">
        <v>705</v>
      </c>
      <c r="D677" t="s">
        <v>838</v>
      </c>
      <c r="E677" t="s">
        <v>646</v>
      </c>
      <c r="F677" s="237">
        <v>44746</v>
      </c>
      <c r="G677">
        <v>26.73</v>
      </c>
      <c r="H677" t="s">
        <v>647</v>
      </c>
      <c r="I677" s="802">
        <f t="shared" si="10"/>
        <v>14140170</v>
      </c>
      <c r="J677" t="s">
        <v>710</v>
      </c>
    </row>
    <row r="678" spans="1:10" x14ac:dyDescent="0.25">
      <c r="A678" t="s">
        <v>642</v>
      </c>
      <c r="B678" t="s">
        <v>643</v>
      </c>
      <c r="C678" t="s">
        <v>705</v>
      </c>
      <c r="D678" t="s">
        <v>839</v>
      </c>
      <c r="E678" t="s">
        <v>646</v>
      </c>
      <c r="F678" s="237">
        <v>44746</v>
      </c>
      <c r="G678">
        <v>60</v>
      </c>
      <c r="H678" t="s">
        <v>651</v>
      </c>
      <c r="I678" s="802">
        <f t="shared" si="10"/>
        <v>4037640</v>
      </c>
      <c r="J678" t="s">
        <v>840</v>
      </c>
    </row>
    <row r="679" spans="1:10" x14ac:dyDescent="0.25">
      <c r="A679" t="s">
        <v>642</v>
      </c>
      <c r="B679" t="s">
        <v>643</v>
      </c>
      <c r="C679" t="s">
        <v>644</v>
      </c>
      <c r="D679" t="s">
        <v>1389</v>
      </c>
      <c r="E679" t="s">
        <v>646</v>
      </c>
      <c r="F679" s="237">
        <v>44746</v>
      </c>
      <c r="G679">
        <v>60</v>
      </c>
      <c r="H679" t="s">
        <v>651</v>
      </c>
      <c r="I679" s="802">
        <f t="shared" si="10"/>
        <v>4037640</v>
      </c>
      <c r="J679" t="s">
        <v>842</v>
      </c>
    </row>
    <row r="680" spans="1:10" x14ac:dyDescent="0.25">
      <c r="A680" t="s">
        <v>642</v>
      </c>
      <c r="B680" t="s">
        <v>643</v>
      </c>
      <c r="C680" t="s">
        <v>644</v>
      </c>
      <c r="D680" t="s">
        <v>1486</v>
      </c>
      <c r="E680" t="s">
        <v>646</v>
      </c>
      <c r="F680" s="237">
        <v>44746</v>
      </c>
      <c r="G680">
        <v>1.1100000000000001</v>
      </c>
      <c r="H680" t="s">
        <v>647</v>
      </c>
      <c r="I680" s="802">
        <f t="shared" si="10"/>
        <v>587190</v>
      </c>
      <c r="J680" t="s">
        <v>648</v>
      </c>
    </row>
    <row r="681" spans="1:10" x14ac:dyDescent="0.25">
      <c r="A681" t="s">
        <v>642</v>
      </c>
      <c r="B681" t="s">
        <v>643</v>
      </c>
      <c r="C681" t="s">
        <v>644</v>
      </c>
      <c r="D681" t="s">
        <v>1487</v>
      </c>
      <c r="E681" t="s">
        <v>646</v>
      </c>
      <c r="F681" s="237">
        <v>44746</v>
      </c>
      <c r="G681">
        <v>1.1100000000000001</v>
      </c>
      <c r="H681" t="s">
        <v>647</v>
      </c>
      <c r="I681" s="802">
        <f t="shared" si="10"/>
        <v>587190</v>
      </c>
      <c r="J681" t="s">
        <v>648</v>
      </c>
    </row>
    <row r="682" spans="1:10" x14ac:dyDescent="0.25">
      <c r="A682" t="s">
        <v>642</v>
      </c>
      <c r="B682" t="s">
        <v>643</v>
      </c>
      <c r="C682" t="s">
        <v>644</v>
      </c>
      <c r="D682" t="s">
        <v>1488</v>
      </c>
      <c r="E682" t="s">
        <v>646</v>
      </c>
      <c r="F682" s="237">
        <v>44745</v>
      </c>
      <c r="G682">
        <v>1.1100000000000001</v>
      </c>
      <c r="H682" t="s">
        <v>647</v>
      </c>
      <c r="I682" s="802">
        <f t="shared" si="10"/>
        <v>587190</v>
      </c>
      <c r="J682" t="s">
        <v>648</v>
      </c>
    </row>
    <row r="683" spans="1:10" x14ac:dyDescent="0.25">
      <c r="A683" t="s">
        <v>642</v>
      </c>
      <c r="B683" t="s">
        <v>643</v>
      </c>
      <c r="C683" t="s">
        <v>644</v>
      </c>
      <c r="D683" t="s">
        <v>1485</v>
      </c>
      <c r="E683" t="s">
        <v>646</v>
      </c>
      <c r="F683" s="237">
        <v>44744</v>
      </c>
      <c r="G683">
        <v>1.1100000000000001</v>
      </c>
      <c r="H683" t="s">
        <v>647</v>
      </c>
      <c r="I683" s="802">
        <f t="shared" si="10"/>
        <v>587190</v>
      </c>
      <c r="J683" t="s">
        <v>648</v>
      </c>
    </row>
    <row r="684" spans="1:10" x14ac:dyDescent="0.25">
      <c r="A684" t="s">
        <v>642</v>
      </c>
      <c r="B684" t="s">
        <v>643</v>
      </c>
      <c r="C684" t="s">
        <v>644</v>
      </c>
      <c r="D684" t="s">
        <v>1382</v>
      </c>
      <c r="E684" t="s">
        <v>646</v>
      </c>
      <c r="F684" s="237">
        <v>44743</v>
      </c>
      <c r="G684">
        <v>1.1100000000000001</v>
      </c>
      <c r="H684" t="s">
        <v>647</v>
      </c>
      <c r="I684" s="802">
        <f t="shared" si="10"/>
        <v>587190</v>
      </c>
      <c r="J684" t="s">
        <v>648</v>
      </c>
    </row>
    <row r="685" spans="1:10" x14ac:dyDescent="0.25">
      <c r="A685" t="s">
        <v>642</v>
      </c>
      <c r="B685" t="s">
        <v>643</v>
      </c>
      <c r="C685" t="s">
        <v>644</v>
      </c>
      <c r="D685" t="s">
        <v>1497</v>
      </c>
      <c r="E685" t="s">
        <v>646</v>
      </c>
      <c r="F685" s="237">
        <v>44743</v>
      </c>
      <c r="G685">
        <v>1.1100000000000001</v>
      </c>
      <c r="H685" t="s">
        <v>647</v>
      </c>
      <c r="I685" s="802">
        <f t="shared" si="10"/>
        <v>587190</v>
      </c>
      <c r="J685" t="s">
        <v>648</v>
      </c>
    </row>
    <row r="686" spans="1:10" x14ac:dyDescent="0.25">
      <c r="A686" t="s">
        <v>642</v>
      </c>
      <c r="B686" t="s">
        <v>643</v>
      </c>
      <c r="C686" t="s">
        <v>644</v>
      </c>
      <c r="D686" t="s">
        <v>1385</v>
      </c>
      <c r="E686" t="s">
        <v>646</v>
      </c>
      <c r="F686" s="237">
        <v>44742</v>
      </c>
      <c r="G686">
        <v>1.1100000000000001</v>
      </c>
      <c r="H686" t="s">
        <v>647</v>
      </c>
      <c r="I686" s="802">
        <f t="shared" si="10"/>
        <v>587190</v>
      </c>
      <c r="J686" t="s">
        <v>648</v>
      </c>
    </row>
    <row r="687" spans="1:10" x14ac:dyDescent="0.25">
      <c r="A687" t="s">
        <v>642</v>
      </c>
      <c r="B687" t="s">
        <v>643</v>
      </c>
      <c r="C687" t="s">
        <v>644</v>
      </c>
      <c r="D687" t="s">
        <v>1482</v>
      </c>
      <c r="E687" t="s">
        <v>646</v>
      </c>
      <c r="F687" s="237">
        <v>44742</v>
      </c>
      <c r="G687">
        <v>1.1100000000000001</v>
      </c>
      <c r="H687" t="s">
        <v>647</v>
      </c>
      <c r="I687" s="802">
        <f t="shared" si="10"/>
        <v>587190</v>
      </c>
      <c r="J687" t="s">
        <v>648</v>
      </c>
    </row>
    <row r="688" spans="1:10" x14ac:dyDescent="0.25">
      <c r="A688" t="s">
        <v>642</v>
      </c>
      <c r="B688" t="s">
        <v>643</v>
      </c>
      <c r="C688" t="s">
        <v>705</v>
      </c>
      <c r="D688" t="s">
        <v>827</v>
      </c>
      <c r="E688" t="s">
        <v>646</v>
      </c>
      <c r="F688" s="237">
        <v>44740</v>
      </c>
      <c r="G688">
        <v>36</v>
      </c>
      <c r="H688" t="s">
        <v>651</v>
      </c>
      <c r="I688" s="802">
        <f t="shared" si="10"/>
        <v>2422584</v>
      </c>
      <c r="J688" t="s">
        <v>828</v>
      </c>
    </row>
    <row r="689" spans="1:10" x14ac:dyDescent="0.25">
      <c r="A689" t="s">
        <v>642</v>
      </c>
      <c r="B689" t="s">
        <v>643</v>
      </c>
      <c r="C689" t="s">
        <v>644</v>
      </c>
      <c r="D689" t="s">
        <v>1375</v>
      </c>
      <c r="E689" t="s">
        <v>646</v>
      </c>
      <c r="F689" s="237">
        <v>44739</v>
      </c>
      <c r="G689">
        <v>1.1100000000000001</v>
      </c>
      <c r="H689" t="s">
        <v>647</v>
      </c>
      <c r="I689" s="802">
        <f t="shared" si="10"/>
        <v>587190</v>
      </c>
      <c r="J689" t="s">
        <v>648</v>
      </c>
    </row>
    <row r="690" spans="1:10" x14ac:dyDescent="0.25">
      <c r="A690" t="s">
        <v>642</v>
      </c>
      <c r="B690" t="s">
        <v>643</v>
      </c>
      <c r="C690" t="s">
        <v>644</v>
      </c>
      <c r="D690" t="s">
        <v>1376</v>
      </c>
      <c r="E690" t="s">
        <v>646</v>
      </c>
      <c r="F690" s="237">
        <v>44739</v>
      </c>
      <c r="G690">
        <v>2</v>
      </c>
      <c r="H690" t="s">
        <v>647</v>
      </c>
      <c r="I690" s="802">
        <f t="shared" si="10"/>
        <v>1058000</v>
      </c>
      <c r="J690" t="s">
        <v>671</v>
      </c>
    </row>
    <row r="691" spans="1:10" x14ac:dyDescent="0.25">
      <c r="A691" t="s">
        <v>642</v>
      </c>
      <c r="B691" t="s">
        <v>643</v>
      </c>
      <c r="C691" t="s">
        <v>644</v>
      </c>
      <c r="D691" t="s">
        <v>1379</v>
      </c>
      <c r="E691" t="s">
        <v>646</v>
      </c>
      <c r="F691" s="237">
        <v>44737</v>
      </c>
      <c r="G691">
        <v>60</v>
      </c>
      <c r="H691" t="s">
        <v>651</v>
      </c>
      <c r="I691" s="802">
        <f t="shared" si="10"/>
        <v>4037640</v>
      </c>
      <c r="J691" t="s">
        <v>1182</v>
      </c>
    </row>
    <row r="692" spans="1:10" x14ac:dyDescent="0.25">
      <c r="A692" t="s">
        <v>642</v>
      </c>
      <c r="B692" t="s">
        <v>643</v>
      </c>
      <c r="C692" t="s">
        <v>644</v>
      </c>
      <c r="D692" t="s">
        <v>1380</v>
      </c>
      <c r="E692" t="s">
        <v>646</v>
      </c>
      <c r="F692" s="237">
        <v>44737</v>
      </c>
      <c r="G692">
        <v>60</v>
      </c>
      <c r="H692" t="s">
        <v>651</v>
      </c>
      <c r="I692" s="802">
        <f t="shared" si="10"/>
        <v>4037640</v>
      </c>
      <c r="J692" t="s">
        <v>1226</v>
      </c>
    </row>
    <row r="693" spans="1:10" x14ac:dyDescent="0.25">
      <c r="A693" t="s">
        <v>642</v>
      </c>
      <c r="B693" t="s">
        <v>643</v>
      </c>
      <c r="C693" t="s">
        <v>644</v>
      </c>
      <c r="D693" t="s">
        <v>1381</v>
      </c>
      <c r="E693" t="s">
        <v>646</v>
      </c>
      <c r="F693" s="237">
        <v>44737</v>
      </c>
      <c r="G693">
        <v>60</v>
      </c>
      <c r="H693" t="s">
        <v>651</v>
      </c>
      <c r="I693" s="802">
        <f t="shared" si="10"/>
        <v>4037640</v>
      </c>
      <c r="J693" t="s">
        <v>842</v>
      </c>
    </row>
    <row r="694" spans="1:10" x14ac:dyDescent="0.25">
      <c r="A694" t="s">
        <v>642</v>
      </c>
      <c r="B694" t="s">
        <v>643</v>
      </c>
      <c r="C694" t="s">
        <v>644</v>
      </c>
      <c r="D694" t="s">
        <v>1432</v>
      </c>
      <c r="E694" t="s">
        <v>646</v>
      </c>
      <c r="F694" s="237">
        <v>44735</v>
      </c>
      <c r="G694">
        <v>60</v>
      </c>
      <c r="H694" t="s">
        <v>651</v>
      </c>
      <c r="I694" s="802">
        <f t="shared" si="10"/>
        <v>4037640</v>
      </c>
      <c r="J694" t="s">
        <v>842</v>
      </c>
    </row>
    <row r="695" spans="1:10" x14ac:dyDescent="0.25">
      <c r="A695" t="s">
        <v>642</v>
      </c>
      <c r="B695" t="s">
        <v>643</v>
      </c>
      <c r="C695" t="s">
        <v>705</v>
      </c>
      <c r="D695" t="s">
        <v>848</v>
      </c>
      <c r="E695" t="s">
        <v>646</v>
      </c>
      <c r="F695" s="237">
        <v>44730</v>
      </c>
      <c r="G695">
        <v>60</v>
      </c>
      <c r="H695" t="s">
        <v>651</v>
      </c>
      <c r="I695" s="802">
        <f t="shared" si="10"/>
        <v>4037640</v>
      </c>
      <c r="J695" t="s">
        <v>686</v>
      </c>
    </row>
    <row r="696" spans="1:10" x14ac:dyDescent="0.25">
      <c r="A696" t="s">
        <v>642</v>
      </c>
      <c r="B696" t="s">
        <v>643</v>
      </c>
      <c r="C696" t="s">
        <v>705</v>
      </c>
      <c r="D696" t="s">
        <v>849</v>
      </c>
      <c r="E696" t="s">
        <v>646</v>
      </c>
      <c r="F696" s="237">
        <v>44730</v>
      </c>
      <c r="G696">
        <v>60</v>
      </c>
      <c r="H696" t="s">
        <v>651</v>
      </c>
      <c r="I696" s="802">
        <f t="shared" si="10"/>
        <v>4037640</v>
      </c>
      <c r="J696" t="s">
        <v>817</v>
      </c>
    </row>
    <row r="697" spans="1:10" x14ac:dyDescent="0.25">
      <c r="A697" t="s">
        <v>642</v>
      </c>
      <c r="B697" t="s">
        <v>643</v>
      </c>
      <c r="C697" t="s">
        <v>705</v>
      </c>
      <c r="D697" t="s">
        <v>829</v>
      </c>
      <c r="E697" t="s">
        <v>646</v>
      </c>
      <c r="F697" s="237">
        <v>44728</v>
      </c>
      <c r="G697">
        <v>60</v>
      </c>
      <c r="H697" t="s">
        <v>651</v>
      </c>
      <c r="I697" s="802">
        <f t="shared" si="10"/>
        <v>4037640</v>
      </c>
      <c r="J697" t="s">
        <v>689</v>
      </c>
    </row>
    <row r="698" spans="1:10" x14ac:dyDescent="0.25">
      <c r="A698" t="s">
        <v>642</v>
      </c>
      <c r="B698" t="s">
        <v>643</v>
      </c>
      <c r="C698" t="s">
        <v>705</v>
      </c>
      <c r="D698" t="s">
        <v>856</v>
      </c>
      <c r="E698" t="s">
        <v>646</v>
      </c>
      <c r="F698" s="237">
        <v>44728</v>
      </c>
      <c r="G698">
        <v>26.73</v>
      </c>
      <c r="H698" t="s">
        <v>647</v>
      </c>
      <c r="I698" s="802">
        <f t="shared" si="10"/>
        <v>14140170</v>
      </c>
      <c r="J698" t="s">
        <v>710</v>
      </c>
    </row>
    <row r="699" spans="1:10" x14ac:dyDescent="0.25">
      <c r="A699" t="s">
        <v>642</v>
      </c>
      <c r="B699" t="s">
        <v>643</v>
      </c>
      <c r="C699" t="s">
        <v>644</v>
      </c>
      <c r="D699" t="s">
        <v>1377</v>
      </c>
      <c r="E699" t="s">
        <v>646</v>
      </c>
      <c r="F699" s="237">
        <v>44714</v>
      </c>
      <c r="G699">
        <v>60</v>
      </c>
      <c r="H699" t="s">
        <v>651</v>
      </c>
      <c r="I699" s="802">
        <f t="shared" si="10"/>
        <v>4037640</v>
      </c>
      <c r="J699" t="s">
        <v>842</v>
      </c>
    </row>
    <row r="700" spans="1:10" x14ac:dyDescent="0.25">
      <c r="A700" t="s">
        <v>642</v>
      </c>
      <c r="B700" t="s">
        <v>643</v>
      </c>
      <c r="C700" t="s">
        <v>644</v>
      </c>
      <c r="D700" t="s">
        <v>1415</v>
      </c>
      <c r="E700" t="s">
        <v>646</v>
      </c>
      <c r="F700" s="237">
        <v>44711</v>
      </c>
      <c r="G700">
        <v>2</v>
      </c>
      <c r="H700" t="s">
        <v>647</v>
      </c>
      <c r="I700" s="802">
        <f t="shared" si="10"/>
        <v>1058000</v>
      </c>
      <c r="J700" t="s">
        <v>671</v>
      </c>
    </row>
    <row r="701" spans="1:10" x14ac:dyDescent="0.25">
      <c r="A701" t="s">
        <v>642</v>
      </c>
      <c r="B701" t="s">
        <v>643</v>
      </c>
      <c r="C701" t="s">
        <v>644</v>
      </c>
      <c r="D701" t="s">
        <v>1395</v>
      </c>
      <c r="E701" t="s">
        <v>646</v>
      </c>
      <c r="F701" s="237">
        <v>44710</v>
      </c>
      <c r="G701">
        <v>2</v>
      </c>
      <c r="H701" t="s">
        <v>647</v>
      </c>
      <c r="I701" s="802">
        <f t="shared" si="10"/>
        <v>1058000</v>
      </c>
      <c r="J701" t="s">
        <v>671</v>
      </c>
    </row>
    <row r="702" spans="1:10" x14ac:dyDescent="0.25">
      <c r="A702" t="s">
        <v>642</v>
      </c>
      <c r="B702" t="s">
        <v>643</v>
      </c>
      <c r="C702" t="s">
        <v>705</v>
      </c>
      <c r="D702" t="s">
        <v>841</v>
      </c>
      <c r="E702" t="s">
        <v>646</v>
      </c>
      <c r="F702" s="237">
        <v>44709</v>
      </c>
      <c r="G702">
        <v>60</v>
      </c>
      <c r="H702" t="s">
        <v>651</v>
      </c>
      <c r="I702" s="802">
        <f t="shared" si="10"/>
        <v>4037640</v>
      </c>
      <c r="J702" t="s">
        <v>842</v>
      </c>
    </row>
    <row r="703" spans="1:10" x14ac:dyDescent="0.25">
      <c r="A703" t="s">
        <v>642</v>
      </c>
      <c r="B703" t="s">
        <v>643</v>
      </c>
      <c r="C703" t="s">
        <v>705</v>
      </c>
      <c r="D703" t="s">
        <v>915</v>
      </c>
      <c r="E703" t="s">
        <v>646</v>
      </c>
      <c r="F703" s="237">
        <v>44709</v>
      </c>
      <c r="G703">
        <v>26.73</v>
      </c>
      <c r="H703" t="s">
        <v>647</v>
      </c>
      <c r="I703" s="802">
        <f t="shared" si="10"/>
        <v>14140170</v>
      </c>
      <c r="J703" t="s">
        <v>710</v>
      </c>
    </row>
    <row r="704" spans="1:10" x14ac:dyDescent="0.25">
      <c r="A704" t="s">
        <v>642</v>
      </c>
      <c r="B704" t="s">
        <v>643</v>
      </c>
      <c r="C704" t="s">
        <v>705</v>
      </c>
      <c r="D704" t="s">
        <v>916</v>
      </c>
      <c r="E704" t="s">
        <v>646</v>
      </c>
      <c r="F704" s="237">
        <v>44709</v>
      </c>
      <c r="G704">
        <v>60</v>
      </c>
      <c r="H704" t="s">
        <v>651</v>
      </c>
      <c r="I704" s="802">
        <f t="shared" si="10"/>
        <v>4037640</v>
      </c>
      <c r="J704" t="s">
        <v>689</v>
      </c>
    </row>
    <row r="705" spans="1:10" x14ac:dyDescent="0.25">
      <c r="A705" t="s">
        <v>642</v>
      </c>
      <c r="B705" t="s">
        <v>643</v>
      </c>
      <c r="C705" t="s">
        <v>644</v>
      </c>
      <c r="D705" t="s">
        <v>1392</v>
      </c>
      <c r="E705" t="s">
        <v>646</v>
      </c>
      <c r="F705" s="237">
        <v>44709</v>
      </c>
      <c r="G705">
        <v>48</v>
      </c>
      <c r="H705" t="s">
        <v>651</v>
      </c>
      <c r="I705" s="802">
        <f t="shared" si="10"/>
        <v>3230112</v>
      </c>
      <c r="J705" t="s">
        <v>842</v>
      </c>
    </row>
    <row r="706" spans="1:10" x14ac:dyDescent="0.25">
      <c r="A706" t="s">
        <v>642</v>
      </c>
      <c r="B706" t="s">
        <v>643</v>
      </c>
      <c r="C706" t="s">
        <v>644</v>
      </c>
      <c r="D706" t="s">
        <v>1393</v>
      </c>
      <c r="E706" t="s">
        <v>646</v>
      </c>
      <c r="F706" s="237">
        <v>44709</v>
      </c>
      <c r="G706">
        <v>48</v>
      </c>
      <c r="H706" t="s">
        <v>651</v>
      </c>
      <c r="I706" s="802">
        <f t="shared" si="10"/>
        <v>3230112</v>
      </c>
      <c r="J706" t="s">
        <v>689</v>
      </c>
    </row>
    <row r="707" spans="1:10" x14ac:dyDescent="0.25">
      <c r="A707" t="s">
        <v>642</v>
      </c>
      <c r="B707" t="s">
        <v>643</v>
      </c>
      <c r="C707" t="s">
        <v>644</v>
      </c>
      <c r="D707" t="s">
        <v>1411</v>
      </c>
      <c r="E707" t="s">
        <v>646</v>
      </c>
      <c r="F707" s="237">
        <v>44709</v>
      </c>
      <c r="G707">
        <v>2</v>
      </c>
      <c r="H707" t="s">
        <v>647</v>
      </c>
      <c r="I707" s="802">
        <f t="shared" ref="I707:I770" si="11">+IF(H707="IMM",+G707*529000,+G707*67294)</f>
        <v>1058000</v>
      </c>
      <c r="J707" t="s">
        <v>671</v>
      </c>
    </row>
    <row r="708" spans="1:10" x14ac:dyDescent="0.25">
      <c r="A708" t="s">
        <v>642</v>
      </c>
      <c r="B708" t="s">
        <v>643</v>
      </c>
      <c r="C708" t="s">
        <v>644</v>
      </c>
      <c r="D708" t="s">
        <v>1431</v>
      </c>
      <c r="E708" t="s">
        <v>646</v>
      </c>
      <c r="F708" s="237">
        <v>44707</v>
      </c>
      <c r="G708">
        <v>60</v>
      </c>
      <c r="H708" t="s">
        <v>651</v>
      </c>
      <c r="I708" s="802">
        <f t="shared" si="11"/>
        <v>4037640</v>
      </c>
      <c r="J708" t="s">
        <v>842</v>
      </c>
    </row>
    <row r="709" spans="1:10" x14ac:dyDescent="0.25">
      <c r="A709" t="s">
        <v>642</v>
      </c>
      <c r="B709" t="s">
        <v>643</v>
      </c>
      <c r="C709" t="s">
        <v>644</v>
      </c>
      <c r="D709" t="s">
        <v>1435</v>
      </c>
      <c r="E709" t="s">
        <v>646</v>
      </c>
      <c r="F709" s="237">
        <v>44707</v>
      </c>
      <c r="G709">
        <v>60</v>
      </c>
      <c r="H709" t="s">
        <v>651</v>
      </c>
      <c r="I709" s="802">
        <f t="shared" si="11"/>
        <v>4037640</v>
      </c>
      <c r="J709" t="s">
        <v>842</v>
      </c>
    </row>
    <row r="710" spans="1:10" x14ac:dyDescent="0.25">
      <c r="A710" t="s">
        <v>642</v>
      </c>
      <c r="B710" t="s">
        <v>643</v>
      </c>
      <c r="C710" t="s">
        <v>644</v>
      </c>
      <c r="D710" t="s">
        <v>1437</v>
      </c>
      <c r="E710" t="s">
        <v>646</v>
      </c>
      <c r="F710" s="237">
        <v>44707</v>
      </c>
      <c r="G710">
        <v>60</v>
      </c>
      <c r="H710" t="s">
        <v>651</v>
      </c>
      <c r="I710" s="802">
        <f t="shared" si="11"/>
        <v>4037640</v>
      </c>
      <c r="J710" t="s">
        <v>842</v>
      </c>
    </row>
    <row r="711" spans="1:10" x14ac:dyDescent="0.25">
      <c r="A711" t="s">
        <v>642</v>
      </c>
      <c r="B711" t="s">
        <v>643</v>
      </c>
      <c r="C711" t="s">
        <v>705</v>
      </c>
      <c r="D711" t="s">
        <v>999</v>
      </c>
      <c r="E711" t="s">
        <v>646</v>
      </c>
      <c r="F711" s="237">
        <v>44705</v>
      </c>
      <c r="G711">
        <v>30</v>
      </c>
      <c r="H711" t="s">
        <v>651</v>
      </c>
      <c r="I711" s="802">
        <f t="shared" si="11"/>
        <v>2018820</v>
      </c>
      <c r="J711" t="s">
        <v>1000</v>
      </c>
    </row>
    <row r="712" spans="1:10" x14ac:dyDescent="0.25">
      <c r="A712" t="s">
        <v>642</v>
      </c>
      <c r="B712" t="s">
        <v>643</v>
      </c>
      <c r="C712" t="s">
        <v>644</v>
      </c>
      <c r="D712" t="s">
        <v>1387</v>
      </c>
      <c r="E712" t="s">
        <v>646</v>
      </c>
      <c r="F712" s="237">
        <v>44702</v>
      </c>
      <c r="G712">
        <v>60</v>
      </c>
      <c r="H712" t="s">
        <v>651</v>
      </c>
      <c r="I712" s="802">
        <f t="shared" si="11"/>
        <v>4037640</v>
      </c>
      <c r="J712" t="s">
        <v>669</v>
      </c>
    </row>
    <row r="713" spans="1:10" x14ac:dyDescent="0.25">
      <c r="A713" t="s">
        <v>642</v>
      </c>
      <c r="B713" t="s">
        <v>643</v>
      </c>
      <c r="C713" t="s">
        <v>644</v>
      </c>
      <c r="D713" t="s">
        <v>1388</v>
      </c>
      <c r="E713" t="s">
        <v>646</v>
      </c>
      <c r="F713" s="237">
        <v>44702</v>
      </c>
      <c r="G713">
        <v>2</v>
      </c>
      <c r="H713" t="s">
        <v>647</v>
      </c>
      <c r="I713" s="802">
        <f t="shared" si="11"/>
        <v>1058000</v>
      </c>
      <c r="J713" t="s">
        <v>671</v>
      </c>
    </row>
    <row r="714" spans="1:10" x14ac:dyDescent="0.25">
      <c r="A714" t="s">
        <v>642</v>
      </c>
      <c r="B714" t="s">
        <v>643</v>
      </c>
      <c r="C714" t="s">
        <v>644</v>
      </c>
      <c r="D714" t="s">
        <v>1390</v>
      </c>
      <c r="E714" t="s">
        <v>646</v>
      </c>
      <c r="F714" s="237">
        <v>44702</v>
      </c>
      <c r="G714">
        <v>1.1100000000000001</v>
      </c>
      <c r="H714" t="s">
        <v>647</v>
      </c>
      <c r="I714" s="802">
        <f t="shared" si="11"/>
        <v>587190</v>
      </c>
      <c r="J714" t="s">
        <v>648</v>
      </c>
    </row>
    <row r="715" spans="1:10" x14ac:dyDescent="0.25">
      <c r="A715" t="s">
        <v>642</v>
      </c>
      <c r="B715" t="s">
        <v>643</v>
      </c>
      <c r="C715" t="s">
        <v>644</v>
      </c>
      <c r="D715" t="s">
        <v>1416</v>
      </c>
      <c r="E715" t="s">
        <v>646</v>
      </c>
      <c r="F715" s="237">
        <v>44701</v>
      </c>
      <c r="G715">
        <v>2</v>
      </c>
      <c r="H715" t="s">
        <v>647</v>
      </c>
      <c r="I715" s="802">
        <f t="shared" si="11"/>
        <v>1058000</v>
      </c>
      <c r="J715" t="s">
        <v>671</v>
      </c>
    </row>
    <row r="716" spans="1:10" x14ac:dyDescent="0.25">
      <c r="A716" t="s">
        <v>642</v>
      </c>
      <c r="B716" t="s">
        <v>643</v>
      </c>
      <c r="C716" t="s">
        <v>644</v>
      </c>
      <c r="D716" t="s">
        <v>1417</v>
      </c>
      <c r="E716" t="s">
        <v>646</v>
      </c>
      <c r="F716" s="237">
        <v>44701</v>
      </c>
      <c r="G716">
        <v>60</v>
      </c>
      <c r="H716" t="s">
        <v>651</v>
      </c>
      <c r="I716" s="802">
        <f t="shared" si="11"/>
        <v>4037640</v>
      </c>
      <c r="J716" t="s">
        <v>842</v>
      </c>
    </row>
    <row r="717" spans="1:10" x14ac:dyDescent="0.25">
      <c r="A717" t="s">
        <v>642</v>
      </c>
      <c r="B717" t="s">
        <v>643</v>
      </c>
      <c r="C717" t="s">
        <v>644</v>
      </c>
      <c r="D717" t="s">
        <v>1418</v>
      </c>
      <c r="E717" t="s">
        <v>646</v>
      </c>
      <c r="F717" s="237">
        <v>44701</v>
      </c>
      <c r="G717">
        <v>2</v>
      </c>
      <c r="H717" t="s">
        <v>647</v>
      </c>
      <c r="I717" s="802">
        <f t="shared" si="11"/>
        <v>1058000</v>
      </c>
      <c r="J717" t="s">
        <v>671</v>
      </c>
    </row>
    <row r="718" spans="1:10" x14ac:dyDescent="0.25">
      <c r="A718" t="s">
        <v>642</v>
      </c>
      <c r="B718" t="s">
        <v>643</v>
      </c>
      <c r="C718" t="s">
        <v>644</v>
      </c>
      <c r="D718" t="s">
        <v>1419</v>
      </c>
      <c r="E718" t="s">
        <v>646</v>
      </c>
      <c r="F718" s="237">
        <v>44701</v>
      </c>
      <c r="G718">
        <v>60</v>
      </c>
      <c r="H718" t="s">
        <v>651</v>
      </c>
      <c r="I718" s="802">
        <f t="shared" si="11"/>
        <v>4037640</v>
      </c>
      <c r="J718" t="s">
        <v>842</v>
      </c>
    </row>
    <row r="719" spans="1:10" x14ac:dyDescent="0.25">
      <c r="A719" t="s">
        <v>642</v>
      </c>
      <c r="B719" t="s">
        <v>643</v>
      </c>
      <c r="C719" t="s">
        <v>644</v>
      </c>
      <c r="D719" t="s">
        <v>1420</v>
      </c>
      <c r="E719" t="s">
        <v>646</v>
      </c>
      <c r="F719" s="237">
        <v>44701</v>
      </c>
      <c r="G719">
        <v>40</v>
      </c>
      <c r="H719" t="s">
        <v>651</v>
      </c>
      <c r="I719" s="802">
        <f t="shared" si="11"/>
        <v>2691760</v>
      </c>
      <c r="J719" t="s">
        <v>655</v>
      </c>
    </row>
    <row r="720" spans="1:10" x14ac:dyDescent="0.25">
      <c r="A720" t="s">
        <v>642</v>
      </c>
      <c r="B720" t="s">
        <v>643</v>
      </c>
      <c r="C720" t="s">
        <v>644</v>
      </c>
      <c r="D720" t="s">
        <v>1421</v>
      </c>
      <c r="E720" t="s">
        <v>646</v>
      </c>
      <c r="F720" s="237">
        <v>44701</v>
      </c>
      <c r="G720">
        <v>40</v>
      </c>
      <c r="H720" t="s">
        <v>651</v>
      </c>
      <c r="I720" s="802">
        <f t="shared" si="11"/>
        <v>2691760</v>
      </c>
      <c r="J720" t="s">
        <v>669</v>
      </c>
    </row>
    <row r="721" spans="1:10" x14ac:dyDescent="0.25">
      <c r="A721" t="s">
        <v>642</v>
      </c>
      <c r="B721" t="s">
        <v>643</v>
      </c>
      <c r="C721" t="s">
        <v>644</v>
      </c>
      <c r="D721" t="s">
        <v>1422</v>
      </c>
      <c r="E721" t="s">
        <v>646</v>
      </c>
      <c r="F721" s="237">
        <v>44701</v>
      </c>
      <c r="G721">
        <v>2</v>
      </c>
      <c r="H721" t="s">
        <v>647</v>
      </c>
      <c r="I721" s="802">
        <f t="shared" si="11"/>
        <v>1058000</v>
      </c>
      <c r="J721" t="s">
        <v>671</v>
      </c>
    </row>
    <row r="722" spans="1:10" x14ac:dyDescent="0.25">
      <c r="A722" t="s">
        <v>642</v>
      </c>
      <c r="B722" t="s">
        <v>643</v>
      </c>
      <c r="C722" t="s">
        <v>644</v>
      </c>
      <c r="D722" t="s">
        <v>1391</v>
      </c>
      <c r="E722" t="s">
        <v>646</v>
      </c>
      <c r="F722" s="237">
        <v>44696</v>
      </c>
      <c r="G722">
        <v>1.1100000000000001</v>
      </c>
      <c r="H722" t="s">
        <v>647</v>
      </c>
      <c r="I722" s="802">
        <f t="shared" si="11"/>
        <v>587190</v>
      </c>
      <c r="J722" t="s">
        <v>648</v>
      </c>
    </row>
    <row r="723" spans="1:10" x14ac:dyDescent="0.25">
      <c r="A723" t="s">
        <v>642</v>
      </c>
      <c r="B723" t="s">
        <v>643</v>
      </c>
      <c r="C723" t="s">
        <v>644</v>
      </c>
      <c r="D723" t="s">
        <v>1430</v>
      </c>
      <c r="E723" t="s">
        <v>646</v>
      </c>
      <c r="F723" s="237">
        <v>44695</v>
      </c>
      <c r="G723">
        <v>60</v>
      </c>
      <c r="H723" t="s">
        <v>651</v>
      </c>
      <c r="I723" s="802">
        <f t="shared" si="11"/>
        <v>4037640</v>
      </c>
      <c r="J723" t="s">
        <v>669</v>
      </c>
    </row>
    <row r="724" spans="1:10" x14ac:dyDescent="0.25">
      <c r="A724" t="s">
        <v>642</v>
      </c>
      <c r="B724" t="s">
        <v>643</v>
      </c>
      <c r="C724" t="s">
        <v>644</v>
      </c>
      <c r="D724" t="s">
        <v>1433</v>
      </c>
      <c r="E724" t="s">
        <v>646</v>
      </c>
      <c r="F724" s="237">
        <v>44695</v>
      </c>
      <c r="G724">
        <v>1.1100000000000001</v>
      </c>
      <c r="H724" t="s">
        <v>647</v>
      </c>
      <c r="I724" s="802">
        <f t="shared" si="11"/>
        <v>587190</v>
      </c>
      <c r="J724" t="s">
        <v>648</v>
      </c>
    </row>
    <row r="725" spans="1:10" x14ac:dyDescent="0.25">
      <c r="A725" t="s">
        <v>642</v>
      </c>
      <c r="B725" t="s">
        <v>643</v>
      </c>
      <c r="C725" t="s">
        <v>644</v>
      </c>
      <c r="D725" t="s">
        <v>1434</v>
      </c>
      <c r="E725" t="s">
        <v>646</v>
      </c>
      <c r="F725" s="237">
        <v>44695</v>
      </c>
      <c r="G725">
        <v>2</v>
      </c>
      <c r="H725" t="s">
        <v>647</v>
      </c>
      <c r="I725" s="802">
        <f t="shared" si="11"/>
        <v>1058000</v>
      </c>
      <c r="J725" t="s">
        <v>671</v>
      </c>
    </row>
    <row r="726" spans="1:10" x14ac:dyDescent="0.25">
      <c r="A726" t="s">
        <v>642</v>
      </c>
      <c r="B726" t="s">
        <v>643</v>
      </c>
      <c r="C726" t="s">
        <v>644</v>
      </c>
      <c r="D726" t="s">
        <v>1428</v>
      </c>
      <c r="E726" t="s">
        <v>646</v>
      </c>
      <c r="F726" s="237">
        <v>44694</v>
      </c>
      <c r="G726">
        <v>1.1100000000000001</v>
      </c>
      <c r="H726" t="s">
        <v>647</v>
      </c>
      <c r="I726" s="802">
        <f t="shared" si="11"/>
        <v>587190</v>
      </c>
      <c r="J726" t="s">
        <v>648</v>
      </c>
    </row>
    <row r="727" spans="1:10" x14ac:dyDescent="0.25">
      <c r="A727" t="s">
        <v>642</v>
      </c>
      <c r="B727" t="s">
        <v>643</v>
      </c>
      <c r="C727" t="s">
        <v>644</v>
      </c>
      <c r="D727" t="s">
        <v>1429</v>
      </c>
      <c r="E727" t="s">
        <v>646</v>
      </c>
      <c r="F727" s="237">
        <v>44694</v>
      </c>
      <c r="G727">
        <v>2</v>
      </c>
      <c r="H727" t="s">
        <v>647</v>
      </c>
      <c r="I727" s="802">
        <f t="shared" si="11"/>
        <v>1058000</v>
      </c>
      <c r="J727" t="s">
        <v>671</v>
      </c>
    </row>
    <row r="728" spans="1:10" x14ac:dyDescent="0.25">
      <c r="A728" t="s">
        <v>642</v>
      </c>
      <c r="B728" t="s">
        <v>643</v>
      </c>
      <c r="C728" t="s">
        <v>644</v>
      </c>
      <c r="D728" t="s">
        <v>1409</v>
      </c>
      <c r="E728" t="s">
        <v>646</v>
      </c>
      <c r="F728" s="237">
        <v>44690</v>
      </c>
      <c r="G728">
        <v>2</v>
      </c>
      <c r="H728" t="s">
        <v>647</v>
      </c>
      <c r="I728" s="802">
        <f t="shared" si="11"/>
        <v>1058000</v>
      </c>
      <c r="J728" t="s">
        <v>671</v>
      </c>
    </row>
    <row r="729" spans="1:10" x14ac:dyDescent="0.25">
      <c r="A729" t="s">
        <v>642</v>
      </c>
      <c r="B729" t="s">
        <v>643</v>
      </c>
      <c r="C729" t="s">
        <v>644</v>
      </c>
      <c r="D729" t="s">
        <v>1436</v>
      </c>
      <c r="E729" t="s">
        <v>646</v>
      </c>
      <c r="F729" s="237">
        <v>44687</v>
      </c>
      <c r="G729">
        <v>1.1100000000000001</v>
      </c>
      <c r="H729" t="s">
        <v>647</v>
      </c>
      <c r="I729" s="802">
        <f t="shared" si="11"/>
        <v>587190</v>
      </c>
      <c r="J729" t="s">
        <v>648</v>
      </c>
    </row>
    <row r="730" spans="1:10" x14ac:dyDescent="0.25">
      <c r="A730" t="s">
        <v>642</v>
      </c>
      <c r="B730" t="s">
        <v>643</v>
      </c>
      <c r="C730" t="s">
        <v>644</v>
      </c>
      <c r="D730" t="s">
        <v>1413</v>
      </c>
      <c r="E730" t="s">
        <v>646</v>
      </c>
      <c r="F730" s="237">
        <v>44686</v>
      </c>
      <c r="G730">
        <v>1.1100000000000001</v>
      </c>
      <c r="H730" t="s">
        <v>647</v>
      </c>
      <c r="I730" s="802">
        <f t="shared" si="11"/>
        <v>587190</v>
      </c>
      <c r="J730" t="s">
        <v>648</v>
      </c>
    </row>
    <row r="731" spans="1:10" x14ac:dyDescent="0.25">
      <c r="A731" t="s">
        <v>642</v>
      </c>
      <c r="B731" t="s">
        <v>643</v>
      </c>
      <c r="C731" t="s">
        <v>644</v>
      </c>
      <c r="D731" t="s">
        <v>1414</v>
      </c>
      <c r="E731" t="s">
        <v>646</v>
      </c>
      <c r="F731" s="237">
        <v>44686</v>
      </c>
      <c r="G731">
        <v>2</v>
      </c>
      <c r="H731" t="s">
        <v>647</v>
      </c>
      <c r="I731" s="802">
        <f t="shared" si="11"/>
        <v>1058000</v>
      </c>
      <c r="J731" t="s">
        <v>671</v>
      </c>
    </row>
    <row r="732" spans="1:10" x14ac:dyDescent="0.25">
      <c r="A732" t="s">
        <v>642</v>
      </c>
      <c r="B732" t="s">
        <v>643</v>
      </c>
      <c r="C732" t="s">
        <v>644</v>
      </c>
      <c r="D732" t="s">
        <v>1469</v>
      </c>
      <c r="E732" t="s">
        <v>646</v>
      </c>
      <c r="F732" s="237">
        <v>44683</v>
      </c>
      <c r="G732">
        <v>60</v>
      </c>
      <c r="H732" t="s">
        <v>651</v>
      </c>
      <c r="I732" s="802">
        <f t="shared" si="11"/>
        <v>4037640</v>
      </c>
      <c r="J732" t="s">
        <v>842</v>
      </c>
    </row>
    <row r="733" spans="1:10" x14ac:dyDescent="0.25">
      <c r="A733" t="s">
        <v>642</v>
      </c>
      <c r="B733" t="s">
        <v>643</v>
      </c>
      <c r="C733" t="s">
        <v>644</v>
      </c>
      <c r="D733" t="s">
        <v>1427</v>
      </c>
      <c r="E733" t="s">
        <v>646</v>
      </c>
      <c r="F733" s="237">
        <v>44680</v>
      </c>
      <c r="G733">
        <v>1.1100000000000001</v>
      </c>
      <c r="H733" t="s">
        <v>647</v>
      </c>
      <c r="I733" s="802">
        <f t="shared" si="11"/>
        <v>587190</v>
      </c>
      <c r="J733" t="s">
        <v>648</v>
      </c>
    </row>
    <row r="734" spans="1:10" x14ac:dyDescent="0.25">
      <c r="A734" t="s">
        <v>642</v>
      </c>
      <c r="B734" t="s">
        <v>643</v>
      </c>
      <c r="C734" t="s">
        <v>644</v>
      </c>
      <c r="D734" t="s">
        <v>1412</v>
      </c>
      <c r="E734" t="s">
        <v>646</v>
      </c>
      <c r="F734" s="237">
        <v>44679</v>
      </c>
      <c r="G734">
        <v>1.1100000000000001</v>
      </c>
      <c r="H734" t="s">
        <v>647</v>
      </c>
      <c r="I734" s="802">
        <f t="shared" si="11"/>
        <v>587190</v>
      </c>
      <c r="J734" t="s">
        <v>648</v>
      </c>
    </row>
    <row r="735" spans="1:10" x14ac:dyDescent="0.25">
      <c r="A735" t="s">
        <v>642</v>
      </c>
      <c r="B735" t="s">
        <v>643</v>
      </c>
      <c r="C735" t="s">
        <v>705</v>
      </c>
      <c r="D735" t="s">
        <v>964</v>
      </c>
      <c r="E735" t="s">
        <v>646</v>
      </c>
      <c r="F735" s="237">
        <v>44675</v>
      </c>
      <c r="G735">
        <v>26.73</v>
      </c>
      <c r="H735" t="s">
        <v>647</v>
      </c>
      <c r="I735" s="802">
        <f t="shared" si="11"/>
        <v>14140170</v>
      </c>
      <c r="J735" t="s">
        <v>710</v>
      </c>
    </row>
    <row r="736" spans="1:10" x14ac:dyDescent="0.25">
      <c r="A736" t="s">
        <v>642</v>
      </c>
      <c r="B736" t="s">
        <v>643</v>
      </c>
      <c r="C736" t="s">
        <v>705</v>
      </c>
      <c r="D736" t="s">
        <v>1064</v>
      </c>
      <c r="E736" t="s">
        <v>646</v>
      </c>
      <c r="F736" s="237">
        <v>44674</v>
      </c>
      <c r="G736">
        <v>210</v>
      </c>
      <c r="H736" t="s">
        <v>651</v>
      </c>
      <c r="I736" s="802">
        <f t="shared" si="11"/>
        <v>14131740</v>
      </c>
      <c r="J736" t="s">
        <v>988</v>
      </c>
    </row>
    <row r="737" spans="1:10" x14ac:dyDescent="0.25">
      <c r="A737" t="s">
        <v>642</v>
      </c>
      <c r="B737" t="s">
        <v>643</v>
      </c>
      <c r="C737" t="s">
        <v>705</v>
      </c>
      <c r="D737" t="s">
        <v>1050</v>
      </c>
      <c r="E737" t="s">
        <v>646</v>
      </c>
      <c r="F737" s="237">
        <v>44672</v>
      </c>
      <c r="G737">
        <v>60</v>
      </c>
      <c r="H737" t="s">
        <v>651</v>
      </c>
      <c r="I737" s="802">
        <f t="shared" si="11"/>
        <v>4037640</v>
      </c>
      <c r="J737" t="s">
        <v>655</v>
      </c>
    </row>
    <row r="738" spans="1:10" x14ac:dyDescent="0.25">
      <c r="A738" t="s">
        <v>642</v>
      </c>
      <c r="B738" t="s">
        <v>643</v>
      </c>
      <c r="C738" t="s">
        <v>705</v>
      </c>
      <c r="D738" t="s">
        <v>1051</v>
      </c>
      <c r="E738" t="s">
        <v>646</v>
      </c>
      <c r="F738" s="237">
        <v>44672</v>
      </c>
      <c r="G738">
        <v>26.73</v>
      </c>
      <c r="H738" t="s">
        <v>647</v>
      </c>
      <c r="I738" s="802">
        <f t="shared" si="11"/>
        <v>14140170</v>
      </c>
      <c r="J738" t="s">
        <v>710</v>
      </c>
    </row>
    <row r="739" spans="1:10" x14ac:dyDescent="0.25">
      <c r="A739" t="s">
        <v>642</v>
      </c>
      <c r="B739" t="s">
        <v>643</v>
      </c>
      <c r="C739" t="s">
        <v>644</v>
      </c>
      <c r="D739" t="s">
        <v>1424</v>
      </c>
      <c r="E739" t="s">
        <v>646</v>
      </c>
      <c r="F739" s="237">
        <v>44669</v>
      </c>
      <c r="G739">
        <v>1.1100000000000001</v>
      </c>
      <c r="H739" t="s">
        <v>647</v>
      </c>
      <c r="I739" s="802">
        <f t="shared" si="11"/>
        <v>587190</v>
      </c>
      <c r="J739" t="s">
        <v>648</v>
      </c>
    </row>
    <row r="740" spans="1:10" x14ac:dyDescent="0.25">
      <c r="A740" t="s">
        <v>642</v>
      </c>
      <c r="B740" t="s">
        <v>643</v>
      </c>
      <c r="C740" t="s">
        <v>644</v>
      </c>
      <c r="D740" t="s">
        <v>1426</v>
      </c>
      <c r="E740" t="s">
        <v>646</v>
      </c>
      <c r="F740" s="237">
        <v>44669</v>
      </c>
      <c r="G740">
        <v>1.1100000000000001</v>
      </c>
      <c r="H740" t="s">
        <v>647</v>
      </c>
      <c r="I740" s="802">
        <f t="shared" si="11"/>
        <v>587190</v>
      </c>
      <c r="J740" t="s">
        <v>648</v>
      </c>
    </row>
    <row r="741" spans="1:10" x14ac:dyDescent="0.25">
      <c r="A741" t="s">
        <v>642</v>
      </c>
      <c r="B741" t="s">
        <v>643</v>
      </c>
      <c r="C741" t="s">
        <v>644</v>
      </c>
      <c r="D741" t="s">
        <v>1423</v>
      </c>
      <c r="E741" t="s">
        <v>646</v>
      </c>
      <c r="F741" s="237">
        <v>44668</v>
      </c>
      <c r="G741">
        <v>1.1100000000000001</v>
      </c>
      <c r="H741" t="s">
        <v>647</v>
      </c>
      <c r="I741" s="802">
        <f t="shared" si="11"/>
        <v>587190</v>
      </c>
      <c r="J741" t="s">
        <v>648</v>
      </c>
    </row>
    <row r="742" spans="1:10" x14ac:dyDescent="0.25">
      <c r="A742" t="s">
        <v>642</v>
      </c>
      <c r="B742" t="s">
        <v>643</v>
      </c>
      <c r="C742" t="s">
        <v>644</v>
      </c>
      <c r="D742" t="s">
        <v>1425</v>
      </c>
      <c r="E742" t="s">
        <v>646</v>
      </c>
      <c r="F742" s="237">
        <v>44668</v>
      </c>
      <c r="G742">
        <v>1.1100000000000001</v>
      </c>
      <c r="H742" t="s">
        <v>647</v>
      </c>
      <c r="I742" s="802">
        <f t="shared" si="11"/>
        <v>587190</v>
      </c>
      <c r="J742" t="s">
        <v>648</v>
      </c>
    </row>
    <row r="743" spans="1:10" x14ac:dyDescent="0.25">
      <c r="A743" t="s">
        <v>642</v>
      </c>
      <c r="B743" t="s">
        <v>643</v>
      </c>
      <c r="C743" t="s">
        <v>644</v>
      </c>
      <c r="D743" t="s">
        <v>1452</v>
      </c>
      <c r="E743" t="s">
        <v>646</v>
      </c>
      <c r="F743" s="237">
        <v>44668</v>
      </c>
      <c r="G743">
        <v>2</v>
      </c>
      <c r="H743" t="s">
        <v>647</v>
      </c>
      <c r="I743" s="802">
        <f t="shared" si="11"/>
        <v>1058000</v>
      </c>
      <c r="J743" t="s">
        <v>671</v>
      </c>
    </row>
    <row r="744" spans="1:10" x14ac:dyDescent="0.25">
      <c r="A744" t="s">
        <v>642</v>
      </c>
      <c r="B744" t="s">
        <v>643</v>
      </c>
      <c r="C744" t="s">
        <v>705</v>
      </c>
      <c r="D744" t="s">
        <v>727</v>
      </c>
      <c r="E744" t="s">
        <v>646</v>
      </c>
      <c r="F744" s="237">
        <v>44667</v>
      </c>
      <c r="G744">
        <v>60</v>
      </c>
      <c r="H744" t="s">
        <v>651</v>
      </c>
      <c r="I744" s="802">
        <f t="shared" si="11"/>
        <v>4037640</v>
      </c>
      <c r="J744" t="s">
        <v>689</v>
      </c>
    </row>
    <row r="745" spans="1:10" x14ac:dyDescent="0.25">
      <c r="A745" t="s">
        <v>642</v>
      </c>
      <c r="B745" t="s">
        <v>643</v>
      </c>
      <c r="C745" t="s">
        <v>705</v>
      </c>
      <c r="D745" t="s">
        <v>728</v>
      </c>
      <c r="E745" t="s">
        <v>646</v>
      </c>
      <c r="F745" s="237">
        <v>44667</v>
      </c>
      <c r="G745">
        <v>60</v>
      </c>
      <c r="H745" t="s">
        <v>651</v>
      </c>
      <c r="I745" s="802">
        <f t="shared" si="11"/>
        <v>4037640</v>
      </c>
      <c r="J745" t="s">
        <v>729</v>
      </c>
    </row>
    <row r="746" spans="1:10" x14ac:dyDescent="0.25">
      <c r="A746" t="s">
        <v>642</v>
      </c>
      <c r="B746" t="s">
        <v>643</v>
      </c>
      <c r="C746" t="s">
        <v>705</v>
      </c>
      <c r="D746" t="s">
        <v>997</v>
      </c>
      <c r="E746" t="s">
        <v>646</v>
      </c>
      <c r="F746" s="237">
        <v>44656</v>
      </c>
      <c r="G746">
        <v>210</v>
      </c>
      <c r="H746" t="s">
        <v>651</v>
      </c>
      <c r="I746" s="802">
        <f t="shared" si="11"/>
        <v>14131740</v>
      </c>
      <c r="J746" t="s">
        <v>739</v>
      </c>
    </row>
    <row r="747" spans="1:10" x14ac:dyDescent="0.25">
      <c r="A747" t="s">
        <v>642</v>
      </c>
      <c r="B747" t="s">
        <v>643</v>
      </c>
      <c r="C747" t="s">
        <v>644</v>
      </c>
      <c r="D747" t="s">
        <v>1460</v>
      </c>
      <c r="E747" t="s">
        <v>646</v>
      </c>
      <c r="F747" s="237">
        <v>44653</v>
      </c>
      <c r="G747">
        <v>1.1100000000000001</v>
      </c>
      <c r="H747" t="s">
        <v>647</v>
      </c>
      <c r="I747" s="802">
        <f t="shared" si="11"/>
        <v>587190</v>
      </c>
      <c r="J747" t="s">
        <v>648</v>
      </c>
    </row>
    <row r="748" spans="1:10" x14ac:dyDescent="0.25">
      <c r="A748" t="s">
        <v>642</v>
      </c>
      <c r="B748" t="s">
        <v>643</v>
      </c>
      <c r="C748" t="s">
        <v>705</v>
      </c>
      <c r="D748" t="s">
        <v>722</v>
      </c>
      <c r="E748" t="s">
        <v>646</v>
      </c>
      <c r="F748" s="237">
        <v>44652</v>
      </c>
      <c r="G748">
        <v>60</v>
      </c>
      <c r="H748" t="s">
        <v>651</v>
      </c>
      <c r="I748" s="802">
        <f t="shared" si="11"/>
        <v>4037640</v>
      </c>
      <c r="J748" t="s">
        <v>655</v>
      </c>
    </row>
    <row r="749" spans="1:10" x14ac:dyDescent="0.25">
      <c r="A749" t="s">
        <v>642</v>
      </c>
      <c r="B749" t="s">
        <v>643</v>
      </c>
      <c r="C749" t="s">
        <v>705</v>
      </c>
      <c r="D749" t="s">
        <v>723</v>
      </c>
      <c r="E749" t="s">
        <v>646</v>
      </c>
      <c r="F749" s="237">
        <v>44652</v>
      </c>
      <c r="G749">
        <v>60</v>
      </c>
      <c r="H749" t="s">
        <v>651</v>
      </c>
      <c r="I749" s="802">
        <f t="shared" si="11"/>
        <v>4037640</v>
      </c>
      <c r="J749" t="s">
        <v>686</v>
      </c>
    </row>
    <row r="750" spans="1:10" x14ac:dyDescent="0.25">
      <c r="A750" t="s">
        <v>642</v>
      </c>
      <c r="B750" t="s">
        <v>643</v>
      </c>
      <c r="C750" t="s">
        <v>644</v>
      </c>
      <c r="D750" t="s">
        <v>1465</v>
      </c>
      <c r="E750" t="s">
        <v>646</v>
      </c>
      <c r="F750" s="237">
        <v>44648</v>
      </c>
      <c r="G750">
        <v>1.1100000000000001</v>
      </c>
      <c r="H750" t="s">
        <v>647</v>
      </c>
      <c r="I750" s="802">
        <f t="shared" si="11"/>
        <v>587190</v>
      </c>
      <c r="J750" t="s">
        <v>648</v>
      </c>
    </row>
    <row r="751" spans="1:10" x14ac:dyDescent="0.25">
      <c r="A751" t="s">
        <v>642</v>
      </c>
      <c r="B751" t="s">
        <v>643</v>
      </c>
      <c r="C751" t="s">
        <v>644</v>
      </c>
      <c r="D751" t="s">
        <v>1466</v>
      </c>
      <c r="E751" t="s">
        <v>646</v>
      </c>
      <c r="F751" s="237">
        <v>44648</v>
      </c>
      <c r="G751">
        <v>1.1100000000000001</v>
      </c>
      <c r="H751" t="s">
        <v>647</v>
      </c>
      <c r="I751" s="802">
        <f t="shared" si="11"/>
        <v>587190</v>
      </c>
      <c r="J751" t="s">
        <v>648</v>
      </c>
    </row>
    <row r="752" spans="1:10" x14ac:dyDescent="0.25">
      <c r="A752" t="s">
        <v>642</v>
      </c>
      <c r="B752" t="s">
        <v>643</v>
      </c>
      <c r="C752" t="s">
        <v>644</v>
      </c>
      <c r="D752" t="s">
        <v>1467</v>
      </c>
      <c r="E752" t="s">
        <v>646</v>
      </c>
      <c r="F752" s="237">
        <v>44648</v>
      </c>
      <c r="G752">
        <v>1.1100000000000001</v>
      </c>
      <c r="H752" t="s">
        <v>647</v>
      </c>
      <c r="I752" s="802">
        <f t="shared" si="11"/>
        <v>587190</v>
      </c>
      <c r="J752" t="s">
        <v>648</v>
      </c>
    </row>
    <row r="753" spans="1:10" x14ac:dyDescent="0.25">
      <c r="A753" t="s">
        <v>642</v>
      </c>
      <c r="B753" t="s">
        <v>643</v>
      </c>
      <c r="C753" t="s">
        <v>644</v>
      </c>
      <c r="D753" t="s">
        <v>1461</v>
      </c>
      <c r="E753" t="s">
        <v>646</v>
      </c>
      <c r="F753" s="237">
        <v>44644</v>
      </c>
      <c r="G753">
        <v>1.1100000000000001</v>
      </c>
      <c r="H753" t="s">
        <v>647</v>
      </c>
      <c r="I753" s="802">
        <f t="shared" si="11"/>
        <v>587190</v>
      </c>
      <c r="J753" t="s">
        <v>648</v>
      </c>
    </row>
    <row r="754" spans="1:10" x14ac:dyDescent="0.25">
      <c r="A754" t="s">
        <v>642</v>
      </c>
      <c r="B754" t="s">
        <v>643</v>
      </c>
      <c r="C754" t="s">
        <v>644</v>
      </c>
      <c r="D754" t="s">
        <v>1462</v>
      </c>
      <c r="E754" t="s">
        <v>646</v>
      </c>
      <c r="F754" s="237">
        <v>44644</v>
      </c>
      <c r="G754">
        <v>2</v>
      </c>
      <c r="H754" t="s">
        <v>647</v>
      </c>
      <c r="I754" s="802">
        <f t="shared" si="11"/>
        <v>1058000</v>
      </c>
      <c r="J754" t="s">
        <v>671</v>
      </c>
    </row>
    <row r="755" spans="1:10" x14ac:dyDescent="0.25">
      <c r="A755" t="s">
        <v>642</v>
      </c>
      <c r="B755" t="s">
        <v>643</v>
      </c>
      <c r="C755" t="s">
        <v>705</v>
      </c>
      <c r="D755" t="s">
        <v>1110</v>
      </c>
      <c r="E755" t="s">
        <v>646</v>
      </c>
      <c r="F755" s="237">
        <v>44641</v>
      </c>
      <c r="G755">
        <v>300</v>
      </c>
      <c r="H755" t="s">
        <v>651</v>
      </c>
      <c r="I755" s="802">
        <f t="shared" si="11"/>
        <v>20188200</v>
      </c>
      <c r="J755" t="s">
        <v>1111</v>
      </c>
    </row>
    <row r="756" spans="1:10" x14ac:dyDescent="0.25">
      <c r="A756" t="s">
        <v>642</v>
      </c>
      <c r="B756" t="s">
        <v>643</v>
      </c>
      <c r="C756" t="s">
        <v>705</v>
      </c>
      <c r="D756" t="s">
        <v>1112</v>
      </c>
      <c r="E756" t="s">
        <v>646</v>
      </c>
      <c r="F756" s="237">
        <v>44641</v>
      </c>
      <c r="G756">
        <v>300</v>
      </c>
      <c r="H756" t="s">
        <v>651</v>
      </c>
      <c r="I756" s="802">
        <f t="shared" si="11"/>
        <v>20188200</v>
      </c>
      <c r="J756" t="s">
        <v>1113</v>
      </c>
    </row>
    <row r="757" spans="1:10" x14ac:dyDescent="0.25">
      <c r="A757" t="s">
        <v>642</v>
      </c>
      <c r="B757" t="s">
        <v>643</v>
      </c>
      <c r="C757" t="s">
        <v>644</v>
      </c>
      <c r="D757" t="s">
        <v>1470</v>
      </c>
      <c r="E757" t="s">
        <v>646</v>
      </c>
      <c r="F757" s="237">
        <v>44641</v>
      </c>
      <c r="G757">
        <v>1.1100000000000001</v>
      </c>
      <c r="H757" t="s">
        <v>647</v>
      </c>
      <c r="I757" s="802">
        <f t="shared" si="11"/>
        <v>587190</v>
      </c>
      <c r="J757" t="s">
        <v>648</v>
      </c>
    </row>
    <row r="758" spans="1:10" x14ac:dyDescent="0.25">
      <c r="A758" t="s">
        <v>642</v>
      </c>
      <c r="B758" t="s">
        <v>643</v>
      </c>
      <c r="C758" t="s">
        <v>705</v>
      </c>
      <c r="D758" t="s">
        <v>1068</v>
      </c>
      <c r="E758" t="s">
        <v>646</v>
      </c>
      <c r="F758" s="237">
        <v>44640</v>
      </c>
      <c r="G758">
        <v>60</v>
      </c>
      <c r="H758" t="s">
        <v>651</v>
      </c>
      <c r="I758" s="802">
        <f t="shared" si="11"/>
        <v>4037640</v>
      </c>
      <c r="J758" t="s">
        <v>731</v>
      </c>
    </row>
    <row r="759" spans="1:10" x14ac:dyDescent="0.25">
      <c r="A759" t="s">
        <v>642</v>
      </c>
      <c r="B759" t="s">
        <v>643</v>
      </c>
      <c r="C759" t="s">
        <v>644</v>
      </c>
      <c r="D759" t="s">
        <v>1407</v>
      </c>
      <c r="E759" t="s">
        <v>646</v>
      </c>
      <c r="F759" s="237">
        <v>44632</v>
      </c>
      <c r="G759">
        <v>60</v>
      </c>
      <c r="H759" t="s">
        <v>651</v>
      </c>
      <c r="I759" s="802">
        <f t="shared" si="11"/>
        <v>4037640</v>
      </c>
      <c r="J759" t="s">
        <v>842</v>
      </c>
    </row>
    <row r="760" spans="1:10" x14ac:dyDescent="0.25">
      <c r="A760" t="s">
        <v>642</v>
      </c>
      <c r="B760" t="s">
        <v>643</v>
      </c>
      <c r="C760" t="s">
        <v>644</v>
      </c>
      <c r="D760" t="s">
        <v>1471</v>
      </c>
      <c r="E760" t="s">
        <v>646</v>
      </c>
      <c r="F760" s="237">
        <v>44632</v>
      </c>
      <c r="G760">
        <v>1.1100000000000001</v>
      </c>
      <c r="H760" t="s">
        <v>647</v>
      </c>
      <c r="I760" s="802">
        <f t="shared" si="11"/>
        <v>587190</v>
      </c>
      <c r="J760" t="s">
        <v>648</v>
      </c>
    </row>
    <row r="761" spans="1:10" x14ac:dyDescent="0.25">
      <c r="A761" t="s">
        <v>642</v>
      </c>
      <c r="B761" t="s">
        <v>643</v>
      </c>
      <c r="C761" t="s">
        <v>644</v>
      </c>
      <c r="D761" t="s">
        <v>1463</v>
      </c>
      <c r="E761" t="s">
        <v>646</v>
      </c>
      <c r="F761" s="237">
        <v>44625</v>
      </c>
      <c r="G761">
        <v>1.1100000000000001</v>
      </c>
      <c r="H761" t="s">
        <v>647</v>
      </c>
      <c r="I761" s="802">
        <f t="shared" si="11"/>
        <v>587190</v>
      </c>
      <c r="J761" t="s">
        <v>648</v>
      </c>
    </row>
    <row r="762" spans="1:10" x14ac:dyDescent="0.25">
      <c r="A762" t="s">
        <v>642</v>
      </c>
      <c r="B762" t="s">
        <v>643</v>
      </c>
      <c r="C762" t="s">
        <v>644</v>
      </c>
      <c r="D762" t="s">
        <v>1464</v>
      </c>
      <c r="E762" t="s">
        <v>646</v>
      </c>
      <c r="F762" s="237">
        <v>44625</v>
      </c>
      <c r="G762">
        <v>2</v>
      </c>
      <c r="H762" t="s">
        <v>647</v>
      </c>
      <c r="I762" s="802">
        <f t="shared" si="11"/>
        <v>1058000</v>
      </c>
      <c r="J762" t="s">
        <v>671</v>
      </c>
    </row>
    <row r="763" spans="1:10" x14ac:dyDescent="0.25">
      <c r="A763" t="s">
        <v>642</v>
      </c>
      <c r="B763" t="s">
        <v>643</v>
      </c>
      <c r="C763" t="s">
        <v>705</v>
      </c>
      <c r="D763" t="s">
        <v>822</v>
      </c>
      <c r="E763" t="s">
        <v>646</v>
      </c>
      <c r="F763" s="237">
        <v>44619</v>
      </c>
      <c r="G763">
        <v>60</v>
      </c>
      <c r="H763" t="s">
        <v>651</v>
      </c>
      <c r="I763" s="802">
        <f t="shared" si="11"/>
        <v>4037640</v>
      </c>
      <c r="J763" t="s">
        <v>823</v>
      </c>
    </row>
    <row r="764" spans="1:10" x14ac:dyDescent="0.25">
      <c r="A764" t="s">
        <v>642</v>
      </c>
      <c r="B764" t="s">
        <v>643</v>
      </c>
      <c r="C764" t="s">
        <v>644</v>
      </c>
      <c r="D764" t="s">
        <v>1456</v>
      </c>
      <c r="E764" t="s">
        <v>646</v>
      </c>
      <c r="F764" s="237">
        <v>44618</v>
      </c>
      <c r="G764">
        <v>1.1100000000000001</v>
      </c>
      <c r="H764" t="s">
        <v>647</v>
      </c>
      <c r="I764" s="802">
        <f t="shared" si="11"/>
        <v>587190</v>
      </c>
      <c r="J764" t="s">
        <v>648</v>
      </c>
    </row>
    <row r="765" spans="1:10" x14ac:dyDescent="0.25">
      <c r="A765" t="s">
        <v>642</v>
      </c>
      <c r="B765" t="s">
        <v>643</v>
      </c>
      <c r="C765" t="s">
        <v>644</v>
      </c>
      <c r="D765" t="s">
        <v>1457</v>
      </c>
      <c r="E765" t="s">
        <v>646</v>
      </c>
      <c r="F765" s="237">
        <v>44618</v>
      </c>
      <c r="G765">
        <v>2</v>
      </c>
      <c r="H765" t="s">
        <v>647</v>
      </c>
      <c r="I765" s="802">
        <f t="shared" si="11"/>
        <v>1058000</v>
      </c>
      <c r="J765" t="s">
        <v>671</v>
      </c>
    </row>
    <row r="766" spans="1:10" x14ac:dyDescent="0.25">
      <c r="A766" t="s">
        <v>642</v>
      </c>
      <c r="B766" t="s">
        <v>643</v>
      </c>
      <c r="C766" t="s">
        <v>644</v>
      </c>
      <c r="D766" t="s">
        <v>1453</v>
      </c>
      <c r="E766" t="s">
        <v>646</v>
      </c>
      <c r="F766" s="237">
        <v>44617</v>
      </c>
      <c r="G766">
        <v>1.1100000000000001</v>
      </c>
      <c r="H766" t="s">
        <v>647</v>
      </c>
      <c r="I766" s="802">
        <f t="shared" si="11"/>
        <v>587190</v>
      </c>
      <c r="J766" t="s">
        <v>648</v>
      </c>
    </row>
    <row r="767" spans="1:10" x14ac:dyDescent="0.25">
      <c r="A767" t="s">
        <v>642</v>
      </c>
      <c r="B767" t="s">
        <v>643</v>
      </c>
      <c r="C767" t="s">
        <v>705</v>
      </c>
      <c r="D767" t="s">
        <v>958</v>
      </c>
      <c r="E767" t="s">
        <v>646</v>
      </c>
      <c r="F767" s="237">
        <v>44612</v>
      </c>
      <c r="G767">
        <v>60</v>
      </c>
      <c r="H767" t="s">
        <v>651</v>
      </c>
      <c r="I767" s="802">
        <f t="shared" si="11"/>
        <v>4037640</v>
      </c>
      <c r="J767" t="s">
        <v>959</v>
      </c>
    </row>
    <row r="768" spans="1:10" x14ac:dyDescent="0.25">
      <c r="A768" t="s">
        <v>642</v>
      </c>
      <c r="B768" t="s">
        <v>643</v>
      </c>
      <c r="C768" t="s">
        <v>705</v>
      </c>
      <c r="D768" t="s">
        <v>960</v>
      </c>
      <c r="E768" t="s">
        <v>646</v>
      </c>
      <c r="F768" s="237">
        <v>44612</v>
      </c>
      <c r="G768">
        <v>60</v>
      </c>
      <c r="H768" t="s">
        <v>651</v>
      </c>
      <c r="I768" s="802">
        <f t="shared" si="11"/>
        <v>4037640</v>
      </c>
      <c r="J768" t="s">
        <v>961</v>
      </c>
    </row>
    <row r="769" spans="1:10" x14ac:dyDescent="0.25">
      <c r="A769" t="s">
        <v>642</v>
      </c>
      <c r="B769" t="s">
        <v>643</v>
      </c>
      <c r="C769" t="s">
        <v>705</v>
      </c>
      <c r="D769" t="s">
        <v>962</v>
      </c>
      <c r="E769" t="s">
        <v>646</v>
      </c>
      <c r="F769" s="237">
        <v>44612</v>
      </c>
      <c r="G769">
        <v>60</v>
      </c>
      <c r="H769" t="s">
        <v>651</v>
      </c>
      <c r="I769" s="802">
        <f t="shared" si="11"/>
        <v>4037640</v>
      </c>
      <c r="J769" t="s">
        <v>794</v>
      </c>
    </row>
    <row r="770" spans="1:10" x14ac:dyDescent="0.25">
      <c r="A770" t="s">
        <v>642</v>
      </c>
      <c r="B770" t="s">
        <v>643</v>
      </c>
      <c r="C770" t="s">
        <v>705</v>
      </c>
      <c r="D770" t="s">
        <v>963</v>
      </c>
      <c r="E770" t="s">
        <v>646</v>
      </c>
      <c r="F770" s="237">
        <v>44612</v>
      </c>
      <c r="G770">
        <v>60</v>
      </c>
      <c r="H770" t="s">
        <v>651</v>
      </c>
      <c r="I770" s="802">
        <f t="shared" si="11"/>
        <v>4037640</v>
      </c>
      <c r="J770" t="s">
        <v>736</v>
      </c>
    </row>
    <row r="771" spans="1:10" x14ac:dyDescent="0.25">
      <c r="A771" t="s">
        <v>642</v>
      </c>
      <c r="B771" t="s">
        <v>643</v>
      </c>
      <c r="C771" t="s">
        <v>644</v>
      </c>
      <c r="D771" t="s">
        <v>1468</v>
      </c>
      <c r="E771" t="s">
        <v>646</v>
      </c>
      <c r="F771" s="237">
        <v>44612</v>
      </c>
      <c r="G771">
        <v>1.1100000000000001</v>
      </c>
      <c r="H771" t="s">
        <v>647</v>
      </c>
      <c r="I771" s="802">
        <f t="shared" ref="I771:I834" si="12">+IF(H771="IMM",+G771*529000,+G771*67294)</f>
        <v>587190</v>
      </c>
      <c r="J771" t="s">
        <v>648</v>
      </c>
    </row>
    <row r="772" spans="1:10" x14ac:dyDescent="0.25">
      <c r="A772" t="s">
        <v>642</v>
      </c>
      <c r="B772" t="s">
        <v>643</v>
      </c>
      <c r="C772" t="s">
        <v>644</v>
      </c>
      <c r="D772" t="s">
        <v>1444</v>
      </c>
      <c r="E772" t="s">
        <v>646</v>
      </c>
      <c r="F772" s="237">
        <v>44611</v>
      </c>
      <c r="G772">
        <v>1.1100000000000001</v>
      </c>
      <c r="H772" t="s">
        <v>647</v>
      </c>
      <c r="I772" s="802">
        <f t="shared" si="12"/>
        <v>587190</v>
      </c>
      <c r="J772" t="s">
        <v>648</v>
      </c>
    </row>
    <row r="773" spans="1:10" x14ac:dyDescent="0.25">
      <c r="A773" t="s">
        <v>642</v>
      </c>
      <c r="B773" t="s">
        <v>643</v>
      </c>
      <c r="C773" t="s">
        <v>644</v>
      </c>
      <c r="D773" t="s">
        <v>1445</v>
      </c>
      <c r="E773" t="s">
        <v>646</v>
      </c>
      <c r="F773" s="237">
        <v>44611</v>
      </c>
      <c r="G773">
        <v>2</v>
      </c>
      <c r="H773" t="s">
        <v>647</v>
      </c>
      <c r="I773" s="802">
        <f t="shared" si="12"/>
        <v>1058000</v>
      </c>
      <c r="J773" t="s">
        <v>671</v>
      </c>
    </row>
    <row r="774" spans="1:10" x14ac:dyDescent="0.25">
      <c r="A774" t="s">
        <v>642</v>
      </c>
      <c r="B774" t="s">
        <v>643</v>
      </c>
      <c r="C774" t="s">
        <v>644</v>
      </c>
      <c r="D774" t="s">
        <v>1448</v>
      </c>
      <c r="E774" t="s">
        <v>646</v>
      </c>
      <c r="F774" s="237">
        <v>44611</v>
      </c>
      <c r="G774">
        <v>1.1100000000000001</v>
      </c>
      <c r="H774" t="s">
        <v>647</v>
      </c>
      <c r="I774" s="802">
        <f t="shared" si="12"/>
        <v>587190</v>
      </c>
      <c r="J774" t="s">
        <v>648</v>
      </c>
    </row>
    <row r="775" spans="1:10" x14ac:dyDescent="0.25">
      <c r="A775" t="s">
        <v>642</v>
      </c>
      <c r="B775" t="s">
        <v>643</v>
      </c>
      <c r="C775" t="s">
        <v>644</v>
      </c>
      <c r="D775" t="s">
        <v>1449</v>
      </c>
      <c r="E775" t="s">
        <v>646</v>
      </c>
      <c r="F775" s="237">
        <v>44611</v>
      </c>
      <c r="G775">
        <v>2</v>
      </c>
      <c r="H775" t="s">
        <v>647</v>
      </c>
      <c r="I775" s="802">
        <f t="shared" si="12"/>
        <v>1058000</v>
      </c>
      <c r="J775" t="s">
        <v>671</v>
      </c>
    </row>
    <row r="776" spans="1:10" x14ac:dyDescent="0.25">
      <c r="A776" t="s">
        <v>642</v>
      </c>
      <c r="B776" t="s">
        <v>643</v>
      </c>
      <c r="C776" t="s">
        <v>644</v>
      </c>
      <c r="D776" t="s">
        <v>1450</v>
      </c>
      <c r="E776" t="s">
        <v>646</v>
      </c>
      <c r="F776" s="237">
        <v>44611</v>
      </c>
      <c r="G776">
        <v>1.1100000000000001</v>
      </c>
      <c r="H776" t="s">
        <v>647</v>
      </c>
      <c r="I776" s="802">
        <f t="shared" si="12"/>
        <v>587190</v>
      </c>
      <c r="J776" t="s">
        <v>648</v>
      </c>
    </row>
    <row r="777" spans="1:10" x14ac:dyDescent="0.25">
      <c r="A777" t="s">
        <v>642</v>
      </c>
      <c r="B777" t="s">
        <v>643</v>
      </c>
      <c r="C777" t="s">
        <v>644</v>
      </c>
      <c r="D777" t="s">
        <v>1451</v>
      </c>
      <c r="E777" t="s">
        <v>646</v>
      </c>
      <c r="F777" s="237">
        <v>44611</v>
      </c>
      <c r="G777">
        <v>2</v>
      </c>
      <c r="H777" t="s">
        <v>647</v>
      </c>
      <c r="I777" s="802">
        <f t="shared" si="12"/>
        <v>1058000</v>
      </c>
      <c r="J777" t="s">
        <v>671</v>
      </c>
    </row>
    <row r="778" spans="1:10" x14ac:dyDescent="0.25">
      <c r="A778" t="s">
        <v>642</v>
      </c>
      <c r="B778" t="s">
        <v>643</v>
      </c>
      <c r="C778" t="s">
        <v>644</v>
      </c>
      <c r="D778" t="s">
        <v>1440</v>
      </c>
      <c r="E778" t="s">
        <v>646</v>
      </c>
      <c r="F778" s="237">
        <v>44609</v>
      </c>
      <c r="G778">
        <v>1.1100000000000001</v>
      </c>
      <c r="H778" t="s">
        <v>647</v>
      </c>
      <c r="I778" s="802">
        <f t="shared" si="12"/>
        <v>587190</v>
      </c>
      <c r="J778" t="s">
        <v>648</v>
      </c>
    </row>
    <row r="779" spans="1:10" x14ac:dyDescent="0.25">
      <c r="A779" t="s">
        <v>642</v>
      </c>
      <c r="B779" t="s">
        <v>643</v>
      </c>
      <c r="C779" t="s">
        <v>644</v>
      </c>
      <c r="D779" t="s">
        <v>1441</v>
      </c>
      <c r="E779" t="s">
        <v>646</v>
      </c>
      <c r="F779" s="237">
        <v>44609</v>
      </c>
      <c r="G779">
        <v>2</v>
      </c>
      <c r="H779" t="s">
        <v>647</v>
      </c>
      <c r="I779" s="802">
        <f t="shared" si="12"/>
        <v>1058000</v>
      </c>
      <c r="J779" t="s">
        <v>671</v>
      </c>
    </row>
    <row r="780" spans="1:10" x14ac:dyDescent="0.25">
      <c r="A780" t="s">
        <v>642</v>
      </c>
      <c r="B780" t="s">
        <v>643</v>
      </c>
      <c r="C780" t="s">
        <v>644</v>
      </c>
      <c r="D780" t="s">
        <v>1446</v>
      </c>
      <c r="E780" t="s">
        <v>646</v>
      </c>
      <c r="F780" s="237">
        <v>44609</v>
      </c>
      <c r="G780">
        <v>1.1100000000000001</v>
      </c>
      <c r="H780" t="s">
        <v>647</v>
      </c>
      <c r="I780" s="802">
        <f t="shared" si="12"/>
        <v>587190</v>
      </c>
      <c r="J780" t="s">
        <v>648</v>
      </c>
    </row>
    <row r="781" spans="1:10" x14ac:dyDescent="0.25">
      <c r="A781" t="s">
        <v>642</v>
      </c>
      <c r="B781" t="s">
        <v>643</v>
      </c>
      <c r="C781" t="s">
        <v>644</v>
      </c>
      <c r="D781" t="s">
        <v>1447</v>
      </c>
      <c r="E781" t="s">
        <v>646</v>
      </c>
      <c r="F781" s="237">
        <v>44609</v>
      </c>
      <c r="G781">
        <v>2</v>
      </c>
      <c r="H781" t="s">
        <v>647</v>
      </c>
      <c r="I781" s="802">
        <f t="shared" si="12"/>
        <v>1058000</v>
      </c>
      <c r="J781" t="s">
        <v>671</v>
      </c>
    </row>
    <row r="782" spans="1:10" x14ac:dyDescent="0.25">
      <c r="A782" t="s">
        <v>642</v>
      </c>
      <c r="B782" t="s">
        <v>643</v>
      </c>
      <c r="C782" t="s">
        <v>644</v>
      </c>
      <c r="D782" t="s">
        <v>1454</v>
      </c>
      <c r="E782" t="s">
        <v>646</v>
      </c>
      <c r="F782" s="237">
        <v>44609</v>
      </c>
      <c r="G782">
        <v>1.1100000000000001</v>
      </c>
      <c r="H782" t="s">
        <v>647</v>
      </c>
      <c r="I782" s="802">
        <f t="shared" si="12"/>
        <v>587190</v>
      </c>
      <c r="J782" t="s">
        <v>648</v>
      </c>
    </row>
    <row r="783" spans="1:10" x14ac:dyDescent="0.25">
      <c r="A783" t="s">
        <v>642</v>
      </c>
      <c r="B783" t="s">
        <v>643</v>
      </c>
      <c r="C783" t="s">
        <v>644</v>
      </c>
      <c r="D783" t="s">
        <v>1455</v>
      </c>
      <c r="E783" t="s">
        <v>646</v>
      </c>
      <c r="F783" s="237">
        <v>44609</v>
      </c>
      <c r="G783">
        <v>2</v>
      </c>
      <c r="H783" t="s">
        <v>647</v>
      </c>
      <c r="I783" s="802">
        <f t="shared" si="12"/>
        <v>1058000</v>
      </c>
      <c r="J783" t="s">
        <v>671</v>
      </c>
    </row>
    <row r="784" spans="1:10" x14ac:dyDescent="0.25">
      <c r="A784" t="s">
        <v>642</v>
      </c>
      <c r="B784" t="s">
        <v>643</v>
      </c>
      <c r="C784" t="s">
        <v>705</v>
      </c>
      <c r="D784" t="s">
        <v>1001</v>
      </c>
      <c r="E784" t="s">
        <v>646</v>
      </c>
      <c r="F784" s="237">
        <v>44606</v>
      </c>
      <c r="G784">
        <v>60</v>
      </c>
      <c r="H784" t="s">
        <v>651</v>
      </c>
      <c r="I784" s="802">
        <f t="shared" si="12"/>
        <v>4037640</v>
      </c>
      <c r="J784" t="s">
        <v>750</v>
      </c>
    </row>
    <row r="785" spans="1:10" x14ac:dyDescent="0.25">
      <c r="A785" t="s">
        <v>642</v>
      </c>
      <c r="B785" t="s">
        <v>643</v>
      </c>
      <c r="C785" t="s">
        <v>705</v>
      </c>
      <c r="D785" t="s">
        <v>1002</v>
      </c>
      <c r="E785" t="s">
        <v>646</v>
      </c>
      <c r="F785" s="237">
        <v>44606</v>
      </c>
      <c r="G785">
        <v>60</v>
      </c>
      <c r="H785" t="s">
        <v>651</v>
      </c>
      <c r="I785" s="802">
        <f t="shared" si="12"/>
        <v>4037640</v>
      </c>
      <c r="J785" t="s">
        <v>817</v>
      </c>
    </row>
    <row r="786" spans="1:10" x14ac:dyDescent="0.25">
      <c r="A786" t="s">
        <v>642</v>
      </c>
      <c r="B786" t="s">
        <v>643</v>
      </c>
      <c r="C786" t="s">
        <v>705</v>
      </c>
      <c r="D786" t="s">
        <v>967</v>
      </c>
      <c r="E786" t="s">
        <v>646</v>
      </c>
      <c r="F786" s="237">
        <v>44605</v>
      </c>
      <c r="G786">
        <v>26.73</v>
      </c>
      <c r="H786" t="s">
        <v>647</v>
      </c>
      <c r="I786" s="802">
        <f t="shared" si="12"/>
        <v>14140170</v>
      </c>
      <c r="J786" t="s">
        <v>710</v>
      </c>
    </row>
    <row r="787" spans="1:10" x14ac:dyDescent="0.25">
      <c r="A787" t="s">
        <v>642</v>
      </c>
      <c r="B787" t="s">
        <v>643</v>
      </c>
      <c r="C787" t="s">
        <v>644</v>
      </c>
      <c r="D787" t="s">
        <v>1458</v>
      </c>
      <c r="E787" t="s">
        <v>646</v>
      </c>
      <c r="F787" s="237">
        <v>44605</v>
      </c>
      <c r="G787">
        <v>1.1100000000000001</v>
      </c>
      <c r="H787" t="s">
        <v>647</v>
      </c>
      <c r="I787" s="802">
        <f t="shared" si="12"/>
        <v>587190</v>
      </c>
      <c r="J787" t="s">
        <v>648</v>
      </c>
    </row>
    <row r="788" spans="1:10" x14ac:dyDescent="0.25">
      <c r="A788" t="s">
        <v>642</v>
      </c>
      <c r="B788" t="s">
        <v>643</v>
      </c>
      <c r="C788" t="s">
        <v>644</v>
      </c>
      <c r="D788" t="s">
        <v>1459</v>
      </c>
      <c r="E788" t="s">
        <v>646</v>
      </c>
      <c r="F788" s="237">
        <v>44605</v>
      </c>
      <c r="G788">
        <v>2</v>
      </c>
      <c r="H788" t="s">
        <v>647</v>
      </c>
      <c r="I788" s="802">
        <f t="shared" si="12"/>
        <v>1058000</v>
      </c>
      <c r="J788" t="s">
        <v>671</v>
      </c>
    </row>
    <row r="789" spans="1:10" x14ac:dyDescent="0.25">
      <c r="A789" t="s">
        <v>642</v>
      </c>
      <c r="B789" t="s">
        <v>643</v>
      </c>
      <c r="C789" t="s">
        <v>705</v>
      </c>
      <c r="D789" t="s">
        <v>1032</v>
      </c>
      <c r="E789" t="s">
        <v>646</v>
      </c>
      <c r="F789" s="237">
        <v>44602</v>
      </c>
      <c r="G789">
        <v>60</v>
      </c>
      <c r="H789" t="s">
        <v>651</v>
      </c>
      <c r="I789" s="802">
        <f t="shared" si="12"/>
        <v>4037640</v>
      </c>
      <c r="J789" t="s">
        <v>689</v>
      </c>
    </row>
    <row r="790" spans="1:10" x14ac:dyDescent="0.25">
      <c r="A790" t="s">
        <v>642</v>
      </c>
      <c r="B790" t="s">
        <v>643</v>
      </c>
      <c r="C790" t="s">
        <v>644</v>
      </c>
      <c r="D790" t="s">
        <v>1438</v>
      </c>
      <c r="E790" t="s">
        <v>646</v>
      </c>
      <c r="F790" s="237">
        <v>44599</v>
      </c>
      <c r="G790">
        <v>1.1100000000000001</v>
      </c>
      <c r="H790" t="s">
        <v>647</v>
      </c>
      <c r="I790" s="802">
        <f t="shared" si="12"/>
        <v>587190</v>
      </c>
      <c r="J790" t="s">
        <v>648</v>
      </c>
    </row>
    <row r="791" spans="1:10" x14ac:dyDescent="0.25">
      <c r="A791" t="s">
        <v>642</v>
      </c>
      <c r="B791" t="s">
        <v>643</v>
      </c>
      <c r="C791" t="s">
        <v>644</v>
      </c>
      <c r="D791" t="s">
        <v>1439</v>
      </c>
      <c r="E791" t="s">
        <v>646</v>
      </c>
      <c r="F791" s="237">
        <v>44598</v>
      </c>
      <c r="G791">
        <v>1.1100000000000001</v>
      </c>
      <c r="H791" t="s">
        <v>647</v>
      </c>
      <c r="I791" s="802">
        <f t="shared" si="12"/>
        <v>587190</v>
      </c>
      <c r="J791" t="s">
        <v>648</v>
      </c>
    </row>
    <row r="792" spans="1:10" x14ac:dyDescent="0.25">
      <c r="A792" t="s">
        <v>642</v>
      </c>
      <c r="B792" t="s">
        <v>643</v>
      </c>
      <c r="C792" t="s">
        <v>705</v>
      </c>
      <c r="D792" t="s">
        <v>825</v>
      </c>
      <c r="E792" t="s">
        <v>646</v>
      </c>
      <c r="F792" s="237">
        <v>44596</v>
      </c>
      <c r="G792">
        <v>1.1100000000000001</v>
      </c>
      <c r="H792" t="s">
        <v>647</v>
      </c>
      <c r="I792" s="802">
        <f t="shared" si="12"/>
        <v>587190</v>
      </c>
      <c r="J792" t="s">
        <v>648</v>
      </c>
    </row>
    <row r="793" spans="1:10" x14ac:dyDescent="0.25">
      <c r="A793" t="s">
        <v>642</v>
      </c>
      <c r="B793" t="s">
        <v>643</v>
      </c>
      <c r="C793" t="s">
        <v>705</v>
      </c>
      <c r="D793" t="s">
        <v>826</v>
      </c>
      <c r="E793" t="s">
        <v>646</v>
      </c>
      <c r="F793" s="237">
        <v>44596</v>
      </c>
      <c r="G793">
        <v>26.73</v>
      </c>
      <c r="H793" t="s">
        <v>647</v>
      </c>
      <c r="I793" s="802">
        <f t="shared" si="12"/>
        <v>14140170</v>
      </c>
      <c r="J793" t="s">
        <v>710</v>
      </c>
    </row>
    <row r="794" spans="1:10" x14ac:dyDescent="0.25">
      <c r="A794" t="s">
        <v>642</v>
      </c>
      <c r="B794" t="s">
        <v>643</v>
      </c>
      <c r="C794" t="s">
        <v>644</v>
      </c>
      <c r="D794" t="s">
        <v>1442</v>
      </c>
      <c r="E794" t="s">
        <v>646</v>
      </c>
      <c r="F794" s="237">
        <v>44592</v>
      </c>
      <c r="G794">
        <v>2</v>
      </c>
      <c r="H794" t="s">
        <v>647</v>
      </c>
      <c r="I794" s="802">
        <f t="shared" si="12"/>
        <v>1058000</v>
      </c>
      <c r="J794" t="s">
        <v>671</v>
      </c>
    </row>
    <row r="795" spans="1:10" x14ac:dyDescent="0.25">
      <c r="A795" t="s">
        <v>642</v>
      </c>
      <c r="B795" t="s">
        <v>643</v>
      </c>
      <c r="C795" t="s">
        <v>644</v>
      </c>
      <c r="D795" t="s">
        <v>1443</v>
      </c>
      <c r="E795" t="s">
        <v>646</v>
      </c>
      <c r="F795" s="237">
        <v>44592</v>
      </c>
      <c r="G795">
        <v>1.1100000000000001</v>
      </c>
      <c r="H795" t="s">
        <v>647</v>
      </c>
      <c r="I795" s="802">
        <f t="shared" si="12"/>
        <v>587190</v>
      </c>
      <c r="J795" t="s">
        <v>648</v>
      </c>
    </row>
    <row r="796" spans="1:10" x14ac:dyDescent="0.25">
      <c r="A796" t="s">
        <v>642</v>
      </c>
      <c r="B796" t="s">
        <v>643</v>
      </c>
      <c r="C796" t="s">
        <v>644</v>
      </c>
      <c r="D796" t="s">
        <v>1577</v>
      </c>
      <c r="E796" t="s">
        <v>646</v>
      </c>
      <c r="F796" s="237">
        <v>44592</v>
      </c>
      <c r="G796">
        <v>1.1100000000000001</v>
      </c>
      <c r="H796" t="s">
        <v>647</v>
      </c>
      <c r="I796" s="802">
        <f t="shared" si="12"/>
        <v>587190</v>
      </c>
      <c r="J796" t="s">
        <v>648</v>
      </c>
    </row>
    <row r="797" spans="1:10" x14ac:dyDescent="0.25">
      <c r="A797" t="s">
        <v>642</v>
      </c>
      <c r="B797" t="s">
        <v>643</v>
      </c>
      <c r="C797" t="s">
        <v>644</v>
      </c>
      <c r="D797" t="s">
        <v>1578</v>
      </c>
      <c r="E797" t="s">
        <v>646</v>
      </c>
      <c r="F797" s="237">
        <v>44592</v>
      </c>
      <c r="G797">
        <v>2</v>
      </c>
      <c r="H797" t="s">
        <v>647</v>
      </c>
      <c r="I797" s="802">
        <f t="shared" si="12"/>
        <v>1058000</v>
      </c>
      <c r="J797" t="s">
        <v>671</v>
      </c>
    </row>
    <row r="798" spans="1:10" x14ac:dyDescent="0.25">
      <c r="A798" t="s">
        <v>642</v>
      </c>
      <c r="B798" t="s">
        <v>643</v>
      </c>
      <c r="C798" t="s">
        <v>705</v>
      </c>
      <c r="D798" t="s">
        <v>820</v>
      </c>
      <c r="E798" t="s">
        <v>646</v>
      </c>
      <c r="F798" s="237">
        <v>44591</v>
      </c>
      <c r="G798">
        <v>26.73</v>
      </c>
      <c r="H798" t="s">
        <v>647</v>
      </c>
      <c r="I798" s="802">
        <f t="shared" si="12"/>
        <v>14140170</v>
      </c>
      <c r="J798" t="s">
        <v>821</v>
      </c>
    </row>
    <row r="799" spans="1:10" x14ac:dyDescent="0.25">
      <c r="A799" t="s">
        <v>642</v>
      </c>
      <c r="B799" t="s">
        <v>643</v>
      </c>
      <c r="C799" t="s">
        <v>644</v>
      </c>
      <c r="D799" t="s">
        <v>1571</v>
      </c>
      <c r="E799" t="s">
        <v>646</v>
      </c>
      <c r="F799" s="237">
        <v>44582</v>
      </c>
      <c r="G799">
        <v>1.1100000000000001</v>
      </c>
      <c r="H799" t="s">
        <v>647</v>
      </c>
      <c r="I799" s="802">
        <f t="shared" si="12"/>
        <v>587190</v>
      </c>
      <c r="J799" t="s">
        <v>648</v>
      </c>
    </row>
    <row r="800" spans="1:10" x14ac:dyDescent="0.25">
      <c r="A800" t="s">
        <v>642</v>
      </c>
      <c r="B800" t="s">
        <v>643</v>
      </c>
      <c r="C800" t="s">
        <v>644</v>
      </c>
      <c r="D800" t="s">
        <v>1582</v>
      </c>
      <c r="E800" t="s">
        <v>646</v>
      </c>
      <c r="F800" s="237">
        <v>44578</v>
      </c>
      <c r="G800">
        <v>40</v>
      </c>
      <c r="H800" t="s">
        <v>651</v>
      </c>
      <c r="I800" s="802">
        <f t="shared" si="12"/>
        <v>2691760</v>
      </c>
      <c r="J800" t="s">
        <v>1226</v>
      </c>
    </row>
    <row r="801" spans="1:10" x14ac:dyDescent="0.25">
      <c r="A801" t="s">
        <v>642</v>
      </c>
      <c r="B801" t="s">
        <v>643</v>
      </c>
      <c r="C801" t="s">
        <v>705</v>
      </c>
      <c r="D801" t="s">
        <v>737</v>
      </c>
      <c r="E801" t="s">
        <v>646</v>
      </c>
      <c r="F801" s="237">
        <v>44568</v>
      </c>
      <c r="G801">
        <v>26.73</v>
      </c>
      <c r="H801" t="s">
        <v>647</v>
      </c>
      <c r="I801" s="802">
        <f t="shared" si="12"/>
        <v>14140170</v>
      </c>
      <c r="J801" t="s">
        <v>710</v>
      </c>
    </row>
    <row r="802" spans="1:10" x14ac:dyDescent="0.25">
      <c r="A802" t="s">
        <v>642</v>
      </c>
      <c r="B802" t="s">
        <v>643</v>
      </c>
      <c r="C802" t="s">
        <v>705</v>
      </c>
      <c r="D802" t="s">
        <v>738</v>
      </c>
      <c r="E802" t="s">
        <v>646</v>
      </c>
      <c r="F802" s="237">
        <v>44568</v>
      </c>
      <c r="G802">
        <v>210</v>
      </c>
      <c r="H802" t="s">
        <v>651</v>
      </c>
      <c r="I802" s="802">
        <f t="shared" si="12"/>
        <v>14131740</v>
      </c>
      <c r="J802" t="s">
        <v>739</v>
      </c>
    </row>
    <row r="803" spans="1:10" x14ac:dyDescent="0.25">
      <c r="A803" t="s">
        <v>642</v>
      </c>
      <c r="B803" t="s">
        <v>643</v>
      </c>
      <c r="C803" t="s">
        <v>705</v>
      </c>
      <c r="D803" t="s">
        <v>1053</v>
      </c>
      <c r="E803" t="s">
        <v>646</v>
      </c>
      <c r="F803" s="237">
        <v>44564</v>
      </c>
      <c r="G803">
        <v>40</v>
      </c>
      <c r="H803" t="s">
        <v>651</v>
      </c>
      <c r="I803" s="802">
        <f t="shared" si="12"/>
        <v>2691760</v>
      </c>
      <c r="J803" t="s">
        <v>1054</v>
      </c>
    </row>
    <row r="804" spans="1:10" x14ac:dyDescent="0.25">
      <c r="A804" t="s">
        <v>642</v>
      </c>
      <c r="B804" t="s">
        <v>643</v>
      </c>
      <c r="C804" t="s">
        <v>705</v>
      </c>
      <c r="D804" t="s">
        <v>1056</v>
      </c>
      <c r="E804" t="s">
        <v>646</v>
      </c>
      <c r="F804" s="237">
        <v>44564</v>
      </c>
      <c r="G804">
        <v>12</v>
      </c>
      <c r="H804" t="s">
        <v>647</v>
      </c>
      <c r="I804" s="802">
        <f t="shared" si="12"/>
        <v>6348000</v>
      </c>
      <c r="J804" t="s">
        <v>712</v>
      </c>
    </row>
    <row r="805" spans="1:10" x14ac:dyDescent="0.25">
      <c r="A805" t="s">
        <v>642</v>
      </c>
      <c r="B805" t="s">
        <v>643</v>
      </c>
      <c r="C805" t="s">
        <v>644</v>
      </c>
      <c r="D805" t="s">
        <v>1579</v>
      </c>
      <c r="E805" t="s">
        <v>646</v>
      </c>
      <c r="F805" s="237">
        <v>44564</v>
      </c>
      <c r="G805">
        <v>1.1100000000000001</v>
      </c>
      <c r="H805" t="s">
        <v>647</v>
      </c>
      <c r="I805" s="802">
        <f t="shared" si="12"/>
        <v>587190</v>
      </c>
      <c r="J805" t="s">
        <v>648</v>
      </c>
    </row>
    <row r="806" spans="1:10" x14ac:dyDescent="0.25">
      <c r="A806" t="s">
        <v>642</v>
      </c>
      <c r="B806" t="s">
        <v>643</v>
      </c>
      <c r="C806" t="s">
        <v>644</v>
      </c>
      <c r="D806" t="s">
        <v>1580</v>
      </c>
      <c r="E806" t="s">
        <v>646</v>
      </c>
      <c r="F806" s="237">
        <v>44564</v>
      </c>
      <c r="G806">
        <v>2</v>
      </c>
      <c r="H806" t="s">
        <v>647</v>
      </c>
      <c r="I806" s="802">
        <f t="shared" si="12"/>
        <v>1058000</v>
      </c>
      <c r="J806" t="s">
        <v>671</v>
      </c>
    </row>
    <row r="807" spans="1:10" x14ac:dyDescent="0.25">
      <c r="A807" t="s">
        <v>642</v>
      </c>
      <c r="B807" t="s">
        <v>643</v>
      </c>
      <c r="C807" t="s">
        <v>705</v>
      </c>
      <c r="D807" t="s">
        <v>1097</v>
      </c>
      <c r="E807" t="s">
        <v>646</v>
      </c>
      <c r="F807" s="237">
        <v>44560</v>
      </c>
      <c r="G807">
        <v>60</v>
      </c>
      <c r="H807" t="s">
        <v>651</v>
      </c>
      <c r="I807" s="802">
        <f t="shared" si="12"/>
        <v>4037640</v>
      </c>
      <c r="J807" t="s">
        <v>689</v>
      </c>
    </row>
    <row r="808" spans="1:10" x14ac:dyDescent="0.25">
      <c r="A808" t="s">
        <v>642</v>
      </c>
      <c r="B808" t="s">
        <v>643</v>
      </c>
      <c r="C808" t="s">
        <v>644</v>
      </c>
      <c r="D808" t="s">
        <v>1574</v>
      </c>
      <c r="E808" t="s">
        <v>646</v>
      </c>
      <c r="F808" s="237">
        <v>44557</v>
      </c>
      <c r="G808">
        <v>60</v>
      </c>
      <c r="H808" t="s">
        <v>651</v>
      </c>
      <c r="I808" s="802">
        <f t="shared" si="12"/>
        <v>4037640</v>
      </c>
      <c r="J808" t="s">
        <v>842</v>
      </c>
    </row>
    <row r="809" spans="1:10" x14ac:dyDescent="0.25">
      <c r="A809" t="s">
        <v>642</v>
      </c>
      <c r="B809" t="s">
        <v>643</v>
      </c>
      <c r="C809" t="s">
        <v>644</v>
      </c>
      <c r="D809" t="s">
        <v>1572</v>
      </c>
      <c r="E809" t="s">
        <v>646</v>
      </c>
      <c r="F809" s="237">
        <v>44550</v>
      </c>
      <c r="G809">
        <v>2</v>
      </c>
      <c r="H809" t="s">
        <v>647</v>
      </c>
      <c r="I809" s="802">
        <f t="shared" si="12"/>
        <v>1058000</v>
      </c>
      <c r="J809" t="s">
        <v>671</v>
      </c>
    </row>
    <row r="810" spans="1:10" x14ac:dyDescent="0.25">
      <c r="A810" t="s">
        <v>642</v>
      </c>
      <c r="B810" t="s">
        <v>643</v>
      </c>
      <c r="C810" t="s">
        <v>644</v>
      </c>
      <c r="D810" t="s">
        <v>1573</v>
      </c>
      <c r="E810" t="s">
        <v>646</v>
      </c>
      <c r="F810" s="237">
        <v>44550</v>
      </c>
      <c r="G810">
        <v>1.1100000000000001</v>
      </c>
      <c r="H810" t="s">
        <v>647</v>
      </c>
      <c r="I810" s="802">
        <f t="shared" si="12"/>
        <v>587190</v>
      </c>
      <c r="J810" t="s">
        <v>648</v>
      </c>
    </row>
    <row r="811" spans="1:10" x14ac:dyDescent="0.25">
      <c r="A811" t="s">
        <v>642</v>
      </c>
      <c r="B811" t="s">
        <v>643</v>
      </c>
      <c r="C811" t="s">
        <v>644</v>
      </c>
      <c r="D811" t="s">
        <v>1575</v>
      </c>
      <c r="E811" t="s">
        <v>646</v>
      </c>
      <c r="F811" s="237">
        <v>44549</v>
      </c>
      <c r="G811">
        <v>1.1100000000000001</v>
      </c>
      <c r="H811" t="s">
        <v>647</v>
      </c>
      <c r="I811" s="802">
        <f t="shared" si="12"/>
        <v>587190</v>
      </c>
      <c r="J811" t="s">
        <v>648</v>
      </c>
    </row>
    <row r="812" spans="1:10" x14ac:dyDescent="0.25">
      <c r="A812" t="s">
        <v>642</v>
      </c>
      <c r="B812" t="s">
        <v>643</v>
      </c>
      <c r="C812" t="s">
        <v>644</v>
      </c>
      <c r="D812" t="s">
        <v>1576</v>
      </c>
      <c r="E812" t="s">
        <v>646</v>
      </c>
      <c r="F812" s="237">
        <v>44549</v>
      </c>
      <c r="G812">
        <v>2</v>
      </c>
      <c r="H812" t="s">
        <v>647</v>
      </c>
      <c r="I812" s="802">
        <f t="shared" si="12"/>
        <v>1058000</v>
      </c>
      <c r="J812" t="s">
        <v>671</v>
      </c>
    </row>
    <row r="813" spans="1:10" x14ac:dyDescent="0.25">
      <c r="A813" t="s">
        <v>642</v>
      </c>
      <c r="B813" t="s">
        <v>643</v>
      </c>
      <c r="C813" t="s">
        <v>705</v>
      </c>
      <c r="D813" t="s">
        <v>806</v>
      </c>
      <c r="E813" t="s">
        <v>646</v>
      </c>
      <c r="F813" s="237">
        <v>44548</v>
      </c>
      <c r="G813">
        <v>20</v>
      </c>
      <c r="H813" t="s">
        <v>647</v>
      </c>
      <c r="I813" s="802">
        <f t="shared" si="12"/>
        <v>10580000</v>
      </c>
      <c r="J813" t="s">
        <v>712</v>
      </c>
    </row>
    <row r="814" spans="1:10" x14ac:dyDescent="0.25">
      <c r="A814" t="s">
        <v>642</v>
      </c>
      <c r="B814" t="s">
        <v>643</v>
      </c>
      <c r="C814" t="s">
        <v>705</v>
      </c>
      <c r="D814" t="s">
        <v>1727</v>
      </c>
      <c r="E814" t="s">
        <v>646</v>
      </c>
      <c r="F814" s="237">
        <v>44536</v>
      </c>
      <c r="G814">
        <v>40</v>
      </c>
      <c r="H814" t="s">
        <v>651</v>
      </c>
      <c r="I814" s="802">
        <f t="shared" si="12"/>
        <v>2691760</v>
      </c>
      <c r="J814" t="s">
        <v>777</v>
      </c>
    </row>
    <row r="815" spans="1:10" x14ac:dyDescent="0.25">
      <c r="A815" t="s">
        <v>642</v>
      </c>
      <c r="B815" t="s">
        <v>643</v>
      </c>
      <c r="C815" t="s">
        <v>705</v>
      </c>
      <c r="D815" t="s">
        <v>1728</v>
      </c>
      <c r="E815" t="s">
        <v>646</v>
      </c>
      <c r="F815" s="237">
        <v>44536</v>
      </c>
      <c r="G815">
        <v>60</v>
      </c>
      <c r="H815" t="s">
        <v>651</v>
      </c>
      <c r="I815" s="802">
        <f t="shared" si="12"/>
        <v>4037640</v>
      </c>
      <c r="J815" t="s">
        <v>689</v>
      </c>
    </row>
    <row r="816" spans="1:10" x14ac:dyDescent="0.25">
      <c r="A816" t="s">
        <v>642</v>
      </c>
      <c r="B816" t="s">
        <v>643</v>
      </c>
      <c r="C816" t="s">
        <v>705</v>
      </c>
      <c r="D816" t="s">
        <v>1724</v>
      </c>
      <c r="E816" t="s">
        <v>646</v>
      </c>
      <c r="F816" s="237">
        <v>44534</v>
      </c>
      <c r="G816">
        <v>26</v>
      </c>
      <c r="H816" t="s">
        <v>647</v>
      </c>
      <c r="I816" s="802">
        <f t="shared" si="12"/>
        <v>13754000</v>
      </c>
      <c r="J816" t="s">
        <v>712</v>
      </c>
    </row>
    <row r="817" spans="1:10" x14ac:dyDescent="0.25">
      <c r="A817" t="s">
        <v>642</v>
      </c>
      <c r="B817" t="s">
        <v>643</v>
      </c>
      <c r="C817" t="s">
        <v>705</v>
      </c>
      <c r="D817" t="s">
        <v>913</v>
      </c>
      <c r="E817" t="s">
        <v>646</v>
      </c>
      <c r="F817" s="237">
        <v>44530</v>
      </c>
      <c r="G817">
        <v>15</v>
      </c>
      <c r="H817" t="s">
        <v>651</v>
      </c>
      <c r="I817" s="802">
        <f t="shared" si="12"/>
        <v>1009410</v>
      </c>
      <c r="J817" t="s">
        <v>684</v>
      </c>
    </row>
    <row r="818" spans="1:10" x14ac:dyDescent="0.25">
      <c r="A818" t="s">
        <v>642</v>
      </c>
      <c r="B818" t="s">
        <v>643</v>
      </c>
      <c r="C818" t="s">
        <v>705</v>
      </c>
      <c r="D818" t="s">
        <v>914</v>
      </c>
      <c r="E818" t="s">
        <v>646</v>
      </c>
      <c r="F818" s="237">
        <v>44530</v>
      </c>
      <c r="G818">
        <v>40</v>
      </c>
      <c r="H818" t="s">
        <v>651</v>
      </c>
      <c r="I818" s="802">
        <f t="shared" si="12"/>
        <v>2691760</v>
      </c>
      <c r="J818" t="s">
        <v>844</v>
      </c>
    </row>
    <row r="819" spans="1:10" x14ac:dyDescent="0.25">
      <c r="A819" t="s">
        <v>642</v>
      </c>
      <c r="B819" t="s">
        <v>643</v>
      </c>
      <c r="C819" t="s">
        <v>705</v>
      </c>
      <c r="D819" t="s">
        <v>726</v>
      </c>
      <c r="E819" t="s">
        <v>646</v>
      </c>
      <c r="F819" s="237">
        <v>44525</v>
      </c>
      <c r="G819">
        <v>60</v>
      </c>
      <c r="H819" t="s">
        <v>651</v>
      </c>
      <c r="I819" s="802">
        <f t="shared" si="12"/>
        <v>4037640</v>
      </c>
      <c r="J819" t="s">
        <v>686</v>
      </c>
    </row>
    <row r="820" spans="1:10" x14ac:dyDescent="0.25">
      <c r="A820" t="s">
        <v>642</v>
      </c>
      <c r="B820" t="s">
        <v>643</v>
      </c>
      <c r="C820" t="s">
        <v>644</v>
      </c>
      <c r="D820" t="s">
        <v>1581</v>
      </c>
      <c r="E820" t="s">
        <v>646</v>
      </c>
      <c r="F820" s="237">
        <v>44512</v>
      </c>
      <c r="G820">
        <v>40</v>
      </c>
      <c r="H820" t="s">
        <v>651</v>
      </c>
      <c r="I820" s="802">
        <f t="shared" si="12"/>
        <v>2691760</v>
      </c>
      <c r="J820" t="s">
        <v>1565</v>
      </c>
    </row>
    <row r="821" spans="1:10" x14ac:dyDescent="0.25">
      <c r="A821" t="s">
        <v>642</v>
      </c>
      <c r="B821" t="s">
        <v>643</v>
      </c>
      <c r="C821" t="s">
        <v>644</v>
      </c>
      <c r="D821" t="s">
        <v>1583</v>
      </c>
      <c r="E821" t="s">
        <v>646</v>
      </c>
      <c r="F821" s="237">
        <v>44504</v>
      </c>
      <c r="G821">
        <v>40</v>
      </c>
      <c r="H821" t="s">
        <v>651</v>
      </c>
      <c r="I821" s="802">
        <f t="shared" si="12"/>
        <v>2691760</v>
      </c>
      <c r="J821" t="s">
        <v>1565</v>
      </c>
    </row>
    <row r="822" spans="1:10" x14ac:dyDescent="0.25">
      <c r="A822" t="s">
        <v>642</v>
      </c>
      <c r="B822" t="s">
        <v>643</v>
      </c>
      <c r="C822" t="s">
        <v>644</v>
      </c>
      <c r="D822" t="s">
        <v>1584</v>
      </c>
      <c r="E822" t="s">
        <v>646</v>
      </c>
      <c r="F822" s="237">
        <v>44492</v>
      </c>
      <c r="G822">
        <v>40</v>
      </c>
      <c r="H822" t="s">
        <v>651</v>
      </c>
      <c r="I822" s="802">
        <f t="shared" si="12"/>
        <v>2691760</v>
      </c>
      <c r="J822" t="s">
        <v>1585</v>
      </c>
    </row>
    <row r="823" spans="1:10" x14ac:dyDescent="0.25">
      <c r="A823" t="s">
        <v>642</v>
      </c>
      <c r="B823" t="s">
        <v>643</v>
      </c>
      <c r="C823" t="s">
        <v>705</v>
      </c>
      <c r="D823" t="s">
        <v>1726</v>
      </c>
      <c r="E823" t="s">
        <v>646</v>
      </c>
      <c r="F823" s="237">
        <v>44473</v>
      </c>
      <c r="G823">
        <v>20</v>
      </c>
      <c r="H823" t="s">
        <v>647</v>
      </c>
      <c r="I823" s="802">
        <f t="shared" si="12"/>
        <v>10580000</v>
      </c>
      <c r="J823" t="s">
        <v>712</v>
      </c>
    </row>
    <row r="824" spans="1:10" x14ac:dyDescent="0.25">
      <c r="A824" t="s">
        <v>642</v>
      </c>
      <c r="B824" t="s">
        <v>643</v>
      </c>
      <c r="C824" t="s">
        <v>705</v>
      </c>
      <c r="D824" t="s">
        <v>1052</v>
      </c>
      <c r="E824" t="s">
        <v>646</v>
      </c>
      <c r="F824" s="237">
        <v>44472</v>
      </c>
      <c r="G824">
        <v>60</v>
      </c>
      <c r="H824" t="s">
        <v>651</v>
      </c>
      <c r="I824" s="802">
        <f t="shared" si="12"/>
        <v>4037640</v>
      </c>
      <c r="J824" t="s">
        <v>750</v>
      </c>
    </row>
    <row r="825" spans="1:10" x14ac:dyDescent="0.25">
      <c r="A825" t="s">
        <v>642</v>
      </c>
      <c r="B825" t="s">
        <v>643</v>
      </c>
      <c r="C825" t="s">
        <v>705</v>
      </c>
      <c r="D825" t="s">
        <v>1055</v>
      </c>
      <c r="E825" t="s">
        <v>646</v>
      </c>
      <c r="F825" s="237">
        <v>44472</v>
      </c>
      <c r="G825">
        <v>30</v>
      </c>
      <c r="H825" t="s">
        <v>651</v>
      </c>
      <c r="I825" s="802">
        <f t="shared" si="12"/>
        <v>2018820</v>
      </c>
      <c r="J825" t="s">
        <v>731</v>
      </c>
    </row>
    <row r="826" spans="1:10" x14ac:dyDescent="0.25">
      <c r="A826" t="s">
        <v>642</v>
      </c>
      <c r="B826" t="s">
        <v>643</v>
      </c>
      <c r="C826" t="s">
        <v>705</v>
      </c>
      <c r="D826" t="s">
        <v>813</v>
      </c>
      <c r="E826" t="s">
        <v>646</v>
      </c>
      <c r="F826" s="237">
        <v>44471</v>
      </c>
      <c r="G826">
        <v>20</v>
      </c>
      <c r="H826" t="s">
        <v>647</v>
      </c>
      <c r="I826" s="802">
        <f t="shared" si="12"/>
        <v>10580000</v>
      </c>
      <c r="J826" t="s">
        <v>712</v>
      </c>
    </row>
    <row r="827" spans="1:10" x14ac:dyDescent="0.25">
      <c r="A827" t="s">
        <v>642</v>
      </c>
      <c r="B827" t="s">
        <v>643</v>
      </c>
      <c r="C827" t="s">
        <v>705</v>
      </c>
      <c r="D827" t="s">
        <v>968</v>
      </c>
      <c r="E827" t="s">
        <v>646</v>
      </c>
      <c r="F827" s="237">
        <v>44464</v>
      </c>
      <c r="G827">
        <v>20</v>
      </c>
      <c r="H827" t="s">
        <v>647</v>
      </c>
      <c r="I827" s="802">
        <f t="shared" si="12"/>
        <v>10580000</v>
      </c>
      <c r="J827" t="s">
        <v>712</v>
      </c>
    </row>
    <row r="828" spans="1:10" x14ac:dyDescent="0.25">
      <c r="A828" t="s">
        <v>642</v>
      </c>
      <c r="B828" t="s">
        <v>643</v>
      </c>
      <c r="C828" t="s">
        <v>705</v>
      </c>
      <c r="D828" t="s">
        <v>1069</v>
      </c>
      <c r="E828" t="s">
        <v>646</v>
      </c>
      <c r="F828" s="237">
        <v>44464</v>
      </c>
      <c r="G828">
        <v>60</v>
      </c>
      <c r="H828" t="s">
        <v>651</v>
      </c>
      <c r="I828" s="802">
        <f t="shared" si="12"/>
        <v>4037640</v>
      </c>
      <c r="J828" t="s">
        <v>689</v>
      </c>
    </row>
    <row r="829" spans="1:10" x14ac:dyDescent="0.25">
      <c r="A829" t="s">
        <v>642</v>
      </c>
      <c r="B829" t="s">
        <v>643</v>
      </c>
      <c r="C829" t="s">
        <v>705</v>
      </c>
      <c r="D829" t="s">
        <v>909</v>
      </c>
      <c r="E829" t="s">
        <v>646</v>
      </c>
      <c r="F829" s="237">
        <v>44463</v>
      </c>
      <c r="G829">
        <v>20</v>
      </c>
      <c r="H829" t="s">
        <v>647</v>
      </c>
      <c r="I829" s="802">
        <f t="shared" si="12"/>
        <v>10580000</v>
      </c>
      <c r="J829" t="s">
        <v>712</v>
      </c>
    </row>
    <row r="830" spans="1:10" x14ac:dyDescent="0.25">
      <c r="A830" t="s">
        <v>642</v>
      </c>
      <c r="B830" t="s">
        <v>643</v>
      </c>
      <c r="C830" t="s">
        <v>705</v>
      </c>
      <c r="D830" t="s">
        <v>1090</v>
      </c>
      <c r="E830" t="s">
        <v>646</v>
      </c>
      <c r="F830" s="237">
        <v>44458</v>
      </c>
      <c r="G830">
        <v>50</v>
      </c>
      <c r="H830" t="s">
        <v>651</v>
      </c>
      <c r="I830" s="802">
        <f t="shared" si="12"/>
        <v>3364700</v>
      </c>
      <c r="J830" t="s">
        <v>940</v>
      </c>
    </row>
    <row r="831" spans="1:10" x14ac:dyDescent="0.25">
      <c r="A831" t="s">
        <v>642</v>
      </c>
      <c r="B831" t="s">
        <v>643</v>
      </c>
      <c r="C831" t="s">
        <v>705</v>
      </c>
      <c r="D831" t="s">
        <v>811</v>
      </c>
      <c r="E831" t="s">
        <v>646</v>
      </c>
      <c r="F831" s="237">
        <v>44457</v>
      </c>
      <c r="G831">
        <v>60</v>
      </c>
      <c r="H831" t="s">
        <v>651</v>
      </c>
      <c r="I831" s="802">
        <f t="shared" si="12"/>
        <v>4037640</v>
      </c>
      <c r="J831" t="s">
        <v>689</v>
      </c>
    </row>
    <row r="832" spans="1:10" x14ac:dyDescent="0.25">
      <c r="A832" t="s">
        <v>642</v>
      </c>
      <c r="B832" t="s">
        <v>643</v>
      </c>
      <c r="C832" t="s">
        <v>705</v>
      </c>
      <c r="D832" t="s">
        <v>812</v>
      </c>
      <c r="E832" t="s">
        <v>646</v>
      </c>
      <c r="F832" s="237">
        <v>44457</v>
      </c>
      <c r="G832">
        <v>20</v>
      </c>
      <c r="H832" t="s">
        <v>647</v>
      </c>
      <c r="I832" s="802">
        <f t="shared" si="12"/>
        <v>10580000</v>
      </c>
      <c r="J832" t="s">
        <v>712</v>
      </c>
    </row>
    <row r="833" spans="1:10" x14ac:dyDescent="0.25">
      <c r="A833" t="s">
        <v>642</v>
      </c>
      <c r="B833" t="s">
        <v>643</v>
      </c>
      <c r="C833" t="s">
        <v>705</v>
      </c>
      <c r="D833" t="s">
        <v>824</v>
      </c>
      <c r="E833" t="s">
        <v>646</v>
      </c>
      <c r="F833" s="237">
        <v>44457</v>
      </c>
      <c r="G833">
        <v>20</v>
      </c>
      <c r="H833" t="s">
        <v>647</v>
      </c>
      <c r="I833" s="802">
        <f t="shared" si="12"/>
        <v>10580000</v>
      </c>
      <c r="J833" t="s">
        <v>712</v>
      </c>
    </row>
    <row r="834" spans="1:10" x14ac:dyDescent="0.25">
      <c r="A834" t="s">
        <v>642</v>
      </c>
      <c r="B834" t="s">
        <v>643</v>
      </c>
      <c r="C834" t="s">
        <v>644</v>
      </c>
      <c r="D834" t="s">
        <v>1566</v>
      </c>
      <c r="E834" t="s">
        <v>646</v>
      </c>
      <c r="F834" s="237">
        <v>44457</v>
      </c>
      <c r="G834">
        <v>20</v>
      </c>
      <c r="H834" t="s">
        <v>651</v>
      </c>
      <c r="I834" s="802">
        <f t="shared" si="12"/>
        <v>1345880</v>
      </c>
      <c r="J834" t="s">
        <v>1567</v>
      </c>
    </row>
    <row r="835" spans="1:10" x14ac:dyDescent="0.25">
      <c r="A835" t="s">
        <v>642</v>
      </c>
      <c r="B835" t="s">
        <v>643</v>
      </c>
      <c r="C835" t="s">
        <v>705</v>
      </c>
      <c r="D835" t="s">
        <v>713</v>
      </c>
      <c r="E835" t="s">
        <v>646</v>
      </c>
      <c r="F835" s="237">
        <v>44452</v>
      </c>
      <c r="G835">
        <v>20</v>
      </c>
      <c r="H835" t="s">
        <v>647</v>
      </c>
      <c r="I835" s="802">
        <f t="shared" ref="I835:I898" si="13">+IF(H835="IMM",+G835*529000,+G835*67294)</f>
        <v>10580000</v>
      </c>
      <c r="J835" t="s">
        <v>712</v>
      </c>
    </row>
    <row r="836" spans="1:10" x14ac:dyDescent="0.25">
      <c r="A836" t="s">
        <v>1612</v>
      </c>
      <c r="B836" t="s">
        <v>1613</v>
      </c>
      <c r="C836" t="s">
        <v>705</v>
      </c>
      <c r="D836" t="s">
        <v>1646</v>
      </c>
      <c r="E836" t="s">
        <v>646</v>
      </c>
      <c r="F836" s="237">
        <v>44449</v>
      </c>
      <c r="G836">
        <v>60</v>
      </c>
      <c r="H836" t="s">
        <v>651</v>
      </c>
      <c r="I836" s="802">
        <f t="shared" si="13"/>
        <v>4037640</v>
      </c>
      <c r="J836" t="s">
        <v>1647</v>
      </c>
    </row>
    <row r="837" spans="1:10" x14ac:dyDescent="0.25">
      <c r="A837" t="s">
        <v>642</v>
      </c>
      <c r="B837" t="s">
        <v>643</v>
      </c>
      <c r="C837" t="s">
        <v>705</v>
      </c>
      <c r="D837" t="s">
        <v>1083</v>
      </c>
      <c r="E837" t="s">
        <v>646</v>
      </c>
      <c r="F837" s="237">
        <v>44448</v>
      </c>
      <c r="G837">
        <v>60</v>
      </c>
      <c r="H837" t="s">
        <v>651</v>
      </c>
      <c r="I837" s="802">
        <f t="shared" si="13"/>
        <v>4037640</v>
      </c>
      <c r="J837" t="s">
        <v>750</v>
      </c>
    </row>
    <row r="838" spans="1:10" x14ac:dyDescent="0.25">
      <c r="A838" t="s">
        <v>642</v>
      </c>
      <c r="B838" t="s">
        <v>643</v>
      </c>
      <c r="C838" t="s">
        <v>705</v>
      </c>
      <c r="D838" t="s">
        <v>1084</v>
      </c>
      <c r="E838" t="s">
        <v>646</v>
      </c>
      <c r="F838" s="237">
        <v>44448</v>
      </c>
      <c r="G838">
        <v>60</v>
      </c>
      <c r="H838" t="s">
        <v>651</v>
      </c>
      <c r="I838" s="802">
        <f t="shared" si="13"/>
        <v>4037640</v>
      </c>
      <c r="J838" t="s">
        <v>817</v>
      </c>
    </row>
    <row r="839" spans="1:10" x14ac:dyDescent="0.25">
      <c r="A839" t="s">
        <v>642</v>
      </c>
      <c r="B839" t="s">
        <v>643</v>
      </c>
      <c r="C839" t="s">
        <v>705</v>
      </c>
      <c r="D839" t="s">
        <v>1085</v>
      </c>
      <c r="E839" t="s">
        <v>646</v>
      </c>
      <c r="F839" s="237">
        <v>44448</v>
      </c>
      <c r="G839">
        <v>30</v>
      </c>
      <c r="H839" t="s">
        <v>651</v>
      </c>
      <c r="I839" s="802">
        <f t="shared" si="13"/>
        <v>2018820</v>
      </c>
      <c r="J839" t="s">
        <v>731</v>
      </c>
    </row>
    <row r="840" spans="1:10" x14ac:dyDescent="0.25">
      <c r="A840" t="s">
        <v>642</v>
      </c>
      <c r="B840" t="s">
        <v>643</v>
      </c>
      <c r="C840" t="s">
        <v>705</v>
      </c>
      <c r="D840" t="s">
        <v>1754</v>
      </c>
      <c r="E840" t="s">
        <v>646</v>
      </c>
      <c r="F840" s="237">
        <v>44444</v>
      </c>
      <c r="G840">
        <v>20</v>
      </c>
      <c r="H840" t="s">
        <v>647</v>
      </c>
      <c r="I840" s="802">
        <f t="shared" si="13"/>
        <v>10580000</v>
      </c>
      <c r="J840" t="s">
        <v>712</v>
      </c>
    </row>
    <row r="841" spans="1:10" x14ac:dyDescent="0.25">
      <c r="A841" t="s">
        <v>642</v>
      </c>
      <c r="B841" t="s">
        <v>643</v>
      </c>
      <c r="C841" t="s">
        <v>705</v>
      </c>
      <c r="D841" t="s">
        <v>1755</v>
      </c>
      <c r="E841" t="s">
        <v>646</v>
      </c>
      <c r="F841" s="237">
        <v>44444</v>
      </c>
      <c r="G841">
        <v>60</v>
      </c>
      <c r="H841" t="s">
        <v>651</v>
      </c>
      <c r="I841" s="802">
        <f t="shared" si="13"/>
        <v>4037640</v>
      </c>
      <c r="J841" t="s">
        <v>750</v>
      </c>
    </row>
    <row r="842" spans="1:10" x14ac:dyDescent="0.25">
      <c r="A842" t="s">
        <v>642</v>
      </c>
      <c r="B842" t="s">
        <v>643</v>
      </c>
      <c r="C842" t="s">
        <v>705</v>
      </c>
      <c r="D842" t="s">
        <v>1756</v>
      </c>
      <c r="E842" t="s">
        <v>646</v>
      </c>
      <c r="F842" s="237">
        <v>44444</v>
      </c>
      <c r="G842">
        <v>60</v>
      </c>
      <c r="H842" t="s">
        <v>651</v>
      </c>
      <c r="I842" s="802">
        <f t="shared" si="13"/>
        <v>4037640</v>
      </c>
      <c r="J842" t="s">
        <v>817</v>
      </c>
    </row>
    <row r="843" spans="1:10" x14ac:dyDescent="0.25">
      <c r="A843" t="s">
        <v>642</v>
      </c>
      <c r="B843" t="s">
        <v>643</v>
      </c>
      <c r="C843" t="s">
        <v>705</v>
      </c>
      <c r="D843" t="s">
        <v>1757</v>
      </c>
      <c r="E843" t="s">
        <v>646</v>
      </c>
      <c r="F843" s="237">
        <v>44444</v>
      </c>
      <c r="G843">
        <v>30</v>
      </c>
      <c r="H843" t="s">
        <v>651</v>
      </c>
      <c r="I843" s="802">
        <f t="shared" si="13"/>
        <v>2018820</v>
      </c>
      <c r="J843" t="s">
        <v>731</v>
      </c>
    </row>
    <row r="844" spans="1:10" x14ac:dyDescent="0.25">
      <c r="A844" t="s">
        <v>1612</v>
      </c>
      <c r="B844" t="s">
        <v>1613</v>
      </c>
      <c r="C844" t="s">
        <v>644</v>
      </c>
      <c r="D844" t="s">
        <v>1685</v>
      </c>
      <c r="E844" t="s">
        <v>646</v>
      </c>
      <c r="F844" s="237">
        <v>44443</v>
      </c>
      <c r="G844">
        <v>2</v>
      </c>
      <c r="H844" t="s">
        <v>647</v>
      </c>
      <c r="I844" s="802">
        <f t="shared" si="13"/>
        <v>1058000</v>
      </c>
      <c r="J844" t="s">
        <v>712</v>
      </c>
    </row>
    <row r="845" spans="1:10" x14ac:dyDescent="0.25">
      <c r="A845" t="s">
        <v>1612</v>
      </c>
      <c r="B845" t="s">
        <v>1613</v>
      </c>
      <c r="C845" t="s">
        <v>644</v>
      </c>
      <c r="D845" t="s">
        <v>1686</v>
      </c>
      <c r="E845" t="s">
        <v>646</v>
      </c>
      <c r="F845" s="237">
        <v>44443</v>
      </c>
      <c r="G845">
        <v>20</v>
      </c>
      <c r="H845" t="s">
        <v>651</v>
      </c>
      <c r="I845" s="802">
        <f t="shared" si="13"/>
        <v>1345880</v>
      </c>
      <c r="J845" t="s">
        <v>1687</v>
      </c>
    </row>
    <row r="846" spans="1:10" x14ac:dyDescent="0.25">
      <c r="A846" t="s">
        <v>642</v>
      </c>
      <c r="B846" t="s">
        <v>643</v>
      </c>
      <c r="C846" t="s">
        <v>705</v>
      </c>
      <c r="D846" t="s">
        <v>725</v>
      </c>
      <c r="E846" t="s">
        <v>646</v>
      </c>
      <c r="F846" s="237">
        <v>44434</v>
      </c>
      <c r="G846">
        <v>60</v>
      </c>
      <c r="H846" t="s">
        <v>651</v>
      </c>
      <c r="I846" s="802">
        <f t="shared" si="13"/>
        <v>4037640</v>
      </c>
      <c r="J846" t="s">
        <v>686</v>
      </c>
    </row>
    <row r="847" spans="1:10" x14ac:dyDescent="0.25">
      <c r="A847" t="s">
        <v>642</v>
      </c>
      <c r="B847" t="s">
        <v>643</v>
      </c>
      <c r="C847" t="s">
        <v>705</v>
      </c>
      <c r="D847" t="s">
        <v>944</v>
      </c>
      <c r="E847" t="s">
        <v>646</v>
      </c>
      <c r="F847" s="237">
        <v>44430</v>
      </c>
      <c r="G847">
        <v>60</v>
      </c>
      <c r="H847" t="s">
        <v>651</v>
      </c>
      <c r="I847" s="802">
        <f t="shared" si="13"/>
        <v>4037640</v>
      </c>
      <c r="J847" t="s">
        <v>750</v>
      </c>
    </row>
    <row r="848" spans="1:10" x14ac:dyDescent="0.25">
      <c r="A848" t="s">
        <v>642</v>
      </c>
      <c r="B848" t="s">
        <v>643</v>
      </c>
      <c r="C848" t="s">
        <v>705</v>
      </c>
      <c r="D848" t="s">
        <v>945</v>
      </c>
      <c r="E848" t="s">
        <v>646</v>
      </c>
      <c r="F848" s="237">
        <v>44430</v>
      </c>
      <c r="G848">
        <v>20</v>
      </c>
      <c r="H848" t="s">
        <v>647</v>
      </c>
      <c r="I848" s="802">
        <f t="shared" si="13"/>
        <v>10580000</v>
      </c>
      <c r="J848" t="s">
        <v>712</v>
      </c>
    </row>
    <row r="849" spans="1:10" x14ac:dyDescent="0.25">
      <c r="A849" t="s">
        <v>642</v>
      </c>
      <c r="B849" t="s">
        <v>643</v>
      </c>
      <c r="C849" t="s">
        <v>705</v>
      </c>
      <c r="D849" t="s">
        <v>749</v>
      </c>
      <c r="E849" t="s">
        <v>646</v>
      </c>
      <c r="F849" s="237">
        <v>44423</v>
      </c>
      <c r="G849">
        <v>60</v>
      </c>
      <c r="H849" t="s">
        <v>651</v>
      </c>
      <c r="I849" s="802">
        <f t="shared" si="13"/>
        <v>4037640</v>
      </c>
      <c r="J849" t="s">
        <v>750</v>
      </c>
    </row>
    <row r="850" spans="1:10" x14ac:dyDescent="0.25">
      <c r="A850" t="s">
        <v>642</v>
      </c>
      <c r="B850" t="s">
        <v>643</v>
      </c>
      <c r="C850" t="s">
        <v>644</v>
      </c>
      <c r="D850" t="s">
        <v>1568</v>
      </c>
      <c r="E850" t="s">
        <v>646</v>
      </c>
      <c r="F850" s="237">
        <v>44423</v>
      </c>
      <c r="G850">
        <v>20</v>
      </c>
      <c r="H850" t="s">
        <v>651</v>
      </c>
      <c r="I850" s="802">
        <f t="shared" si="13"/>
        <v>1345880</v>
      </c>
      <c r="J850" t="s">
        <v>669</v>
      </c>
    </row>
    <row r="851" spans="1:10" x14ac:dyDescent="0.25">
      <c r="A851" t="s">
        <v>642</v>
      </c>
      <c r="B851" t="s">
        <v>643</v>
      </c>
      <c r="C851" t="s">
        <v>705</v>
      </c>
      <c r="D851" t="s">
        <v>1729</v>
      </c>
      <c r="E851" t="s">
        <v>646</v>
      </c>
      <c r="F851" s="237">
        <v>44419</v>
      </c>
      <c r="G851">
        <v>153</v>
      </c>
      <c r="H851" t="s">
        <v>651</v>
      </c>
      <c r="I851" s="802">
        <f t="shared" si="13"/>
        <v>10295982</v>
      </c>
      <c r="J851" t="s">
        <v>970</v>
      </c>
    </row>
    <row r="852" spans="1:10" x14ac:dyDescent="0.25">
      <c r="A852" t="s">
        <v>642</v>
      </c>
      <c r="B852" t="s">
        <v>643</v>
      </c>
      <c r="C852" t="s">
        <v>644</v>
      </c>
      <c r="D852" t="s">
        <v>1569</v>
      </c>
      <c r="E852" t="s">
        <v>646</v>
      </c>
      <c r="F852" s="237">
        <v>44416</v>
      </c>
      <c r="G852">
        <v>20</v>
      </c>
      <c r="H852" t="s">
        <v>651</v>
      </c>
      <c r="I852" s="802">
        <f t="shared" si="13"/>
        <v>1345880</v>
      </c>
      <c r="J852" t="s">
        <v>1570</v>
      </c>
    </row>
    <row r="853" spans="1:10" x14ac:dyDescent="0.25">
      <c r="A853" t="s">
        <v>642</v>
      </c>
      <c r="B853" t="s">
        <v>643</v>
      </c>
      <c r="C853" t="s">
        <v>644</v>
      </c>
      <c r="D853" t="s">
        <v>1602</v>
      </c>
      <c r="E853" t="s">
        <v>646</v>
      </c>
      <c r="F853" s="237">
        <v>44414</v>
      </c>
      <c r="G853">
        <v>20</v>
      </c>
      <c r="H853" t="s">
        <v>651</v>
      </c>
      <c r="I853" s="802">
        <f t="shared" si="13"/>
        <v>1345880</v>
      </c>
      <c r="J853" t="s">
        <v>669</v>
      </c>
    </row>
    <row r="854" spans="1:10" x14ac:dyDescent="0.25">
      <c r="A854" t="s">
        <v>642</v>
      </c>
      <c r="B854" t="s">
        <v>643</v>
      </c>
      <c r="C854" t="s">
        <v>705</v>
      </c>
      <c r="D854" t="s">
        <v>809</v>
      </c>
      <c r="E854" t="s">
        <v>646</v>
      </c>
      <c r="F854" s="237">
        <v>44402</v>
      </c>
      <c r="G854">
        <v>60</v>
      </c>
      <c r="H854" t="s">
        <v>651</v>
      </c>
      <c r="I854" s="802">
        <f t="shared" si="13"/>
        <v>4037640</v>
      </c>
      <c r="J854" t="s">
        <v>810</v>
      </c>
    </row>
    <row r="855" spans="1:10" x14ac:dyDescent="0.25">
      <c r="A855" t="s">
        <v>642</v>
      </c>
      <c r="B855" t="s">
        <v>643</v>
      </c>
      <c r="C855" t="s">
        <v>644</v>
      </c>
      <c r="D855" t="s">
        <v>1600</v>
      </c>
      <c r="E855" t="s">
        <v>646</v>
      </c>
      <c r="F855" s="237">
        <v>44394</v>
      </c>
      <c r="G855">
        <v>2</v>
      </c>
      <c r="H855" t="s">
        <v>647</v>
      </c>
      <c r="I855" s="802">
        <f t="shared" si="13"/>
        <v>1058000</v>
      </c>
      <c r="J855" t="s">
        <v>712</v>
      </c>
    </row>
    <row r="856" spans="1:10" x14ac:dyDescent="0.25">
      <c r="A856" t="s">
        <v>642</v>
      </c>
      <c r="B856" t="s">
        <v>643</v>
      </c>
      <c r="C856" t="s">
        <v>705</v>
      </c>
      <c r="D856" t="s">
        <v>1725</v>
      </c>
      <c r="E856" t="s">
        <v>646</v>
      </c>
      <c r="F856" s="237">
        <v>44388</v>
      </c>
      <c r="G856">
        <v>153</v>
      </c>
      <c r="H856" t="s">
        <v>651</v>
      </c>
      <c r="I856" s="802">
        <f t="shared" si="13"/>
        <v>10295982</v>
      </c>
      <c r="J856" t="s">
        <v>970</v>
      </c>
    </row>
    <row r="857" spans="1:10" x14ac:dyDescent="0.25">
      <c r="A857" t="s">
        <v>642</v>
      </c>
      <c r="B857" t="s">
        <v>643</v>
      </c>
      <c r="C857" t="s">
        <v>705</v>
      </c>
      <c r="D857" t="s">
        <v>814</v>
      </c>
      <c r="E857" t="s">
        <v>646</v>
      </c>
      <c r="F857" s="237">
        <v>44387</v>
      </c>
      <c r="G857">
        <v>30</v>
      </c>
      <c r="H857" t="s">
        <v>651</v>
      </c>
      <c r="I857" s="802">
        <f t="shared" si="13"/>
        <v>2018820</v>
      </c>
      <c r="J857" t="s">
        <v>731</v>
      </c>
    </row>
    <row r="858" spans="1:10" x14ac:dyDescent="0.25">
      <c r="A858" t="s">
        <v>642</v>
      </c>
      <c r="B858" t="s">
        <v>643</v>
      </c>
      <c r="C858" t="s">
        <v>705</v>
      </c>
      <c r="D858" t="s">
        <v>815</v>
      </c>
      <c r="E858" t="s">
        <v>646</v>
      </c>
      <c r="F858" s="237">
        <v>44387</v>
      </c>
      <c r="G858">
        <v>30</v>
      </c>
      <c r="H858" t="s">
        <v>651</v>
      </c>
      <c r="I858" s="802">
        <f t="shared" si="13"/>
        <v>2018820</v>
      </c>
      <c r="J858" t="s">
        <v>731</v>
      </c>
    </row>
    <row r="859" spans="1:10" x14ac:dyDescent="0.25">
      <c r="A859" t="s">
        <v>642</v>
      </c>
      <c r="B859" t="s">
        <v>643</v>
      </c>
      <c r="C859" t="s">
        <v>705</v>
      </c>
      <c r="D859" t="s">
        <v>816</v>
      </c>
      <c r="E859" t="s">
        <v>646</v>
      </c>
      <c r="F859" s="237">
        <v>44387</v>
      </c>
      <c r="G859">
        <v>60</v>
      </c>
      <c r="H859" t="s">
        <v>651</v>
      </c>
      <c r="I859" s="802">
        <f t="shared" si="13"/>
        <v>4037640</v>
      </c>
      <c r="J859" t="s">
        <v>817</v>
      </c>
    </row>
    <row r="860" spans="1:10" x14ac:dyDescent="0.25">
      <c r="A860" t="s">
        <v>642</v>
      </c>
      <c r="B860" t="s">
        <v>643</v>
      </c>
      <c r="C860" t="s">
        <v>705</v>
      </c>
      <c r="D860" t="s">
        <v>818</v>
      </c>
      <c r="E860" t="s">
        <v>646</v>
      </c>
      <c r="F860" s="237">
        <v>44387</v>
      </c>
      <c r="G860">
        <v>60</v>
      </c>
      <c r="H860" t="s">
        <v>651</v>
      </c>
      <c r="I860" s="802">
        <f t="shared" si="13"/>
        <v>4037640</v>
      </c>
      <c r="J860" t="s">
        <v>819</v>
      </c>
    </row>
    <row r="861" spans="1:10" x14ac:dyDescent="0.25">
      <c r="A861" t="s">
        <v>642</v>
      </c>
      <c r="B861" t="s">
        <v>643</v>
      </c>
      <c r="C861" t="s">
        <v>705</v>
      </c>
      <c r="D861" t="s">
        <v>805</v>
      </c>
      <c r="E861" t="s">
        <v>646</v>
      </c>
      <c r="F861" s="237">
        <v>44366</v>
      </c>
      <c r="G861">
        <v>20</v>
      </c>
      <c r="H861" t="s">
        <v>647</v>
      </c>
      <c r="I861" s="802">
        <f t="shared" si="13"/>
        <v>10580000</v>
      </c>
      <c r="J861" t="s">
        <v>712</v>
      </c>
    </row>
    <row r="862" spans="1:10" x14ac:dyDescent="0.25">
      <c r="A862" t="s">
        <v>642</v>
      </c>
      <c r="B862" t="s">
        <v>643</v>
      </c>
      <c r="C862" t="s">
        <v>644</v>
      </c>
      <c r="D862" t="s">
        <v>1564</v>
      </c>
      <c r="E862" t="s">
        <v>646</v>
      </c>
      <c r="F862" s="237">
        <v>44360</v>
      </c>
      <c r="G862">
        <v>40</v>
      </c>
      <c r="H862" t="s">
        <v>651</v>
      </c>
      <c r="I862" s="802">
        <f t="shared" si="13"/>
        <v>2691760</v>
      </c>
      <c r="J862" t="s">
        <v>1565</v>
      </c>
    </row>
    <row r="863" spans="1:10" x14ac:dyDescent="0.25">
      <c r="A863" t="s">
        <v>642</v>
      </c>
      <c r="B863" t="s">
        <v>643</v>
      </c>
      <c r="C863" t="s">
        <v>644</v>
      </c>
      <c r="D863" t="s">
        <v>1563</v>
      </c>
      <c r="E863" t="s">
        <v>646</v>
      </c>
      <c r="F863" s="237">
        <v>44359</v>
      </c>
      <c r="G863">
        <v>2</v>
      </c>
      <c r="H863" t="s">
        <v>647</v>
      </c>
      <c r="I863" s="802">
        <f t="shared" si="13"/>
        <v>1058000</v>
      </c>
      <c r="J863" t="s">
        <v>712</v>
      </c>
    </row>
    <row r="864" spans="1:10" x14ac:dyDescent="0.25">
      <c r="A864" t="s">
        <v>642</v>
      </c>
      <c r="B864" t="s">
        <v>643</v>
      </c>
      <c r="C864" t="s">
        <v>644</v>
      </c>
      <c r="D864" t="s">
        <v>1597</v>
      </c>
      <c r="E864" t="s">
        <v>646</v>
      </c>
      <c r="F864" s="237">
        <v>44357</v>
      </c>
      <c r="G864">
        <v>40</v>
      </c>
      <c r="H864" t="s">
        <v>651</v>
      </c>
      <c r="I864" s="802">
        <f t="shared" si="13"/>
        <v>2691760</v>
      </c>
      <c r="J864" t="s">
        <v>1226</v>
      </c>
    </row>
    <row r="865" spans="1:10" x14ac:dyDescent="0.25">
      <c r="A865" t="s">
        <v>642</v>
      </c>
      <c r="B865" t="s">
        <v>643</v>
      </c>
      <c r="C865" t="s">
        <v>644</v>
      </c>
      <c r="D865" t="s">
        <v>1603</v>
      </c>
      <c r="E865" t="s">
        <v>646</v>
      </c>
      <c r="F865" s="237">
        <v>44357</v>
      </c>
      <c r="G865">
        <v>20</v>
      </c>
      <c r="H865" t="s">
        <v>651</v>
      </c>
      <c r="I865" s="802">
        <f t="shared" si="13"/>
        <v>1345880</v>
      </c>
      <c r="J865" t="s">
        <v>669</v>
      </c>
    </row>
    <row r="866" spans="1:10" x14ac:dyDescent="0.25">
      <c r="A866" t="s">
        <v>642</v>
      </c>
      <c r="B866" t="s">
        <v>643</v>
      </c>
      <c r="C866" t="s">
        <v>705</v>
      </c>
      <c r="D866" t="s">
        <v>732</v>
      </c>
      <c r="E866" t="s">
        <v>646</v>
      </c>
      <c r="F866" s="237">
        <v>44350</v>
      </c>
      <c r="G866">
        <v>30</v>
      </c>
      <c r="H866" t="s">
        <v>651</v>
      </c>
      <c r="I866" s="802">
        <f t="shared" si="13"/>
        <v>2018820</v>
      </c>
      <c r="J866" t="s">
        <v>731</v>
      </c>
    </row>
    <row r="867" spans="1:10" x14ac:dyDescent="0.25">
      <c r="A867" t="s">
        <v>642</v>
      </c>
      <c r="B867" t="s">
        <v>643</v>
      </c>
      <c r="C867" t="s">
        <v>705</v>
      </c>
      <c r="D867" t="s">
        <v>733</v>
      </c>
      <c r="E867" t="s">
        <v>646</v>
      </c>
      <c r="F867" s="237">
        <v>44350</v>
      </c>
      <c r="G867">
        <v>60</v>
      </c>
      <c r="H867" t="s">
        <v>651</v>
      </c>
      <c r="I867" s="802">
        <f t="shared" si="13"/>
        <v>4037640</v>
      </c>
      <c r="J867" t="s">
        <v>734</v>
      </c>
    </row>
    <row r="868" spans="1:10" x14ac:dyDescent="0.25">
      <c r="A868" t="s">
        <v>642</v>
      </c>
      <c r="B868" t="s">
        <v>643</v>
      </c>
      <c r="C868" t="s">
        <v>705</v>
      </c>
      <c r="D868" t="s">
        <v>735</v>
      </c>
      <c r="E868" t="s">
        <v>646</v>
      </c>
      <c r="F868" s="237">
        <v>44350</v>
      </c>
      <c r="G868">
        <v>60</v>
      </c>
      <c r="H868" t="s">
        <v>651</v>
      </c>
      <c r="I868" s="802">
        <f t="shared" si="13"/>
        <v>4037640</v>
      </c>
      <c r="J868" t="s">
        <v>736</v>
      </c>
    </row>
    <row r="869" spans="1:10" x14ac:dyDescent="0.25">
      <c r="A869" t="s">
        <v>642</v>
      </c>
      <c r="B869" t="s">
        <v>643</v>
      </c>
      <c r="C869" t="s">
        <v>705</v>
      </c>
      <c r="D869" t="s">
        <v>1082</v>
      </c>
      <c r="E869" t="s">
        <v>646</v>
      </c>
      <c r="F869" s="237">
        <v>44337</v>
      </c>
      <c r="G869">
        <v>20</v>
      </c>
      <c r="H869" t="s">
        <v>647</v>
      </c>
      <c r="I869" s="802">
        <f t="shared" si="13"/>
        <v>10580000</v>
      </c>
      <c r="J869" t="s">
        <v>712</v>
      </c>
    </row>
    <row r="870" spans="1:10" x14ac:dyDescent="0.25">
      <c r="A870" t="s">
        <v>642</v>
      </c>
      <c r="B870" t="s">
        <v>643</v>
      </c>
      <c r="C870" t="s">
        <v>644</v>
      </c>
      <c r="D870" t="s">
        <v>1592</v>
      </c>
      <c r="E870" t="s">
        <v>646</v>
      </c>
      <c r="F870" s="237">
        <v>44331</v>
      </c>
      <c r="G870">
        <v>1</v>
      </c>
      <c r="H870" t="s">
        <v>647</v>
      </c>
      <c r="I870" s="802">
        <f t="shared" si="13"/>
        <v>529000</v>
      </c>
      <c r="J870" t="s">
        <v>712</v>
      </c>
    </row>
    <row r="871" spans="1:10" x14ac:dyDescent="0.25">
      <c r="A871" t="s">
        <v>642</v>
      </c>
      <c r="B871" t="s">
        <v>643</v>
      </c>
      <c r="C871" t="s">
        <v>644</v>
      </c>
      <c r="D871" t="s">
        <v>1595</v>
      </c>
      <c r="E871" t="s">
        <v>646</v>
      </c>
      <c r="F871" s="237">
        <v>44312</v>
      </c>
      <c r="G871">
        <v>20</v>
      </c>
      <c r="H871" t="s">
        <v>651</v>
      </c>
      <c r="I871" s="802">
        <f t="shared" si="13"/>
        <v>1345880</v>
      </c>
      <c r="J871" t="s">
        <v>1596</v>
      </c>
    </row>
    <row r="872" spans="1:10" x14ac:dyDescent="0.25">
      <c r="A872" t="s">
        <v>642</v>
      </c>
      <c r="B872" t="s">
        <v>643</v>
      </c>
      <c r="C872" t="s">
        <v>705</v>
      </c>
      <c r="D872" t="s">
        <v>910</v>
      </c>
      <c r="E872" t="s">
        <v>646</v>
      </c>
      <c r="F872" s="237">
        <v>44302</v>
      </c>
      <c r="G872">
        <v>60</v>
      </c>
      <c r="H872" t="s">
        <v>651</v>
      </c>
      <c r="I872" s="802">
        <f t="shared" si="13"/>
        <v>4037640</v>
      </c>
      <c r="J872" t="s">
        <v>689</v>
      </c>
    </row>
    <row r="873" spans="1:10" x14ac:dyDescent="0.25">
      <c r="A873" t="s">
        <v>642</v>
      </c>
      <c r="B873" t="s">
        <v>643</v>
      </c>
      <c r="C873" t="s">
        <v>705</v>
      </c>
      <c r="D873" t="s">
        <v>1003</v>
      </c>
      <c r="E873" t="s">
        <v>646</v>
      </c>
      <c r="F873" s="237">
        <v>44302</v>
      </c>
      <c r="G873">
        <v>60</v>
      </c>
      <c r="H873" t="s">
        <v>651</v>
      </c>
      <c r="I873" s="802">
        <f t="shared" si="13"/>
        <v>4037640</v>
      </c>
      <c r="J873" t="s">
        <v>689</v>
      </c>
    </row>
    <row r="874" spans="1:10" x14ac:dyDescent="0.25">
      <c r="A874" t="s">
        <v>642</v>
      </c>
      <c r="B874" t="s">
        <v>643</v>
      </c>
      <c r="C874" t="s">
        <v>705</v>
      </c>
      <c r="D874" t="s">
        <v>1004</v>
      </c>
      <c r="E874" t="s">
        <v>646</v>
      </c>
      <c r="F874" s="237">
        <v>44302</v>
      </c>
      <c r="G874">
        <v>20</v>
      </c>
      <c r="H874" t="s">
        <v>647</v>
      </c>
      <c r="I874" s="802">
        <f t="shared" si="13"/>
        <v>10580000</v>
      </c>
      <c r="J874" t="s">
        <v>712</v>
      </c>
    </row>
    <row r="875" spans="1:10" x14ac:dyDescent="0.25">
      <c r="A875" t="s">
        <v>642</v>
      </c>
      <c r="B875" t="s">
        <v>643</v>
      </c>
      <c r="C875" t="s">
        <v>705</v>
      </c>
      <c r="D875" t="s">
        <v>1758</v>
      </c>
      <c r="E875" t="s">
        <v>646</v>
      </c>
      <c r="F875" s="237">
        <v>44298</v>
      </c>
      <c r="G875">
        <v>76.5</v>
      </c>
      <c r="H875" t="s">
        <v>651</v>
      </c>
      <c r="I875" s="802">
        <f t="shared" si="13"/>
        <v>5147991</v>
      </c>
      <c r="J875" t="s">
        <v>970</v>
      </c>
    </row>
    <row r="876" spans="1:10" x14ac:dyDescent="0.25">
      <c r="A876" t="s">
        <v>642</v>
      </c>
      <c r="B876" t="s">
        <v>643</v>
      </c>
      <c r="C876" t="s">
        <v>705</v>
      </c>
      <c r="D876" t="s">
        <v>1759</v>
      </c>
      <c r="E876" t="s">
        <v>646</v>
      </c>
      <c r="F876" s="237">
        <v>44298</v>
      </c>
      <c r="G876">
        <v>60</v>
      </c>
      <c r="H876" t="s">
        <v>651</v>
      </c>
      <c r="I876" s="802">
        <f t="shared" si="13"/>
        <v>4037640</v>
      </c>
      <c r="J876" t="s">
        <v>689</v>
      </c>
    </row>
    <row r="877" spans="1:10" x14ac:dyDescent="0.25">
      <c r="A877" t="s">
        <v>642</v>
      </c>
      <c r="B877" t="s">
        <v>643</v>
      </c>
      <c r="C877" t="s">
        <v>644</v>
      </c>
      <c r="D877" t="s">
        <v>1605</v>
      </c>
      <c r="E877" t="s">
        <v>646</v>
      </c>
      <c r="F877" s="237">
        <v>44288</v>
      </c>
      <c r="G877">
        <v>2</v>
      </c>
      <c r="H877" t="s">
        <v>647</v>
      </c>
      <c r="I877" s="802">
        <f t="shared" si="13"/>
        <v>1058000</v>
      </c>
      <c r="J877" t="s">
        <v>712</v>
      </c>
    </row>
    <row r="878" spans="1:10" x14ac:dyDescent="0.25">
      <c r="A878" t="s">
        <v>642</v>
      </c>
      <c r="B878" t="s">
        <v>643</v>
      </c>
      <c r="C878" t="s">
        <v>705</v>
      </c>
      <c r="D878" t="s">
        <v>969</v>
      </c>
      <c r="E878" t="s">
        <v>646</v>
      </c>
      <c r="F878" s="237">
        <v>44281</v>
      </c>
      <c r="G878">
        <v>153</v>
      </c>
      <c r="H878" t="s">
        <v>651</v>
      </c>
      <c r="I878" s="802">
        <f t="shared" si="13"/>
        <v>10295982</v>
      </c>
      <c r="J878" t="s">
        <v>970</v>
      </c>
    </row>
    <row r="879" spans="1:10" x14ac:dyDescent="0.25">
      <c r="A879" t="s">
        <v>642</v>
      </c>
      <c r="B879" t="s">
        <v>643</v>
      </c>
      <c r="C879" t="s">
        <v>644</v>
      </c>
      <c r="D879" t="s">
        <v>1604</v>
      </c>
      <c r="E879" t="s">
        <v>646</v>
      </c>
      <c r="F879" s="237">
        <v>44277</v>
      </c>
      <c r="G879">
        <v>2</v>
      </c>
      <c r="H879" t="s">
        <v>647</v>
      </c>
      <c r="I879" s="802">
        <f t="shared" si="13"/>
        <v>1058000</v>
      </c>
      <c r="J879" t="s">
        <v>712</v>
      </c>
    </row>
    <row r="880" spans="1:10" x14ac:dyDescent="0.25">
      <c r="A880" t="s">
        <v>642</v>
      </c>
      <c r="B880" t="s">
        <v>643</v>
      </c>
      <c r="C880" t="s">
        <v>644</v>
      </c>
      <c r="D880" t="s">
        <v>1601</v>
      </c>
      <c r="E880" t="s">
        <v>646</v>
      </c>
      <c r="F880" s="237">
        <v>44269</v>
      </c>
      <c r="G880">
        <v>2</v>
      </c>
      <c r="H880" t="s">
        <v>647</v>
      </c>
      <c r="I880" s="802">
        <f t="shared" si="13"/>
        <v>1058000</v>
      </c>
      <c r="J880" t="s">
        <v>712</v>
      </c>
    </row>
    <row r="881" spans="1:10" x14ac:dyDescent="0.25">
      <c r="A881" t="s">
        <v>642</v>
      </c>
      <c r="B881" t="s">
        <v>643</v>
      </c>
      <c r="C881" t="s">
        <v>644</v>
      </c>
      <c r="D881" t="s">
        <v>1606</v>
      </c>
      <c r="E881" t="s">
        <v>646</v>
      </c>
      <c r="F881" s="237">
        <v>44262</v>
      </c>
      <c r="G881">
        <v>2</v>
      </c>
      <c r="H881" t="s">
        <v>647</v>
      </c>
      <c r="I881" s="802">
        <f t="shared" si="13"/>
        <v>1058000</v>
      </c>
      <c r="J881" t="s">
        <v>712</v>
      </c>
    </row>
    <row r="882" spans="1:10" x14ac:dyDescent="0.25">
      <c r="A882" t="s">
        <v>642</v>
      </c>
      <c r="B882" t="s">
        <v>643</v>
      </c>
      <c r="C882" t="s">
        <v>644</v>
      </c>
      <c r="D882" t="s">
        <v>1598</v>
      </c>
      <c r="E882" t="s">
        <v>646</v>
      </c>
      <c r="F882" s="237">
        <v>44261</v>
      </c>
      <c r="G882">
        <v>2</v>
      </c>
      <c r="H882" t="s">
        <v>647</v>
      </c>
      <c r="I882" s="802">
        <f t="shared" si="13"/>
        <v>1058000</v>
      </c>
      <c r="J882" t="s">
        <v>712</v>
      </c>
    </row>
    <row r="883" spans="1:10" x14ac:dyDescent="0.25">
      <c r="A883" t="s">
        <v>642</v>
      </c>
      <c r="B883" t="s">
        <v>643</v>
      </c>
      <c r="C883" t="s">
        <v>644</v>
      </c>
      <c r="D883" t="s">
        <v>1599</v>
      </c>
      <c r="E883" t="s">
        <v>646</v>
      </c>
      <c r="F883" s="237">
        <v>44261</v>
      </c>
      <c r="G883">
        <v>1</v>
      </c>
      <c r="H883" t="s">
        <v>647</v>
      </c>
      <c r="I883" s="802">
        <f t="shared" si="13"/>
        <v>529000</v>
      </c>
      <c r="J883" t="s">
        <v>712</v>
      </c>
    </row>
    <row r="884" spans="1:10" x14ac:dyDescent="0.25">
      <c r="A884" t="s">
        <v>642</v>
      </c>
      <c r="B884" t="s">
        <v>643</v>
      </c>
      <c r="C884" t="s">
        <v>705</v>
      </c>
      <c r="D884" t="s">
        <v>748</v>
      </c>
      <c r="E884" t="s">
        <v>646</v>
      </c>
      <c r="F884" s="237">
        <v>44259</v>
      </c>
      <c r="G884">
        <v>30</v>
      </c>
      <c r="H884" t="s">
        <v>651</v>
      </c>
      <c r="I884" s="802">
        <f t="shared" si="13"/>
        <v>2018820</v>
      </c>
      <c r="J884" t="s">
        <v>731</v>
      </c>
    </row>
    <row r="885" spans="1:10" x14ac:dyDescent="0.25">
      <c r="A885" t="s">
        <v>642</v>
      </c>
      <c r="B885" t="s">
        <v>643</v>
      </c>
      <c r="C885" t="s">
        <v>705</v>
      </c>
      <c r="D885" t="s">
        <v>972</v>
      </c>
      <c r="E885" t="s">
        <v>646</v>
      </c>
      <c r="F885" s="237">
        <v>44248</v>
      </c>
      <c r="G885">
        <v>30</v>
      </c>
      <c r="H885" t="s">
        <v>651</v>
      </c>
      <c r="I885" s="802">
        <f t="shared" si="13"/>
        <v>2018820</v>
      </c>
      <c r="J885" t="s">
        <v>731</v>
      </c>
    </row>
    <row r="886" spans="1:10" x14ac:dyDescent="0.25">
      <c r="A886" t="s">
        <v>642</v>
      </c>
      <c r="B886" t="s">
        <v>643</v>
      </c>
      <c r="C886" t="s">
        <v>705</v>
      </c>
      <c r="D886" t="s">
        <v>973</v>
      </c>
      <c r="E886" t="s">
        <v>646</v>
      </c>
      <c r="F886" s="237">
        <v>44248</v>
      </c>
      <c r="G886">
        <v>20</v>
      </c>
      <c r="H886" t="s">
        <v>647</v>
      </c>
      <c r="I886" s="802">
        <f t="shared" si="13"/>
        <v>10580000</v>
      </c>
      <c r="J886" t="s">
        <v>712</v>
      </c>
    </row>
    <row r="887" spans="1:10" x14ac:dyDescent="0.25">
      <c r="A887" t="s">
        <v>642</v>
      </c>
      <c r="B887" t="s">
        <v>643</v>
      </c>
      <c r="C887" t="s">
        <v>705</v>
      </c>
      <c r="D887" t="s">
        <v>903</v>
      </c>
      <c r="E887" t="s">
        <v>646</v>
      </c>
      <c r="F887" s="237">
        <v>44234</v>
      </c>
      <c r="G887">
        <v>20</v>
      </c>
      <c r="H887" t="s">
        <v>647</v>
      </c>
      <c r="I887" s="802">
        <f t="shared" si="13"/>
        <v>10580000</v>
      </c>
      <c r="J887" t="s">
        <v>712</v>
      </c>
    </row>
    <row r="888" spans="1:10" x14ac:dyDescent="0.25">
      <c r="A888" t="s">
        <v>642</v>
      </c>
      <c r="B888" t="s">
        <v>643</v>
      </c>
      <c r="C888" t="s">
        <v>705</v>
      </c>
      <c r="D888" t="s">
        <v>938</v>
      </c>
      <c r="E888" t="s">
        <v>646</v>
      </c>
      <c r="F888" s="237">
        <v>44231</v>
      </c>
      <c r="G888">
        <v>60</v>
      </c>
      <c r="H888" t="s">
        <v>651</v>
      </c>
      <c r="I888" s="802">
        <f t="shared" si="13"/>
        <v>4037640</v>
      </c>
      <c r="J888" t="s">
        <v>750</v>
      </c>
    </row>
    <row r="889" spans="1:10" x14ac:dyDescent="0.25">
      <c r="A889" t="s">
        <v>642</v>
      </c>
      <c r="B889" t="s">
        <v>643</v>
      </c>
      <c r="C889" t="s">
        <v>644</v>
      </c>
      <c r="D889" t="s">
        <v>1586</v>
      </c>
      <c r="E889" t="s">
        <v>646</v>
      </c>
      <c r="F889" s="237">
        <v>44225</v>
      </c>
      <c r="G889">
        <v>1</v>
      </c>
      <c r="H889" t="s">
        <v>647</v>
      </c>
      <c r="I889" s="802">
        <f t="shared" si="13"/>
        <v>529000</v>
      </c>
      <c r="J889" t="s">
        <v>712</v>
      </c>
    </row>
    <row r="890" spans="1:10" x14ac:dyDescent="0.25">
      <c r="A890" t="s">
        <v>642</v>
      </c>
      <c r="B890" t="s">
        <v>643</v>
      </c>
      <c r="C890" t="s">
        <v>705</v>
      </c>
      <c r="D890" t="s">
        <v>971</v>
      </c>
      <c r="E890" t="s">
        <v>646</v>
      </c>
      <c r="F890" s="237">
        <v>44216</v>
      </c>
      <c r="G890">
        <v>20</v>
      </c>
      <c r="H890" t="s">
        <v>647</v>
      </c>
      <c r="I890" s="802">
        <f t="shared" si="13"/>
        <v>10580000</v>
      </c>
      <c r="J890" t="s">
        <v>712</v>
      </c>
    </row>
    <row r="891" spans="1:10" x14ac:dyDescent="0.25">
      <c r="A891" t="s">
        <v>642</v>
      </c>
      <c r="B891" t="s">
        <v>643</v>
      </c>
      <c r="C891" t="s">
        <v>705</v>
      </c>
      <c r="D891" t="s">
        <v>1063</v>
      </c>
      <c r="E891" t="s">
        <v>646</v>
      </c>
      <c r="F891" s="237">
        <v>44216</v>
      </c>
      <c r="G891">
        <v>36</v>
      </c>
      <c r="H891" t="s">
        <v>651</v>
      </c>
      <c r="I891" s="802">
        <f t="shared" si="13"/>
        <v>2422584</v>
      </c>
      <c r="J891" t="s">
        <v>810</v>
      </c>
    </row>
    <row r="892" spans="1:10" x14ac:dyDescent="0.25">
      <c r="A892" t="s">
        <v>642</v>
      </c>
      <c r="B892" t="s">
        <v>643</v>
      </c>
      <c r="C892" t="s">
        <v>705</v>
      </c>
      <c r="D892" t="s">
        <v>974</v>
      </c>
      <c r="E892" t="s">
        <v>646</v>
      </c>
      <c r="F892" s="237">
        <v>44203</v>
      </c>
      <c r="G892">
        <v>60</v>
      </c>
      <c r="H892" t="s">
        <v>651</v>
      </c>
      <c r="I892" s="802">
        <f t="shared" si="13"/>
        <v>4037640</v>
      </c>
      <c r="J892" t="s">
        <v>975</v>
      </c>
    </row>
    <row r="893" spans="1:10" x14ac:dyDescent="0.25">
      <c r="A893" t="s">
        <v>642</v>
      </c>
      <c r="B893" t="s">
        <v>643</v>
      </c>
      <c r="C893" t="s">
        <v>705</v>
      </c>
      <c r="D893" t="s">
        <v>976</v>
      </c>
      <c r="E893" t="s">
        <v>646</v>
      </c>
      <c r="F893" s="237">
        <v>44203</v>
      </c>
      <c r="G893">
        <v>60</v>
      </c>
      <c r="H893" t="s">
        <v>651</v>
      </c>
      <c r="I893" s="802">
        <f t="shared" si="13"/>
        <v>4037640</v>
      </c>
      <c r="J893" t="s">
        <v>736</v>
      </c>
    </row>
    <row r="894" spans="1:10" x14ac:dyDescent="0.25">
      <c r="A894" t="s">
        <v>642</v>
      </c>
      <c r="B894" t="s">
        <v>643</v>
      </c>
      <c r="C894" t="s">
        <v>705</v>
      </c>
      <c r="D894" t="s">
        <v>908</v>
      </c>
      <c r="E894" t="s">
        <v>646</v>
      </c>
      <c r="F894" s="237">
        <v>44186</v>
      </c>
      <c r="G894">
        <v>20</v>
      </c>
      <c r="H894" t="s">
        <v>647</v>
      </c>
      <c r="I894" s="802">
        <f t="shared" si="13"/>
        <v>10580000</v>
      </c>
      <c r="J894" t="s">
        <v>712</v>
      </c>
    </row>
    <row r="895" spans="1:10" x14ac:dyDescent="0.25">
      <c r="A895" t="s">
        <v>642</v>
      </c>
      <c r="B895" t="s">
        <v>643</v>
      </c>
      <c r="C895" t="s">
        <v>644</v>
      </c>
      <c r="D895" t="s">
        <v>1607</v>
      </c>
      <c r="E895" t="s">
        <v>646</v>
      </c>
      <c r="F895" s="237">
        <v>44183</v>
      </c>
      <c r="G895">
        <v>2</v>
      </c>
      <c r="H895" t="s">
        <v>647</v>
      </c>
      <c r="I895" s="802">
        <f t="shared" si="13"/>
        <v>1058000</v>
      </c>
      <c r="J895" t="s">
        <v>712</v>
      </c>
    </row>
    <row r="896" spans="1:10" x14ac:dyDescent="0.25">
      <c r="A896" t="s">
        <v>642</v>
      </c>
      <c r="B896" t="s">
        <v>643</v>
      </c>
      <c r="C896" t="s">
        <v>644</v>
      </c>
      <c r="D896" t="s">
        <v>1590</v>
      </c>
      <c r="E896" t="s">
        <v>646</v>
      </c>
      <c r="F896" s="237">
        <v>44182</v>
      </c>
      <c r="G896">
        <v>10</v>
      </c>
      <c r="H896" t="s">
        <v>651</v>
      </c>
      <c r="I896" s="802">
        <f t="shared" si="13"/>
        <v>672940</v>
      </c>
      <c r="J896" t="s">
        <v>684</v>
      </c>
    </row>
    <row r="897" spans="1:10" x14ac:dyDescent="0.25">
      <c r="A897" t="s">
        <v>642</v>
      </c>
      <c r="B897" t="s">
        <v>643</v>
      </c>
      <c r="C897" t="s">
        <v>644</v>
      </c>
      <c r="D897" t="s">
        <v>1593</v>
      </c>
      <c r="E897" t="s">
        <v>646</v>
      </c>
      <c r="F897" s="237">
        <v>44182</v>
      </c>
      <c r="G897">
        <v>40</v>
      </c>
      <c r="H897" t="s">
        <v>651</v>
      </c>
      <c r="I897" s="802">
        <f t="shared" si="13"/>
        <v>2691760</v>
      </c>
      <c r="J897" t="s">
        <v>1565</v>
      </c>
    </row>
    <row r="898" spans="1:10" x14ac:dyDescent="0.25">
      <c r="A898" t="s">
        <v>642</v>
      </c>
      <c r="B898" t="s">
        <v>643</v>
      </c>
      <c r="C898" t="s">
        <v>644</v>
      </c>
      <c r="D898" t="s">
        <v>1594</v>
      </c>
      <c r="E898" t="s">
        <v>646</v>
      </c>
      <c r="F898" s="237">
        <v>44182</v>
      </c>
      <c r="G898">
        <v>2</v>
      </c>
      <c r="H898" t="s">
        <v>647</v>
      </c>
      <c r="I898" s="802">
        <f t="shared" si="13"/>
        <v>1058000</v>
      </c>
      <c r="J898" t="s">
        <v>712</v>
      </c>
    </row>
    <row r="899" spans="1:10" x14ac:dyDescent="0.25">
      <c r="A899" t="s">
        <v>1612</v>
      </c>
      <c r="B899" t="s">
        <v>1613</v>
      </c>
      <c r="C899" t="s">
        <v>705</v>
      </c>
      <c r="D899" t="s">
        <v>1664</v>
      </c>
      <c r="E899" t="s">
        <v>646</v>
      </c>
      <c r="F899" s="237">
        <v>44176</v>
      </c>
      <c r="G899">
        <v>20</v>
      </c>
      <c r="H899" t="s">
        <v>647</v>
      </c>
      <c r="I899" s="802">
        <f t="shared" ref="I899:I962" si="14">+IF(H899="IMM",+G899*529000,+G899*67294)</f>
        <v>10580000</v>
      </c>
      <c r="J899" t="s">
        <v>712</v>
      </c>
    </row>
    <row r="900" spans="1:10" x14ac:dyDescent="0.25">
      <c r="A900" t="s">
        <v>642</v>
      </c>
      <c r="B900" t="s">
        <v>643</v>
      </c>
      <c r="C900" t="s">
        <v>705</v>
      </c>
      <c r="D900" t="s">
        <v>807</v>
      </c>
      <c r="E900" t="s">
        <v>646</v>
      </c>
      <c r="F900" s="237">
        <v>44171</v>
      </c>
      <c r="G900">
        <v>60</v>
      </c>
      <c r="H900" t="s">
        <v>651</v>
      </c>
      <c r="I900" s="802">
        <f t="shared" si="14"/>
        <v>4037640</v>
      </c>
      <c r="J900" t="s">
        <v>808</v>
      </c>
    </row>
    <row r="901" spans="1:10" x14ac:dyDescent="0.25">
      <c r="A901" t="s">
        <v>642</v>
      </c>
      <c r="B901" t="s">
        <v>643</v>
      </c>
      <c r="C901" t="s">
        <v>705</v>
      </c>
      <c r="D901" t="s">
        <v>980</v>
      </c>
      <c r="E901" t="s">
        <v>646</v>
      </c>
      <c r="F901" s="237">
        <v>44170</v>
      </c>
      <c r="G901">
        <v>30</v>
      </c>
      <c r="H901" t="s">
        <v>651</v>
      </c>
      <c r="I901" s="802">
        <f t="shared" si="14"/>
        <v>2018820</v>
      </c>
      <c r="J901" t="s">
        <v>734</v>
      </c>
    </row>
    <row r="902" spans="1:10" x14ac:dyDescent="0.25">
      <c r="A902" t="s">
        <v>642</v>
      </c>
      <c r="B902" t="s">
        <v>643</v>
      </c>
      <c r="C902" t="s">
        <v>705</v>
      </c>
      <c r="D902" t="s">
        <v>901</v>
      </c>
      <c r="E902" t="s">
        <v>646</v>
      </c>
      <c r="F902" s="237">
        <v>44165</v>
      </c>
      <c r="G902">
        <v>60</v>
      </c>
      <c r="H902" t="s">
        <v>651</v>
      </c>
      <c r="I902" s="802">
        <f t="shared" si="14"/>
        <v>4037640</v>
      </c>
      <c r="J902" t="s">
        <v>902</v>
      </c>
    </row>
    <row r="903" spans="1:10" x14ac:dyDescent="0.25">
      <c r="A903" t="s">
        <v>642</v>
      </c>
      <c r="B903" t="s">
        <v>643</v>
      </c>
      <c r="C903" t="s">
        <v>705</v>
      </c>
      <c r="D903" t="s">
        <v>1091</v>
      </c>
      <c r="E903" t="s">
        <v>646</v>
      </c>
      <c r="F903" s="237">
        <v>44164</v>
      </c>
      <c r="G903">
        <v>60</v>
      </c>
      <c r="H903" t="s">
        <v>651</v>
      </c>
      <c r="I903" s="802">
        <f t="shared" si="14"/>
        <v>4037640</v>
      </c>
      <c r="J903" t="s">
        <v>734</v>
      </c>
    </row>
    <row r="904" spans="1:10" x14ac:dyDescent="0.25">
      <c r="A904" t="s">
        <v>1612</v>
      </c>
      <c r="B904" t="s">
        <v>1613</v>
      </c>
      <c r="C904" t="s">
        <v>705</v>
      </c>
      <c r="D904" t="s">
        <v>1669</v>
      </c>
      <c r="E904" t="s">
        <v>646</v>
      </c>
      <c r="F904" s="237">
        <v>44161</v>
      </c>
      <c r="G904">
        <v>60</v>
      </c>
      <c r="H904" t="s">
        <v>651</v>
      </c>
      <c r="I904" s="802">
        <f t="shared" si="14"/>
        <v>4037640</v>
      </c>
      <c r="J904" t="s">
        <v>689</v>
      </c>
    </row>
    <row r="905" spans="1:10" x14ac:dyDescent="0.25">
      <c r="A905" t="s">
        <v>1612</v>
      </c>
      <c r="B905" t="s">
        <v>1613</v>
      </c>
      <c r="C905" t="s">
        <v>705</v>
      </c>
      <c r="D905" t="s">
        <v>1670</v>
      </c>
      <c r="E905" t="s">
        <v>646</v>
      </c>
      <c r="F905" s="237">
        <v>44161</v>
      </c>
      <c r="G905">
        <v>2.25</v>
      </c>
      <c r="H905" t="s">
        <v>880</v>
      </c>
      <c r="I905" s="802">
        <f t="shared" si="14"/>
        <v>151411.5</v>
      </c>
      <c r="J905" t="s">
        <v>1629</v>
      </c>
    </row>
    <row r="906" spans="1:10" x14ac:dyDescent="0.25">
      <c r="A906" t="s">
        <v>1612</v>
      </c>
      <c r="B906" t="s">
        <v>1613</v>
      </c>
      <c r="C906" t="s">
        <v>705</v>
      </c>
      <c r="D906" t="s">
        <v>1671</v>
      </c>
      <c r="E906" t="s">
        <v>646</v>
      </c>
      <c r="F906" s="237">
        <v>44161</v>
      </c>
      <c r="G906">
        <v>3</v>
      </c>
      <c r="H906" t="s">
        <v>880</v>
      </c>
      <c r="I906" s="802">
        <f t="shared" si="14"/>
        <v>201882</v>
      </c>
      <c r="J906" t="s">
        <v>1017</v>
      </c>
    </row>
    <row r="907" spans="1:10" x14ac:dyDescent="0.25">
      <c r="A907" t="s">
        <v>642</v>
      </c>
      <c r="B907" t="s">
        <v>643</v>
      </c>
      <c r="C907" t="s">
        <v>644</v>
      </c>
      <c r="D907" t="s">
        <v>1589</v>
      </c>
      <c r="E907" t="s">
        <v>646</v>
      </c>
      <c r="F907" s="237">
        <v>44158</v>
      </c>
      <c r="G907">
        <v>20</v>
      </c>
      <c r="H907" t="s">
        <v>651</v>
      </c>
      <c r="I907" s="802">
        <f t="shared" si="14"/>
        <v>1345880</v>
      </c>
      <c r="J907" t="s">
        <v>1565</v>
      </c>
    </row>
    <row r="908" spans="1:10" x14ac:dyDescent="0.25">
      <c r="A908" t="s">
        <v>642</v>
      </c>
      <c r="B908" t="s">
        <v>643</v>
      </c>
      <c r="C908" t="s">
        <v>644</v>
      </c>
      <c r="D908" t="s">
        <v>1591</v>
      </c>
      <c r="E908" t="s">
        <v>646</v>
      </c>
      <c r="F908" s="237">
        <v>44155</v>
      </c>
      <c r="G908">
        <v>2</v>
      </c>
      <c r="H908" t="s">
        <v>647</v>
      </c>
      <c r="I908" s="802">
        <f t="shared" si="14"/>
        <v>1058000</v>
      </c>
      <c r="J908" t="s">
        <v>712</v>
      </c>
    </row>
    <row r="909" spans="1:10" x14ac:dyDescent="0.25">
      <c r="A909" t="s">
        <v>642</v>
      </c>
      <c r="B909" t="s">
        <v>643</v>
      </c>
      <c r="C909" t="s">
        <v>705</v>
      </c>
      <c r="D909" t="s">
        <v>766</v>
      </c>
      <c r="E909" t="s">
        <v>646</v>
      </c>
      <c r="F909" s="237">
        <v>44149</v>
      </c>
      <c r="G909">
        <v>12</v>
      </c>
      <c r="H909" t="s">
        <v>647</v>
      </c>
      <c r="I909" s="802">
        <f t="shared" si="14"/>
        <v>6348000</v>
      </c>
      <c r="J909" t="s">
        <v>712</v>
      </c>
    </row>
    <row r="910" spans="1:10" x14ac:dyDescent="0.25">
      <c r="A910" t="s">
        <v>642</v>
      </c>
      <c r="B910" t="s">
        <v>643</v>
      </c>
      <c r="C910" t="s">
        <v>644</v>
      </c>
      <c r="D910" t="s">
        <v>1587</v>
      </c>
      <c r="E910" t="s">
        <v>646</v>
      </c>
      <c r="F910" s="237">
        <v>44149</v>
      </c>
      <c r="G910">
        <v>2</v>
      </c>
      <c r="H910" t="s">
        <v>647</v>
      </c>
      <c r="I910" s="802">
        <f t="shared" si="14"/>
        <v>1058000</v>
      </c>
      <c r="J910" t="s">
        <v>712</v>
      </c>
    </row>
    <row r="911" spans="1:10" x14ac:dyDescent="0.25">
      <c r="A911" t="s">
        <v>1612</v>
      </c>
      <c r="B911" t="s">
        <v>1613</v>
      </c>
      <c r="C911" t="s">
        <v>644</v>
      </c>
      <c r="D911" t="s">
        <v>1715</v>
      </c>
      <c r="E911" t="s">
        <v>646</v>
      </c>
      <c r="F911" s="237">
        <v>44140</v>
      </c>
      <c r="G911">
        <v>2</v>
      </c>
      <c r="H911" t="s">
        <v>647</v>
      </c>
      <c r="I911" s="802">
        <f t="shared" si="14"/>
        <v>1058000</v>
      </c>
      <c r="J911" t="s">
        <v>712</v>
      </c>
    </row>
    <row r="912" spans="1:10" x14ac:dyDescent="0.25">
      <c r="A912" t="s">
        <v>642</v>
      </c>
      <c r="B912" t="s">
        <v>643</v>
      </c>
      <c r="C912" t="s">
        <v>705</v>
      </c>
      <c r="D912" t="s">
        <v>1033</v>
      </c>
      <c r="E912" t="s">
        <v>646</v>
      </c>
      <c r="F912" s="237">
        <v>44137</v>
      </c>
      <c r="G912">
        <v>40</v>
      </c>
      <c r="H912" t="s">
        <v>651</v>
      </c>
      <c r="I912" s="802">
        <f t="shared" si="14"/>
        <v>2691760</v>
      </c>
      <c r="J912" t="s">
        <v>1034</v>
      </c>
    </row>
    <row r="913" spans="1:10" x14ac:dyDescent="0.25">
      <c r="A913" t="s">
        <v>642</v>
      </c>
      <c r="B913" t="s">
        <v>643</v>
      </c>
      <c r="C913" t="s">
        <v>705</v>
      </c>
      <c r="D913" t="s">
        <v>1035</v>
      </c>
      <c r="E913" t="s">
        <v>646</v>
      </c>
      <c r="F913" s="237">
        <v>44137</v>
      </c>
      <c r="G913">
        <v>60</v>
      </c>
      <c r="H913" t="s">
        <v>651</v>
      </c>
      <c r="I913" s="802">
        <f t="shared" si="14"/>
        <v>4037640</v>
      </c>
      <c r="J913" t="s">
        <v>1036</v>
      </c>
    </row>
    <row r="914" spans="1:10" x14ac:dyDescent="0.25">
      <c r="A914" t="s">
        <v>642</v>
      </c>
      <c r="B914" t="s">
        <v>643</v>
      </c>
      <c r="C914" t="s">
        <v>705</v>
      </c>
      <c r="D914" t="s">
        <v>1037</v>
      </c>
      <c r="E914" t="s">
        <v>646</v>
      </c>
      <c r="F914" s="237">
        <v>44137</v>
      </c>
      <c r="G914">
        <v>60</v>
      </c>
      <c r="H914" t="s">
        <v>651</v>
      </c>
      <c r="I914" s="802">
        <f t="shared" si="14"/>
        <v>4037640</v>
      </c>
      <c r="J914" t="s">
        <v>792</v>
      </c>
    </row>
    <row r="915" spans="1:10" x14ac:dyDescent="0.25">
      <c r="A915" t="s">
        <v>642</v>
      </c>
      <c r="B915" t="s">
        <v>643</v>
      </c>
      <c r="C915" t="s">
        <v>705</v>
      </c>
      <c r="D915" t="s">
        <v>1038</v>
      </c>
      <c r="E915" t="s">
        <v>646</v>
      </c>
      <c r="F915" s="237">
        <v>44137</v>
      </c>
      <c r="G915">
        <v>60</v>
      </c>
      <c r="H915" t="s">
        <v>651</v>
      </c>
      <c r="I915" s="802">
        <f t="shared" si="14"/>
        <v>4037640</v>
      </c>
      <c r="J915" t="s">
        <v>752</v>
      </c>
    </row>
    <row r="916" spans="1:10" x14ac:dyDescent="0.25">
      <c r="A916" t="s">
        <v>642</v>
      </c>
      <c r="B916" t="s">
        <v>643</v>
      </c>
      <c r="C916" t="s">
        <v>705</v>
      </c>
      <c r="D916" t="s">
        <v>1039</v>
      </c>
      <c r="E916" t="s">
        <v>646</v>
      </c>
      <c r="F916" s="237">
        <v>44137</v>
      </c>
      <c r="G916">
        <v>60</v>
      </c>
      <c r="H916" t="s">
        <v>651</v>
      </c>
      <c r="I916" s="802">
        <f t="shared" si="14"/>
        <v>4037640</v>
      </c>
      <c r="J916" t="s">
        <v>734</v>
      </c>
    </row>
    <row r="917" spans="1:10" x14ac:dyDescent="0.25">
      <c r="A917" t="s">
        <v>642</v>
      </c>
      <c r="B917" t="s">
        <v>643</v>
      </c>
      <c r="C917" t="s">
        <v>705</v>
      </c>
      <c r="D917" t="s">
        <v>1731</v>
      </c>
      <c r="E917" t="s">
        <v>646</v>
      </c>
      <c r="F917" s="237">
        <v>44128</v>
      </c>
      <c r="G917">
        <v>60</v>
      </c>
      <c r="H917" t="s">
        <v>651</v>
      </c>
      <c r="I917" s="802">
        <f t="shared" si="14"/>
        <v>4037640</v>
      </c>
      <c r="J917" t="s">
        <v>689</v>
      </c>
    </row>
    <row r="918" spans="1:10" x14ac:dyDescent="0.25">
      <c r="A918" t="s">
        <v>1612</v>
      </c>
      <c r="B918" t="s">
        <v>1613</v>
      </c>
      <c r="C918" t="s">
        <v>644</v>
      </c>
      <c r="D918" t="s">
        <v>1684</v>
      </c>
      <c r="E918" t="s">
        <v>646</v>
      </c>
      <c r="F918" s="237">
        <v>44127</v>
      </c>
      <c r="G918">
        <v>1</v>
      </c>
      <c r="H918" t="s">
        <v>647</v>
      </c>
      <c r="I918" s="802">
        <f t="shared" si="14"/>
        <v>529000</v>
      </c>
      <c r="J918" t="s">
        <v>712</v>
      </c>
    </row>
    <row r="919" spans="1:10" x14ac:dyDescent="0.25">
      <c r="A919" t="s">
        <v>642</v>
      </c>
      <c r="B919" t="s">
        <v>643</v>
      </c>
      <c r="C919" t="s">
        <v>705</v>
      </c>
      <c r="D919" t="s">
        <v>1092</v>
      </c>
      <c r="E919" t="s">
        <v>646</v>
      </c>
      <c r="F919" s="237">
        <v>44123</v>
      </c>
      <c r="G919">
        <v>40</v>
      </c>
      <c r="H919" t="s">
        <v>651</v>
      </c>
      <c r="I919" s="802">
        <f t="shared" si="14"/>
        <v>2691760</v>
      </c>
      <c r="J919" t="s">
        <v>1093</v>
      </c>
    </row>
    <row r="920" spans="1:10" x14ac:dyDescent="0.25">
      <c r="A920" t="s">
        <v>642</v>
      </c>
      <c r="B920" t="s">
        <v>643</v>
      </c>
      <c r="C920" t="s">
        <v>644</v>
      </c>
      <c r="D920" t="s">
        <v>1588</v>
      </c>
      <c r="E920" t="s">
        <v>646</v>
      </c>
      <c r="F920" s="237">
        <v>44116</v>
      </c>
      <c r="G920">
        <v>2</v>
      </c>
      <c r="H920" t="s">
        <v>647</v>
      </c>
      <c r="I920" s="802">
        <f t="shared" si="14"/>
        <v>1058000</v>
      </c>
      <c r="J920" t="s">
        <v>712</v>
      </c>
    </row>
    <row r="921" spans="1:10" x14ac:dyDescent="0.25">
      <c r="A921" t="s">
        <v>1612</v>
      </c>
      <c r="B921" t="s">
        <v>1613</v>
      </c>
      <c r="C921" t="s">
        <v>644</v>
      </c>
      <c r="D921" t="s">
        <v>1695</v>
      </c>
      <c r="E921" t="s">
        <v>646</v>
      </c>
      <c r="F921" s="237">
        <v>44112</v>
      </c>
      <c r="G921">
        <v>1</v>
      </c>
      <c r="H921" t="s">
        <v>647</v>
      </c>
      <c r="I921" s="802">
        <f t="shared" si="14"/>
        <v>529000</v>
      </c>
      <c r="J921" t="s">
        <v>648</v>
      </c>
    </row>
    <row r="922" spans="1:10" x14ac:dyDescent="0.25">
      <c r="A922" t="s">
        <v>1612</v>
      </c>
      <c r="B922" t="s">
        <v>1613</v>
      </c>
      <c r="C922" t="s">
        <v>644</v>
      </c>
      <c r="D922" t="s">
        <v>1716</v>
      </c>
      <c r="E922" t="s">
        <v>646</v>
      </c>
      <c r="F922" s="237">
        <v>44102</v>
      </c>
      <c r="G922">
        <v>2</v>
      </c>
      <c r="H922" t="s">
        <v>647</v>
      </c>
      <c r="I922" s="802">
        <f t="shared" si="14"/>
        <v>1058000</v>
      </c>
      <c r="J922" t="s">
        <v>712</v>
      </c>
    </row>
    <row r="923" spans="1:10" x14ac:dyDescent="0.25">
      <c r="A923" t="s">
        <v>642</v>
      </c>
      <c r="B923" t="s">
        <v>643</v>
      </c>
      <c r="C923" t="s">
        <v>705</v>
      </c>
      <c r="D923" t="s">
        <v>1730</v>
      </c>
      <c r="E923" t="s">
        <v>646</v>
      </c>
      <c r="F923" s="237">
        <v>44095</v>
      </c>
      <c r="G923">
        <v>15</v>
      </c>
      <c r="H923" t="s">
        <v>651</v>
      </c>
      <c r="I923" s="802">
        <f t="shared" si="14"/>
        <v>1009410</v>
      </c>
      <c r="J923" t="s">
        <v>684</v>
      </c>
    </row>
    <row r="924" spans="1:10" x14ac:dyDescent="0.25">
      <c r="A924" t="s">
        <v>642</v>
      </c>
      <c r="B924" t="s">
        <v>643</v>
      </c>
      <c r="C924" t="s">
        <v>705</v>
      </c>
      <c r="D924" t="s">
        <v>1732</v>
      </c>
      <c r="E924" t="s">
        <v>646</v>
      </c>
      <c r="F924" s="237">
        <v>44095</v>
      </c>
      <c r="G924">
        <v>15</v>
      </c>
      <c r="H924" t="s">
        <v>651</v>
      </c>
      <c r="I924" s="802">
        <f t="shared" si="14"/>
        <v>1009410</v>
      </c>
      <c r="J924" t="s">
        <v>684</v>
      </c>
    </row>
    <row r="925" spans="1:10" x14ac:dyDescent="0.25">
      <c r="A925" t="s">
        <v>642</v>
      </c>
      <c r="B925" t="s">
        <v>643</v>
      </c>
      <c r="C925" t="s">
        <v>705</v>
      </c>
      <c r="D925" t="s">
        <v>1116</v>
      </c>
      <c r="E925" t="s">
        <v>646</v>
      </c>
      <c r="F925" s="237">
        <v>44088</v>
      </c>
      <c r="G925">
        <v>60</v>
      </c>
      <c r="H925" t="s">
        <v>651</v>
      </c>
      <c r="I925" s="802">
        <f t="shared" si="14"/>
        <v>4037640</v>
      </c>
      <c r="J925" t="s">
        <v>734</v>
      </c>
    </row>
    <row r="926" spans="1:10" x14ac:dyDescent="0.25">
      <c r="A926" t="s">
        <v>642</v>
      </c>
      <c r="B926" t="s">
        <v>643</v>
      </c>
      <c r="C926" t="s">
        <v>705</v>
      </c>
      <c r="D926" t="s">
        <v>1117</v>
      </c>
      <c r="E926" t="s">
        <v>646</v>
      </c>
      <c r="F926" s="237">
        <v>44088</v>
      </c>
      <c r="G926">
        <v>40</v>
      </c>
      <c r="H926" t="s">
        <v>651</v>
      </c>
      <c r="I926" s="802">
        <f t="shared" si="14"/>
        <v>2691760</v>
      </c>
      <c r="J926" t="s">
        <v>1054</v>
      </c>
    </row>
    <row r="927" spans="1:10" x14ac:dyDescent="0.25">
      <c r="A927" t="s">
        <v>1612</v>
      </c>
      <c r="B927" t="s">
        <v>1613</v>
      </c>
      <c r="C927" t="s">
        <v>705</v>
      </c>
      <c r="D927" t="s">
        <v>1627</v>
      </c>
      <c r="E927" t="s">
        <v>646</v>
      </c>
      <c r="F927" s="237">
        <v>44075</v>
      </c>
      <c r="G927">
        <v>30</v>
      </c>
      <c r="H927" t="s">
        <v>651</v>
      </c>
      <c r="I927" s="802">
        <f t="shared" si="14"/>
        <v>2018820</v>
      </c>
      <c r="J927" t="s">
        <v>689</v>
      </c>
    </row>
    <row r="928" spans="1:10" x14ac:dyDescent="0.25">
      <c r="A928" t="s">
        <v>1612</v>
      </c>
      <c r="B928" t="s">
        <v>1613</v>
      </c>
      <c r="C928" t="s">
        <v>705</v>
      </c>
      <c r="D928" t="s">
        <v>1614</v>
      </c>
      <c r="E928" t="s">
        <v>646</v>
      </c>
      <c r="F928" s="237">
        <v>44050</v>
      </c>
      <c r="G928">
        <v>40</v>
      </c>
      <c r="H928" t="s">
        <v>651</v>
      </c>
      <c r="I928" s="802">
        <f t="shared" si="14"/>
        <v>2691760</v>
      </c>
      <c r="J928" t="s">
        <v>777</v>
      </c>
    </row>
    <row r="929" spans="1:10" x14ac:dyDescent="0.25">
      <c r="A929" t="s">
        <v>1612</v>
      </c>
      <c r="B929" t="s">
        <v>1613</v>
      </c>
      <c r="C929" t="s">
        <v>705</v>
      </c>
      <c r="D929" t="s">
        <v>1628</v>
      </c>
      <c r="E929" t="s">
        <v>646</v>
      </c>
      <c r="F929" s="237">
        <v>44025</v>
      </c>
      <c r="G929">
        <v>0.75</v>
      </c>
      <c r="H929" t="s">
        <v>880</v>
      </c>
      <c r="I929" s="802">
        <f t="shared" si="14"/>
        <v>50470.5</v>
      </c>
      <c r="J929" t="s">
        <v>1629</v>
      </c>
    </row>
    <row r="930" spans="1:10" x14ac:dyDescent="0.25">
      <c r="A930" t="s">
        <v>1612</v>
      </c>
      <c r="B930" t="s">
        <v>1613</v>
      </c>
      <c r="C930" t="s">
        <v>705</v>
      </c>
      <c r="D930" t="s">
        <v>1630</v>
      </c>
      <c r="E930" t="s">
        <v>646</v>
      </c>
      <c r="F930" s="237">
        <v>44025</v>
      </c>
      <c r="G930">
        <v>1</v>
      </c>
      <c r="H930" t="s">
        <v>880</v>
      </c>
      <c r="I930" s="802">
        <f t="shared" si="14"/>
        <v>67294</v>
      </c>
      <c r="J930" t="s">
        <v>1017</v>
      </c>
    </row>
    <row r="931" spans="1:10" x14ac:dyDescent="0.25">
      <c r="A931" t="s">
        <v>1612</v>
      </c>
      <c r="B931" t="s">
        <v>1613</v>
      </c>
      <c r="C931" t="s">
        <v>644</v>
      </c>
      <c r="D931" t="s">
        <v>1693</v>
      </c>
      <c r="E931" t="s">
        <v>646</v>
      </c>
      <c r="F931" s="237">
        <v>44000</v>
      </c>
      <c r="G931">
        <v>1</v>
      </c>
      <c r="H931" t="s">
        <v>647</v>
      </c>
      <c r="I931" s="802">
        <f t="shared" si="14"/>
        <v>529000</v>
      </c>
      <c r="J931" t="s">
        <v>648</v>
      </c>
    </row>
    <row r="932" spans="1:10" x14ac:dyDescent="0.25">
      <c r="A932" t="s">
        <v>1612</v>
      </c>
      <c r="B932" t="s">
        <v>1613</v>
      </c>
      <c r="C932" t="s">
        <v>705</v>
      </c>
      <c r="D932" t="s">
        <v>1639</v>
      </c>
      <c r="E932" t="s">
        <v>646</v>
      </c>
      <c r="F932" s="237">
        <v>43976</v>
      </c>
      <c r="G932">
        <v>40</v>
      </c>
      <c r="H932" t="s">
        <v>651</v>
      </c>
      <c r="I932" s="802">
        <f t="shared" si="14"/>
        <v>2691760</v>
      </c>
      <c r="J932" t="s">
        <v>1054</v>
      </c>
    </row>
    <row r="933" spans="1:10" x14ac:dyDescent="0.25">
      <c r="A933" t="s">
        <v>1612</v>
      </c>
      <c r="B933" t="s">
        <v>1613</v>
      </c>
      <c r="C933" t="s">
        <v>705</v>
      </c>
      <c r="D933" t="s">
        <v>1653</v>
      </c>
      <c r="E933" t="s">
        <v>646</v>
      </c>
      <c r="F933" s="237">
        <v>43976</v>
      </c>
      <c r="G933">
        <v>40</v>
      </c>
      <c r="H933" t="s">
        <v>651</v>
      </c>
      <c r="I933" s="802">
        <f t="shared" si="14"/>
        <v>2691760</v>
      </c>
      <c r="J933" t="s">
        <v>715</v>
      </c>
    </row>
    <row r="934" spans="1:10" x14ac:dyDescent="0.25">
      <c r="A934" t="s">
        <v>1612</v>
      </c>
      <c r="B934" t="s">
        <v>1613</v>
      </c>
      <c r="C934" t="s">
        <v>705</v>
      </c>
      <c r="D934" t="s">
        <v>1654</v>
      </c>
      <c r="E934" t="s">
        <v>646</v>
      </c>
      <c r="F934" s="237">
        <v>43976</v>
      </c>
      <c r="G934">
        <v>60</v>
      </c>
      <c r="H934" t="s">
        <v>651</v>
      </c>
      <c r="I934" s="802">
        <f t="shared" si="14"/>
        <v>4037640</v>
      </c>
      <c r="J934" t="s">
        <v>1625</v>
      </c>
    </row>
    <row r="935" spans="1:10" x14ac:dyDescent="0.25">
      <c r="A935" t="s">
        <v>1612</v>
      </c>
      <c r="B935" t="s">
        <v>1613</v>
      </c>
      <c r="C935" t="s">
        <v>705</v>
      </c>
      <c r="D935" t="s">
        <v>1655</v>
      </c>
      <c r="E935" t="s">
        <v>646</v>
      </c>
      <c r="F935" s="237">
        <v>43976</v>
      </c>
      <c r="G935">
        <v>60</v>
      </c>
      <c r="H935" t="s">
        <v>651</v>
      </c>
      <c r="I935" s="802">
        <f t="shared" si="14"/>
        <v>4037640</v>
      </c>
      <c r="J935" t="s">
        <v>851</v>
      </c>
    </row>
    <row r="936" spans="1:10" x14ac:dyDescent="0.25">
      <c r="A936" t="s">
        <v>1612</v>
      </c>
      <c r="B936" t="s">
        <v>1613</v>
      </c>
      <c r="C936" t="s">
        <v>705</v>
      </c>
      <c r="D936" t="s">
        <v>1665</v>
      </c>
      <c r="E936" t="s">
        <v>646</v>
      </c>
      <c r="F936" s="237">
        <v>43974</v>
      </c>
      <c r="G936">
        <v>30</v>
      </c>
      <c r="H936" t="s">
        <v>651</v>
      </c>
      <c r="I936" s="802">
        <f t="shared" si="14"/>
        <v>2018820</v>
      </c>
      <c r="J936" t="s">
        <v>731</v>
      </c>
    </row>
    <row r="937" spans="1:10" x14ac:dyDescent="0.25">
      <c r="A937" t="s">
        <v>1612</v>
      </c>
      <c r="B937" t="s">
        <v>1613</v>
      </c>
      <c r="C937" t="s">
        <v>705</v>
      </c>
      <c r="D937" t="s">
        <v>1666</v>
      </c>
      <c r="E937" t="s">
        <v>646</v>
      </c>
      <c r="F937" s="237">
        <v>43974</v>
      </c>
      <c r="G937">
        <v>30</v>
      </c>
      <c r="H937" t="s">
        <v>651</v>
      </c>
      <c r="I937" s="802">
        <f t="shared" si="14"/>
        <v>2018820</v>
      </c>
      <c r="J937" t="s">
        <v>731</v>
      </c>
    </row>
    <row r="938" spans="1:10" x14ac:dyDescent="0.25">
      <c r="A938" t="s">
        <v>1612</v>
      </c>
      <c r="B938" t="s">
        <v>1613</v>
      </c>
      <c r="C938" t="s">
        <v>705</v>
      </c>
      <c r="D938" t="s">
        <v>1667</v>
      </c>
      <c r="E938" t="s">
        <v>646</v>
      </c>
      <c r="F938" s="237">
        <v>43974</v>
      </c>
      <c r="G938">
        <v>20</v>
      </c>
      <c r="H938" t="s">
        <v>647</v>
      </c>
      <c r="I938" s="802">
        <f t="shared" si="14"/>
        <v>10580000</v>
      </c>
      <c r="J938" t="s">
        <v>712</v>
      </c>
    </row>
    <row r="939" spans="1:10" x14ac:dyDescent="0.25">
      <c r="A939" t="s">
        <v>1612</v>
      </c>
      <c r="B939" t="s">
        <v>1613</v>
      </c>
      <c r="C939" t="s">
        <v>705</v>
      </c>
      <c r="D939" t="s">
        <v>1668</v>
      </c>
      <c r="E939" t="s">
        <v>646</v>
      </c>
      <c r="F939" s="237">
        <v>43974</v>
      </c>
      <c r="G939">
        <v>40</v>
      </c>
      <c r="H939" t="s">
        <v>651</v>
      </c>
      <c r="I939" s="802">
        <f t="shared" si="14"/>
        <v>2691760</v>
      </c>
      <c r="J939" t="s">
        <v>844</v>
      </c>
    </row>
    <row r="940" spans="1:10" x14ac:dyDescent="0.25">
      <c r="A940" t="s">
        <v>1612</v>
      </c>
      <c r="B940" t="s">
        <v>1613</v>
      </c>
      <c r="C940" t="s">
        <v>705</v>
      </c>
      <c r="D940" t="s">
        <v>1624</v>
      </c>
      <c r="E940" t="s">
        <v>646</v>
      </c>
      <c r="F940" s="237">
        <v>43969</v>
      </c>
      <c r="G940">
        <v>60</v>
      </c>
      <c r="H940" t="s">
        <v>651</v>
      </c>
      <c r="I940" s="802">
        <f t="shared" si="14"/>
        <v>4037640</v>
      </c>
      <c r="J940" t="s">
        <v>1625</v>
      </c>
    </row>
    <row r="941" spans="1:10" x14ac:dyDescent="0.25">
      <c r="A941" t="s">
        <v>1612</v>
      </c>
      <c r="B941" t="s">
        <v>1613</v>
      </c>
      <c r="C941" t="s">
        <v>705</v>
      </c>
      <c r="D941" t="s">
        <v>1649</v>
      </c>
      <c r="E941" t="s">
        <v>646</v>
      </c>
      <c r="F941" s="237">
        <v>43963</v>
      </c>
      <c r="G941">
        <v>30</v>
      </c>
      <c r="H941" t="s">
        <v>651</v>
      </c>
      <c r="I941" s="802">
        <f t="shared" si="14"/>
        <v>2018820</v>
      </c>
      <c r="J941" t="s">
        <v>731</v>
      </c>
    </row>
    <row r="942" spans="1:10" x14ac:dyDescent="0.25">
      <c r="A942" t="s">
        <v>1612</v>
      </c>
      <c r="B942" t="s">
        <v>1613</v>
      </c>
      <c r="C942" t="s">
        <v>705</v>
      </c>
      <c r="D942" t="s">
        <v>1677</v>
      </c>
      <c r="E942" t="s">
        <v>646</v>
      </c>
      <c r="F942" s="237">
        <v>43960</v>
      </c>
      <c r="G942">
        <v>60</v>
      </c>
      <c r="H942" t="s">
        <v>651</v>
      </c>
      <c r="I942" s="802">
        <f t="shared" si="14"/>
        <v>4037640</v>
      </c>
      <c r="J942" t="s">
        <v>752</v>
      </c>
    </row>
    <row r="943" spans="1:10" x14ac:dyDescent="0.25">
      <c r="A943" t="s">
        <v>1612</v>
      </c>
      <c r="B943" t="s">
        <v>1613</v>
      </c>
      <c r="C943" t="s">
        <v>705</v>
      </c>
      <c r="D943" t="s">
        <v>1679</v>
      </c>
      <c r="E943" t="s">
        <v>646</v>
      </c>
      <c r="F943" s="237">
        <v>43960</v>
      </c>
      <c r="G943">
        <v>60</v>
      </c>
      <c r="H943" t="s">
        <v>651</v>
      </c>
      <c r="I943" s="802">
        <f t="shared" si="14"/>
        <v>4037640</v>
      </c>
      <c r="J943" t="s">
        <v>686</v>
      </c>
    </row>
    <row r="944" spans="1:10" x14ac:dyDescent="0.25">
      <c r="A944" t="s">
        <v>1612</v>
      </c>
      <c r="B944" t="s">
        <v>1613</v>
      </c>
      <c r="C944" t="s">
        <v>705</v>
      </c>
      <c r="D944" t="s">
        <v>1680</v>
      </c>
      <c r="E944" t="s">
        <v>646</v>
      </c>
      <c r="F944" s="237">
        <v>43960</v>
      </c>
      <c r="G944">
        <v>30</v>
      </c>
      <c r="H944" t="s">
        <v>651</v>
      </c>
      <c r="I944" s="802">
        <f t="shared" si="14"/>
        <v>2018820</v>
      </c>
      <c r="J944" t="s">
        <v>731</v>
      </c>
    </row>
    <row r="945" spans="1:10" x14ac:dyDescent="0.25">
      <c r="A945" t="s">
        <v>1612</v>
      </c>
      <c r="B945" t="s">
        <v>1613</v>
      </c>
      <c r="C945" t="s">
        <v>705</v>
      </c>
      <c r="D945" t="s">
        <v>1681</v>
      </c>
      <c r="E945" t="s">
        <v>646</v>
      </c>
      <c r="F945" s="237">
        <v>43960</v>
      </c>
      <c r="G945">
        <v>60</v>
      </c>
      <c r="H945" t="s">
        <v>651</v>
      </c>
      <c r="I945" s="802">
        <f t="shared" si="14"/>
        <v>4037640</v>
      </c>
      <c r="J945" t="s">
        <v>686</v>
      </c>
    </row>
    <row r="946" spans="1:10" x14ac:dyDescent="0.25">
      <c r="A946" t="s">
        <v>1612</v>
      </c>
      <c r="B946" t="s">
        <v>1613</v>
      </c>
      <c r="C946" t="s">
        <v>705</v>
      </c>
      <c r="D946" t="s">
        <v>1682</v>
      </c>
      <c r="E946" t="s">
        <v>646</v>
      </c>
      <c r="F946" s="237">
        <v>43960</v>
      </c>
      <c r="G946">
        <v>30</v>
      </c>
      <c r="H946" t="s">
        <v>651</v>
      </c>
      <c r="I946" s="802">
        <f t="shared" si="14"/>
        <v>2018820</v>
      </c>
      <c r="J946" t="s">
        <v>731</v>
      </c>
    </row>
    <row r="947" spans="1:10" x14ac:dyDescent="0.25">
      <c r="A947" t="s">
        <v>1612</v>
      </c>
      <c r="B947" t="s">
        <v>1613</v>
      </c>
      <c r="C947" t="s">
        <v>705</v>
      </c>
      <c r="D947" t="s">
        <v>1663</v>
      </c>
      <c r="E947" t="s">
        <v>646</v>
      </c>
      <c r="F947" s="237">
        <v>43957</v>
      </c>
      <c r="G947">
        <v>36</v>
      </c>
      <c r="H947" t="s">
        <v>651</v>
      </c>
      <c r="I947" s="802">
        <f t="shared" si="14"/>
        <v>2422584</v>
      </c>
      <c r="J947" t="s">
        <v>752</v>
      </c>
    </row>
    <row r="948" spans="1:10" x14ac:dyDescent="0.25">
      <c r="A948" t="s">
        <v>1612</v>
      </c>
      <c r="B948" t="s">
        <v>1613</v>
      </c>
      <c r="C948" t="s">
        <v>705</v>
      </c>
      <c r="D948" t="s">
        <v>1622</v>
      </c>
      <c r="E948" t="s">
        <v>646</v>
      </c>
      <c r="F948" s="237">
        <v>43956</v>
      </c>
      <c r="G948">
        <v>30</v>
      </c>
      <c r="H948" t="s">
        <v>651</v>
      </c>
      <c r="I948" s="802">
        <f t="shared" si="14"/>
        <v>2018820</v>
      </c>
      <c r="J948" t="s">
        <v>731</v>
      </c>
    </row>
    <row r="949" spans="1:10" x14ac:dyDescent="0.25">
      <c r="A949" t="s">
        <v>1612</v>
      </c>
      <c r="B949" t="s">
        <v>1613</v>
      </c>
      <c r="C949" t="s">
        <v>705</v>
      </c>
      <c r="D949" t="s">
        <v>1623</v>
      </c>
      <c r="E949" t="s">
        <v>646</v>
      </c>
      <c r="F949" s="237">
        <v>43950</v>
      </c>
      <c r="G949">
        <v>60</v>
      </c>
      <c r="H949" t="s">
        <v>651</v>
      </c>
      <c r="I949" s="802">
        <f t="shared" si="14"/>
        <v>4037640</v>
      </c>
      <c r="J949" t="s">
        <v>817</v>
      </c>
    </row>
    <row r="950" spans="1:10" x14ac:dyDescent="0.25">
      <c r="A950" t="s">
        <v>1612</v>
      </c>
      <c r="B950" t="s">
        <v>1613</v>
      </c>
      <c r="C950" t="s">
        <v>705</v>
      </c>
      <c r="D950" t="s">
        <v>1615</v>
      </c>
      <c r="E950" t="s">
        <v>646</v>
      </c>
      <c r="F950" s="237">
        <v>43945</v>
      </c>
      <c r="G950">
        <v>30</v>
      </c>
      <c r="H950" t="s">
        <v>651</v>
      </c>
      <c r="I950" s="802">
        <f t="shared" si="14"/>
        <v>2018820</v>
      </c>
      <c r="J950" t="s">
        <v>731</v>
      </c>
    </row>
    <row r="951" spans="1:10" x14ac:dyDescent="0.25">
      <c r="A951" t="s">
        <v>1612</v>
      </c>
      <c r="B951" t="s">
        <v>1613</v>
      </c>
      <c r="C951" t="s">
        <v>705</v>
      </c>
      <c r="D951" t="s">
        <v>1661</v>
      </c>
      <c r="E951" t="s">
        <v>646</v>
      </c>
      <c r="F951" s="237">
        <v>43943</v>
      </c>
      <c r="G951">
        <v>42</v>
      </c>
      <c r="H951" t="s">
        <v>651</v>
      </c>
      <c r="I951" s="802">
        <f t="shared" si="14"/>
        <v>2826348</v>
      </c>
      <c r="J951" t="s">
        <v>823</v>
      </c>
    </row>
    <row r="952" spans="1:10" x14ac:dyDescent="0.25">
      <c r="A952" t="s">
        <v>1612</v>
      </c>
      <c r="B952" t="s">
        <v>1613</v>
      </c>
      <c r="C952" t="s">
        <v>644</v>
      </c>
      <c r="D952" t="s">
        <v>1700</v>
      </c>
      <c r="E952" t="s">
        <v>646</v>
      </c>
      <c r="F952" s="237">
        <v>43942</v>
      </c>
      <c r="G952">
        <v>20</v>
      </c>
      <c r="H952" t="s">
        <v>651</v>
      </c>
      <c r="I952" s="802">
        <f t="shared" si="14"/>
        <v>1345880</v>
      </c>
      <c r="J952" t="s">
        <v>1565</v>
      </c>
    </row>
    <row r="953" spans="1:10" x14ac:dyDescent="0.25">
      <c r="A953" t="s">
        <v>1612</v>
      </c>
      <c r="B953" t="s">
        <v>1613</v>
      </c>
      <c r="C953" t="s">
        <v>644</v>
      </c>
      <c r="D953" t="s">
        <v>1692</v>
      </c>
      <c r="E953" t="s">
        <v>646</v>
      </c>
      <c r="F953" s="237">
        <v>43938</v>
      </c>
      <c r="G953">
        <v>2</v>
      </c>
      <c r="H953" t="s">
        <v>647</v>
      </c>
      <c r="I953" s="802">
        <f t="shared" si="14"/>
        <v>1058000</v>
      </c>
      <c r="J953" t="s">
        <v>712</v>
      </c>
    </row>
    <row r="954" spans="1:10" x14ac:dyDescent="0.25">
      <c r="A954" t="s">
        <v>1612</v>
      </c>
      <c r="B954" t="s">
        <v>1613</v>
      </c>
      <c r="C954" t="s">
        <v>644</v>
      </c>
      <c r="D954" t="s">
        <v>1704</v>
      </c>
      <c r="E954" t="s">
        <v>646</v>
      </c>
      <c r="F954" s="237">
        <v>43936</v>
      </c>
      <c r="G954">
        <v>24</v>
      </c>
      <c r="H954" t="s">
        <v>651</v>
      </c>
      <c r="I954" s="802">
        <f t="shared" si="14"/>
        <v>1615056</v>
      </c>
      <c r="J954" t="s">
        <v>1585</v>
      </c>
    </row>
    <row r="955" spans="1:10" x14ac:dyDescent="0.25">
      <c r="A955" t="s">
        <v>1612</v>
      </c>
      <c r="B955" t="s">
        <v>1613</v>
      </c>
      <c r="C955" t="s">
        <v>644</v>
      </c>
      <c r="D955" t="s">
        <v>1694</v>
      </c>
      <c r="E955" t="s">
        <v>646</v>
      </c>
      <c r="F955" s="237">
        <v>43933</v>
      </c>
      <c r="G955">
        <v>40</v>
      </c>
      <c r="H955" t="s">
        <v>651</v>
      </c>
      <c r="I955" s="802">
        <f t="shared" si="14"/>
        <v>2691760</v>
      </c>
      <c r="J955" t="s">
        <v>1565</v>
      </c>
    </row>
    <row r="956" spans="1:10" x14ac:dyDescent="0.25">
      <c r="A956" t="s">
        <v>1612</v>
      </c>
      <c r="B956" t="s">
        <v>1613</v>
      </c>
      <c r="C956" t="s">
        <v>705</v>
      </c>
      <c r="D956" t="s">
        <v>1656</v>
      </c>
      <c r="E956" t="s">
        <v>646</v>
      </c>
      <c r="F956" s="237">
        <v>43932</v>
      </c>
      <c r="G956">
        <v>60</v>
      </c>
      <c r="H956" t="s">
        <v>651</v>
      </c>
      <c r="I956" s="802">
        <f t="shared" si="14"/>
        <v>4037640</v>
      </c>
      <c r="J956" t="s">
        <v>1633</v>
      </c>
    </row>
    <row r="957" spans="1:10" x14ac:dyDescent="0.25">
      <c r="A957" t="s">
        <v>1612</v>
      </c>
      <c r="B957" t="s">
        <v>1613</v>
      </c>
      <c r="C957" t="s">
        <v>705</v>
      </c>
      <c r="D957" t="s">
        <v>1657</v>
      </c>
      <c r="E957" t="s">
        <v>646</v>
      </c>
      <c r="F957" s="237">
        <v>43932</v>
      </c>
      <c r="G957">
        <v>150</v>
      </c>
      <c r="H957" t="s">
        <v>651</v>
      </c>
      <c r="I957" s="802">
        <f t="shared" si="14"/>
        <v>10094100</v>
      </c>
      <c r="J957" t="s">
        <v>1658</v>
      </c>
    </row>
    <row r="958" spans="1:10" x14ac:dyDescent="0.25">
      <c r="A958" t="s">
        <v>1612</v>
      </c>
      <c r="B958" t="s">
        <v>1613</v>
      </c>
      <c r="C958" t="s">
        <v>705</v>
      </c>
      <c r="D958" t="s">
        <v>1659</v>
      </c>
      <c r="E958" t="s">
        <v>646</v>
      </c>
      <c r="F958" s="237">
        <v>43932</v>
      </c>
      <c r="G958">
        <v>60</v>
      </c>
      <c r="H958" t="s">
        <v>651</v>
      </c>
      <c r="I958" s="802">
        <f t="shared" si="14"/>
        <v>4037640</v>
      </c>
      <c r="J958" t="s">
        <v>898</v>
      </c>
    </row>
    <row r="959" spans="1:10" x14ac:dyDescent="0.25">
      <c r="A959" t="s">
        <v>1612</v>
      </c>
      <c r="B959" t="s">
        <v>1613</v>
      </c>
      <c r="C959" t="s">
        <v>705</v>
      </c>
      <c r="D959" t="s">
        <v>1660</v>
      </c>
      <c r="E959" t="s">
        <v>646</v>
      </c>
      <c r="F959" s="237">
        <v>43932</v>
      </c>
      <c r="G959">
        <v>60</v>
      </c>
      <c r="H959" t="s">
        <v>651</v>
      </c>
      <c r="I959" s="802">
        <f t="shared" si="14"/>
        <v>4037640</v>
      </c>
      <c r="J959" t="s">
        <v>803</v>
      </c>
    </row>
    <row r="960" spans="1:10" x14ac:dyDescent="0.25">
      <c r="A960" t="s">
        <v>1612</v>
      </c>
      <c r="B960" t="s">
        <v>1613</v>
      </c>
      <c r="C960" t="s">
        <v>705</v>
      </c>
      <c r="D960" t="s">
        <v>1672</v>
      </c>
      <c r="E960" t="s">
        <v>646</v>
      </c>
      <c r="F960" s="237">
        <v>43930</v>
      </c>
      <c r="G960">
        <v>40</v>
      </c>
      <c r="H960" t="s">
        <v>651</v>
      </c>
      <c r="I960" s="802">
        <f t="shared" si="14"/>
        <v>2691760</v>
      </c>
      <c r="J960" t="s">
        <v>1673</v>
      </c>
    </row>
    <row r="961" spans="1:10" x14ac:dyDescent="0.25">
      <c r="A961" t="s">
        <v>1612</v>
      </c>
      <c r="B961" t="s">
        <v>1613</v>
      </c>
      <c r="C961" t="s">
        <v>705</v>
      </c>
      <c r="D961" t="s">
        <v>1651</v>
      </c>
      <c r="E961" t="s">
        <v>646</v>
      </c>
      <c r="F961" s="237">
        <v>43929</v>
      </c>
      <c r="G961">
        <v>30</v>
      </c>
      <c r="H961" t="s">
        <v>651</v>
      </c>
      <c r="I961" s="802">
        <f t="shared" si="14"/>
        <v>2018820</v>
      </c>
      <c r="J961" t="s">
        <v>731</v>
      </c>
    </row>
    <row r="962" spans="1:10" x14ac:dyDescent="0.25">
      <c r="A962" t="s">
        <v>1612</v>
      </c>
      <c r="B962" t="s">
        <v>1613</v>
      </c>
      <c r="C962" t="s">
        <v>705</v>
      </c>
      <c r="D962" t="s">
        <v>1652</v>
      </c>
      <c r="E962" t="s">
        <v>646</v>
      </c>
      <c r="F962" s="237">
        <v>43929</v>
      </c>
      <c r="G962">
        <v>60</v>
      </c>
      <c r="H962" t="s">
        <v>651</v>
      </c>
      <c r="I962" s="802">
        <f t="shared" si="14"/>
        <v>4037640</v>
      </c>
      <c r="J962" t="s">
        <v>1625</v>
      </c>
    </row>
    <row r="963" spans="1:10" x14ac:dyDescent="0.25">
      <c r="A963" t="s">
        <v>1612</v>
      </c>
      <c r="B963" t="s">
        <v>1613</v>
      </c>
      <c r="C963" t="s">
        <v>705</v>
      </c>
      <c r="D963" t="s">
        <v>1640</v>
      </c>
      <c r="E963" t="s">
        <v>646</v>
      </c>
      <c r="F963" s="237">
        <v>43926</v>
      </c>
      <c r="G963">
        <v>60</v>
      </c>
      <c r="H963" t="s">
        <v>651</v>
      </c>
      <c r="I963" s="802">
        <f t="shared" ref="I963:I1002" si="15">+IF(H963="IMM",+G963*529000,+G963*67294)</f>
        <v>4037640</v>
      </c>
      <c r="J963" t="s">
        <v>1641</v>
      </c>
    </row>
    <row r="964" spans="1:10" x14ac:dyDescent="0.25">
      <c r="A964" t="s">
        <v>1612</v>
      </c>
      <c r="B964" t="s">
        <v>1613</v>
      </c>
      <c r="C964" t="s">
        <v>705</v>
      </c>
      <c r="D964" t="s">
        <v>1642</v>
      </c>
      <c r="E964" t="s">
        <v>646</v>
      </c>
      <c r="F964" s="237">
        <v>43926</v>
      </c>
      <c r="G964">
        <v>60</v>
      </c>
      <c r="H964" t="s">
        <v>651</v>
      </c>
      <c r="I964" s="802">
        <f t="shared" si="15"/>
        <v>4037640</v>
      </c>
      <c r="J964" t="s">
        <v>1643</v>
      </c>
    </row>
    <row r="965" spans="1:10" x14ac:dyDescent="0.25">
      <c r="A965" t="s">
        <v>1612</v>
      </c>
      <c r="B965" t="s">
        <v>1613</v>
      </c>
      <c r="C965" t="s">
        <v>705</v>
      </c>
      <c r="D965" t="s">
        <v>1644</v>
      </c>
      <c r="E965" t="s">
        <v>646</v>
      </c>
      <c r="F965" s="237">
        <v>43926</v>
      </c>
      <c r="G965">
        <v>60</v>
      </c>
      <c r="H965" t="s">
        <v>651</v>
      </c>
      <c r="I965" s="802">
        <f t="shared" si="15"/>
        <v>4037640</v>
      </c>
      <c r="J965" t="s">
        <v>736</v>
      </c>
    </row>
    <row r="966" spans="1:10" x14ac:dyDescent="0.25">
      <c r="A966" t="s">
        <v>1612</v>
      </c>
      <c r="B966" t="s">
        <v>1613</v>
      </c>
      <c r="C966" t="s">
        <v>705</v>
      </c>
      <c r="D966" t="s">
        <v>1645</v>
      </c>
      <c r="E966" t="s">
        <v>646</v>
      </c>
      <c r="F966" s="237">
        <v>43926</v>
      </c>
      <c r="G966">
        <v>60</v>
      </c>
      <c r="H966" t="s">
        <v>651</v>
      </c>
      <c r="I966" s="802">
        <f t="shared" si="15"/>
        <v>4037640</v>
      </c>
      <c r="J966" t="s">
        <v>975</v>
      </c>
    </row>
    <row r="967" spans="1:10" x14ac:dyDescent="0.25">
      <c r="A967" t="s">
        <v>1612</v>
      </c>
      <c r="B967" t="s">
        <v>1613</v>
      </c>
      <c r="C967" t="s">
        <v>644</v>
      </c>
      <c r="D967" t="s">
        <v>1688</v>
      </c>
      <c r="E967" t="s">
        <v>646</v>
      </c>
      <c r="F967" s="237">
        <v>43924</v>
      </c>
      <c r="G967">
        <v>2</v>
      </c>
      <c r="H967" t="s">
        <v>647</v>
      </c>
      <c r="I967" s="802">
        <f t="shared" si="15"/>
        <v>1058000</v>
      </c>
      <c r="J967" t="s">
        <v>712</v>
      </c>
    </row>
    <row r="968" spans="1:10" x14ac:dyDescent="0.25">
      <c r="A968" t="s">
        <v>1612</v>
      </c>
      <c r="B968" t="s">
        <v>1613</v>
      </c>
      <c r="C968" t="s">
        <v>644</v>
      </c>
      <c r="D968" t="s">
        <v>1689</v>
      </c>
      <c r="E968" t="s">
        <v>646</v>
      </c>
      <c r="F968" s="237">
        <v>43924</v>
      </c>
      <c r="G968">
        <v>20</v>
      </c>
      <c r="H968" t="s">
        <v>651</v>
      </c>
      <c r="I968" s="802">
        <f t="shared" si="15"/>
        <v>1345880</v>
      </c>
      <c r="J968" t="s">
        <v>665</v>
      </c>
    </row>
    <row r="969" spans="1:10" x14ac:dyDescent="0.25">
      <c r="A969" t="s">
        <v>1612</v>
      </c>
      <c r="B969" t="s">
        <v>1613</v>
      </c>
      <c r="C969" t="s">
        <v>644</v>
      </c>
      <c r="D969" t="s">
        <v>1690</v>
      </c>
      <c r="E969" t="s">
        <v>646</v>
      </c>
      <c r="F969" s="237">
        <v>43924</v>
      </c>
      <c r="G969">
        <v>60</v>
      </c>
      <c r="H969" t="s">
        <v>651</v>
      </c>
      <c r="I969" s="802">
        <f t="shared" si="15"/>
        <v>4037640</v>
      </c>
      <c r="J969" t="s">
        <v>1625</v>
      </c>
    </row>
    <row r="970" spans="1:10" x14ac:dyDescent="0.25">
      <c r="A970" t="s">
        <v>1612</v>
      </c>
      <c r="B970" t="s">
        <v>1613</v>
      </c>
      <c r="C970" t="s">
        <v>644</v>
      </c>
      <c r="D970" t="s">
        <v>1691</v>
      </c>
      <c r="E970" t="s">
        <v>646</v>
      </c>
      <c r="F970" s="237">
        <v>43924</v>
      </c>
      <c r="G970">
        <v>60</v>
      </c>
      <c r="H970" t="s">
        <v>651</v>
      </c>
      <c r="I970" s="802">
        <f t="shared" si="15"/>
        <v>4037640</v>
      </c>
      <c r="J970" t="s">
        <v>686</v>
      </c>
    </row>
    <row r="971" spans="1:10" x14ac:dyDescent="0.25">
      <c r="A971" t="s">
        <v>1612</v>
      </c>
      <c r="B971" t="s">
        <v>1613</v>
      </c>
      <c r="C971" t="s">
        <v>644</v>
      </c>
      <c r="D971" t="s">
        <v>1701</v>
      </c>
      <c r="E971" t="s">
        <v>646</v>
      </c>
      <c r="F971" s="237">
        <v>43924</v>
      </c>
      <c r="G971">
        <v>1</v>
      </c>
      <c r="H971" t="s">
        <v>647</v>
      </c>
      <c r="I971" s="802">
        <f t="shared" si="15"/>
        <v>529000</v>
      </c>
      <c r="J971" t="s">
        <v>648</v>
      </c>
    </row>
    <row r="972" spans="1:10" x14ac:dyDescent="0.25">
      <c r="A972" t="s">
        <v>1612</v>
      </c>
      <c r="B972" t="s">
        <v>1613</v>
      </c>
      <c r="C972" t="s">
        <v>644</v>
      </c>
      <c r="D972" t="s">
        <v>1702</v>
      </c>
      <c r="E972" t="s">
        <v>646</v>
      </c>
      <c r="F972" s="237">
        <v>43923</v>
      </c>
      <c r="G972">
        <v>1</v>
      </c>
      <c r="H972" t="s">
        <v>647</v>
      </c>
      <c r="I972" s="802">
        <f t="shared" si="15"/>
        <v>529000</v>
      </c>
      <c r="J972" t="s">
        <v>648</v>
      </c>
    </row>
    <row r="973" spans="1:10" x14ac:dyDescent="0.25">
      <c r="A973" t="s">
        <v>1612</v>
      </c>
      <c r="B973" t="s">
        <v>1613</v>
      </c>
      <c r="C973" t="s">
        <v>644</v>
      </c>
      <c r="D973" t="s">
        <v>1705</v>
      </c>
      <c r="E973" t="s">
        <v>646</v>
      </c>
      <c r="F973" s="237">
        <v>43923</v>
      </c>
      <c r="G973">
        <v>15</v>
      </c>
      <c r="H973" t="s">
        <v>651</v>
      </c>
      <c r="I973" s="802">
        <f t="shared" si="15"/>
        <v>1009410</v>
      </c>
      <c r="J973" t="s">
        <v>684</v>
      </c>
    </row>
    <row r="974" spans="1:10" x14ac:dyDescent="0.25">
      <c r="A974" t="s">
        <v>1612</v>
      </c>
      <c r="B974" t="s">
        <v>1613</v>
      </c>
      <c r="C974" t="s">
        <v>644</v>
      </c>
      <c r="D974" t="s">
        <v>1706</v>
      </c>
      <c r="E974" t="s">
        <v>646</v>
      </c>
      <c r="F974" s="237">
        <v>43923</v>
      </c>
      <c r="G974">
        <v>20</v>
      </c>
      <c r="H974" t="s">
        <v>651</v>
      </c>
      <c r="I974" s="802">
        <f t="shared" si="15"/>
        <v>1345880</v>
      </c>
      <c r="J974" t="s">
        <v>1687</v>
      </c>
    </row>
    <row r="975" spans="1:10" x14ac:dyDescent="0.25">
      <c r="A975" t="s">
        <v>1612</v>
      </c>
      <c r="B975" t="s">
        <v>1613</v>
      </c>
      <c r="C975" t="s">
        <v>644</v>
      </c>
      <c r="D975" t="s">
        <v>1707</v>
      </c>
      <c r="E975" t="s">
        <v>646</v>
      </c>
      <c r="F975" s="237">
        <v>43923</v>
      </c>
      <c r="G975">
        <v>20</v>
      </c>
      <c r="H975" t="s">
        <v>651</v>
      </c>
      <c r="I975" s="802">
        <f t="shared" si="15"/>
        <v>1345880</v>
      </c>
      <c r="J975" t="s">
        <v>669</v>
      </c>
    </row>
    <row r="976" spans="1:10" x14ac:dyDescent="0.25">
      <c r="A976" t="s">
        <v>1612</v>
      </c>
      <c r="B976" t="s">
        <v>1613</v>
      </c>
      <c r="C976" t="s">
        <v>705</v>
      </c>
      <c r="D976" t="s">
        <v>1650</v>
      </c>
      <c r="E976" t="s">
        <v>646</v>
      </c>
      <c r="F976" s="237">
        <v>43922</v>
      </c>
      <c r="G976">
        <v>20</v>
      </c>
      <c r="H976" t="s">
        <v>647</v>
      </c>
      <c r="I976" s="802">
        <f t="shared" si="15"/>
        <v>10580000</v>
      </c>
      <c r="J976" t="s">
        <v>712</v>
      </c>
    </row>
    <row r="977" spans="1:10" x14ac:dyDescent="0.25">
      <c r="A977" t="s">
        <v>1612</v>
      </c>
      <c r="B977" t="s">
        <v>1613</v>
      </c>
      <c r="C977" t="s">
        <v>705</v>
      </c>
      <c r="D977" t="s">
        <v>1626</v>
      </c>
      <c r="E977" t="s">
        <v>646</v>
      </c>
      <c r="F977" s="237">
        <v>43918</v>
      </c>
      <c r="G977">
        <v>30</v>
      </c>
      <c r="H977" t="s">
        <v>651</v>
      </c>
      <c r="I977" s="802">
        <f t="shared" si="15"/>
        <v>2018820</v>
      </c>
      <c r="J977" t="s">
        <v>731</v>
      </c>
    </row>
    <row r="978" spans="1:10" x14ac:dyDescent="0.25">
      <c r="A978" t="s">
        <v>1612</v>
      </c>
      <c r="B978" t="s">
        <v>1613</v>
      </c>
      <c r="C978" t="s">
        <v>644</v>
      </c>
      <c r="D978" t="s">
        <v>1703</v>
      </c>
      <c r="E978" t="s">
        <v>646</v>
      </c>
      <c r="F978" s="237">
        <v>43918</v>
      </c>
      <c r="G978">
        <v>1</v>
      </c>
      <c r="H978" t="s">
        <v>647</v>
      </c>
      <c r="I978" s="802">
        <f t="shared" si="15"/>
        <v>529000</v>
      </c>
      <c r="J978" t="s">
        <v>712</v>
      </c>
    </row>
    <row r="979" spans="1:10" x14ac:dyDescent="0.25">
      <c r="A979" t="s">
        <v>1612</v>
      </c>
      <c r="B979" t="s">
        <v>1613</v>
      </c>
      <c r="C979" t="s">
        <v>705</v>
      </c>
      <c r="D979" t="s">
        <v>1631</v>
      </c>
      <c r="E979" t="s">
        <v>646</v>
      </c>
      <c r="F979" s="237">
        <v>43910</v>
      </c>
      <c r="G979">
        <v>60</v>
      </c>
      <c r="H979" t="s">
        <v>651</v>
      </c>
      <c r="I979" s="802">
        <f t="shared" si="15"/>
        <v>4037640</v>
      </c>
      <c r="J979" t="s">
        <v>975</v>
      </c>
    </row>
    <row r="980" spans="1:10" x14ac:dyDescent="0.25">
      <c r="A980" t="s">
        <v>1612</v>
      </c>
      <c r="B980" t="s">
        <v>1613</v>
      </c>
      <c r="C980" t="s">
        <v>705</v>
      </c>
      <c r="D980" t="s">
        <v>1632</v>
      </c>
      <c r="E980" t="s">
        <v>646</v>
      </c>
      <c r="F980" s="237">
        <v>43910</v>
      </c>
      <c r="G980">
        <v>60</v>
      </c>
      <c r="H980" t="s">
        <v>651</v>
      </c>
      <c r="I980" s="802">
        <f t="shared" si="15"/>
        <v>4037640</v>
      </c>
      <c r="J980" t="s">
        <v>1633</v>
      </c>
    </row>
    <row r="981" spans="1:10" x14ac:dyDescent="0.25">
      <c r="A981" t="s">
        <v>1612</v>
      </c>
      <c r="B981" t="s">
        <v>1613</v>
      </c>
      <c r="C981" t="s">
        <v>705</v>
      </c>
      <c r="D981" t="s">
        <v>1674</v>
      </c>
      <c r="E981" t="s">
        <v>646</v>
      </c>
      <c r="F981" s="237">
        <v>43906</v>
      </c>
      <c r="G981">
        <v>1.5</v>
      </c>
      <c r="H981" t="s">
        <v>880</v>
      </c>
      <c r="I981" s="802">
        <f t="shared" si="15"/>
        <v>100941</v>
      </c>
      <c r="J981" t="s">
        <v>1675</v>
      </c>
    </row>
    <row r="982" spans="1:10" x14ac:dyDescent="0.25">
      <c r="A982" t="s">
        <v>1612</v>
      </c>
      <c r="B982" t="s">
        <v>1613</v>
      </c>
      <c r="C982" t="s">
        <v>705</v>
      </c>
      <c r="D982" t="s">
        <v>1676</v>
      </c>
      <c r="E982" t="s">
        <v>646</v>
      </c>
      <c r="F982" s="237">
        <v>43906</v>
      </c>
      <c r="G982">
        <v>2</v>
      </c>
      <c r="H982" t="s">
        <v>880</v>
      </c>
      <c r="I982" s="802">
        <f t="shared" si="15"/>
        <v>134588</v>
      </c>
      <c r="J982" t="s">
        <v>881</v>
      </c>
    </row>
    <row r="983" spans="1:10" x14ac:dyDescent="0.25">
      <c r="A983" t="s">
        <v>1612</v>
      </c>
      <c r="B983" t="s">
        <v>1613</v>
      </c>
      <c r="C983" t="s">
        <v>644</v>
      </c>
      <c r="D983" t="s">
        <v>1708</v>
      </c>
      <c r="E983" t="s">
        <v>646</v>
      </c>
      <c r="F983" s="237">
        <v>43897</v>
      </c>
      <c r="G983">
        <v>1</v>
      </c>
      <c r="H983" t="s">
        <v>647</v>
      </c>
      <c r="I983" s="802">
        <f t="shared" si="15"/>
        <v>529000</v>
      </c>
      <c r="J983" t="s">
        <v>648</v>
      </c>
    </row>
    <row r="984" spans="1:10" x14ac:dyDescent="0.25">
      <c r="A984" t="s">
        <v>1612</v>
      </c>
      <c r="B984" t="s">
        <v>1613</v>
      </c>
      <c r="C984" t="s">
        <v>705</v>
      </c>
      <c r="D984" t="s">
        <v>1662</v>
      </c>
      <c r="E984" t="s">
        <v>646</v>
      </c>
      <c r="F984" s="237">
        <v>43892</v>
      </c>
      <c r="G984">
        <v>36</v>
      </c>
      <c r="H984" t="s">
        <v>651</v>
      </c>
      <c r="I984" s="802">
        <f t="shared" si="15"/>
        <v>2422584</v>
      </c>
      <c r="J984" t="s">
        <v>898</v>
      </c>
    </row>
    <row r="985" spans="1:10" x14ac:dyDescent="0.25">
      <c r="A985" t="s">
        <v>1612</v>
      </c>
      <c r="B985" t="s">
        <v>1613</v>
      </c>
      <c r="C985" t="s">
        <v>705</v>
      </c>
      <c r="D985" t="s">
        <v>1634</v>
      </c>
      <c r="E985" t="s">
        <v>646</v>
      </c>
      <c r="F985" s="237">
        <v>43885</v>
      </c>
      <c r="G985">
        <v>30</v>
      </c>
      <c r="H985" t="s">
        <v>651</v>
      </c>
      <c r="I985" s="802">
        <f t="shared" si="15"/>
        <v>2018820</v>
      </c>
      <c r="J985" t="s">
        <v>794</v>
      </c>
    </row>
    <row r="986" spans="1:10" x14ac:dyDescent="0.25">
      <c r="A986" t="s">
        <v>1612</v>
      </c>
      <c r="B986" t="s">
        <v>1613</v>
      </c>
      <c r="C986" t="s">
        <v>705</v>
      </c>
      <c r="D986" t="s">
        <v>1635</v>
      </c>
      <c r="E986" t="s">
        <v>646</v>
      </c>
      <c r="F986" s="237">
        <v>43885</v>
      </c>
      <c r="G986">
        <v>60</v>
      </c>
      <c r="H986" t="s">
        <v>651</v>
      </c>
      <c r="I986" s="802">
        <f t="shared" si="15"/>
        <v>4037640</v>
      </c>
      <c r="J986" t="s">
        <v>1636</v>
      </c>
    </row>
    <row r="987" spans="1:10" x14ac:dyDescent="0.25">
      <c r="A987" t="s">
        <v>1612</v>
      </c>
      <c r="B987" t="s">
        <v>1613</v>
      </c>
      <c r="C987" t="s">
        <v>644</v>
      </c>
      <c r="D987" t="s">
        <v>1697</v>
      </c>
      <c r="E987" t="s">
        <v>646</v>
      </c>
      <c r="F987" s="237">
        <v>43878</v>
      </c>
      <c r="G987">
        <v>1</v>
      </c>
      <c r="H987" t="s">
        <v>647</v>
      </c>
      <c r="I987" s="802">
        <f t="shared" si="15"/>
        <v>529000</v>
      </c>
      <c r="J987" t="s">
        <v>712</v>
      </c>
    </row>
    <row r="988" spans="1:10" x14ac:dyDescent="0.25">
      <c r="A988" t="s">
        <v>1612</v>
      </c>
      <c r="B988" t="s">
        <v>1613</v>
      </c>
      <c r="C988" t="s">
        <v>644</v>
      </c>
      <c r="D988" t="s">
        <v>1698</v>
      </c>
      <c r="E988" t="s">
        <v>646</v>
      </c>
      <c r="F988" s="237">
        <v>43878</v>
      </c>
      <c r="G988">
        <v>30</v>
      </c>
      <c r="H988" t="s">
        <v>651</v>
      </c>
      <c r="I988" s="802">
        <f t="shared" si="15"/>
        <v>2018820</v>
      </c>
      <c r="J988" t="s">
        <v>715</v>
      </c>
    </row>
    <row r="989" spans="1:10" x14ac:dyDescent="0.25">
      <c r="A989" t="s">
        <v>1612</v>
      </c>
      <c r="B989" t="s">
        <v>1613</v>
      </c>
      <c r="C989" t="s">
        <v>644</v>
      </c>
      <c r="D989" t="s">
        <v>1699</v>
      </c>
      <c r="E989" t="s">
        <v>646</v>
      </c>
      <c r="F989" s="237">
        <v>43876</v>
      </c>
      <c r="G989">
        <v>1</v>
      </c>
      <c r="H989" t="s">
        <v>647</v>
      </c>
      <c r="I989" s="802">
        <f t="shared" si="15"/>
        <v>529000</v>
      </c>
      <c r="J989" t="s">
        <v>648</v>
      </c>
    </row>
    <row r="990" spans="1:10" x14ac:dyDescent="0.25">
      <c r="A990" t="s">
        <v>1612</v>
      </c>
      <c r="B990" t="s">
        <v>1613</v>
      </c>
      <c r="C990" t="s">
        <v>705</v>
      </c>
      <c r="D990" t="s">
        <v>1616</v>
      </c>
      <c r="E990" t="s">
        <v>646</v>
      </c>
      <c r="F990" s="237">
        <v>43872</v>
      </c>
      <c r="G990">
        <v>40</v>
      </c>
      <c r="H990" t="s">
        <v>651</v>
      </c>
      <c r="I990" s="802">
        <f t="shared" si="15"/>
        <v>2691760</v>
      </c>
      <c r="J990" t="s">
        <v>1617</v>
      </c>
    </row>
    <row r="991" spans="1:10" x14ac:dyDescent="0.25">
      <c r="A991" t="s">
        <v>1612</v>
      </c>
      <c r="B991" t="s">
        <v>1613</v>
      </c>
      <c r="C991" t="s">
        <v>705</v>
      </c>
      <c r="D991" t="s">
        <v>1618</v>
      </c>
      <c r="E991" t="s">
        <v>646</v>
      </c>
      <c r="F991" s="237">
        <v>43872</v>
      </c>
      <c r="G991">
        <v>30</v>
      </c>
      <c r="H991" t="s">
        <v>651</v>
      </c>
      <c r="I991" s="802">
        <f t="shared" si="15"/>
        <v>2018820</v>
      </c>
      <c r="J991" t="s">
        <v>961</v>
      </c>
    </row>
    <row r="992" spans="1:10" x14ac:dyDescent="0.25">
      <c r="A992" t="s">
        <v>1612</v>
      </c>
      <c r="B992" t="s">
        <v>1613</v>
      </c>
      <c r="C992" t="s">
        <v>644</v>
      </c>
      <c r="D992" t="s">
        <v>1696</v>
      </c>
      <c r="E992" t="s">
        <v>646</v>
      </c>
      <c r="F992" s="237">
        <v>43871</v>
      </c>
      <c r="G992">
        <v>1</v>
      </c>
      <c r="H992" t="s">
        <v>647</v>
      </c>
      <c r="I992" s="802">
        <f t="shared" si="15"/>
        <v>529000</v>
      </c>
      <c r="J992" t="s">
        <v>648</v>
      </c>
    </row>
    <row r="993" spans="1:10" x14ac:dyDescent="0.25">
      <c r="A993" t="s">
        <v>1612</v>
      </c>
      <c r="B993" t="s">
        <v>1613</v>
      </c>
      <c r="C993" t="s">
        <v>644</v>
      </c>
      <c r="D993" t="s">
        <v>1711</v>
      </c>
      <c r="E993" t="s">
        <v>646</v>
      </c>
      <c r="F993" s="237">
        <v>43868</v>
      </c>
      <c r="G993">
        <v>15</v>
      </c>
      <c r="H993" t="s">
        <v>651</v>
      </c>
      <c r="I993" s="802">
        <f t="shared" si="15"/>
        <v>1009410</v>
      </c>
      <c r="J993" t="s">
        <v>684</v>
      </c>
    </row>
    <row r="994" spans="1:10" x14ac:dyDescent="0.25">
      <c r="A994" t="s">
        <v>1612</v>
      </c>
      <c r="B994" t="s">
        <v>1613</v>
      </c>
      <c r="C994" t="s">
        <v>644</v>
      </c>
      <c r="D994" t="s">
        <v>1709</v>
      </c>
      <c r="E994" t="s">
        <v>646</v>
      </c>
      <c r="F994" s="237">
        <v>43864</v>
      </c>
      <c r="G994">
        <v>20</v>
      </c>
      <c r="H994" t="s">
        <v>651</v>
      </c>
      <c r="I994" s="802">
        <f t="shared" si="15"/>
        <v>1345880</v>
      </c>
      <c r="J994" t="s">
        <v>1565</v>
      </c>
    </row>
    <row r="995" spans="1:10" x14ac:dyDescent="0.25">
      <c r="A995" t="s">
        <v>1612</v>
      </c>
      <c r="B995" t="s">
        <v>1613</v>
      </c>
      <c r="C995" t="s">
        <v>705</v>
      </c>
      <c r="D995" t="s">
        <v>1637</v>
      </c>
      <c r="E995" t="s">
        <v>646</v>
      </c>
      <c r="F995" s="237">
        <v>43858</v>
      </c>
      <c r="G995">
        <v>40</v>
      </c>
      <c r="H995" t="s">
        <v>651</v>
      </c>
      <c r="I995" s="802">
        <f t="shared" si="15"/>
        <v>2691760</v>
      </c>
      <c r="J995" t="s">
        <v>1638</v>
      </c>
    </row>
    <row r="996" spans="1:10" x14ac:dyDescent="0.25">
      <c r="A996" t="s">
        <v>1612</v>
      </c>
      <c r="B996" t="s">
        <v>1613</v>
      </c>
      <c r="C996" t="s">
        <v>644</v>
      </c>
      <c r="D996" t="s">
        <v>1710</v>
      </c>
      <c r="E996" t="s">
        <v>646</v>
      </c>
      <c r="F996" s="237">
        <v>43853</v>
      </c>
      <c r="G996">
        <v>1</v>
      </c>
      <c r="H996" t="s">
        <v>647</v>
      </c>
      <c r="I996" s="802">
        <f t="shared" si="15"/>
        <v>529000</v>
      </c>
      <c r="J996" t="s">
        <v>712</v>
      </c>
    </row>
    <row r="997" spans="1:10" x14ac:dyDescent="0.25">
      <c r="A997" t="s">
        <v>1612</v>
      </c>
      <c r="B997" t="s">
        <v>1613</v>
      </c>
      <c r="C997" t="s">
        <v>705</v>
      </c>
      <c r="D997" t="s">
        <v>1648</v>
      </c>
      <c r="E997" t="s">
        <v>646</v>
      </c>
      <c r="F997" s="237">
        <v>43849</v>
      </c>
      <c r="G997">
        <v>60</v>
      </c>
      <c r="H997" t="s">
        <v>651</v>
      </c>
      <c r="I997" s="802">
        <f t="shared" si="15"/>
        <v>4037640</v>
      </c>
      <c r="J997" t="s">
        <v>851</v>
      </c>
    </row>
    <row r="998" spans="1:10" x14ac:dyDescent="0.25">
      <c r="A998" t="s">
        <v>1612</v>
      </c>
      <c r="B998" t="s">
        <v>1613</v>
      </c>
      <c r="C998" t="s">
        <v>705</v>
      </c>
      <c r="D998" t="s">
        <v>1678</v>
      </c>
      <c r="E998" t="s">
        <v>646</v>
      </c>
      <c r="F998" s="237">
        <v>43847</v>
      </c>
      <c r="G998">
        <v>40</v>
      </c>
      <c r="H998" t="s">
        <v>651</v>
      </c>
      <c r="I998" s="802">
        <f t="shared" si="15"/>
        <v>2691760</v>
      </c>
      <c r="J998" t="s">
        <v>784</v>
      </c>
    </row>
    <row r="999" spans="1:10" x14ac:dyDescent="0.25">
      <c r="A999" t="s">
        <v>1612</v>
      </c>
      <c r="B999" t="s">
        <v>1613</v>
      </c>
      <c r="C999" t="s">
        <v>705</v>
      </c>
      <c r="D999" t="s">
        <v>1619</v>
      </c>
      <c r="E999" t="s">
        <v>646</v>
      </c>
      <c r="F999" s="237">
        <v>43844</v>
      </c>
      <c r="G999">
        <v>60</v>
      </c>
      <c r="H999" t="s">
        <v>651</v>
      </c>
      <c r="I999" s="802">
        <f t="shared" si="15"/>
        <v>4037640</v>
      </c>
      <c r="J999" t="s">
        <v>1620</v>
      </c>
    </row>
    <row r="1000" spans="1:10" x14ac:dyDescent="0.25">
      <c r="A1000" t="s">
        <v>1612</v>
      </c>
      <c r="B1000" t="s">
        <v>1613</v>
      </c>
      <c r="C1000" t="s">
        <v>705</v>
      </c>
      <c r="D1000" t="s">
        <v>1621</v>
      </c>
      <c r="E1000" t="s">
        <v>646</v>
      </c>
      <c r="F1000" s="237">
        <v>43844</v>
      </c>
      <c r="G1000">
        <v>15</v>
      </c>
      <c r="H1000" t="s">
        <v>651</v>
      </c>
      <c r="I1000" s="802">
        <f t="shared" si="15"/>
        <v>1009410</v>
      </c>
      <c r="J1000" t="s">
        <v>731</v>
      </c>
    </row>
    <row r="1001" spans="1:10" x14ac:dyDescent="0.25">
      <c r="A1001" t="s">
        <v>1612</v>
      </c>
      <c r="B1001" t="s">
        <v>1613</v>
      </c>
      <c r="C1001" t="s">
        <v>644</v>
      </c>
      <c r="D1001" t="s">
        <v>1712</v>
      </c>
      <c r="E1001" t="s">
        <v>646</v>
      </c>
      <c r="F1001" s="237">
        <v>43836</v>
      </c>
      <c r="G1001">
        <v>20</v>
      </c>
      <c r="H1001" t="s">
        <v>651</v>
      </c>
      <c r="I1001" s="802">
        <f t="shared" si="15"/>
        <v>1345880</v>
      </c>
      <c r="J1001" t="s">
        <v>1687</v>
      </c>
    </row>
    <row r="1002" spans="1:10" x14ac:dyDescent="0.25">
      <c r="A1002" t="s">
        <v>1612</v>
      </c>
      <c r="B1002" t="s">
        <v>1613</v>
      </c>
      <c r="C1002" t="s">
        <v>644</v>
      </c>
      <c r="D1002" t="s">
        <v>1713</v>
      </c>
      <c r="E1002" t="s">
        <v>646</v>
      </c>
      <c r="F1002" s="237">
        <v>43836</v>
      </c>
      <c r="G1002">
        <v>40</v>
      </c>
      <c r="H1002" t="s">
        <v>651</v>
      </c>
      <c r="I1002" s="802">
        <f t="shared" si="15"/>
        <v>2691760</v>
      </c>
      <c r="J1002" t="s">
        <v>1714</v>
      </c>
    </row>
  </sheetData>
  <autoFilter ref="A2:J1002" xr:uid="{74CE9E2E-1715-488F-9831-59B2F3F0B960}"/>
  <sortState xmlns:xlrd2="http://schemas.microsoft.com/office/spreadsheetml/2017/richdata2" ref="A3:J1002">
    <sortCondition descending="1" ref="F3:F100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dimension ref="B1:M14"/>
  <sheetViews>
    <sheetView showGridLines="0" workbookViewId="0">
      <selection activeCell="D1" sqref="D1"/>
    </sheetView>
  </sheetViews>
  <sheetFormatPr baseColWidth="10" defaultRowHeight="18.75" x14ac:dyDescent="0.3"/>
  <cols>
    <col min="1" max="1" width="9.5703125" style="737" customWidth="1"/>
    <col min="2" max="2" width="3.7109375" style="737" customWidth="1"/>
    <col min="3" max="3" width="45.7109375" style="737" customWidth="1"/>
    <col min="4" max="4" width="3.7109375" style="737" customWidth="1"/>
    <col min="5" max="16384" width="11.42578125" style="737"/>
  </cols>
  <sheetData>
    <row r="1" spans="2:13" ht="35.25" customHeight="1" thickBot="1" x14ac:dyDescent="0.35"/>
    <row r="2" spans="2:13" x14ac:dyDescent="0.3">
      <c r="B2" s="994"/>
      <c r="C2" s="995"/>
      <c r="D2" s="995"/>
      <c r="E2" s="995"/>
      <c r="F2" s="995"/>
      <c r="G2" s="995"/>
      <c r="H2" s="995"/>
      <c r="I2" s="995"/>
      <c r="J2" s="995"/>
      <c r="K2" s="995"/>
      <c r="L2" s="995"/>
      <c r="M2" s="996"/>
    </row>
    <row r="3" spans="2:13" x14ac:dyDescent="0.3">
      <c r="B3" s="997"/>
      <c r="C3" s="998"/>
      <c r="D3" s="998"/>
      <c r="E3" s="998"/>
      <c r="F3" s="998"/>
      <c r="G3" s="998"/>
      <c r="H3" s="998"/>
      <c r="I3" s="998"/>
      <c r="J3" s="998"/>
      <c r="K3" s="998"/>
      <c r="L3" s="998"/>
      <c r="M3" s="999"/>
    </row>
    <row r="4" spans="2:13" x14ac:dyDescent="0.3">
      <c r="B4" s="997"/>
      <c r="C4" s="998"/>
      <c r="D4" s="998"/>
      <c r="E4" s="1029" t="s">
        <v>636</v>
      </c>
      <c r="F4" s="1029"/>
      <c r="G4" s="1029"/>
      <c r="H4" s="1029"/>
      <c r="I4" s="1029"/>
      <c r="J4" s="1029"/>
      <c r="K4" s="1029"/>
      <c r="L4" s="1029"/>
      <c r="M4" s="1030"/>
    </row>
    <row r="5" spans="2:13" x14ac:dyDescent="0.3">
      <c r="B5" s="997"/>
      <c r="C5" s="998"/>
      <c r="D5" s="998"/>
      <c r="E5" s="1029"/>
      <c r="F5" s="1029"/>
      <c r="G5" s="1029"/>
      <c r="H5" s="1029"/>
      <c r="I5" s="1029"/>
      <c r="J5" s="1029"/>
      <c r="K5" s="1029"/>
      <c r="L5" s="1029"/>
      <c r="M5" s="1030"/>
    </row>
    <row r="6" spans="2:13" x14ac:dyDescent="0.3">
      <c r="B6" s="997"/>
      <c r="C6" s="998"/>
      <c r="D6" s="998"/>
      <c r="E6" s="1029"/>
      <c r="F6" s="1029"/>
      <c r="G6" s="1029"/>
      <c r="H6" s="1029"/>
      <c r="I6" s="1029"/>
      <c r="J6" s="1029"/>
      <c r="K6" s="1029"/>
      <c r="L6" s="1029"/>
      <c r="M6" s="1030"/>
    </row>
    <row r="7" spans="2:13" x14ac:dyDescent="0.3">
      <c r="B7" s="997"/>
      <c r="C7" s="998"/>
      <c r="D7" s="998"/>
      <c r="E7" s="1029"/>
      <c r="F7" s="1029"/>
      <c r="G7" s="1029"/>
      <c r="H7" s="1029"/>
      <c r="I7" s="1029"/>
      <c r="J7" s="1029"/>
      <c r="K7" s="1029"/>
      <c r="L7" s="1029"/>
      <c r="M7" s="1030"/>
    </row>
    <row r="8" spans="2:13" ht="18.75" customHeight="1" x14ac:dyDescent="0.3">
      <c r="B8" s="1000"/>
      <c r="C8" s="1026" t="s">
        <v>22</v>
      </c>
      <c r="D8" s="1001"/>
      <c r="E8" s="1029"/>
      <c r="F8" s="1029"/>
      <c r="G8" s="1029"/>
      <c r="H8" s="1029"/>
      <c r="I8" s="1029"/>
      <c r="J8" s="1029"/>
      <c r="K8" s="1029"/>
      <c r="L8" s="1029"/>
      <c r="M8" s="1030"/>
    </row>
    <row r="9" spans="2:13" ht="18.75" customHeight="1" x14ac:dyDescent="0.3">
      <c r="B9" s="1002"/>
      <c r="C9" s="1026"/>
      <c r="D9" s="1001"/>
      <c r="E9" s="1029"/>
      <c r="F9" s="1029"/>
      <c r="G9" s="1029"/>
      <c r="H9" s="1029"/>
      <c r="I9" s="1029"/>
      <c r="J9" s="1029"/>
      <c r="K9" s="1029"/>
      <c r="L9" s="1029"/>
      <c r="M9" s="1030"/>
    </row>
    <row r="10" spans="2:13" ht="18.75" customHeight="1" x14ac:dyDescent="0.3">
      <c r="B10" s="1002"/>
      <c r="C10" s="1026"/>
      <c r="D10" s="1001"/>
      <c r="E10" s="1029"/>
      <c r="F10" s="1029"/>
      <c r="G10" s="1029"/>
      <c r="H10" s="1029"/>
      <c r="I10" s="1029"/>
      <c r="J10" s="1029"/>
      <c r="K10" s="1029"/>
      <c r="L10" s="1029"/>
      <c r="M10" s="1030"/>
    </row>
    <row r="11" spans="2:13" ht="28.5" x14ac:dyDescent="0.45">
      <c r="B11" s="1007"/>
      <c r="C11" s="1006" t="s">
        <v>459</v>
      </c>
      <c r="D11" s="1008"/>
      <c r="E11" s="1029"/>
      <c r="F11" s="1029"/>
      <c r="G11" s="1029"/>
      <c r="H11" s="1029"/>
      <c r="I11" s="1029"/>
      <c r="J11" s="1029"/>
      <c r="K11" s="1029"/>
      <c r="L11" s="1029"/>
      <c r="M11" s="1030"/>
    </row>
    <row r="12" spans="2:13" ht="28.5" x14ac:dyDescent="0.45">
      <c r="B12" s="1007"/>
      <c r="C12" s="1006">
        <v>991544291</v>
      </c>
      <c r="D12" s="1008"/>
      <c r="E12" s="1029"/>
      <c r="F12" s="1029"/>
      <c r="G12" s="1029"/>
      <c r="H12" s="1029"/>
      <c r="I12" s="1029"/>
      <c r="J12" s="1029"/>
      <c r="K12" s="1029"/>
      <c r="L12" s="1029"/>
      <c r="M12" s="1030"/>
    </row>
    <row r="13" spans="2:13" ht="28.5" x14ac:dyDescent="0.45">
      <c r="B13" s="1027" t="s">
        <v>458</v>
      </c>
      <c r="C13" s="1028"/>
      <c r="D13" s="1028"/>
      <c r="E13" s="1029"/>
      <c r="F13" s="1029"/>
      <c r="G13" s="1029"/>
      <c r="H13" s="1029"/>
      <c r="I13" s="1029"/>
      <c r="J13" s="1029"/>
      <c r="K13" s="1029"/>
      <c r="L13" s="1029"/>
      <c r="M13" s="1030"/>
    </row>
    <row r="14" spans="2:13" ht="19.5" thickBot="1" x14ac:dyDescent="0.35">
      <c r="B14" s="1003"/>
      <c r="C14" s="1004"/>
      <c r="D14" s="1004"/>
      <c r="E14" s="1004"/>
      <c r="F14" s="1004"/>
      <c r="G14" s="1004"/>
      <c r="H14" s="1004"/>
      <c r="I14" s="1004"/>
      <c r="J14" s="1004"/>
      <c r="K14" s="1004"/>
      <c r="L14" s="1004"/>
      <c r="M14" s="1005"/>
    </row>
  </sheetData>
  <mergeCells count="3">
    <mergeCell ref="C8:C10"/>
    <mergeCell ref="B13:D13"/>
    <mergeCell ref="E4:M13"/>
  </mergeCells>
  <printOptions horizontalCentered="1"/>
  <pageMargins left="0.23622047244094491" right="0.23622047244094491" top="0.74803149606299213" bottom="0.74803149606299213" header="0.31496062992125984" footer="0.31496062992125984"/>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92D050"/>
  </sheetPr>
  <dimension ref="A1:BG114"/>
  <sheetViews>
    <sheetView showGridLines="0" zoomScale="110" zoomScaleNormal="110" zoomScaleSheetLayoutView="50" workbookViewId="0">
      <pane ySplit="2" topLeftCell="A9" activePane="bottomLeft" state="frozen"/>
      <selection pane="bottomLeft" activeCell="J17" sqref="J17"/>
    </sheetView>
  </sheetViews>
  <sheetFormatPr baseColWidth="10" defaultRowHeight="12.75" x14ac:dyDescent="0.2"/>
  <cols>
    <col min="1" max="1" width="2.5703125" style="211" bestFit="1" customWidth="1"/>
    <col min="2" max="2" width="36.85546875" style="211" bestFit="1" customWidth="1"/>
    <col min="3" max="3" width="12.85546875" style="211" bestFit="1" customWidth="1"/>
    <col min="4" max="4" width="11" style="211" bestFit="1" customWidth="1"/>
    <col min="5" max="5" width="12.85546875" style="211" bestFit="1" customWidth="1"/>
    <col min="6" max="6" width="18.42578125" style="211" bestFit="1" customWidth="1"/>
    <col min="7" max="7" width="22.28515625" style="211" bestFit="1" customWidth="1"/>
    <col min="8" max="8" width="14.5703125" style="211" bestFit="1" customWidth="1"/>
    <col min="9" max="9" width="2.7109375" style="211" customWidth="1"/>
    <col min="10" max="10" width="11.7109375" style="211" customWidth="1"/>
    <col min="11" max="11" width="12.140625" style="391" customWidth="1"/>
    <col min="12" max="12" width="3" style="389" customWidth="1"/>
    <col min="13" max="13" width="6.28515625" style="211" customWidth="1"/>
    <col min="14" max="14" width="20.7109375" style="211" hidden="1" customWidth="1"/>
    <col min="15" max="15" width="11" style="211" hidden="1" customWidth="1"/>
    <col min="16" max="17" width="12" style="211" hidden="1" customWidth="1"/>
    <col min="18" max="18" width="5.5703125" style="211" hidden="1" customWidth="1"/>
    <col min="19" max="19" width="13.28515625" style="211" hidden="1" customWidth="1"/>
    <col min="20" max="20" width="7.85546875" style="211" hidden="1" customWidth="1"/>
    <col min="21" max="21" width="9.85546875" style="211" hidden="1" customWidth="1"/>
    <col min="22" max="22" width="12.7109375" style="211" hidden="1" customWidth="1"/>
    <col min="23" max="58" width="11.42578125" style="211"/>
    <col min="59" max="59" width="17.140625" style="211" bestFit="1" customWidth="1"/>
    <col min="60" max="16384" width="11.42578125" style="211"/>
  </cols>
  <sheetData>
    <row r="1" spans="1:59" ht="19.5" thickBot="1" x14ac:dyDescent="0.35">
      <c r="A1" s="387"/>
      <c r="B1" s="1048" t="s">
        <v>22</v>
      </c>
      <c r="C1" s="1048"/>
      <c r="D1" s="1048"/>
      <c r="E1" s="1048"/>
      <c r="F1" s="1048"/>
      <c r="G1" s="1048"/>
      <c r="H1" s="1048"/>
      <c r="I1" s="387"/>
      <c r="J1" s="798"/>
      <c r="K1" s="799"/>
      <c r="M1" s="388"/>
      <c r="O1" s="390"/>
    </row>
    <row r="2" spans="1:59" ht="18.75" x14ac:dyDescent="0.3">
      <c r="A2" s="387"/>
      <c r="B2" s="1048" t="s">
        <v>452</v>
      </c>
      <c r="C2" s="1048"/>
      <c r="D2" s="1048"/>
      <c r="E2" s="1048"/>
      <c r="F2" s="1048"/>
      <c r="G2" s="1048"/>
      <c r="H2" s="1048"/>
      <c r="I2" s="387"/>
      <c r="J2" s="387"/>
      <c r="K2" s="800"/>
      <c r="M2" s="388"/>
      <c r="N2" s="392" t="s">
        <v>419</v>
      </c>
      <c r="O2" s="393" t="s">
        <v>415</v>
      </c>
      <c r="P2" s="393" t="s">
        <v>416</v>
      </c>
      <c r="Q2" s="394" t="s">
        <v>417</v>
      </c>
      <c r="S2" s="395">
        <v>100</v>
      </c>
      <c r="T2" s="396"/>
      <c r="U2" s="396"/>
      <c r="V2" s="396"/>
    </row>
    <row r="3" spans="1:59" x14ac:dyDescent="0.2">
      <c r="C3" s="397"/>
      <c r="J3" s="398"/>
      <c r="N3" s="399" t="s">
        <v>418</v>
      </c>
      <c r="O3" s="400">
        <f>+P27</f>
        <v>362</v>
      </c>
      <c r="P3" s="400">
        <f>+Q27</f>
        <v>723</v>
      </c>
      <c r="Q3" s="401"/>
      <c r="S3" s="402" t="s">
        <v>246</v>
      </c>
      <c r="T3" s="403" t="s">
        <v>445</v>
      </c>
      <c r="U3" s="404" t="s">
        <v>424</v>
      </c>
      <c r="V3" s="405" t="s">
        <v>425</v>
      </c>
    </row>
    <row r="4" spans="1:59" x14ac:dyDescent="0.2">
      <c r="A4" s="68" t="s">
        <v>387</v>
      </c>
      <c r="B4" s="406" t="s">
        <v>450</v>
      </c>
      <c r="C4" s="389" t="s">
        <v>203</v>
      </c>
      <c r="D4" s="407" t="s">
        <v>23</v>
      </c>
      <c r="E4" s="407" t="s">
        <v>24</v>
      </c>
      <c r="H4" s="578" t="s">
        <v>453</v>
      </c>
      <c r="J4" s="1068" t="s">
        <v>413</v>
      </c>
      <c r="K4" s="1068"/>
      <c r="N4" s="408" t="s">
        <v>429</v>
      </c>
      <c r="O4" s="409">
        <v>1000</v>
      </c>
      <c r="P4" s="409">
        <v>6000</v>
      </c>
      <c r="Q4" s="410">
        <f>+O4+P4</f>
        <v>7000</v>
      </c>
      <c r="S4" s="411" t="s">
        <v>209</v>
      </c>
      <c r="T4" s="412">
        <v>35</v>
      </c>
      <c r="U4" s="413">
        <f t="shared" ref="U4:U11" si="0">+V4/12</f>
        <v>3500</v>
      </c>
      <c r="V4" s="414">
        <f t="shared" ref="V4:V11" si="1">+T4*$S$2*12</f>
        <v>42000</v>
      </c>
    </row>
    <row r="5" spans="1:59" ht="13.5" thickBot="1" x14ac:dyDescent="0.25">
      <c r="B5" s="415" t="str">
        <f>+"CUOTA"&amp;" ("&amp;+C5&amp;" SOCIOS)"</f>
        <v>CUOTA (1000 SOCIOS)</v>
      </c>
      <c r="C5" s="416">
        <v>1000</v>
      </c>
      <c r="D5" s="417">
        <f>+H5*C5</f>
        <v>730000</v>
      </c>
      <c r="E5" s="418">
        <f>+D5*12</f>
        <v>8760000</v>
      </c>
      <c r="G5" s="419" t="s">
        <v>102</v>
      </c>
      <c r="H5" s="420">
        <v>730</v>
      </c>
      <c r="J5" s="421">
        <f>+CARTOLA!Q11</f>
        <v>5144071</v>
      </c>
      <c r="K5" s="422">
        <f>+IF(E5=0,0,J5/E5)</f>
        <v>0.58722271689497718</v>
      </c>
      <c r="L5" s="423"/>
      <c r="M5" s="388"/>
      <c r="N5" s="424" t="s">
        <v>423</v>
      </c>
      <c r="O5" s="1032">
        <v>0.05</v>
      </c>
      <c r="P5" s="1033"/>
      <c r="Q5" s="1034"/>
      <c r="S5" s="411" t="s">
        <v>213</v>
      </c>
      <c r="T5" s="412">
        <v>89</v>
      </c>
      <c r="U5" s="413">
        <f t="shared" si="0"/>
        <v>8900</v>
      </c>
      <c r="V5" s="414">
        <f t="shared" si="1"/>
        <v>106800</v>
      </c>
    </row>
    <row r="6" spans="1:59" ht="13.5" thickBot="1" x14ac:dyDescent="0.25">
      <c r="A6" s="425"/>
      <c r="B6" s="415" t="str">
        <f>+D33&amp;" PLENARIAS"&amp;" "&amp;+C6&amp;" DIRECTORES"</f>
        <v>2 PLENARIAS 25 DIRECTORES</v>
      </c>
      <c r="C6" s="416">
        <v>25</v>
      </c>
      <c r="D6" s="417">
        <f>+C6*20000</f>
        <v>500000</v>
      </c>
      <c r="E6" s="418">
        <f>+D6*D33</f>
        <v>1000000</v>
      </c>
      <c r="G6" s="419" t="str">
        <f>+IF(H6=0,"COMPARAR",+IF(H6&gt;0,"UTILIDAD","DEFICIT"))</f>
        <v>UTILIDAD</v>
      </c>
      <c r="H6" s="420">
        <f>+C73-H7</f>
        <v>1078000</v>
      </c>
      <c r="I6" s="426"/>
      <c r="J6" s="421">
        <f>+CARTOLA!Q22</f>
        <v>781000</v>
      </c>
      <c r="K6" s="422">
        <f>+IF(E6=0,0,J6/E6)</f>
        <v>0.78100000000000003</v>
      </c>
      <c r="L6" s="423"/>
      <c r="M6" s="388"/>
      <c r="S6" s="411" t="s">
        <v>214</v>
      </c>
      <c r="T6" s="412">
        <v>171</v>
      </c>
      <c r="U6" s="413">
        <f t="shared" si="0"/>
        <v>17100</v>
      </c>
      <c r="V6" s="414">
        <f t="shared" si="1"/>
        <v>205200</v>
      </c>
    </row>
    <row r="7" spans="1:59" ht="15" customHeight="1" x14ac:dyDescent="0.2">
      <c r="A7" s="426"/>
      <c r="B7" s="427" t="s">
        <v>208</v>
      </c>
      <c r="C7" s="416">
        <v>25</v>
      </c>
      <c r="D7" s="417">
        <f>+C7*1000</f>
        <v>25000</v>
      </c>
      <c r="E7" s="418">
        <f>+D7*12</f>
        <v>300000</v>
      </c>
      <c r="G7" s="428" t="s">
        <v>460</v>
      </c>
      <c r="H7" s="429"/>
      <c r="I7" s="426"/>
      <c r="J7" s="421">
        <f>+CARTOLA!Q32</f>
        <v>101000</v>
      </c>
      <c r="K7" s="422">
        <f>+IF(E7=0,0,J7/E7)</f>
        <v>0.33666666666666667</v>
      </c>
      <c r="L7" s="423"/>
      <c r="M7" s="388"/>
      <c r="N7" s="430" t="s">
        <v>419</v>
      </c>
      <c r="O7" s="431" t="s">
        <v>421</v>
      </c>
      <c r="P7" s="431" t="s">
        <v>422</v>
      </c>
      <c r="Q7" s="432" t="s">
        <v>428</v>
      </c>
      <c r="S7" s="411" t="s">
        <v>216</v>
      </c>
      <c r="T7" s="412">
        <v>165</v>
      </c>
      <c r="U7" s="413">
        <f t="shared" si="0"/>
        <v>16500</v>
      </c>
      <c r="V7" s="414">
        <f t="shared" si="1"/>
        <v>198000</v>
      </c>
    </row>
    <row r="8" spans="1:59" ht="15" customHeight="1" x14ac:dyDescent="0.2">
      <c r="A8" s="426"/>
      <c r="B8" s="433" t="s">
        <v>414</v>
      </c>
      <c r="C8" s="416"/>
      <c r="D8" s="434">
        <f>+IF(C8=0,0,+PLAN!V14)</f>
        <v>0</v>
      </c>
      <c r="E8" s="418">
        <f>+IF(+D8*C8=0,0,+D8*C8)+IF(F8&lt;&gt;0,+PLAN!Q19,0)</f>
        <v>0</v>
      </c>
      <c r="F8" s="68"/>
      <c r="G8" s="435"/>
      <c r="H8" s="436"/>
      <c r="J8" s="421">
        <f>+CARTOLA!P34</f>
        <v>0</v>
      </c>
      <c r="K8" s="422">
        <f>+IF(E8=0,0,J8/E8)</f>
        <v>0</v>
      </c>
      <c r="L8" s="423"/>
      <c r="M8" s="388"/>
      <c r="N8" s="437" t="s">
        <v>426</v>
      </c>
      <c r="O8" s="438">
        <f>+O4*O3</f>
        <v>362000</v>
      </c>
      <c r="P8" s="438">
        <f>+P4*P3</f>
        <v>4338000</v>
      </c>
      <c r="Q8" s="439">
        <f>+P8+O8</f>
        <v>4700000</v>
      </c>
      <c r="S8" s="411" t="s">
        <v>217</v>
      </c>
      <c r="T8" s="412">
        <v>67</v>
      </c>
      <c r="U8" s="413">
        <f t="shared" si="0"/>
        <v>6700</v>
      </c>
      <c r="V8" s="414">
        <f t="shared" si="1"/>
        <v>80400</v>
      </c>
    </row>
    <row r="9" spans="1:59" ht="15" customHeight="1" x14ac:dyDescent="0.2">
      <c r="A9" s="426"/>
      <c r="B9" s="440" t="s">
        <v>28</v>
      </c>
      <c r="C9" s="441"/>
      <c r="D9" s="441"/>
      <c r="E9" s="442">
        <f>+SUM(E5:E8)</f>
        <v>10060000</v>
      </c>
      <c r="F9" s="443"/>
      <c r="G9" s="435"/>
      <c r="H9" s="436"/>
      <c r="J9" s="444">
        <f>SUM(J5:J8)</f>
        <v>6026071</v>
      </c>
      <c r="K9" s="445">
        <f>+IF(E9=0,0,J9/E9)</f>
        <v>0.59901302186878724</v>
      </c>
      <c r="L9" s="423"/>
      <c r="M9" s="446"/>
      <c r="N9" s="437" t="s">
        <v>427</v>
      </c>
      <c r="O9" s="438">
        <f>+O8*12</f>
        <v>4344000</v>
      </c>
      <c r="P9" s="438">
        <f>+P8*12</f>
        <v>52056000</v>
      </c>
      <c r="Q9" s="439">
        <f>+P9+O9</f>
        <v>56400000</v>
      </c>
      <c r="S9" s="411" t="s">
        <v>218</v>
      </c>
      <c r="T9" s="412">
        <v>211</v>
      </c>
      <c r="U9" s="413">
        <f t="shared" si="0"/>
        <v>21100</v>
      </c>
      <c r="V9" s="414">
        <f t="shared" si="1"/>
        <v>253200</v>
      </c>
    </row>
    <row r="10" spans="1:59" ht="15" customHeight="1" x14ac:dyDescent="0.2">
      <c r="G10" s="435"/>
      <c r="H10" s="447" t="s">
        <v>632</v>
      </c>
      <c r="J10" s="421">
        <f>+CARTOLA!P33</f>
        <v>311835</v>
      </c>
      <c r="K10" s="422">
        <f>+IF(E9=0,0,J10/E5)</f>
        <v>3.5597602739726029E-2</v>
      </c>
      <c r="M10" s="388"/>
      <c r="N10" s="448" t="str">
        <f>+"Ingresos con  "&amp;+O5*100&amp;"%"</f>
        <v>Ingresos con  5%</v>
      </c>
      <c r="O10" s="449">
        <f>+O9*O5</f>
        <v>217200</v>
      </c>
      <c r="P10" s="449">
        <f>+P9*O5</f>
        <v>2602800</v>
      </c>
      <c r="Q10" s="450">
        <f>+P10+O10</f>
        <v>2820000</v>
      </c>
      <c r="S10" s="411" t="s">
        <v>141</v>
      </c>
      <c r="T10" s="412">
        <v>153</v>
      </c>
      <c r="U10" s="413">
        <f t="shared" si="0"/>
        <v>15300</v>
      </c>
      <c r="V10" s="414">
        <f t="shared" si="1"/>
        <v>183600</v>
      </c>
    </row>
    <row r="11" spans="1:59" ht="13.5" thickBot="1" x14ac:dyDescent="0.25">
      <c r="A11" s="68" t="s">
        <v>388</v>
      </c>
      <c r="B11" s="406" t="s">
        <v>84</v>
      </c>
      <c r="C11" s="451"/>
      <c r="D11" s="451"/>
      <c r="E11" s="451"/>
      <c r="F11" s="451"/>
      <c r="G11" s="451"/>
      <c r="J11" s="426"/>
      <c r="M11" s="426"/>
      <c r="N11" s="452" t="s">
        <v>420</v>
      </c>
      <c r="O11" s="453">
        <f>+O4*O5</f>
        <v>50</v>
      </c>
      <c r="P11" s="453">
        <f>+P4*O5</f>
        <v>300</v>
      </c>
      <c r="Q11" s="454">
        <f>+O11+P11</f>
        <v>350</v>
      </c>
      <c r="S11" s="411" t="s">
        <v>219</v>
      </c>
      <c r="T11" s="412">
        <v>101</v>
      </c>
      <c r="U11" s="413">
        <f t="shared" si="0"/>
        <v>10100</v>
      </c>
      <c r="V11" s="414">
        <f t="shared" si="1"/>
        <v>121200</v>
      </c>
    </row>
    <row r="12" spans="1:59" ht="13.5" thickBot="1" x14ac:dyDescent="0.25">
      <c r="B12" s="419" t="s">
        <v>26</v>
      </c>
      <c r="C12" s="455" t="s">
        <v>336</v>
      </c>
      <c r="D12" s="455" t="s">
        <v>8</v>
      </c>
      <c r="E12" s="455" t="s">
        <v>338</v>
      </c>
      <c r="F12" s="455" t="s">
        <v>9</v>
      </c>
      <c r="G12" s="455" t="s">
        <v>10</v>
      </c>
      <c r="H12" s="455" t="s">
        <v>11</v>
      </c>
      <c r="I12" s="407"/>
      <c r="J12" s="456"/>
      <c r="K12" s="457"/>
      <c r="S12" s="396"/>
      <c r="T12" s="396"/>
      <c r="U12" s="458">
        <f>SUM(U4:U11)</f>
        <v>99200</v>
      </c>
      <c r="V12" s="458">
        <f>SUM(V4:V11)</f>
        <v>1190400</v>
      </c>
    </row>
    <row r="13" spans="1:59" x14ac:dyDescent="0.2">
      <c r="B13" s="415" t="s">
        <v>13</v>
      </c>
      <c r="C13" s="459">
        <v>3</v>
      </c>
      <c r="D13" s="459">
        <v>1</v>
      </c>
      <c r="E13" s="459">
        <v>24</v>
      </c>
      <c r="F13" s="438">
        <v>0</v>
      </c>
      <c r="G13" s="438">
        <f>+D13*E13*F13</f>
        <v>0</v>
      </c>
      <c r="H13" s="449">
        <f t="shared" ref="H13:H20" si="2">+G13*C13</f>
        <v>0</v>
      </c>
      <c r="I13" s="460"/>
      <c r="J13" s="421">
        <f>+LOOKUP(B13,REUNION!$U$3:$U$10,REUNION!$V$3:$V$10)</f>
        <v>0</v>
      </c>
      <c r="K13" s="422">
        <f>+IF(H13=0,0,J13/H13)</f>
        <v>0</v>
      </c>
      <c r="L13" s="389">
        <f>+REUNION!W3</f>
        <v>2</v>
      </c>
      <c r="M13" s="388"/>
      <c r="N13" s="461" t="s">
        <v>444</v>
      </c>
      <c r="O13" s="462"/>
      <c r="P13" s="463" t="s">
        <v>443</v>
      </c>
      <c r="Q13" s="464" t="s">
        <v>432</v>
      </c>
      <c r="S13" s="465" t="s">
        <v>447</v>
      </c>
      <c r="T13" s="466">
        <v>0.2</v>
      </c>
      <c r="U13" s="467">
        <f>+U12*T13</f>
        <v>19840</v>
      </c>
      <c r="V13" s="414">
        <v>0</v>
      </c>
      <c r="W13" s="68"/>
    </row>
    <row r="14" spans="1:59" x14ac:dyDescent="0.2">
      <c r="B14" s="415" t="s">
        <v>14</v>
      </c>
      <c r="C14" s="459">
        <v>12</v>
      </c>
      <c r="D14" s="459">
        <v>1</v>
      </c>
      <c r="E14" s="459">
        <v>9</v>
      </c>
      <c r="F14" s="438">
        <v>5000</v>
      </c>
      <c r="G14" s="438">
        <f t="shared" ref="G14:G20" si="3">+D14*E14*F14</f>
        <v>45000</v>
      </c>
      <c r="H14" s="449">
        <f t="shared" si="2"/>
        <v>540000</v>
      </c>
      <c r="I14" s="460"/>
      <c r="J14" s="421">
        <f>+LOOKUP(B14,REUNION!$U$3:$U$10,REUNION!$V$3:$V$10)</f>
        <v>314160</v>
      </c>
      <c r="K14" s="422">
        <f>+IF(H14=0,0,J14/H14)</f>
        <v>0.58177777777777773</v>
      </c>
      <c r="L14" s="389">
        <f>+REUNION!W6</f>
        <v>12</v>
      </c>
      <c r="M14" s="388"/>
      <c r="N14" s="1035" t="s">
        <v>440</v>
      </c>
      <c r="O14" s="1036"/>
      <c r="P14" s="468">
        <f>+O25</f>
        <v>0.02</v>
      </c>
      <c r="Q14" s="469">
        <f>+$Q$10*P14</f>
        <v>56400</v>
      </c>
      <c r="S14" s="470" t="s">
        <v>446</v>
      </c>
      <c r="T14" s="471"/>
      <c r="U14" s="471">
        <f>+U12-U13</f>
        <v>79360</v>
      </c>
      <c r="V14" s="471">
        <f>+V12-V13</f>
        <v>1190400</v>
      </c>
      <c r="W14" s="68"/>
      <c r="BG14" s="211" t="s">
        <v>334</v>
      </c>
    </row>
    <row r="15" spans="1:59" ht="13.5" thickBot="1" x14ac:dyDescent="0.25">
      <c r="B15" s="1024" t="s">
        <v>16</v>
      </c>
      <c r="C15" s="459">
        <v>4</v>
      </c>
      <c r="D15" s="459">
        <v>1</v>
      </c>
      <c r="E15" s="459">
        <v>2</v>
      </c>
      <c r="F15" s="438">
        <v>20000</v>
      </c>
      <c r="G15" s="438">
        <f t="shared" si="3"/>
        <v>40000</v>
      </c>
      <c r="H15" s="449">
        <f t="shared" si="2"/>
        <v>160000</v>
      </c>
      <c r="I15" s="460"/>
      <c r="J15" s="421">
        <f>+LOOKUP(B15,REUNION!$U$3:$U$10,REUNION!$V$3:$V$10)</f>
        <v>340000</v>
      </c>
      <c r="K15" s="422">
        <f t="shared" ref="K15:K21" si="4">+IF(H15=0,0,J15/H15)</f>
        <v>2.125</v>
      </c>
      <c r="L15" s="389">
        <f>+REUNION!W5</f>
        <v>4</v>
      </c>
      <c r="M15" s="388"/>
      <c r="N15" s="1039" t="s">
        <v>441</v>
      </c>
      <c r="O15" s="1040"/>
      <c r="P15" s="574">
        <f>+O26</f>
        <v>1.9E-2</v>
      </c>
      <c r="Q15" s="575">
        <f>+$Q$10*P15</f>
        <v>53580</v>
      </c>
      <c r="R15" s="388"/>
      <c r="W15" s="68"/>
    </row>
    <row r="16" spans="1:59" x14ac:dyDescent="0.2">
      <c r="B16" s="415" t="s">
        <v>17</v>
      </c>
      <c r="C16" s="459">
        <v>12</v>
      </c>
      <c r="D16" s="459">
        <v>1</v>
      </c>
      <c r="E16" s="459">
        <v>9</v>
      </c>
      <c r="F16" s="438">
        <v>5000</v>
      </c>
      <c r="G16" s="438">
        <f t="shared" si="3"/>
        <v>45000</v>
      </c>
      <c r="H16" s="449">
        <f t="shared" si="2"/>
        <v>540000</v>
      </c>
      <c r="I16" s="460"/>
      <c r="J16" s="421">
        <f>+LOOKUP(B16,REUNION!$U$3:$U$10,REUNION!$V$3:$V$10)</f>
        <v>204250</v>
      </c>
      <c r="K16" s="422">
        <f t="shared" si="4"/>
        <v>0.37824074074074077</v>
      </c>
      <c r="L16" s="389">
        <f>+REUNION!W8</f>
        <v>9</v>
      </c>
      <c r="M16" s="388"/>
      <c r="N16" s="1041" t="s">
        <v>442</v>
      </c>
      <c r="O16" s="1042"/>
      <c r="P16" s="576">
        <f>+O27</f>
        <v>3.1899999999999998E-2</v>
      </c>
      <c r="Q16" s="577">
        <f>+$Q$10*P16</f>
        <v>89958</v>
      </c>
      <c r="W16" s="68"/>
    </row>
    <row r="17" spans="1:18" ht="13.5" thickBot="1" x14ac:dyDescent="0.25">
      <c r="B17" s="1024" t="s">
        <v>18</v>
      </c>
      <c r="C17" s="459">
        <v>2</v>
      </c>
      <c r="D17" s="459">
        <v>1</v>
      </c>
      <c r="E17" s="459">
        <v>1</v>
      </c>
      <c r="F17" s="438">
        <v>20000</v>
      </c>
      <c r="G17" s="438">
        <f t="shared" si="3"/>
        <v>20000</v>
      </c>
      <c r="H17" s="449">
        <f t="shared" si="2"/>
        <v>40000</v>
      </c>
      <c r="I17" s="460"/>
      <c r="J17" s="421">
        <f>+LOOKUP(B17,REUNION!$U$3:$U$10,REUNION!$V$3:$V$10)</f>
        <v>140000</v>
      </c>
      <c r="K17" s="422">
        <f t="shared" si="4"/>
        <v>3.5</v>
      </c>
      <c r="L17" s="389">
        <f>+REUNION!W7</f>
        <v>2</v>
      </c>
      <c r="M17" s="388"/>
      <c r="N17" s="1037" t="s">
        <v>433</v>
      </c>
      <c r="O17" s="1038"/>
      <c r="P17" s="472">
        <f>20%-P16</f>
        <v>0.16810000000000003</v>
      </c>
      <c r="Q17" s="473">
        <f>+$Q$10*P17</f>
        <v>474042.00000000006</v>
      </c>
    </row>
    <row r="18" spans="1:18" ht="13.5" thickBot="1" x14ac:dyDescent="0.25">
      <c r="B18" s="1024" t="s">
        <v>19</v>
      </c>
      <c r="C18" s="409">
        <f>+D33</f>
        <v>2</v>
      </c>
      <c r="D18" s="459">
        <v>3</v>
      </c>
      <c r="E18" s="459">
        <v>1</v>
      </c>
      <c r="F18" s="438">
        <v>20000</v>
      </c>
      <c r="G18" s="438">
        <f t="shared" si="3"/>
        <v>60000</v>
      </c>
      <c r="H18" s="449">
        <f t="shared" si="2"/>
        <v>120000</v>
      </c>
      <c r="I18" s="460"/>
      <c r="J18" s="421">
        <f>+LOOKUP(B18,REUNION!$U$3:$U$10,REUNION!$V$3:$V$10)</f>
        <v>100000</v>
      </c>
      <c r="K18" s="422">
        <f t="shared" si="4"/>
        <v>0.83333333333333337</v>
      </c>
      <c r="L18" s="389">
        <f>+REUNION!W4</f>
        <v>2</v>
      </c>
      <c r="M18" s="388"/>
    </row>
    <row r="19" spans="1:18" ht="13.5" thickBot="1" x14ac:dyDescent="0.25">
      <c r="B19" s="415" t="s">
        <v>234</v>
      </c>
      <c r="C19" s="459">
        <v>0</v>
      </c>
      <c r="D19" s="459">
        <v>0</v>
      </c>
      <c r="E19" s="459">
        <v>0</v>
      </c>
      <c r="F19" s="438">
        <v>0</v>
      </c>
      <c r="G19" s="438">
        <f t="shared" si="3"/>
        <v>0</v>
      </c>
      <c r="H19" s="449">
        <f t="shared" si="2"/>
        <v>0</v>
      </c>
      <c r="I19" s="460"/>
      <c r="J19" s="421">
        <f>+LOOKUP(B19,REUNION!$U$3:$U$10,REUNION!$V$3:$V$10)</f>
        <v>0</v>
      </c>
      <c r="K19" s="422">
        <f t="shared" si="4"/>
        <v>0</v>
      </c>
      <c r="L19" s="389">
        <f>+REUNION!W9</f>
        <v>0</v>
      </c>
      <c r="M19" s="388"/>
      <c r="N19" s="474" t="s">
        <v>430</v>
      </c>
      <c r="O19" s="475"/>
      <c r="P19" s="476">
        <f>100%-P17-P16</f>
        <v>0.79999999999999993</v>
      </c>
      <c r="Q19" s="477">
        <f>+Q10-Q17-Q16</f>
        <v>2256000</v>
      </c>
    </row>
    <row r="20" spans="1:18" x14ac:dyDescent="0.2">
      <c r="B20" s="433" t="s">
        <v>235</v>
      </c>
      <c r="C20" s="478">
        <v>0</v>
      </c>
      <c r="D20" s="478">
        <v>0</v>
      </c>
      <c r="E20" s="478">
        <v>0</v>
      </c>
      <c r="F20" s="434">
        <v>0</v>
      </c>
      <c r="G20" s="434">
        <f t="shared" si="3"/>
        <v>0</v>
      </c>
      <c r="H20" s="479">
        <f t="shared" si="2"/>
        <v>0</v>
      </c>
      <c r="I20" s="460"/>
      <c r="J20" s="421">
        <f>+LOOKUP(B20,REUNION!$U$3:$U$10,REUNION!$V$3:$V$10)</f>
        <v>0</v>
      </c>
      <c r="K20" s="422">
        <f t="shared" si="4"/>
        <v>0</v>
      </c>
      <c r="L20" s="389">
        <f>+REUNION!W10</f>
        <v>0</v>
      </c>
      <c r="M20" s="388"/>
      <c r="O20" s="480"/>
      <c r="Q20" s="388"/>
    </row>
    <row r="21" spans="1:18" x14ac:dyDescent="0.2">
      <c r="B21" s="481" t="s">
        <v>25</v>
      </c>
      <c r="C21" s="482"/>
      <c r="D21" s="482"/>
      <c r="E21" s="482"/>
      <c r="F21" s="483"/>
      <c r="G21" s="483"/>
      <c r="H21" s="442">
        <f>SUM(H13:H20)</f>
        <v>1400000</v>
      </c>
      <c r="I21" s="484"/>
      <c r="J21" s="444">
        <f>SUM(J13:J20)</f>
        <v>1098410</v>
      </c>
      <c r="K21" s="445">
        <f t="shared" si="4"/>
        <v>0.78457857142857146</v>
      </c>
      <c r="L21" s="389">
        <f>SUM(L13:L20)</f>
        <v>31</v>
      </c>
      <c r="M21" s="446"/>
    </row>
    <row r="22" spans="1:18" x14ac:dyDescent="0.2">
      <c r="B22" s="485"/>
      <c r="C22" s="451"/>
      <c r="D22" s="451"/>
      <c r="E22" s="451"/>
      <c r="F22" s="486" t="s">
        <v>386</v>
      </c>
      <c r="G22" s="487">
        <f>+H22/H21</f>
        <v>0.21542142857142857</v>
      </c>
      <c r="H22" s="488">
        <f>+H21-J21</f>
        <v>301590</v>
      </c>
      <c r="I22" s="485"/>
      <c r="J22" s="489"/>
      <c r="K22" s="457"/>
      <c r="M22" s="388"/>
    </row>
    <row r="23" spans="1:18" x14ac:dyDescent="0.2">
      <c r="A23" s="68" t="s">
        <v>389</v>
      </c>
      <c r="B23" s="406" t="s">
        <v>85</v>
      </c>
      <c r="C23" s="451"/>
      <c r="D23" s="451"/>
      <c r="E23" s="451"/>
      <c r="F23" s="451"/>
      <c r="G23" s="451"/>
      <c r="H23" s="451"/>
      <c r="I23" s="451"/>
      <c r="J23" s="456"/>
      <c r="K23" s="457"/>
      <c r="N23" s="1031" t="s">
        <v>439</v>
      </c>
      <c r="O23" s="1031"/>
      <c r="P23" s="1031"/>
      <c r="Q23" s="1031"/>
      <c r="R23" s="1031"/>
    </row>
    <row r="24" spans="1:18" x14ac:dyDescent="0.2">
      <c r="B24" s="419" t="s">
        <v>26</v>
      </c>
      <c r="C24" s="455" t="s">
        <v>336</v>
      </c>
      <c r="D24" s="455" t="s">
        <v>8</v>
      </c>
      <c r="E24" s="455" t="s">
        <v>338</v>
      </c>
      <c r="F24" s="455" t="s">
        <v>9</v>
      </c>
      <c r="G24" s="455" t="s">
        <v>10</v>
      </c>
      <c r="H24" s="455" t="s">
        <v>11</v>
      </c>
      <c r="I24" s="407"/>
      <c r="J24" s="456"/>
      <c r="K24" s="457"/>
      <c r="N24" s="427" t="s">
        <v>434</v>
      </c>
      <c r="O24" s="459" t="s">
        <v>431</v>
      </c>
      <c r="P24" s="459" t="s">
        <v>448</v>
      </c>
      <c r="Q24" s="459" t="s">
        <v>449</v>
      </c>
      <c r="R24" s="427"/>
    </row>
    <row r="25" spans="1:18" x14ac:dyDescent="0.2">
      <c r="B25" s="415" t="s">
        <v>16</v>
      </c>
      <c r="C25" s="459">
        <v>4</v>
      </c>
      <c r="D25" s="459">
        <v>1</v>
      </c>
      <c r="E25" s="459">
        <v>3</v>
      </c>
      <c r="F25" s="438">
        <v>80000</v>
      </c>
      <c r="G25" s="438">
        <f>+D25*E25*F25</f>
        <v>240000</v>
      </c>
      <c r="H25" s="449">
        <f>+G25*C25</f>
        <v>960000</v>
      </c>
      <c r="I25" s="460"/>
      <c r="J25" s="421">
        <f>+VIATICOS!L4</f>
        <v>882256</v>
      </c>
      <c r="K25" s="422">
        <f t="shared" ref="K25:K30" si="5">+IF(H25=0,0,J25/H25)</f>
        <v>0.9190166666666667</v>
      </c>
      <c r="M25" s="388"/>
      <c r="N25" s="427" t="s">
        <v>436</v>
      </c>
      <c r="O25" s="490">
        <v>0.02</v>
      </c>
      <c r="P25" s="491">
        <v>357</v>
      </c>
      <c r="Q25" s="491">
        <v>714</v>
      </c>
      <c r="R25" s="427" t="s">
        <v>435</v>
      </c>
    </row>
    <row r="26" spans="1:18" x14ac:dyDescent="0.2">
      <c r="B26" s="415" t="s">
        <v>18</v>
      </c>
      <c r="C26" s="459">
        <v>2</v>
      </c>
      <c r="D26" s="459">
        <v>1</v>
      </c>
      <c r="E26" s="459">
        <v>1</v>
      </c>
      <c r="F26" s="438">
        <v>80000</v>
      </c>
      <c r="G26" s="438">
        <f>+D26*E26*F26</f>
        <v>80000</v>
      </c>
      <c r="H26" s="449">
        <f>+G26*C26</f>
        <v>160000</v>
      </c>
      <c r="I26" s="460"/>
      <c r="J26" s="421">
        <f>+VIATICOS!L6</f>
        <v>64537</v>
      </c>
      <c r="K26" s="422">
        <f t="shared" si="5"/>
        <v>0.40335625000000003</v>
      </c>
      <c r="M26" s="388"/>
      <c r="N26" s="427" t="s">
        <v>436</v>
      </c>
      <c r="O26" s="492">
        <v>1.9E-2</v>
      </c>
      <c r="P26" s="491">
        <v>357</v>
      </c>
      <c r="Q26" s="491">
        <v>714</v>
      </c>
      <c r="R26" s="427" t="s">
        <v>437</v>
      </c>
    </row>
    <row r="27" spans="1:18" x14ac:dyDescent="0.2">
      <c r="B27" s="415" t="s">
        <v>19</v>
      </c>
      <c r="C27" s="409">
        <f>+D33</f>
        <v>2</v>
      </c>
      <c r="D27" s="459">
        <v>3</v>
      </c>
      <c r="E27" s="459">
        <v>1</v>
      </c>
      <c r="F27" s="438">
        <v>20000</v>
      </c>
      <c r="G27" s="438">
        <f>+D27*E27*F27</f>
        <v>60000</v>
      </c>
      <c r="H27" s="449">
        <f>+G27*C27</f>
        <v>120000</v>
      </c>
      <c r="I27" s="460"/>
      <c r="J27" s="421">
        <f>+VIATICOS!L3</f>
        <v>0</v>
      </c>
      <c r="K27" s="422">
        <f t="shared" si="5"/>
        <v>0</v>
      </c>
      <c r="M27" s="388"/>
      <c r="N27" s="419" t="s">
        <v>438</v>
      </c>
      <c r="O27" s="493">
        <v>3.1899999999999998E-2</v>
      </c>
      <c r="P27" s="494">
        <v>362</v>
      </c>
      <c r="Q27" s="494">
        <v>723</v>
      </c>
      <c r="R27" s="419" t="s">
        <v>437</v>
      </c>
    </row>
    <row r="28" spans="1:18" x14ac:dyDescent="0.2">
      <c r="B28" s="415" t="s">
        <v>234</v>
      </c>
      <c r="C28" s="459">
        <v>0</v>
      </c>
      <c r="D28" s="459">
        <v>0</v>
      </c>
      <c r="E28" s="459">
        <v>0</v>
      </c>
      <c r="F28" s="438">
        <v>0</v>
      </c>
      <c r="G28" s="438">
        <f>+D28*E28*F28</f>
        <v>0</v>
      </c>
      <c r="H28" s="449">
        <f>+G28*C28</f>
        <v>0</v>
      </c>
      <c r="I28" s="460"/>
      <c r="J28" s="421">
        <f>+VIATICOS!L8</f>
        <v>0</v>
      </c>
      <c r="K28" s="422">
        <f t="shared" si="5"/>
        <v>0</v>
      </c>
      <c r="M28" s="388"/>
      <c r="P28" s="495">
        <f>+P27-350</f>
        <v>12</v>
      </c>
      <c r="Q28" s="495">
        <f>+Q27-700</f>
        <v>23</v>
      </c>
    </row>
    <row r="29" spans="1:18" x14ac:dyDescent="0.2">
      <c r="B29" s="433" t="s">
        <v>235</v>
      </c>
      <c r="C29" s="459">
        <v>0</v>
      </c>
      <c r="D29" s="459">
        <v>0</v>
      </c>
      <c r="E29" s="459">
        <v>0</v>
      </c>
      <c r="F29" s="438">
        <v>0</v>
      </c>
      <c r="G29" s="438">
        <f>+D29*E29*F29</f>
        <v>0</v>
      </c>
      <c r="H29" s="449">
        <f>+G29*C29</f>
        <v>0</v>
      </c>
      <c r="I29" s="460"/>
      <c r="J29" s="421">
        <f>+VIATICOS!L9</f>
        <v>0</v>
      </c>
      <c r="K29" s="422">
        <f t="shared" si="5"/>
        <v>0</v>
      </c>
      <c r="M29" s="388"/>
    </row>
    <row r="30" spans="1:18" x14ac:dyDescent="0.2">
      <c r="B30" s="481" t="s">
        <v>27</v>
      </c>
      <c r="C30" s="482"/>
      <c r="D30" s="482"/>
      <c r="E30" s="482"/>
      <c r="F30" s="483"/>
      <c r="G30" s="483"/>
      <c r="H30" s="442">
        <f>SUM(H25:H29)</f>
        <v>1240000</v>
      </c>
      <c r="I30" s="484"/>
      <c r="J30" s="444">
        <f>SUM(J25:J29)</f>
        <v>946793</v>
      </c>
      <c r="K30" s="445">
        <f t="shared" si="5"/>
        <v>0.76354274193548388</v>
      </c>
      <c r="M30" s="446"/>
    </row>
    <row r="31" spans="1:18" x14ac:dyDescent="0.2">
      <c r="F31" s="486" t="s">
        <v>386</v>
      </c>
      <c r="G31" s="487">
        <f>+H31/H30</f>
        <v>0.23645725806451612</v>
      </c>
      <c r="H31" s="488">
        <f>+H30-J30</f>
        <v>293207</v>
      </c>
      <c r="I31" s="496"/>
      <c r="J31" s="456"/>
      <c r="K31" s="457"/>
    </row>
    <row r="32" spans="1:18" x14ac:dyDescent="0.2">
      <c r="A32" s="68" t="s">
        <v>390</v>
      </c>
      <c r="B32" s="406" t="s">
        <v>81</v>
      </c>
      <c r="C32" s="497"/>
      <c r="J32" s="456"/>
      <c r="K32" s="457"/>
    </row>
    <row r="33" spans="1:13" x14ac:dyDescent="0.2">
      <c r="B33" s="415" t="s">
        <v>91</v>
      </c>
      <c r="C33" s="438">
        <v>1500000</v>
      </c>
      <c r="D33" s="416">
        <v>2</v>
      </c>
      <c r="E33" s="418">
        <f>+C33*D33</f>
        <v>3000000</v>
      </c>
      <c r="J33" s="421">
        <f>+CARTOLA!P46*-1</f>
        <v>2594625</v>
      </c>
      <c r="K33" s="422">
        <f>+IF(E33=0,0,J33/E33)</f>
        <v>0.86487499999999995</v>
      </c>
      <c r="M33" s="388"/>
    </row>
    <row r="34" spans="1:13" x14ac:dyDescent="0.2">
      <c r="B34" s="415" t="s">
        <v>69</v>
      </c>
      <c r="C34" s="438">
        <v>100000</v>
      </c>
      <c r="D34" s="416">
        <f>+D33</f>
        <v>2</v>
      </c>
      <c r="E34" s="418">
        <f>+C34*D34</f>
        <v>200000</v>
      </c>
      <c r="J34" s="421">
        <f>+CARTOLA!C47</f>
        <v>0</v>
      </c>
      <c r="K34" s="422">
        <f>+IF(E34=0,0,J34/E34)</f>
        <v>0</v>
      </c>
      <c r="M34" s="388"/>
    </row>
    <row r="35" spans="1:13" s="499" customFormat="1" x14ac:dyDescent="0.2">
      <c r="A35" s="211"/>
      <c r="B35" s="433" t="s">
        <v>87</v>
      </c>
      <c r="C35" s="434">
        <v>15000</v>
      </c>
      <c r="D35" s="416">
        <f>+D34</f>
        <v>2</v>
      </c>
      <c r="E35" s="418">
        <f>+C35*D35</f>
        <v>30000</v>
      </c>
      <c r="F35" s="211"/>
      <c r="G35" s="426"/>
      <c r="H35" s="211"/>
      <c r="I35" s="211"/>
      <c r="J35" s="421">
        <f>+COUNT(CARTOLA!#REF!)*C35</f>
        <v>0</v>
      </c>
      <c r="K35" s="422">
        <f>+IF(E35=0,0,J35/E35)</f>
        <v>0</v>
      </c>
      <c r="L35" s="498"/>
      <c r="M35" s="388"/>
    </row>
    <row r="36" spans="1:13" x14ac:dyDescent="0.2">
      <c r="B36" s="440" t="s">
        <v>83</v>
      </c>
      <c r="C36" s="482"/>
      <c r="D36" s="482"/>
      <c r="E36" s="442">
        <f>SUM(E33:E35)</f>
        <v>3230000</v>
      </c>
      <c r="F36" s="426"/>
      <c r="J36" s="444">
        <f>SUM(J33:J35)</f>
        <v>2594625</v>
      </c>
      <c r="K36" s="445">
        <f>+IF(E36=0,0,J36/E36)</f>
        <v>0.80328947368421055</v>
      </c>
      <c r="M36" s="446"/>
    </row>
    <row r="37" spans="1:13" x14ac:dyDescent="0.2">
      <c r="C37" s="500"/>
      <c r="F37" s="486" t="s">
        <v>386</v>
      </c>
      <c r="G37" s="487">
        <f>+H37/E36</f>
        <v>0.19671052631578947</v>
      </c>
      <c r="H37" s="488">
        <f>+E36-J36</f>
        <v>635375</v>
      </c>
      <c r="J37" s="456"/>
      <c r="K37" s="457"/>
      <c r="M37" s="426"/>
    </row>
    <row r="38" spans="1:13" x14ac:dyDescent="0.2">
      <c r="A38" s="68" t="s">
        <v>391</v>
      </c>
      <c r="B38" s="406" t="s">
        <v>86</v>
      </c>
      <c r="C38" s="501"/>
      <c r="D38" s="501"/>
      <c r="J38" s="456"/>
      <c r="K38" s="457"/>
    </row>
    <row r="39" spans="1:13" x14ac:dyDescent="0.2">
      <c r="B39" s="502" t="s">
        <v>66</v>
      </c>
      <c r="C39" s="417">
        <v>5000</v>
      </c>
      <c r="D39" s="416">
        <v>12</v>
      </c>
      <c r="E39" s="418">
        <f>+C39*D39</f>
        <v>60000</v>
      </c>
      <c r="J39" s="421">
        <f>+CARTOLA!P44*-1</f>
        <v>15000</v>
      </c>
      <c r="K39" s="422">
        <f>+IF(E39=0,0,J39/E39)</f>
        <v>0.25</v>
      </c>
      <c r="M39" s="388"/>
    </row>
    <row r="40" spans="1:13" x14ac:dyDescent="0.2">
      <c r="B40" s="503" t="s">
        <v>70</v>
      </c>
      <c r="C40" s="417">
        <v>5000</v>
      </c>
      <c r="D40" s="416">
        <v>12</v>
      </c>
      <c r="E40" s="418">
        <f>+C40*D40</f>
        <v>60000</v>
      </c>
      <c r="J40" s="421">
        <f>+CARTOLA!P49*-1</f>
        <v>0</v>
      </c>
      <c r="K40" s="422">
        <f>+IF(E40=0,0,J40/E40)</f>
        <v>0</v>
      </c>
      <c r="M40" s="388"/>
    </row>
    <row r="41" spans="1:13" x14ac:dyDescent="0.2">
      <c r="B41" s="415" t="s">
        <v>193</v>
      </c>
      <c r="C41" s="417">
        <v>0</v>
      </c>
      <c r="D41" s="416">
        <v>0</v>
      </c>
      <c r="E41" s="418">
        <f>+C41*D41</f>
        <v>0</v>
      </c>
      <c r="J41" s="421">
        <f>+CARTOLA!P50*-1</f>
        <v>0</v>
      </c>
      <c r="K41" s="422">
        <f>+IF(E41=0,0,J41/E41)</f>
        <v>0</v>
      </c>
      <c r="M41" s="388"/>
    </row>
    <row r="42" spans="1:13" x14ac:dyDescent="0.2">
      <c r="B42" s="415" t="s">
        <v>397</v>
      </c>
      <c r="C42" s="417">
        <v>150000</v>
      </c>
      <c r="D42" s="416">
        <v>12</v>
      </c>
      <c r="E42" s="418">
        <f>+(C42*D42)</f>
        <v>1800000</v>
      </c>
      <c r="F42" s="504"/>
      <c r="J42" s="421">
        <f>+CARTOLA!P51*-1</f>
        <v>1350000</v>
      </c>
      <c r="K42" s="422">
        <f>+IF(E42=0,0,J42/E42)</f>
        <v>0.75</v>
      </c>
      <c r="M42" s="388"/>
    </row>
    <row r="43" spans="1:13" x14ac:dyDescent="0.2">
      <c r="B43" s="415" t="s">
        <v>31</v>
      </c>
      <c r="C43" s="417">
        <v>150000</v>
      </c>
      <c r="D43" s="416">
        <v>1</v>
      </c>
      <c r="E43" s="418">
        <f t="shared" ref="E43:E52" si="6">+C43*D43</f>
        <v>150000</v>
      </c>
      <c r="J43" s="421">
        <f>+CARTOLA!P52*-1</f>
        <v>0</v>
      </c>
      <c r="K43" s="422">
        <f>+IF(E43=0,0,J43/E43)</f>
        <v>0</v>
      </c>
      <c r="M43" s="388"/>
    </row>
    <row r="44" spans="1:13" x14ac:dyDescent="0.2">
      <c r="B44" s="415" t="s">
        <v>32</v>
      </c>
      <c r="C44" s="417">
        <v>0</v>
      </c>
      <c r="D44" s="416">
        <v>0</v>
      </c>
      <c r="E44" s="418">
        <f t="shared" si="6"/>
        <v>0</v>
      </c>
      <c r="J44" s="421">
        <f>+CARTOLA!P53*-1</f>
        <v>0</v>
      </c>
      <c r="K44" s="422">
        <f t="shared" ref="K44:K53" si="7">+IF(E44=0,0,J44/E44)</f>
        <v>0</v>
      </c>
      <c r="M44" s="388"/>
    </row>
    <row r="45" spans="1:13" x14ac:dyDescent="0.2">
      <c r="B45" s="415" t="s">
        <v>374</v>
      </c>
      <c r="C45" s="417">
        <v>16000</v>
      </c>
      <c r="D45" s="416">
        <v>12</v>
      </c>
      <c r="E45" s="418">
        <f t="shared" si="6"/>
        <v>192000</v>
      </c>
      <c r="J45" s="421">
        <f>+CARTOLA!P54*-1</f>
        <v>0</v>
      </c>
      <c r="K45" s="422">
        <f t="shared" si="7"/>
        <v>0</v>
      </c>
      <c r="M45" s="388"/>
    </row>
    <row r="46" spans="1:13" x14ac:dyDescent="0.2">
      <c r="B46" s="415" t="s">
        <v>33</v>
      </c>
      <c r="C46" s="417">
        <v>0</v>
      </c>
      <c r="D46" s="416">
        <v>0</v>
      </c>
      <c r="E46" s="418">
        <f t="shared" si="6"/>
        <v>0</v>
      </c>
      <c r="J46" s="421">
        <f>+CARTOLA!P55*-1</f>
        <v>0</v>
      </c>
      <c r="K46" s="422">
        <f t="shared" si="7"/>
        <v>0</v>
      </c>
      <c r="M46" s="388"/>
    </row>
    <row r="47" spans="1:13" x14ac:dyDescent="0.2">
      <c r="B47" s="415" t="s">
        <v>34</v>
      </c>
      <c r="C47" s="417">
        <v>0</v>
      </c>
      <c r="D47" s="416">
        <v>0</v>
      </c>
      <c r="E47" s="418">
        <f t="shared" si="6"/>
        <v>0</v>
      </c>
      <c r="F47" s="388"/>
      <c r="J47" s="421">
        <f>+CARTOLA!P56*-1</f>
        <v>0</v>
      </c>
      <c r="K47" s="422">
        <f t="shared" si="7"/>
        <v>0</v>
      </c>
      <c r="M47" s="388"/>
    </row>
    <row r="48" spans="1:13" s="499" customFormat="1" x14ac:dyDescent="0.2">
      <c r="B48" s="415" t="s">
        <v>90</v>
      </c>
      <c r="C48" s="417">
        <v>0</v>
      </c>
      <c r="D48" s="416">
        <v>0</v>
      </c>
      <c r="E48" s="418">
        <f>+C48*D48*6</f>
        <v>0</v>
      </c>
      <c r="F48" s="211"/>
      <c r="G48" s="211"/>
      <c r="H48" s="211"/>
      <c r="I48" s="211"/>
      <c r="J48" s="421">
        <f>+CARTOLA!P57*-1</f>
        <v>0</v>
      </c>
      <c r="K48" s="422">
        <f t="shared" si="7"/>
        <v>0</v>
      </c>
      <c r="L48" s="498"/>
      <c r="M48" s="388"/>
    </row>
    <row r="49" spans="1:13" s="499" customFormat="1" x14ac:dyDescent="0.2">
      <c r="B49" s="415" t="s">
        <v>35</v>
      </c>
      <c r="C49" s="417">
        <v>0</v>
      </c>
      <c r="D49" s="416">
        <v>2</v>
      </c>
      <c r="E49" s="418">
        <f t="shared" si="6"/>
        <v>0</v>
      </c>
      <c r="F49" s="211"/>
      <c r="G49" s="426"/>
      <c r="H49" s="211"/>
      <c r="I49" s="211"/>
      <c r="J49" s="421">
        <f>+CARTOLA!P58*-1</f>
        <v>58029</v>
      </c>
      <c r="K49" s="422">
        <f t="shared" si="7"/>
        <v>0</v>
      </c>
      <c r="L49" s="498"/>
      <c r="M49" s="388"/>
    </row>
    <row r="50" spans="1:13" s="499" customFormat="1" x14ac:dyDescent="0.2">
      <c r="A50" s="211"/>
      <c r="B50" s="415" t="s">
        <v>36</v>
      </c>
      <c r="C50" s="417">
        <v>0</v>
      </c>
      <c r="D50" s="416">
        <v>0</v>
      </c>
      <c r="E50" s="418">
        <f t="shared" si="6"/>
        <v>0</v>
      </c>
      <c r="F50" s="211"/>
      <c r="G50" s="426"/>
      <c r="H50" s="211"/>
      <c r="I50" s="211"/>
      <c r="J50" s="421">
        <f>+CARTOLA!P59*-1</f>
        <v>0</v>
      </c>
      <c r="K50" s="422">
        <f t="shared" si="7"/>
        <v>0</v>
      </c>
      <c r="L50" s="498"/>
      <c r="M50" s="388"/>
    </row>
    <row r="51" spans="1:13" s="499" customFormat="1" x14ac:dyDescent="0.2">
      <c r="B51" s="433" t="s">
        <v>37</v>
      </c>
      <c r="C51" s="417">
        <v>150000</v>
      </c>
      <c r="D51" s="416">
        <v>1</v>
      </c>
      <c r="E51" s="418">
        <f t="shared" si="6"/>
        <v>150000</v>
      </c>
      <c r="F51" s="211"/>
      <c r="G51" s="426"/>
      <c r="H51" s="505"/>
      <c r="I51" s="211"/>
      <c r="J51" s="421">
        <f>+CARTOLA!C60</f>
        <v>0</v>
      </c>
      <c r="K51" s="422">
        <f t="shared" si="7"/>
        <v>0</v>
      </c>
      <c r="L51" s="498"/>
      <c r="M51" s="388"/>
    </row>
    <row r="52" spans="1:13" s="499" customFormat="1" x14ac:dyDescent="0.2">
      <c r="B52" s="433" t="s">
        <v>233</v>
      </c>
      <c r="C52" s="417">
        <v>250000</v>
      </c>
      <c r="D52" s="416">
        <v>1</v>
      </c>
      <c r="E52" s="418">
        <f t="shared" si="6"/>
        <v>250000</v>
      </c>
      <c r="F52" s="211"/>
      <c r="G52" s="426"/>
      <c r="H52" s="505"/>
      <c r="I52" s="211"/>
      <c r="J52" s="421">
        <f>+CARTOLA!P61*-1</f>
        <v>0</v>
      </c>
      <c r="K52" s="422">
        <f t="shared" si="7"/>
        <v>0</v>
      </c>
      <c r="L52" s="498"/>
      <c r="M52" s="388"/>
    </row>
    <row r="53" spans="1:13" s="499" customFormat="1" x14ac:dyDescent="0.2">
      <c r="B53" s="440" t="s">
        <v>82</v>
      </c>
      <c r="C53" s="482"/>
      <c r="D53" s="482"/>
      <c r="E53" s="442">
        <f>SUM(E39:E52)</f>
        <v>2662000</v>
      </c>
      <c r="F53" s="211"/>
      <c r="G53" s="426"/>
      <c r="H53" s="505"/>
      <c r="I53" s="211"/>
      <c r="J53" s="444">
        <f>SUM(J39:J52)</f>
        <v>1423029</v>
      </c>
      <c r="K53" s="445">
        <f t="shared" si="7"/>
        <v>0.53457137490608564</v>
      </c>
      <c r="L53" s="498"/>
      <c r="M53" s="446"/>
    </row>
    <row r="54" spans="1:13" s="499" customFormat="1" x14ac:dyDescent="0.2">
      <c r="B54" s="451"/>
      <c r="C54" s="66"/>
      <c r="D54" s="489"/>
      <c r="E54" s="211"/>
      <c r="F54" s="486" t="s">
        <v>386</v>
      </c>
      <c r="G54" s="487">
        <f>+H54/E53</f>
        <v>0.46542862509391436</v>
      </c>
      <c r="H54" s="488">
        <f>+E53-J53</f>
        <v>1238971</v>
      </c>
      <c r="I54" s="505"/>
      <c r="J54" s="456"/>
      <c r="K54" s="457"/>
      <c r="L54" s="498"/>
      <c r="M54" s="388"/>
    </row>
    <row r="55" spans="1:13" s="499" customFormat="1" x14ac:dyDescent="0.2">
      <c r="A55" s="391" t="s">
        <v>392</v>
      </c>
      <c r="B55" s="406" t="s">
        <v>78</v>
      </c>
      <c r="C55" s="66"/>
      <c r="D55" s="489"/>
      <c r="E55" s="211"/>
      <c r="F55" s="211"/>
      <c r="G55" s="426"/>
      <c r="H55" s="505"/>
      <c r="I55" s="505"/>
      <c r="J55" s="456"/>
      <c r="K55" s="457"/>
      <c r="L55" s="498"/>
    </row>
    <row r="56" spans="1:13" s="499" customFormat="1" x14ac:dyDescent="0.2">
      <c r="B56" s="506" t="s">
        <v>207</v>
      </c>
      <c r="C56" s="507">
        <v>10</v>
      </c>
      <c r="D56" s="418">
        <f t="shared" ref="D56:D61" si="8">+C56*2500*3</f>
        <v>75000</v>
      </c>
      <c r="E56" s="211"/>
      <c r="F56" s="211"/>
      <c r="G56" s="211"/>
      <c r="H56" s="211"/>
      <c r="I56" s="211"/>
      <c r="J56" s="421">
        <f>+CARTOLA!P62*-1</f>
        <v>0</v>
      </c>
      <c r="K56" s="422">
        <f t="shared" ref="K56:K62" si="9">+IF(D56=0,0,J56/D56)</f>
        <v>0</v>
      </c>
      <c r="L56" s="498"/>
      <c r="M56" s="388"/>
    </row>
    <row r="57" spans="1:13" s="499" customFormat="1" x14ac:dyDescent="0.2">
      <c r="B57" s="415" t="s">
        <v>93</v>
      </c>
      <c r="C57" s="507">
        <v>10</v>
      </c>
      <c r="D57" s="418">
        <f t="shared" si="8"/>
        <v>75000</v>
      </c>
      <c r="E57" s="211"/>
      <c r="F57" s="211"/>
      <c r="G57" s="211"/>
      <c r="H57" s="211"/>
      <c r="I57" s="211"/>
      <c r="J57" s="421">
        <f>+CARTOLA!P63*-1</f>
        <v>0</v>
      </c>
      <c r="K57" s="422">
        <f t="shared" si="9"/>
        <v>0</v>
      </c>
      <c r="L57" s="498"/>
      <c r="M57" s="388"/>
    </row>
    <row r="58" spans="1:13" s="499" customFormat="1" x14ac:dyDescent="0.2">
      <c r="B58" s="415" t="s">
        <v>184</v>
      </c>
      <c r="C58" s="507">
        <v>10</v>
      </c>
      <c r="D58" s="418">
        <f t="shared" si="8"/>
        <v>75000</v>
      </c>
      <c r="E58" s="211"/>
      <c r="F58" s="211"/>
      <c r="G58" s="211"/>
      <c r="H58" s="211"/>
      <c r="I58" s="211"/>
      <c r="J58" s="421">
        <f>+CARTOLA!P64*-1</f>
        <v>0</v>
      </c>
      <c r="K58" s="422">
        <f t="shared" si="9"/>
        <v>0</v>
      </c>
      <c r="L58" s="498"/>
      <c r="M58" s="388"/>
    </row>
    <row r="59" spans="1:13" s="499" customFormat="1" x14ac:dyDescent="0.2">
      <c r="B59" s="415" t="s">
        <v>94</v>
      </c>
      <c r="C59" s="507">
        <v>10</v>
      </c>
      <c r="D59" s="418">
        <f t="shared" si="8"/>
        <v>75000</v>
      </c>
      <c r="E59" s="211"/>
      <c r="F59" s="211"/>
      <c r="G59" s="211"/>
      <c r="H59" s="211"/>
      <c r="I59" s="211"/>
      <c r="J59" s="421">
        <f>+CARTOLA!P65*-1</f>
        <v>0</v>
      </c>
      <c r="K59" s="422">
        <f t="shared" si="9"/>
        <v>0</v>
      </c>
      <c r="L59" s="498"/>
      <c r="M59" s="388"/>
    </row>
    <row r="60" spans="1:13" s="499" customFormat="1" x14ac:dyDescent="0.2">
      <c r="B60" s="506" t="s">
        <v>95</v>
      </c>
      <c r="C60" s="507">
        <v>10</v>
      </c>
      <c r="D60" s="418">
        <f t="shared" si="8"/>
        <v>75000</v>
      </c>
      <c r="E60" s="211"/>
      <c r="F60" s="211"/>
      <c r="G60" s="211"/>
      <c r="H60" s="211"/>
      <c r="I60" s="211"/>
      <c r="J60" s="421">
        <f>+CARTOLA!P66*-1</f>
        <v>0</v>
      </c>
      <c r="K60" s="422">
        <f t="shared" si="9"/>
        <v>0</v>
      </c>
      <c r="L60" s="498"/>
      <c r="M60" s="388"/>
    </row>
    <row r="61" spans="1:13" s="499" customFormat="1" x14ac:dyDescent="0.2">
      <c r="B61" s="506" t="s">
        <v>96</v>
      </c>
      <c r="C61" s="507">
        <v>10</v>
      </c>
      <c r="D61" s="418">
        <f t="shared" si="8"/>
        <v>75000</v>
      </c>
      <c r="E61" s="211"/>
      <c r="F61" s="211"/>
      <c r="G61" s="211"/>
      <c r="H61" s="211"/>
      <c r="I61" s="211"/>
      <c r="J61" s="421">
        <f>+CARTOLA!P67*-1</f>
        <v>0</v>
      </c>
      <c r="K61" s="422">
        <f t="shared" si="9"/>
        <v>0</v>
      </c>
      <c r="L61" s="498"/>
      <c r="M61" s="388"/>
    </row>
    <row r="62" spans="1:13" s="499" customFormat="1" x14ac:dyDescent="0.2">
      <c r="B62" s="440" t="s">
        <v>80</v>
      </c>
      <c r="C62" s="508" t="s">
        <v>337</v>
      </c>
      <c r="D62" s="442">
        <f>SUM(D56:D61)</f>
        <v>450000</v>
      </c>
      <c r="F62" s="211"/>
      <c r="G62" s="211"/>
      <c r="H62" s="211"/>
      <c r="I62" s="211"/>
      <c r="J62" s="444">
        <f>SUM(J56:J61)</f>
        <v>0</v>
      </c>
      <c r="K62" s="445">
        <f t="shared" si="9"/>
        <v>0</v>
      </c>
      <c r="L62" s="498"/>
      <c r="M62" s="388"/>
    </row>
    <row r="63" spans="1:13" s="499" customFormat="1" x14ac:dyDescent="0.2">
      <c r="B63" s="211"/>
      <c r="C63" s="211"/>
      <c r="D63" s="211"/>
      <c r="E63" s="211"/>
      <c r="F63" s="486" t="s">
        <v>386</v>
      </c>
      <c r="G63" s="487">
        <f>+H63/D62</f>
        <v>1</v>
      </c>
      <c r="H63" s="488">
        <f>+D62-J62</f>
        <v>450000</v>
      </c>
      <c r="I63" s="211"/>
      <c r="J63" s="509"/>
      <c r="K63" s="510"/>
      <c r="L63" s="498"/>
      <c r="M63" s="388"/>
    </row>
    <row r="64" spans="1:13" s="499" customFormat="1" x14ac:dyDescent="0.2">
      <c r="B64" s="211"/>
      <c r="C64" s="211"/>
      <c r="D64" s="211"/>
      <c r="E64" s="211"/>
      <c r="F64" s="211"/>
      <c r="G64" s="211"/>
      <c r="H64" s="211"/>
      <c r="I64" s="211"/>
      <c r="J64" s="509"/>
      <c r="K64" s="510"/>
      <c r="L64" s="498"/>
    </row>
    <row r="65" spans="1:13" s="499" customFormat="1" x14ac:dyDescent="0.2">
      <c r="A65" s="391" t="s">
        <v>393</v>
      </c>
      <c r="B65" s="406" t="s">
        <v>451</v>
      </c>
      <c r="C65" s="511"/>
      <c r="D65" s="512" t="s">
        <v>88</v>
      </c>
      <c r="E65" s="511"/>
      <c r="F65" s="511"/>
      <c r="G65" s="1069" t="s">
        <v>400</v>
      </c>
      <c r="H65" s="1069"/>
      <c r="I65" s="1069"/>
      <c r="J65" s="513"/>
      <c r="K65" s="514" t="s">
        <v>89</v>
      </c>
      <c r="L65" s="498"/>
    </row>
    <row r="66" spans="1:13" ht="13.5" x14ac:dyDescent="0.25">
      <c r="B66" s="515" t="str">
        <f>+B11</f>
        <v xml:space="preserve">REMUNERACION DIRECTORES </v>
      </c>
      <c r="C66" s="516">
        <f>+H21</f>
        <v>1400000</v>
      </c>
      <c r="D66" s="510">
        <f>+IF($C$71=0,0,+C66/$C$71)</f>
        <v>0.1558672901358272</v>
      </c>
      <c r="E66" s="517"/>
      <c r="F66" s="511"/>
      <c r="G66" s="1070" t="str">
        <f t="shared" ref="G66:G71" si="10">+B66</f>
        <v xml:space="preserve">REMUNERACION DIRECTORES </v>
      </c>
      <c r="H66" s="1071"/>
      <c r="I66" s="1072"/>
      <c r="J66" s="986">
        <f>+J21+DIRECTOR!M5</f>
        <v>1178410</v>
      </c>
      <c r="K66" s="510">
        <f t="shared" ref="K66:K72" si="11">+IF(C66=0,0,+J66/C66)</f>
        <v>0.84172142857142862</v>
      </c>
      <c r="M66" s="388"/>
    </row>
    <row r="67" spans="1:13" ht="13.5" x14ac:dyDescent="0.25">
      <c r="B67" s="518" t="str">
        <f>+B23</f>
        <v xml:space="preserve">VIATICOS DE DIRECTORES </v>
      </c>
      <c r="C67" s="519">
        <f>+H30</f>
        <v>1240000</v>
      </c>
      <c r="D67" s="510">
        <f>+IF($C$71=0,0,+C67/$C$71)</f>
        <v>0.13805388554887552</v>
      </c>
      <c r="E67" s="517"/>
      <c r="F67" s="511"/>
      <c r="G67" s="1049" t="str">
        <f t="shared" si="10"/>
        <v xml:space="preserve">VIATICOS DE DIRECTORES </v>
      </c>
      <c r="H67" s="1047"/>
      <c r="I67" s="1050"/>
      <c r="J67" s="987">
        <f>+J30</f>
        <v>946793</v>
      </c>
      <c r="K67" s="510">
        <f t="shared" si="11"/>
        <v>0.76354274193548388</v>
      </c>
      <c r="M67" s="388"/>
    </row>
    <row r="68" spans="1:13" ht="13.5" x14ac:dyDescent="0.25">
      <c r="B68" s="518" t="str">
        <f>+B32</f>
        <v>COSTO PLENARIAS</v>
      </c>
      <c r="C68" s="519">
        <f>+E36</f>
        <v>3230000</v>
      </c>
      <c r="D68" s="510">
        <f>+IF($C$71=0,0,+C68/$C$71)</f>
        <v>0.35960810509908708</v>
      </c>
      <c r="E68" s="517"/>
      <c r="F68" s="511"/>
      <c r="G68" s="1049" t="str">
        <f t="shared" si="10"/>
        <v>COSTO PLENARIAS</v>
      </c>
      <c r="H68" s="1047"/>
      <c r="I68" s="1050"/>
      <c r="J68" s="987">
        <f>+J36</f>
        <v>2594625</v>
      </c>
      <c r="K68" s="510">
        <f t="shared" si="11"/>
        <v>0.80328947368421055</v>
      </c>
      <c r="M68" s="388"/>
    </row>
    <row r="69" spans="1:13" ht="13.5" x14ac:dyDescent="0.25">
      <c r="B69" s="518" t="str">
        <f>+B38</f>
        <v xml:space="preserve">GASTOS GESTION </v>
      </c>
      <c r="C69" s="519">
        <f>+E53</f>
        <v>2662000</v>
      </c>
      <c r="D69" s="510">
        <f>+IF($C$71=0,0,+C69/$C$71)</f>
        <v>0.2963705188154086</v>
      </c>
      <c r="E69" s="517"/>
      <c r="F69" s="511"/>
      <c r="G69" s="1049" t="str">
        <f t="shared" si="10"/>
        <v xml:space="preserve">GASTOS GESTION </v>
      </c>
      <c r="H69" s="1047"/>
      <c r="I69" s="1050"/>
      <c r="J69" s="987">
        <f>+J53</f>
        <v>1423029</v>
      </c>
      <c r="K69" s="510">
        <f t="shared" si="11"/>
        <v>0.53457137490608564</v>
      </c>
      <c r="M69" s="388"/>
    </row>
    <row r="70" spans="1:13" ht="13.5" x14ac:dyDescent="0.25">
      <c r="B70" s="520" t="str">
        <f>+B55</f>
        <v xml:space="preserve">COMISIONES </v>
      </c>
      <c r="C70" s="521">
        <f>+D62</f>
        <v>450000</v>
      </c>
      <c r="D70" s="510">
        <f>+IF($C$71=0,0,+C70/$C$71)</f>
        <v>5.0100200400801605E-2</v>
      </c>
      <c r="E70" s="517"/>
      <c r="F70" s="511"/>
      <c r="G70" s="1049" t="str">
        <f t="shared" si="10"/>
        <v xml:space="preserve">COMISIONES </v>
      </c>
      <c r="H70" s="1047"/>
      <c r="I70" s="1050"/>
      <c r="J70" s="988">
        <f>+J62</f>
        <v>0</v>
      </c>
      <c r="K70" s="510">
        <f t="shared" si="11"/>
        <v>0</v>
      </c>
      <c r="M70" s="388"/>
    </row>
    <row r="71" spans="1:13" ht="13.5" x14ac:dyDescent="0.25">
      <c r="B71" s="522" t="s">
        <v>199</v>
      </c>
      <c r="C71" s="523">
        <f>SUM(C66:C70)</f>
        <v>8982000</v>
      </c>
      <c r="D71" s="510">
        <f>SUM(D66:D70)</f>
        <v>1</v>
      </c>
      <c r="E71" s="517"/>
      <c r="F71" s="511"/>
      <c r="G71" s="1051" t="str">
        <f t="shared" si="10"/>
        <v>TOTAL DE GASTOS</v>
      </c>
      <c r="H71" s="1052"/>
      <c r="I71" s="1053"/>
      <c r="J71" s="878">
        <f>SUM(J66:J70)</f>
        <v>6142857</v>
      </c>
      <c r="K71" s="510">
        <f t="shared" si="11"/>
        <v>0.68390748162992654</v>
      </c>
      <c r="M71" s="388"/>
    </row>
    <row r="72" spans="1:13" ht="13.5" x14ac:dyDescent="0.25">
      <c r="B72" s="524" t="s">
        <v>38</v>
      </c>
      <c r="C72" s="525">
        <f>+E9</f>
        <v>10060000</v>
      </c>
      <c r="D72" s="510">
        <f>+C72/C71</f>
        <v>1.1200178134045871</v>
      </c>
      <c r="E72" s="517"/>
      <c r="F72" s="511"/>
      <c r="G72" s="1054" t="str">
        <f>+B72</f>
        <v>TOTAL INGRESOS</v>
      </c>
      <c r="H72" s="1055"/>
      <c r="I72" s="1056"/>
      <c r="J72" s="526">
        <f>+J9</f>
        <v>6026071</v>
      </c>
      <c r="K72" s="510">
        <f t="shared" si="11"/>
        <v>0.59901302186878724</v>
      </c>
      <c r="L72" s="527"/>
      <c r="M72" s="388"/>
    </row>
    <row r="73" spans="1:13" ht="13.5" x14ac:dyDescent="0.25">
      <c r="B73" s="528" t="str">
        <f>+IF(C73&gt;0,"SOBRAN INGRESOS",+IF(C73&lt;0,"EXCESO DE GASTO","EQUILIBRIO"))</f>
        <v>SOBRAN INGRESOS</v>
      </c>
      <c r="C73" s="529">
        <f>+C72-C71</f>
        <v>1078000</v>
      </c>
      <c r="D73" s="510">
        <f>+C73/C71</f>
        <v>0.12001781340458695</v>
      </c>
      <c r="E73" s="517"/>
      <c r="F73" s="530"/>
      <c r="G73" s="1057" t="str">
        <f>+IF(J73&gt;0,"SOBRAN INGRESOS",+IF(J73&lt;0,"EXCESO DE GASTO","EQUILIBRIO"))</f>
        <v>EXCESO DE GASTO</v>
      </c>
      <c r="H73" s="1058"/>
      <c r="I73" s="1059"/>
      <c r="J73" s="529">
        <f>+J72-J71</f>
        <v>-116786</v>
      </c>
      <c r="K73" s="531">
        <f>+J73/J71</f>
        <v>-1.9011674860736624E-2</v>
      </c>
      <c r="M73" s="388"/>
    </row>
    <row r="74" spans="1:13" x14ac:dyDescent="0.2">
      <c r="B74" s="511"/>
      <c r="C74" s="530"/>
      <c r="D74" s="532"/>
      <c r="E74" s="511"/>
      <c r="F74" s="511"/>
      <c r="K74" s="211"/>
      <c r="L74" s="211"/>
      <c r="M74" s="388"/>
    </row>
    <row r="75" spans="1:13" x14ac:dyDescent="0.2">
      <c r="B75" s="533" t="s">
        <v>370</v>
      </c>
      <c r="C75" s="534"/>
      <c r="D75" s="511"/>
      <c r="E75" s="511"/>
      <c r="F75" s="511"/>
      <c r="G75" s="1047" t="s">
        <v>355</v>
      </c>
      <c r="H75" s="1047"/>
      <c r="I75" s="1047"/>
      <c r="J75" s="535">
        <f>+CARTOLA!E1</f>
        <v>10611753</v>
      </c>
      <c r="K75" s="510"/>
      <c r="M75" s="388"/>
    </row>
    <row r="76" spans="1:13" ht="15" customHeight="1" x14ac:dyDescent="0.2">
      <c r="B76" s="536">
        <f>+J75</f>
        <v>10611753</v>
      </c>
      <c r="C76" s="537"/>
      <c r="D76" s="511"/>
      <c r="E76" s="511"/>
      <c r="F76" s="511"/>
      <c r="G76" s="1047" t="s">
        <v>400</v>
      </c>
      <c r="H76" s="1047"/>
      <c r="I76" s="1047"/>
      <c r="J76" s="535">
        <f>+CARTOLA!I1</f>
        <v>10484429</v>
      </c>
      <c r="K76" s="510"/>
      <c r="M76" s="388"/>
    </row>
    <row r="77" spans="1:13" ht="15" customHeight="1" x14ac:dyDescent="0.2">
      <c r="B77" s="538">
        <f>+B76+C73</f>
        <v>11689753</v>
      </c>
      <c r="C77" s="539">
        <f>+C73/B76</f>
        <v>0.10158547791302719</v>
      </c>
      <c r="D77" s="511"/>
      <c r="G77" s="1046" t="str">
        <f>+IF(J77=0," BUENO ",IF(J77&lt;0,"CON PERDIDAS DE ","CON UTILIDADES DE "))</f>
        <v xml:space="preserve">CON PERDIDAS DE </v>
      </c>
      <c r="H77" s="1046"/>
      <c r="I77" s="1046"/>
      <c r="J77" s="529">
        <f>+J76-J75</f>
        <v>-127324</v>
      </c>
      <c r="K77" s="510">
        <f>+IF(J77&gt;0,+J77/J75,+J77/J75)</f>
        <v>-1.199839461020248E-2</v>
      </c>
      <c r="M77" s="388"/>
    </row>
    <row r="78" spans="1:13" ht="13.5" thickBot="1" x14ac:dyDescent="0.25">
      <c r="J78" s="426"/>
      <c r="M78" s="388"/>
    </row>
    <row r="79" spans="1:13" ht="13.5" thickBot="1" x14ac:dyDescent="0.25">
      <c r="B79" s="1085" t="s">
        <v>456</v>
      </c>
      <c r="C79" s="1086"/>
      <c r="D79" s="1086"/>
      <c r="E79" s="562" t="s">
        <v>541</v>
      </c>
      <c r="G79" s="540" t="s">
        <v>628</v>
      </c>
      <c r="H79" s="541"/>
      <c r="I79" s="541"/>
      <c r="J79" s="542"/>
      <c r="K79" s="543"/>
      <c r="L79" s="544"/>
    </row>
    <row r="80" spans="1:13" x14ac:dyDescent="0.2">
      <c r="B80" s="1087" t="s">
        <v>454</v>
      </c>
      <c r="C80" s="1088"/>
      <c r="D80" s="1088"/>
      <c r="E80" s="566" t="s">
        <v>542</v>
      </c>
      <c r="J80" s="426"/>
    </row>
    <row r="81" spans="2:10" x14ac:dyDescent="0.2">
      <c r="B81" s="1087" t="s">
        <v>455</v>
      </c>
      <c r="C81" s="1088"/>
      <c r="D81" s="1088"/>
      <c r="E81" s="566" t="s">
        <v>541</v>
      </c>
      <c r="J81" s="426"/>
    </row>
    <row r="82" spans="2:10" x14ac:dyDescent="0.2">
      <c r="B82" s="1089" t="s">
        <v>354</v>
      </c>
      <c r="C82" s="1090"/>
      <c r="D82" s="1090"/>
      <c r="E82" s="572" t="s">
        <v>543</v>
      </c>
      <c r="J82" s="426"/>
    </row>
    <row r="84" spans="2:10" x14ac:dyDescent="0.2">
      <c r="B84" s="545" t="s">
        <v>186</v>
      </c>
      <c r="C84" s="1082" t="s">
        <v>187</v>
      </c>
      <c r="D84" s="1083"/>
      <c r="E84" s="1083"/>
      <c r="F84" s="1084"/>
    </row>
    <row r="85" spans="2:10" x14ac:dyDescent="0.2">
      <c r="B85" s="546" t="s">
        <v>13</v>
      </c>
      <c r="C85" s="1079" t="s">
        <v>340</v>
      </c>
      <c r="D85" s="1080"/>
      <c r="E85" s="1080"/>
      <c r="F85" s="1081"/>
    </row>
    <row r="86" spans="2:10" x14ac:dyDescent="0.2">
      <c r="B86" s="547" t="s">
        <v>14</v>
      </c>
      <c r="C86" s="1076" t="s">
        <v>188</v>
      </c>
      <c r="D86" s="1077"/>
      <c r="E86" s="1077"/>
      <c r="F86" s="1078"/>
    </row>
    <row r="87" spans="2:10" x14ac:dyDescent="0.2">
      <c r="B87" s="547" t="s">
        <v>16</v>
      </c>
      <c r="C87" s="1076" t="s">
        <v>365</v>
      </c>
      <c r="D87" s="1077"/>
      <c r="E87" s="1077"/>
      <c r="F87" s="1078"/>
    </row>
    <row r="88" spans="2:10" x14ac:dyDescent="0.2">
      <c r="B88" s="547" t="s">
        <v>17</v>
      </c>
      <c r="C88" s="1076" t="s">
        <v>339</v>
      </c>
      <c r="D88" s="1077"/>
      <c r="E88" s="1077"/>
      <c r="F88" s="1078"/>
    </row>
    <row r="89" spans="2:10" x14ac:dyDescent="0.2">
      <c r="B89" s="547" t="s">
        <v>18</v>
      </c>
      <c r="C89" s="1076" t="s">
        <v>189</v>
      </c>
      <c r="D89" s="1077"/>
      <c r="E89" s="1077"/>
      <c r="F89" s="1078"/>
    </row>
    <row r="90" spans="2:10" x14ac:dyDescent="0.2">
      <c r="B90" s="547" t="s">
        <v>19</v>
      </c>
      <c r="C90" s="1076" t="s">
        <v>371</v>
      </c>
      <c r="D90" s="1077"/>
      <c r="E90" s="1077"/>
      <c r="F90" s="1078"/>
    </row>
    <row r="91" spans="2:10" x14ac:dyDescent="0.2">
      <c r="B91" s="547" t="s">
        <v>20</v>
      </c>
      <c r="C91" s="1076" t="s">
        <v>190</v>
      </c>
      <c r="D91" s="1077"/>
      <c r="E91" s="1077"/>
      <c r="F91" s="1078"/>
    </row>
    <row r="92" spans="2:10" x14ac:dyDescent="0.2">
      <c r="B92" s="548" t="s">
        <v>21</v>
      </c>
      <c r="C92" s="1091" t="s">
        <v>191</v>
      </c>
      <c r="D92" s="1092"/>
      <c r="E92" s="1092"/>
      <c r="F92" s="1093"/>
      <c r="J92" s="426"/>
    </row>
    <row r="93" spans="2:10" x14ac:dyDescent="0.2">
      <c r="H93" s="390"/>
      <c r="I93" s="390"/>
      <c r="J93" s="390"/>
    </row>
    <row r="94" spans="2:10" x14ac:dyDescent="0.2">
      <c r="B94" s="545" t="s">
        <v>113</v>
      </c>
      <c r="C94" s="549" t="s">
        <v>185</v>
      </c>
      <c r="D94" s="550"/>
      <c r="E94" s="550"/>
      <c r="F94" s="551"/>
      <c r="H94" s="390"/>
      <c r="I94" s="390"/>
      <c r="J94" s="390"/>
    </row>
    <row r="95" spans="2:10" ht="15" customHeight="1" x14ac:dyDescent="0.2">
      <c r="B95" s="552" t="s">
        <v>207</v>
      </c>
      <c r="C95" s="1073"/>
      <c r="D95" s="1074"/>
      <c r="E95" s="1074"/>
      <c r="F95" s="1075"/>
      <c r="G95" s="1060"/>
      <c r="H95" s="1061"/>
      <c r="I95" s="1061"/>
      <c r="J95" s="1061"/>
    </row>
    <row r="96" spans="2:10" ht="15" customHeight="1" x14ac:dyDescent="0.2">
      <c r="B96" s="553" t="s">
        <v>93</v>
      </c>
      <c r="C96" s="1062"/>
      <c r="D96" s="1063"/>
      <c r="E96" s="1063"/>
      <c r="F96" s="1064"/>
      <c r="G96" s="1060"/>
      <c r="H96" s="1061"/>
      <c r="I96" s="1061"/>
      <c r="J96" s="1061"/>
    </row>
    <row r="97" spans="2:10" ht="15" customHeight="1" x14ac:dyDescent="0.2">
      <c r="B97" s="553" t="s">
        <v>184</v>
      </c>
      <c r="C97" s="1062"/>
      <c r="D97" s="1063"/>
      <c r="E97" s="1063"/>
      <c r="F97" s="1064"/>
      <c r="G97" s="1060"/>
      <c r="H97" s="1061"/>
      <c r="I97" s="1061"/>
      <c r="J97" s="1061"/>
    </row>
    <row r="98" spans="2:10" ht="15" customHeight="1" x14ac:dyDescent="0.2">
      <c r="B98" s="553" t="s">
        <v>94</v>
      </c>
      <c r="C98" s="1062"/>
      <c r="D98" s="1063"/>
      <c r="E98" s="1063"/>
      <c r="F98" s="1064"/>
      <c r="G98" s="1060"/>
      <c r="H98" s="1061"/>
      <c r="I98" s="1061"/>
      <c r="J98" s="1061"/>
    </row>
    <row r="99" spans="2:10" ht="15" customHeight="1" x14ac:dyDescent="0.2">
      <c r="B99" s="554" t="s">
        <v>95</v>
      </c>
      <c r="C99" s="1062"/>
      <c r="D99" s="1063"/>
      <c r="E99" s="1063"/>
      <c r="F99" s="1064"/>
      <c r="G99" s="1060"/>
      <c r="H99" s="1061"/>
      <c r="I99" s="1061"/>
      <c r="J99" s="1061"/>
    </row>
    <row r="100" spans="2:10" ht="15" customHeight="1" x14ac:dyDescent="0.2">
      <c r="B100" s="554" t="s">
        <v>96</v>
      </c>
      <c r="C100" s="1062"/>
      <c r="D100" s="1063"/>
      <c r="E100" s="1063"/>
      <c r="F100" s="1064"/>
    </row>
    <row r="101" spans="2:10" ht="15" customHeight="1" x14ac:dyDescent="0.2">
      <c r="B101" s="555" t="s">
        <v>92</v>
      </c>
      <c r="C101" s="1065"/>
      <c r="D101" s="1066"/>
      <c r="E101" s="1066"/>
      <c r="F101" s="1067"/>
    </row>
    <row r="102" spans="2:10" x14ac:dyDescent="0.2">
      <c r="B102" s="511"/>
      <c r="C102" s="511"/>
    </row>
    <row r="103" spans="2:10" x14ac:dyDescent="0.2">
      <c r="B103" s="545" t="s">
        <v>104</v>
      </c>
      <c r="C103" s="549" t="s">
        <v>142</v>
      </c>
      <c r="D103" s="556" t="s">
        <v>378</v>
      </c>
      <c r="E103" s="557"/>
      <c r="F103" s="558" t="s">
        <v>402</v>
      </c>
    </row>
    <row r="104" spans="2:10" x14ac:dyDescent="0.2">
      <c r="B104" s="433" t="s">
        <v>138</v>
      </c>
      <c r="C104" s="559" t="s">
        <v>105</v>
      </c>
      <c r="D104" s="560">
        <v>45449</v>
      </c>
      <c r="E104" s="561">
        <v>1</v>
      </c>
      <c r="F104" s="562" t="s">
        <v>369</v>
      </c>
    </row>
    <row r="105" spans="2:10" x14ac:dyDescent="0.2">
      <c r="B105" s="563" t="s">
        <v>350</v>
      </c>
      <c r="C105" s="553" t="s">
        <v>106</v>
      </c>
      <c r="D105" s="564">
        <v>45449</v>
      </c>
      <c r="E105" s="565">
        <v>2</v>
      </c>
      <c r="F105" s="566" t="s">
        <v>375</v>
      </c>
    </row>
    <row r="106" spans="2:10" x14ac:dyDescent="0.2">
      <c r="B106" s="563" t="s">
        <v>137</v>
      </c>
      <c r="C106" s="553" t="s">
        <v>107</v>
      </c>
      <c r="D106" s="564">
        <v>45449</v>
      </c>
      <c r="E106" s="565">
        <v>3</v>
      </c>
      <c r="F106" s="566" t="s">
        <v>398</v>
      </c>
    </row>
    <row r="107" spans="2:10" x14ac:dyDescent="0.2">
      <c r="B107" s="563" t="s">
        <v>379</v>
      </c>
      <c r="C107" s="553" t="s">
        <v>380</v>
      </c>
      <c r="D107" s="564">
        <v>45449</v>
      </c>
      <c r="E107" s="565">
        <v>4</v>
      </c>
      <c r="F107" s="566" t="s">
        <v>368</v>
      </c>
    </row>
    <row r="108" spans="2:10" x14ac:dyDescent="0.2">
      <c r="B108" s="563" t="s">
        <v>206</v>
      </c>
      <c r="C108" s="553" t="s">
        <v>205</v>
      </c>
      <c r="D108" s="564">
        <v>45449</v>
      </c>
      <c r="E108" s="565">
        <v>5</v>
      </c>
      <c r="F108" s="566" t="s">
        <v>367</v>
      </c>
    </row>
    <row r="109" spans="2:10" x14ac:dyDescent="0.2">
      <c r="B109" s="563" t="s">
        <v>182</v>
      </c>
      <c r="C109" s="553" t="s">
        <v>204</v>
      </c>
      <c r="D109" s="564">
        <v>45449</v>
      </c>
      <c r="E109" s="565">
        <v>6</v>
      </c>
      <c r="F109" s="566" t="s">
        <v>369</v>
      </c>
    </row>
    <row r="110" spans="2:10" x14ac:dyDescent="0.2">
      <c r="B110" s="567" t="s">
        <v>183</v>
      </c>
      <c r="C110" s="568" t="s">
        <v>309</v>
      </c>
      <c r="D110" s="564">
        <v>45449</v>
      </c>
      <c r="E110" s="565">
        <v>7</v>
      </c>
      <c r="F110" s="566"/>
    </row>
    <row r="111" spans="2:10" x14ac:dyDescent="0.2">
      <c r="B111" s="567" t="s">
        <v>178</v>
      </c>
      <c r="C111" s="568" t="s">
        <v>308</v>
      </c>
      <c r="D111" s="564">
        <v>45449</v>
      </c>
      <c r="E111" s="565">
        <v>8</v>
      </c>
      <c r="F111" s="566"/>
    </row>
    <row r="112" spans="2:10" x14ac:dyDescent="0.2">
      <c r="B112" s="503" t="s">
        <v>377</v>
      </c>
      <c r="C112" s="569" t="s">
        <v>112</v>
      </c>
      <c r="D112" s="570">
        <v>45449</v>
      </c>
      <c r="E112" s="571">
        <v>9</v>
      </c>
      <c r="F112" s="572" t="s">
        <v>376</v>
      </c>
    </row>
    <row r="113" spans="2:6" x14ac:dyDescent="0.2">
      <c r="B113" s="573"/>
    </row>
    <row r="114" spans="2:6" x14ac:dyDescent="0.2">
      <c r="B114" s="1043" t="s">
        <v>401</v>
      </c>
      <c r="C114" s="1044"/>
      <c r="D114" s="1044"/>
      <c r="E114" s="1044"/>
      <c r="F114" s="1045"/>
    </row>
  </sheetData>
  <sortState xmlns:xlrd2="http://schemas.microsoft.com/office/spreadsheetml/2017/richdata2" ref="B104:F112">
    <sortCondition ref="E104:E112"/>
  </sortState>
  <mergeCells count="47">
    <mergeCell ref="C88:F88"/>
    <mergeCell ref="C89:F89"/>
    <mergeCell ref="C90:F90"/>
    <mergeCell ref="C91:F91"/>
    <mergeCell ref="C92:F92"/>
    <mergeCell ref="C87:F87"/>
    <mergeCell ref="C86:F86"/>
    <mergeCell ref="C85:F85"/>
    <mergeCell ref="C84:F84"/>
    <mergeCell ref="B79:D79"/>
    <mergeCell ref="B80:D80"/>
    <mergeCell ref="B82:D82"/>
    <mergeCell ref="B81:D81"/>
    <mergeCell ref="G98:J98"/>
    <mergeCell ref="G99:J99"/>
    <mergeCell ref="C95:F95"/>
    <mergeCell ref="C99:F99"/>
    <mergeCell ref="C98:F98"/>
    <mergeCell ref="C97:F97"/>
    <mergeCell ref="C96:F96"/>
    <mergeCell ref="J4:K4"/>
    <mergeCell ref="G65:I65"/>
    <mergeCell ref="G66:I66"/>
    <mergeCell ref="G67:I67"/>
    <mergeCell ref="G68:I68"/>
    <mergeCell ref="B114:F114"/>
    <mergeCell ref="G77:I77"/>
    <mergeCell ref="G76:I76"/>
    <mergeCell ref="B1:H1"/>
    <mergeCell ref="B2:H2"/>
    <mergeCell ref="G69:I69"/>
    <mergeCell ref="G70:I70"/>
    <mergeCell ref="G71:I71"/>
    <mergeCell ref="G72:I72"/>
    <mergeCell ref="G73:I73"/>
    <mergeCell ref="G75:I75"/>
    <mergeCell ref="G95:J95"/>
    <mergeCell ref="C100:F100"/>
    <mergeCell ref="G96:J96"/>
    <mergeCell ref="G97:J97"/>
    <mergeCell ref="C101:F101"/>
    <mergeCell ref="N23:R23"/>
    <mergeCell ref="O5:Q5"/>
    <mergeCell ref="N14:O14"/>
    <mergeCell ref="N17:O17"/>
    <mergeCell ref="N15:O15"/>
    <mergeCell ref="N16:O16"/>
  </mergeCells>
  <phoneticPr fontId="22" type="noConversion"/>
  <conditionalFormatting sqref="K5:K62 K66:K73 K76:K77">
    <cfRule type="dataBar" priority="27">
      <dataBar>
        <cfvo type="percent" val="0"/>
        <cfvo type="percent" val="100"/>
        <color rgb="FF638EC6"/>
      </dataBar>
    </cfRule>
  </conditionalFormatting>
  <conditionalFormatting sqref="D66:D73">
    <cfRule type="dataBar" priority="25">
      <dataBar>
        <cfvo type="num" val="0"/>
        <cfvo type="num" val="1"/>
        <color rgb="FF638EC6"/>
      </dataBar>
    </cfRule>
  </conditionalFormatting>
  <conditionalFormatting sqref="H6">
    <cfRule type="cellIs" dxfId="188" priority="23" operator="lessThan">
      <formula>0</formula>
    </cfRule>
  </conditionalFormatting>
  <conditionalFormatting sqref="H37">
    <cfRule type="cellIs" dxfId="187" priority="22" operator="lessThanOrEqual">
      <formula>0</formula>
    </cfRule>
  </conditionalFormatting>
  <conditionalFormatting sqref="H31">
    <cfRule type="cellIs" dxfId="186" priority="21" operator="lessThanOrEqual">
      <formula>0</formula>
    </cfRule>
  </conditionalFormatting>
  <conditionalFormatting sqref="H22">
    <cfRule type="cellIs" dxfId="185" priority="20" operator="lessThanOrEqual">
      <formula>0</formula>
    </cfRule>
  </conditionalFormatting>
  <conditionalFormatting sqref="H54">
    <cfRule type="cellIs" dxfId="184" priority="19" operator="lessThanOrEqual">
      <formula>0</formula>
    </cfRule>
  </conditionalFormatting>
  <conditionalFormatting sqref="H63">
    <cfRule type="cellIs" dxfId="183" priority="18" operator="lessThanOrEqual">
      <formula>0</formula>
    </cfRule>
  </conditionalFormatting>
  <conditionalFormatting sqref="J13">
    <cfRule type="cellIs" dxfId="182" priority="16" operator="greaterThan">
      <formula>H13</formula>
    </cfRule>
  </conditionalFormatting>
  <conditionalFormatting sqref="J14:J20">
    <cfRule type="cellIs" dxfId="181" priority="15" operator="greaterThan">
      <formula>H14</formula>
    </cfRule>
  </conditionalFormatting>
  <conditionalFormatting sqref="L13">
    <cfRule type="cellIs" dxfId="180" priority="14" operator="greaterThan">
      <formula>C13</formula>
    </cfRule>
  </conditionalFormatting>
  <conditionalFormatting sqref="L14:L20">
    <cfRule type="cellIs" dxfId="179" priority="13" operator="greaterThan">
      <formula>C14</formula>
    </cfRule>
  </conditionalFormatting>
  <conditionalFormatting sqref="J21">
    <cfRule type="cellIs" dxfId="178" priority="12" operator="greaterThan">
      <formula>H21</formula>
    </cfRule>
  </conditionalFormatting>
  <conditionalFormatting sqref="J25:J29">
    <cfRule type="cellIs" dxfId="177" priority="11" operator="greaterThan">
      <formula>H25</formula>
    </cfRule>
  </conditionalFormatting>
  <conditionalFormatting sqref="J33">
    <cfRule type="cellIs" dxfId="176" priority="8" operator="greaterThan">
      <formula>E33</formula>
    </cfRule>
  </conditionalFormatting>
  <conditionalFormatting sqref="J34:J35">
    <cfRule type="cellIs" dxfId="175" priority="7" operator="greaterThan">
      <formula>E34</formula>
    </cfRule>
  </conditionalFormatting>
  <conditionalFormatting sqref="J39:J53">
    <cfRule type="cellIs" dxfId="174" priority="6" operator="greaterThan">
      <formula>E39</formula>
    </cfRule>
  </conditionalFormatting>
  <conditionalFormatting sqref="J34:J36">
    <cfRule type="cellIs" dxfId="173" priority="5" operator="greaterThan">
      <formula>E34</formula>
    </cfRule>
  </conditionalFormatting>
  <conditionalFormatting sqref="J66">
    <cfRule type="cellIs" dxfId="172" priority="4" operator="greaterThan">
      <formula>C66</formula>
    </cfRule>
  </conditionalFormatting>
  <conditionalFormatting sqref="J67:J70">
    <cfRule type="cellIs" dxfId="171" priority="3" operator="greaterThan">
      <formula>C67</formula>
    </cfRule>
  </conditionalFormatting>
  <conditionalFormatting sqref="J71">
    <cfRule type="cellIs" dxfId="170" priority="2" operator="greaterThan">
      <formula>C71</formula>
    </cfRule>
  </conditionalFormatting>
  <conditionalFormatting sqref="J72">
    <cfRule type="cellIs" dxfId="169" priority="1" operator="lessThan">
      <formula>C72</formula>
    </cfRule>
  </conditionalFormatting>
  <pageMargins left="0.7" right="0.7" top="0.75" bottom="0.75" header="0.3" footer="0.3"/>
  <pageSetup orientation="portrait" r:id="rId1"/>
  <ignoredErrors>
    <ignoredError sqref="E48 L15 E42 E6 K21" formula="1"/>
    <ignoredError sqref="K77 C7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62" r:id="rId4" name="Option Button 14">
              <controlPr locked="0" defaultSize="0" autoFill="0" autoLine="0" autoPict="0" macro="[0]!ocultar">
                <anchor moveWithCells="1">
                  <from>
                    <xdr:col>0</xdr:col>
                    <xdr:colOff>0</xdr:colOff>
                    <xdr:row>0</xdr:row>
                    <xdr:rowOff>19050</xdr:rowOff>
                  </from>
                  <to>
                    <xdr:col>1</xdr:col>
                    <xdr:colOff>238125</xdr:colOff>
                    <xdr:row>1</xdr:row>
                    <xdr:rowOff>0</xdr:rowOff>
                  </to>
                </anchor>
              </controlPr>
            </control>
          </mc:Choice>
        </mc:AlternateContent>
        <mc:AlternateContent xmlns:mc="http://schemas.openxmlformats.org/markup-compatibility/2006">
          <mc:Choice Requires="x14">
            <control shapeId="2070" r:id="rId5" name="Option Button 22">
              <controlPr locked="0" defaultSize="0" autoFill="0" autoLine="0" autoPict="0" macro="[0]!mostrar">
                <anchor moveWithCells="1">
                  <from>
                    <xdr:col>0</xdr:col>
                    <xdr:colOff>0</xdr:colOff>
                    <xdr:row>1</xdr:row>
                    <xdr:rowOff>28575</xdr:rowOff>
                  </from>
                  <to>
                    <xdr:col>1</xdr:col>
                    <xdr:colOff>238125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2">
    <tabColor rgb="FF92D050"/>
  </sheetPr>
  <dimension ref="B1:AZ54"/>
  <sheetViews>
    <sheetView showGridLines="0" zoomScaleSheetLayoutView="40" workbookViewId="0"/>
  </sheetViews>
  <sheetFormatPr baseColWidth="10" defaultRowHeight="12" x14ac:dyDescent="0.2"/>
  <cols>
    <col min="1" max="1" width="5" style="96" customWidth="1"/>
    <col min="2" max="3" width="2.7109375" style="104" hidden="1" customWidth="1"/>
    <col min="4" max="4" width="13.7109375" style="96" hidden="1" customWidth="1"/>
    <col min="5" max="5" width="4.7109375" style="96" hidden="1" customWidth="1"/>
    <col min="6" max="6" width="13.5703125" style="112" hidden="1" customWidth="1"/>
    <col min="7" max="7" width="2.7109375" style="105" hidden="1" customWidth="1"/>
    <col min="8" max="8" width="30.5703125" style="96" hidden="1" customWidth="1"/>
    <col min="9" max="9" width="11.42578125" style="96" hidden="1" customWidth="1"/>
    <col min="10" max="10" width="7.7109375" style="112" hidden="1" customWidth="1"/>
    <col min="11" max="13" width="2.7109375" style="104" hidden="1" customWidth="1"/>
    <col min="14" max="14" width="15.28515625" style="132" hidden="1" customWidth="1"/>
    <col min="15" max="15" width="4.7109375" style="104" hidden="1" customWidth="1"/>
    <col min="16" max="16" width="13.28515625" style="96" hidden="1" customWidth="1"/>
    <col min="17" max="17" width="2.7109375" style="96" hidden="1" customWidth="1"/>
    <col min="18" max="18" width="35" style="96" hidden="1" customWidth="1"/>
    <col min="19" max="19" width="11.140625" style="96" hidden="1" customWidth="1"/>
    <col min="20" max="20" width="8.42578125" style="112" hidden="1" customWidth="1"/>
    <col min="21" max="21" width="2.7109375" style="96" hidden="1" customWidth="1"/>
    <col min="22" max="22" width="13.28515625" style="96" hidden="1" customWidth="1"/>
    <col min="23" max="23" width="2.7109375" style="96" hidden="1" customWidth="1"/>
    <col min="24" max="24" width="14.5703125" style="96" hidden="1" customWidth="1"/>
    <col min="25" max="25" width="9.85546875" style="96" hidden="1" customWidth="1"/>
    <col min="26" max="26" width="7.7109375" style="107" hidden="1" customWidth="1"/>
    <col min="27" max="29" width="2.7109375" style="104" hidden="1" customWidth="1"/>
    <col min="30" max="30" width="18.5703125" style="96" hidden="1" customWidth="1"/>
    <col min="31" max="31" width="7.140625" style="104" hidden="1" customWidth="1"/>
    <col min="32" max="33" width="2.7109375" style="104" hidden="1" customWidth="1"/>
    <col min="34" max="34" width="5.7109375" style="96" hidden="1" customWidth="1"/>
    <col min="35" max="35" width="5.7109375" style="96" customWidth="1"/>
    <col min="36" max="38" width="14.7109375" style="102" customWidth="1"/>
    <col min="39" max="44" width="14.7109375" style="96" customWidth="1"/>
    <col min="45" max="45" width="10.7109375" style="96" customWidth="1"/>
    <col min="46" max="46" width="17" style="96" bestFit="1" customWidth="1"/>
    <col min="47" max="52" width="13.7109375" style="96" customWidth="1"/>
    <col min="53" max="16384" width="11.42578125" style="96"/>
  </cols>
  <sheetData>
    <row r="1" spans="2:46" s="23" customFormat="1" ht="16.5" thickBot="1" x14ac:dyDescent="0.3">
      <c r="B1" s="90"/>
      <c r="C1" s="1108" t="s">
        <v>408</v>
      </c>
      <c r="D1" s="1108"/>
      <c r="E1" s="1108"/>
      <c r="F1" s="1108"/>
      <c r="G1" s="1108"/>
      <c r="H1" s="1108"/>
      <c r="I1" s="1108"/>
      <c r="J1" s="1108"/>
      <c r="K1" s="1108"/>
      <c r="L1" s="91"/>
      <c r="M1" s="1107" t="s">
        <v>407</v>
      </c>
      <c r="N1" s="1107"/>
      <c r="O1" s="1107"/>
      <c r="P1" s="1107"/>
      <c r="Q1" s="1107"/>
      <c r="R1" s="1107"/>
      <c r="S1" s="1107"/>
      <c r="T1" s="1107"/>
      <c r="U1" s="1107"/>
      <c r="V1" s="1107"/>
      <c r="W1" s="1107"/>
      <c r="X1" s="1107"/>
      <c r="Y1" s="1107"/>
      <c r="Z1" s="1107"/>
      <c r="AA1" s="1107"/>
      <c r="AB1" s="92"/>
      <c r="AC1" s="1102" t="s">
        <v>409</v>
      </c>
      <c r="AD1" s="1102"/>
      <c r="AE1" s="1102"/>
      <c r="AF1" s="1102"/>
      <c r="AG1" s="93"/>
      <c r="AJ1" s="294">
        <f>+AE3</f>
        <v>1</v>
      </c>
      <c r="AK1" s="294">
        <f>+AE5</f>
        <v>0.63001053677932406</v>
      </c>
      <c r="AL1" s="294">
        <f>+AE7</f>
        <v>-0.36998946322067594</v>
      </c>
      <c r="AM1" s="294">
        <f>+AE11</f>
        <v>1</v>
      </c>
      <c r="AN1" s="294">
        <f>+AE13</f>
        <v>0.71979848586061013</v>
      </c>
      <c r="AO1" s="294">
        <f>+AE15</f>
        <v>0.28020151413938987</v>
      </c>
      <c r="AP1" s="292">
        <f>+AE19</f>
        <v>1</v>
      </c>
      <c r="AQ1" s="295">
        <f>+AE21</f>
        <v>0.98800160538979753</v>
      </c>
      <c r="AR1" s="292">
        <f>+AE23</f>
        <v>-1.199839461020248E-2</v>
      </c>
      <c r="AT1" s="29"/>
    </row>
    <row r="2" spans="2:46" ht="15" customHeight="1" x14ac:dyDescent="0.2">
      <c r="B2" s="94"/>
      <c r="C2" s="95"/>
      <c r="E2" s="97"/>
      <c r="F2" s="97"/>
      <c r="G2" s="97"/>
      <c r="H2" s="97"/>
      <c r="I2" s="97"/>
      <c r="J2" s="98"/>
      <c r="K2" s="95"/>
      <c r="L2" s="94"/>
      <c r="M2" s="95"/>
      <c r="N2" s="99"/>
      <c r="O2" s="95"/>
      <c r="P2" s="97"/>
      <c r="Q2" s="97"/>
      <c r="R2" s="97"/>
      <c r="S2" s="100"/>
      <c r="T2" s="97"/>
      <c r="U2" s="97"/>
      <c r="V2" s="101"/>
      <c r="W2" s="97"/>
      <c r="X2" s="97"/>
      <c r="Y2" s="97"/>
      <c r="Z2" s="97"/>
      <c r="AA2" s="95"/>
      <c r="AB2" s="94"/>
      <c r="AC2" s="95"/>
      <c r="AF2" s="95"/>
      <c r="AG2" s="94"/>
      <c r="AJ2" s="312" t="s">
        <v>330</v>
      </c>
      <c r="AK2" s="313" t="s">
        <v>345</v>
      </c>
      <c r="AL2" s="314" t="str">
        <f>+AD7</f>
        <v>DEFICIT</v>
      </c>
      <c r="AM2" s="312" t="s">
        <v>326</v>
      </c>
      <c r="AN2" s="313" t="s">
        <v>332</v>
      </c>
      <c r="AO2" s="314" t="str">
        <f>+AD15</f>
        <v>AHORRO</v>
      </c>
      <c r="AP2" s="312" t="s">
        <v>327</v>
      </c>
      <c r="AQ2" s="313" t="s">
        <v>329</v>
      </c>
      <c r="AR2" s="314" t="s">
        <v>328</v>
      </c>
      <c r="AT2" s="298"/>
    </row>
    <row r="3" spans="2:46" ht="15" customHeight="1" thickBot="1" x14ac:dyDescent="0.25">
      <c r="B3" s="103"/>
      <c r="D3" s="1111" t="s">
        <v>201</v>
      </c>
      <c r="F3" s="96"/>
      <c r="H3" s="96" t="str">
        <f>+"INGRESO "&amp;+PLAN!B5</f>
        <v>INGRESO CUOTA (1000 SOCIOS)</v>
      </c>
      <c r="I3" s="100">
        <f>+PLAN!E5</f>
        <v>8760000</v>
      </c>
      <c r="J3" s="98">
        <f>+IF($D$5=0,0,+I3/$D$5)</f>
        <v>0.87077534791252487</v>
      </c>
      <c r="L3" s="103"/>
      <c r="M3" s="106"/>
      <c r="N3" s="1109" t="s">
        <v>406</v>
      </c>
      <c r="P3" s="252"/>
      <c r="R3" s="96" t="s">
        <v>197</v>
      </c>
      <c r="S3" s="100">
        <f>+CARTOLA!Q11</f>
        <v>5144071</v>
      </c>
      <c r="T3" s="98">
        <f>++IF($N$5=0,0,+S3/$N$5)</f>
        <v>0.81163573584082815</v>
      </c>
      <c r="Y3" s="100"/>
      <c r="AB3" s="103"/>
      <c r="AD3" s="280" t="s">
        <v>330</v>
      </c>
      <c r="AE3" s="1105">
        <v>1</v>
      </c>
      <c r="AG3" s="103"/>
      <c r="AJ3" s="315">
        <f>+AD4</f>
        <v>10060000</v>
      </c>
      <c r="AK3" s="316">
        <f>+AD6</f>
        <v>6337906</v>
      </c>
      <c r="AL3" s="317">
        <f>+AD8</f>
        <v>-3722094</v>
      </c>
      <c r="AM3" s="315">
        <f>+AD12</f>
        <v>8982000</v>
      </c>
      <c r="AN3" s="316">
        <f>+AD14</f>
        <v>6465230</v>
      </c>
      <c r="AO3" s="317">
        <f>+AD16</f>
        <v>2516770</v>
      </c>
      <c r="AP3" s="315">
        <f>+AD20</f>
        <v>10611753</v>
      </c>
      <c r="AQ3" s="316">
        <f>+AD22</f>
        <v>10484429</v>
      </c>
      <c r="AR3" s="317">
        <f>+AD24</f>
        <v>-127324</v>
      </c>
      <c r="AS3" s="277"/>
      <c r="AT3" s="298"/>
    </row>
    <row r="4" spans="2:46" ht="15" customHeight="1" x14ac:dyDescent="0.2">
      <c r="B4" s="103"/>
      <c r="D4" s="1111"/>
      <c r="F4" s="96"/>
      <c r="H4" s="96" t="str">
        <f>+"INGRESO "&amp;+PLAN!B6</f>
        <v>INGRESO 2 PLENARIAS 25 DIRECTORES</v>
      </c>
      <c r="I4" s="100">
        <f>+PLAN!E6</f>
        <v>1000000</v>
      </c>
      <c r="J4" s="98">
        <f>+IF($D$5=0,0,+I4/$D$5)</f>
        <v>9.9403578528827044E-2</v>
      </c>
      <c r="L4" s="103"/>
      <c r="M4" s="106"/>
      <c r="N4" s="1110"/>
      <c r="P4" s="252"/>
      <c r="R4" s="96" t="str">
        <f>+H4</f>
        <v>INGRESO 2 PLENARIAS 25 DIRECTORES</v>
      </c>
      <c r="S4" s="100">
        <f>+CARTOLA!Q22</f>
        <v>781000</v>
      </c>
      <c r="T4" s="98">
        <f>++IF($N$5=0,0,+S4/$N$5)</f>
        <v>0.12322681970985369</v>
      </c>
      <c r="Y4" s="100"/>
      <c r="AB4" s="103"/>
      <c r="AD4" s="281">
        <f>+PLAN!E9</f>
        <v>10060000</v>
      </c>
      <c r="AE4" s="1106"/>
      <c r="AG4" s="103"/>
      <c r="AT4" s="299"/>
    </row>
    <row r="5" spans="2:46" ht="15" x14ac:dyDescent="0.2">
      <c r="B5" s="103"/>
      <c r="D5" s="108">
        <f>+PLAN!E9</f>
        <v>10060000</v>
      </c>
      <c r="F5" s="96"/>
      <c r="H5" s="96" t="s">
        <v>194</v>
      </c>
      <c r="I5" s="100">
        <f>+PLAN!E7</f>
        <v>300000</v>
      </c>
      <c r="J5" s="98">
        <f>+IF($D$5=0,0,+I5/$D$5)</f>
        <v>2.982107355864811E-2</v>
      </c>
      <c r="L5" s="103"/>
      <c r="M5" s="106"/>
      <c r="N5" s="109">
        <f>+CARTOLA!Q35</f>
        <v>6337906</v>
      </c>
      <c r="P5" s="364"/>
      <c r="R5" s="96" t="str">
        <f>+H5</f>
        <v>INGRESO APORTE $ 1000 DIRECTORES</v>
      </c>
      <c r="S5" s="100">
        <f>+CARTOLA!Q32</f>
        <v>101000</v>
      </c>
      <c r="T5" s="98">
        <f>++IF($N$5=0,0,+S5/$N$5)</f>
        <v>1.5935862728162897E-2</v>
      </c>
      <c r="Y5" s="100"/>
      <c r="AB5" s="103"/>
      <c r="AD5" s="280" t="s">
        <v>331</v>
      </c>
      <c r="AE5" s="1103">
        <f>+AD6/AD4</f>
        <v>0.63001053677932406</v>
      </c>
      <c r="AG5" s="103"/>
    </row>
    <row r="6" spans="2:46" ht="15" customHeight="1" x14ac:dyDescent="0.2">
      <c r="B6" s="103"/>
      <c r="D6" s="110">
        <f>+IF(D22=0,"-",+D5/$D$22-1)</f>
        <v>0.12001781340458706</v>
      </c>
      <c r="F6" s="96"/>
      <c r="H6" s="96" t="str">
        <f>+PLAN!B8</f>
        <v>INGRESO x DEMANDAS x APLICACIÓN</v>
      </c>
      <c r="I6" s="100">
        <f>+PLAN!E8</f>
        <v>0</v>
      </c>
      <c r="J6" s="98">
        <f>+IF($D$5=0,0,+I6/$D$5)</f>
        <v>0</v>
      </c>
      <c r="L6" s="103"/>
      <c r="N6" s="123">
        <f>+IF($D$5=0,0,+N5/D5)</f>
        <v>0.63001053677932406</v>
      </c>
      <c r="P6" s="252"/>
      <c r="R6" s="96" t="str">
        <f>+H6</f>
        <v>INGRESO x DEMANDAS x APLICACIÓN</v>
      </c>
      <c r="S6" s="100">
        <f>+CARTOLA!P34</f>
        <v>0</v>
      </c>
      <c r="T6" s="98">
        <f>++IF($N$5=0,0,+S6/$N$5)</f>
        <v>0</v>
      </c>
      <c r="V6" s="102"/>
      <c r="Y6" s="100"/>
      <c r="AB6" s="103"/>
      <c r="AD6" s="281">
        <f>+CARTOLA!Q35</f>
        <v>6337906</v>
      </c>
      <c r="AE6" s="1104"/>
      <c r="AG6" s="103"/>
      <c r="AT6" s="298"/>
    </row>
    <row r="7" spans="2:46" ht="15" x14ac:dyDescent="0.2">
      <c r="B7" s="103"/>
      <c r="L7" s="103"/>
      <c r="N7" s="96"/>
      <c r="P7" s="251"/>
      <c r="R7" s="96" t="str">
        <f>+CARTOLA!B33</f>
        <v>Otros Ingresos</v>
      </c>
      <c r="S7" s="100">
        <f>+CARTOLA!P33</f>
        <v>311835</v>
      </c>
      <c r="T7" s="98">
        <f>++IF($N$5=0,0,+S7/$N$5)</f>
        <v>4.920158172115522E-2</v>
      </c>
      <c r="V7" s="102"/>
      <c r="X7" s="56"/>
      <c r="AB7" s="103"/>
      <c r="AD7" s="280" t="str">
        <f>+IF(AD6&lt;AD4,"DEFICIT","EXCEDENTE")</f>
        <v>DEFICIT</v>
      </c>
      <c r="AE7" s="1103">
        <f>+AD8/AD4</f>
        <v>-0.36998946322067594</v>
      </c>
      <c r="AG7" s="103"/>
      <c r="AT7" s="300"/>
    </row>
    <row r="8" spans="2:46" ht="15" x14ac:dyDescent="0.2">
      <c r="B8" s="103"/>
      <c r="J8" s="98"/>
      <c r="L8" s="103"/>
      <c r="N8" s="96"/>
      <c r="R8" s="113"/>
      <c r="S8" s="100"/>
      <c r="T8" s="98"/>
      <c r="V8" s="102"/>
      <c r="X8" s="105" t="s">
        <v>125</v>
      </c>
      <c r="Y8" s="100">
        <f>+REUNION!F1</f>
        <v>248791</v>
      </c>
      <c r="Z8" s="98">
        <f>+IF($V$13=0,0,+Y8/$V$13)</f>
        <v>0.22650103331178703</v>
      </c>
      <c r="AB8" s="103"/>
      <c r="AD8" s="281">
        <f>+AD6-AD4</f>
        <v>-3722094</v>
      </c>
      <c r="AE8" s="1104"/>
      <c r="AG8" s="103"/>
    </row>
    <row r="9" spans="2:46" x14ac:dyDescent="0.2">
      <c r="B9" s="103"/>
      <c r="F9" s="114"/>
      <c r="H9" s="96" t="str">
        <f>+PLAN!B13</f>
        <v>ASAMBLEAS PLENARIAS ZOOM</v>
      </c>
      <c r="I9" s="100">
        <f>+PLAN!H13</f>
        <v>0</v>
      </c>
      <c r="J9" s="98">
        <f>+IF($F$13=0,0,+I9/$F$13)</f>
        <v>0</v>
      </c>
      <c r="L9" s="103"/>
      <c r="N9" s="96"/>
      <c r="R9" s="115" t="str">
        <f>+H9</f>
        <v>ASAMBLEAS PLENARIAS ZOOM</v>
      </c>
      <c r="S9" s="100">
        <f>+REUNION!V3</f>
        <v>0</v>
      </c>
      <c r="T9" s="98">
        <f>+IF($P$13=0,0,+S9/$P$13)</f>
        <v>0</v>
      </c>
      <c r="X9" s="105" t="s">
        <v>126</v>
      </c>
      <c r="Y9" s="100">
        <f>+REUNION!G1</f>
        <v>200874</v>
      </c>
      <c r="Z9" s="98">
        <f>+IF($V$13=0,0,+Y9/$V$13)</f>
        <v>0.18287706776158266</v>
      </c>
      <c r="AB9" s="103"/>
      <c r="AD9" s="302"/>
      <c r="AE9" s="276"/>
      <c r="AG9" s="103"/>
    </row>
    <row r="10" spans="2:46" x14ac:dyDescent="0.2">
      <c r="B10" s="103"/>
      <c r="H10" s="96" t="str">
        <f>+PLAN!B14</f>
        <v>REUNIONES DIRECTORIO ZOOM (2H)</v>
      </c>
      <c r="I10" s="100">
        <f>+PLAN!H14</f>
        <v>540000</v>
      </c>
      <c r="J10" s="98">
        <f t="shared" ref="J10:J16" si="0">+IF($F$13=0,0,+I10/$F$13)</f>
        <v>0.38571428571428573</v>
      </c>
      <c r="L10" s="103"/>
      <c r="N10" s="96"/>
      <c r="P10" s="116" t="s">
        <v>180</v>
      </c>
      <c r="R10" s="115" t="str">
        <f t="shared" ref="R10:R16" si="1">+H10</f>
        <v>REUNIONES DIRECTORIO ZOOM (2H)</v>
      </c>
      <c r="S10" s="100">
        <f>+REUNION!V6</f>
        <v>314160</v>
      </c>
      <c r="T10" s="98">
        <f t="shared" ref="T10:T16" si="2">+IF($P$13=0,0,+S10/$P$13)</f>
        <v>0.2860134193971286</v>
      </c>
      <c r="V10" s="1094" t="s">
        <v>196</v>
      </c>
      <c r="X10" s="105" t="s">
        <v>127</v>
      </c>
      <c r="Y10" s="100">
        <f>+REUNION!H1</f>
        <v>130874</v>
      </c>
      <c r="Z10" s="98">
        <f>+IF($V$13=0,0,+Y10/$V$13)</f>
        <v>0.11914858750375543</v>
      </c>
      <c r="AB10" s="103"/>
      <c r="AG10" s="103"/>
    </row>
    <row r="11" spans="2:46" ht="15" x14ac:dyDescent="0.2">
      <c r="B11" s="103"/>
      <c r="D11" s="1099" t="s">
        <v>200</v>
      </c>
      <c r="F11" s="1094" t="str">
        <f>+P11</f>
        <v xml:space="preserve">REMUNERACION DIRECTORES </v>
      </c>
      <c r="H11" s="96" t="str">
        <f>+PLAN!B15</f>
        <v>REUNION EJECUTIVO PRESENCIAL</v>
      </c>
      <c r="I11" s="100">
        <f>+PLAN!H15</f>
        <v>160000</v>
      </c>
      <c r="J11" s="98">
        <f t="shared" si="0"/>
        <v>0.11428571428571428</v>
      </c>
      <c r="L11" s="103"/>
      <c r="M11" s="106"/>
      <c r="N11" s="1097" t="s">
        <v>405</v>
      </c>
      <c r="P11" s="1094" t="str">
        <f>+PLAN!B11</f>
        <v xml:space="preserve">REMUNERACION DIRECTORES </v>
      </c>
      <c r="R11" s="115" t="str">
        <f t="shared" si="1"/>
        <v>REUNION EJECUTIVO PRESENCIAL</v>
      </c>
      <c r="S11" s="100">
        <f>+REUNION!V5</f>
        <v>340000</v>
      </c>
      <c r="T11" s="98">
        <f t="shared" si="2"/>
        <v>0.30953833268087511</v>
      </c>
      <c r="V11" s="1095"/>
      <c r="X11" s="105" t="s">
        <v>224</v>
      </c>
      <c r="Y11" s="100">
        <f>+REUNION!I1</f>
        <v>73374</v>
      </c>
      <c r="Z11" s="98">
        <f t="shared" ref="Z11:Z16" si="3">+IF($V$13=0,0,+Y11/$V$13)</f>
        <v>6.6800193006254491E-2</v>
      </c>
      <c r="AB11" s="103"/>
      <c r="AD11" s="284" t="s">
        <v>326</v>
      </c>
      <c r="AE11" s="1112">
        <v>1</v>
      </c>
      <c r="AG11" s="103"/>
    </row>
    <row r="12" spans="2:46" ht="15" x14ac:dyDescent="0.2">
      <c r="B12" s="103"/>
      <c r="D12" s="1099"/>
      <c r="F12" s="1095"/>
      <c r="H12" s="96" t="str">
        <f>+PLAN!B16</f>
        <v>REUNIONES ZOOM (2 HR)</v>
      </c>
      <c r="I12" s="100">
        <f>+PLAN!H16</f>
        <v>540000</v>
      </c>
      <c r="J12" s="98">
        <f t="shared" si="0"/>
        <v>0.38571428571428573</v>
      </c>
      <c r="L12" s="103"/>
      <c r="M12" s="106"/>
      <c r="N12" s="1098"/>
      <c r="P12" s="1095"/>
      <c r="R12" s="115" t="str">
        <f t="shared" si="1"/>
        <v>REUNIONES ZOOM (2 HR)</v>
      </c>
      <c r="S12" s="100">
        <f>+REUNION!V8</f>
        <v>204250</v>
      </c>
      <c r="T12" s="98">
        <f t="shared" si="2"/>
        <v>0.18595060132373156</v>
      </c>
      <c r="V12" s="1096"/>
      <c r="X12" s="105" t="s">
        <v>129</v>
      </c>
      <c r="Y12" s="100">
        <f>+REUNION!J1</f>
        <v>117124</v>
      </c>
      <c r="Z12" s="98">
        <f t="shared" si="3"/>
        <v>0.10663049316739651</v>
      </c>
      <c r="AB12" s="103"/>
      <c r="AD12" s="285">
        <f>+D22</f>
        <v>8982000</v>
      </c>
      <c r="AE12" s="1113"/>
      <c r="AG12" s="103"/>
    </row>
    <row r="13" spans="2:46" ht="15" x14ac:dyDescent="0.2">
      <c r="B13" s="103"/>
      <c r="D13" s="118">
        <f>+D5-D22</f>
        <v>1078000</v>
      </c>
      <c r="F13" s="119">
        <f>+PLAN!H21</f>
        <v>1400000</v>
      </c>
      <c r="H13" s="96" t="str">
        <f>+PLAN!B17</f>
        <v>REUNIONES ESPECIALES</v>
      </c>
      <c r="I13" s="100">
        <f>+PLAN!H17</f>
        <v>40000</v>
      </c>
      <c r="J13" s="98">
        <f t="shared" si="0"/>
        <v>2.8571428571428571E-2</v>
      </c>
      <c r="L13" s="103"/>
      <c r="M13" s="106"/>
      <c r="N13" s="120">
        <f>+N5-N22</f>
        <v>14276</v>
      </c>
      <c r="P13" s="119">
        <f>SUM(S9:S16)</f>
        <v>1098410</v>
      </c>
      <c r="R13" s="115" t="str">
        <f t="shared" si="1"/>
        <v>REUNIONES ESPECIALES</v>
      </c>
      <c r="S13" s="100">
        <f>+REUNION!V7</f>
        <v>140000</v>
      </c>
      <c r="T13" s="98">
        <f t="shared" si="2"/>
        <v>0.12745696051565444</v>
      </c>
      <c r="V13" s="119">
        <f>SUM(Y8:Y16)</f>
        <v>1098410</v>
      </c>
      <c r="X13" s="105" t="s">
        <v>174</v>
      </c>
      <c r="Y13" s="100">
        <f>+REUNION!K1</f>
        <v>200874</v>
      </c>
      <c r="Z13" s="98">
        <f t="shared" si="3"/>
        <v>0.18287706776158266</v>
      </c>
      <c r="AB13" s="103"/>
      <c r="AD13" s="284" t="s">
        <v>332</v>
      </c>
      <c r="AE13" s="1112">
        <f>+AD14/AD12</f>
        <v>0.71979848586061013</v>
      </c>
      <c r="AG13" s="103"/>
    </row>
    <row r="14" spans="2:46" ht="15" x14ac:dyDescent="0.2">
      <c r="B14" s="103"/>
      <c r="D14" s="121" t="str">
        <f>+IF(D13=0,"-",+IF(D13&gt;0,"UTILIDAD","DEFICIT"))</f>
        <v>UTILIDAD</v>
      </c>
      <c r="F14" s="111">
        <f>+IF($D$22=0,"-",+F13/$D$22)</f>
        <v>0.1558672901358272</v>
      </c>
      <c r="H14" s="96" t="str">
        <f>+PLAN!B18</f>
        <v>PLENARIAS DIRECTOR S/SB</v>
      </c>
      <c r="I14" s="100">
        <f>+PLAN!H18</f>
        <v>120000</v>
      </c>
      <c r="J14" s="98">
        <f t="shared" si="0"/>
        <v>8.5714285714285715E-2</v>
      </c>
      <c r="L14" s="103"/>
      <c r="M14" s="106"/>
      <c r="N14" s="122" t="str">
        <f>+IF(N13=0,"-",+IF(N13&gt;0,"UTILIDAD","DEFICIT"))</f>
        <v>UTILIDAD</v>
      </c>
      <c r="P14" s="123">
        <f>+IF(F13=0,0,+P13/F13)</f>
        <v>0.78457857142857146</v>
      </c>
      <c r="R14" s="115" t="str">
        <f t="shared" si="1"/>
        <v>PLENARIAS DIRECTOR S/SB</v>
      </c>
      <c r="S14" s="100">
        <f>+REUNION!V4</f>
        <v>100000</v>
      </c>
      <c r="T14" s="98">
        <f t="shared" si="2"/>
        <v>9.1040686082610317E-2</v>
      </c>
      <c r="V14" s="111">
        <f>+IF(P13=0,0,+V13/P13)</f>
        <v>1</v>
      </c>
      <c r="X14" s="105" t="s">
        <v>130</v>
      </c>
      <c r="Y14" s="100">
        <f>+REUNION!L1</f>
        <v>25000</v>
      </c>
      <c r="Z14" s="98">
        <f t="shared" si="3"/>
        <v>2.2760171520652579E-2</v>
      </c>
      <c r="AB14" s="103"/>
      <c r="AD14" s="285">
        <f>-CARTOLA!Q70</f>
        <v>6465230</v>
      </c>
      <c r="AE14" s="1113"/>
      <c r="AG14" s="103"/>
    </row>
    <row r="15" spans="2:46" ht="15" x14ac:dyDescent="0.2">
      <c r="B15" s="103"/>
      <c r="H15" s="124" t="str">
        <f>+PLAN!B19</f>
        <v>VISITAS ZONA NORTE ZOOM</v>
      </c>
      <c r="I15" s="125">
        <f>+PLAN!H19</f>
        <v>0</v>
      </c>
      <c r="J15" s="126">
        <f t="shared" si="0"/>
        <v>0</v>
      </c>
      <c r="L15" s="103"/>
      <c r="N15" s="96"/>
      <c r="P15" s="274"/>
      <c r="R15" s="127" t="str">
        <f t="shared" si="1"/>
        <v>VISITAS ZONA NORTE ZOOM</v>
      </c>
      <c r="S15" s="125">
        <f>+REUNION!V9</f>
        <v>0</v>
      </c>
      <c r="T15" s="126">
        <f t="shared" si="2"/>
        <v>0</v>
      </c>
      <c r="X15" s="105" t="s">
        <v>131</v>
      </c>
      <c r="Y15" s="100">
        <f>+REUNION!M1</f>
        <v>0</v>
      </c>
      <c r="Z15" s="98">
        <f t="shared" si="3"/>
        <v>0</v>
      </c>
      <c r="AB15" s="103"/>
      <c r="AD15" s="284" t="str">
        <f>+IF(AD14&lt;AD12,"AHORRO","EXCESO")</f>
        <v>AHORRO</v>
      </c>
      <c r="AE15" s="1112">
        <f>+AD16/AD12</f>
        <v>0.28020151413938987</v>
      </c>
      <c r="AG15" s="103"/>
    </row>
    <row r="16" spans="2:46" ht="15" x14ac:dyDescent="0.2">
      <c r="B16" s="103"/>
      <c r="H16" s="124" t="str">
        <f>+PLAN!B20</f>
        <v xml:space="preserve">VISITAS ZONA SUR ZOOM </v>
      </c>
      <c r="I16" s="125">
        <f>+PLAN!H20</f>
        <v>0</v>
      </c>
      <c r="J16" s="126">
        <f t="shared" si="0"/>
        <v>0</v>
      </c>
      <c r="L16" s="103"/>
      <c r="N16" s="96"/>
      <c r="P16" s="275"/>
      <c r="R16" s="127" t="str">
        <f t="shared" si="1"/>
        <v xml:space="preserve">VISITAS ZONA SUR ZOOM </v>
      </c>
      <c r="S16" s="125">
        <f>+REUNION!V10</f>
        <v>0</v>
      </c>
      <c r="T16" s="126">
        <f t="shared" si="2"/>
        <v>0</v>
      </c>
      <c r="X16" s="105" t="s">
        <v>383</v>
      </c>
      <c r="Y16" s="100">
        <f>+REUNION!N1</f>
        <v>101499</v>
      </c>
      <c r="Z16" s="98">
        <f t="shared" si="3"/>
        <v>9.2405385966988648E-2</v>
      </c>
      <c r="AB16" s="103"/>
      <c r="AD16" s="285">
        <f>+AD12-AD14</f>
        <v>2516770</v>
      </c>
      <c r="AE16" s="1113"/>
      <c r="AG16" s="103"/>
    </row>
    <row r="17" spans="2:52" x14ac:dyDescent="0.2">
      <c r="B17" s="103"/>
      <c r="L17" s="103"/>
      <c r="N17" s="96"/>
      <c r="S17" s="100"/>
      <c r="Y17" s="100"/>
      <c r="AB17" s="103"/>
      <c r="AD17" s="117"/>
      <c r="AG17" s="103"/>
      <c r="AJ17" s="290"/>
    </row>
    <row r="18" spans="2:52" x14ac:dyDescent="0.2">
      <c r="B18" s="103"/>
      <c r="J18" s="98"/>
      <c r="L18" s="103"/>
      <c r="N18" s="96"/>
      <c r="P18" s="115"/>
      <c r="T18" s="98"/>
      <c r="X18" s="105" t="s">
        <v>61</v>
      </c>
      <c r="Y18" s="100">
        <f>+VIATICOS!F$10</f>
        <v>365160</v>
      </c>
      <c r="Z18" s="98">
        <f t="shared" ref="Z18:Z23" si="4">+IF($V$22=0,0,+Y18/$V$22)</f>
        <v>0.38568092497515294</v>
      </c>
      <c r="AB18" s="103"/>
      <c r="AG18" s="103"/>
      <c r="AZ18" s="277"/>
    </row>
    <row r="19" spans="2:52" ht="15" x14ac:dyDescent="0.2">
      <c r="B19" s="103"/>
      <c r="H19" s="96" t="str">
        <f>+PLAN!B25</f>
        <v>REUNION EJECUTIVO PRESENCIAL</v>
      </c>
      <c r="I19" s="100">
        <f>+PLAN!H25</f>
        <v>960000</v>
      </c>
      <c r="J19" s="98">
        <f>+IF($F$23=0,0,+I19/$F$23)</f>
        <v>0.77419354838709675</v>
      </c>
      <c r="L19" s="103"/>
      <c r="N19" s="96"/>
      <c r="P19" s="116" t="s">
        <v>180</v>
      </c>
      <c r="R19" s="115" t="str">
        <f>+H19</f>
        <v>REUNION EJECUTIVO PRESENCIAL</v>
      </c>
      <c r="S19" s="100">
        <f>+VIATICOS!L4</f>
        <v>882256</v>
      </c>
      <c r="T19" s="98">
        <f>+IF($P$22=0,0,+S19/$P$22)</f>
        <v>0.93183620918194365</v>
      </c>
      <c r="V19" s="1094" t="s">
        <v>195</v>
      </c>
      <c r="X19" s="105" t="s">
        <v>62</v>
      </c>
      <c r="Y19" s="100">
        <f>+VIATICOS!G$10</f>
        <v>225110</v>
      </c>
      <c r="Z19" s="98">
        <f t="shared" si="4"/>
        <v>0.23776052421173371</v>
      </c>
      <c r="AB19" s="103"/>
      <c r="AD19" s="282" t="s">
        <v>364</v>
      </c>
      <c r="AE19" s="1118">
        <v>1</v>
      </c>
      <c r="AG19" s="103"/>
    </row>
    <row r="20" spans="2:52" ht="15" x14ac:dyDescent="0.2">
      <c r="B20" s="103"/>
      <c r="D20" s="1120" t="s">
        <v>198</v>
      </c>
      <c r="F20" s="1094" t="str">
        <f>+P20</f>
        <v xml:space="preserve">VIATICOS DE DIRECTORES </v>
      </c>
      <c r="H20" s="96" t="str">
        <f>+PLAN!B26</f>
        <v>REUNIONES ESPECIALES</v>
      </c>
      <c r="I20" s="100">
        <f>+PLAN!H26</f>
        <v>160000</v>
      </c>
      <c r="J20" s="98">
        <f>+IF($F$23=0,0,+I20/$F$23)</f>
        <v>0.12903225806451613</v>
      </c>
      <c r="L20" s="103"/>
      <c r="M20" s="106"/>
      <c r="N20" s="1100" t="s">
        <v>404</v>
      </c>
      <c r="P20" s="1094" t="str">
        <f>+PLAN!B23</f>
        <v xml:space="preserve">VIATICOS DE DIRECTORES </v>
      </c>
      <c r="R20" s="115" t="str">
        <f>+H20</f>
        <v>REUNIONES ESPECIALES</v>
      </c>
      <c r="S20" s="100">
        <f>+VIATICOS!L6</f>
        <v>64537</v>
      </c>
      <c r="T20" s="98">
        <f>+IF($P$22=0,0,+S20/$P$22)</f>
        <v>6.8163790818056319E-2</v>
      </c>
      <c r="V20" s="1095"/>
      <c r="X20" s="105" t="s">
        <v>63</v>
      </c>
      <c r="Y20" s="100">
        <f>+VIATICOS!H$10</f>
        <v>20000</v>
      </c>
      <c r="Z20" s="98">
        <f t="shared" si="4"/>
        <v>2.1123941558503286E-2</v>
      </c>
      <c r="AB20" s="103"/>
      <c r="AD20" s="283">
        <f>+CARTOLA!E1</f>
        <v>10611753</v>
      </c>
      <c r="AE20" s="1119"/>
      <c r="AG20" s="103"/>
    </row>
    <row r="21" spans="2:52" ht="15" x14ac:dyDescent="0.2">
      <c r="B21" s="103"/>
      <c r="D21" s="1120"/>
      <c r="F21" s="1095"/>
      <c r="H21" s="96" t="str">
        <f>+PLAN!B27</f>
        <v>PLENARIAS DIRECTOR S/SB</v>
      </c>
      <c r="I21" s="100">
        <f>+PLAN!H27</f>
        <v>120000</v>
      </c>
      <c r="J21" s="98">
        <f>+IF($F$23=0,0,+I21/$F$23)</f>
        <v>9.6774193548387094E-2</v>
      </c>
      <c r="L21" s="103"/>
      <c r="M21" s="106"/>
      <c r="N21" s="1101"/>
      <c r="P21" s="1095"/>
      <c r="R21" s="115" t="str">
        <f>+H21</f>
        <v>PLENARIAS DIRECTOR S/SB</v>
      </c>
      <c r="S21" s="100">
        <f>+VIATICOS!L3</f>
        <v>0</v>
      </c>
      <c r="T21" s="98">
        <f>+IF($P$22=0,0,+S21/$P$22)</f>
        <v>0</v>
      </c>
      <c r="V21" s="1096"/>
      <c r="X21" s="105" t="s">
        <v>134</v>
      </c>
      <c r="Y21" s="100">
        <f>+VIATICOS!I$10</f>
        <v>39027</v>
      </c>
      <c r="Z21" s="98">
        <f t="shared" si="4"/>
        <v>4.1220203360185385E-2</v>
      </c>
      <c r="AB21" s="103"/>
      <c r="AD21" s="286" t="s">
        <v>329</v>
      </c>
      <c r="AE21" s="1116">
        <f>+AD22/AD20</f>
        <v>0.98800160538979753</v>
      </c>
      <c r="AG21" s="103"/>
    </row>
    <row r="22" spans="2:52" ht="15" x14ac:dyDescent="0.2">
      <c r="B22" s="103"/>
      <c r="D22" s="128">
        <f>+PLAN!C71</f>
        <v>8982000</v>
      </c>
      <c r="F22" s="1095"/>
      <c r="H22" s="96" t="str">
        <f>+PLAN!B28</f>
        <v>VISITAS ZONA NORTE ZOOM</v>
      </c>
      <c r="I22" s="100">
        <f>+PLAN!H28</f>
        <v>0</v>
      </c>
      <c r="J22" s="98">
        <f>+IF($F$23=0,0,+I22/$F$23)</f>
        <v>0</v>
      </c>
      <c r="L22" s="103"/>
      <c r="N22" s="129">
        <f>+(P13+P22+P29+P39+P50+N51+P53)</f>
        <v>6323630</v>
      </c>
      <c r="P22" s="119">
        <f>SUM(S19:S23)</f>
        <v>946793</v>
      </c>
      <c r="R22" s="127" t="str">
        <f>+H22</f>
        <v>VISITAS ZONA NORTE ZOOM</v>
      </c>
      <c r="S22" s="125">
        <f>+VIATICOS!L8</f>
        <v>0</v>
      </c>
      <c r="T22" s="126">
        <f>+IF($P$22=0,0,+S22/$P$22)</f>
        <v>0</v>
      </c>
      <c r="V22" s="119">
        <f>SUM(Y18:Y23)</f>
        <v>946793</v>
      </c>
      <c r="X22" s="105" t="s">
        <v>65</v>
      </c>
      <c r="Y22" s="100">
        <f>+VIATICOS!J$10</f>
        <v>600</v>
      </c>
      <c r="Z22" s="98">
        <f t="shared" si="4"/>
        <v>6.3371824675509858E-4</v>
      </c>
      <c r="AB22" s="103"/>
      <c r="AD22" s="287">
        <f>+AD20+AD24</f>
        <v>10484429</v>
      </c>
      <c r="AE22" s="1117"/>
      <c r="AG22" s="103"/>
    </row>
    <row r="23" spans="2:52" ht="15" x14ac:dyDescent="0.2">
      <c r="B23" s="103"/>
      <c r="F23" s="119">
        <f>+PLAN!H30</f>
        <v>1240000</v>
      </c>
      <c r="H23" s="96" t="str">
        <f>+PLAN!B29</f>
        <v xml:space="preserve">VISITAS ZONA SUR ZOOM </v>
      </c>
      <c r="I23" s="100">
        <f>+PLAN!H29</f>
        <v>0</v>
      </c>
      <c r="J23" s="98">
        <f>+IF($F$23=0,0,+I23/$F$23)</f>
        <v>0</v>
      </c>
      <c r="L23" s="103"/>
      <c r="N23" s="123">
        <f>+IF($D$5=0,0,+N22/D22)</f>
        <v>0.70403362280115789</v>
      </c>
      <c r="P23" s="123">
        <f>+IF(F23=0,0,+P22/F23)</f>
        <v>0.76354274193548388</v>
      </c>
      <c r="R23" s="127" t="str">
        <f>+H23</f>
        <v xml:space="preserve">VISITAS ZONA SUR ZOOM </v>
      </c>
      <c r="S23" s="125">
        <f>+VIATICOS!L9</f>
        <v>0</v>
      </c>
      <c r="T23" s="126">
        <f>+IF($P$22=0,0,+S23/$P$22)</f>
        <v>0</v>
      </c>
      <c r="V23" s="111">
        <f>IF(P22=0,0,+V22/$P$22)</f>
        <v>1</v>
      </c>
      <c r="X23" s="105" t="s">
        <v>67</v>
      </c>
      <c r="Y23" s="100">
        <f>+VIATICOS!K$10</f>
        <v>296896</v>
      </c>
      <c r="Z23" s="98">
        <f t="shared" si="4"/>
        <v>0.31358068764766955</v>
      </c>
      <c r="AB23" s="103"/>
      <c r="AD23" s="288" t="s">
        <v>328</v>
      </c>
      <c r="AE23" s="1114">
        <f>+AD24/AD20</f>
        <v>-1.199839461020248E-2</v>
      </c>
      <c r="AG23" s="103"/>
    </row>
    <row r="24" spans="2:52" ht="15" x14ac:dyDescent="0.2">
      <c r="B24" s="103"/>
      <c r="F24" s="111">
        <f>+IF($D$22=0,"-",+F23/$D$22)</f>
        <v>0.13805388554887552</v>
      </c>
      <c r="L24" s="103"/>
      <c r="N24" s="117"/>
      <c r="P24" s="274"/>
      <c r="AB24" s="103"/>
      <c r="AD24" s="289">
        <f>+AD6-AD14</f>
        <v>-127324</v>
      </c>
      <c r="AE24" s="1115"/>
      <c r="AG24" s="103"/>
    </row>
    <row r="25" spans="2:52" ht="15" customHeight="1" x14ac:dyDescent="0.2">
      <c r="B25" s="103"/>
      <c r="F25" s="111"/>
      <c r="L25" s="103"/>
      <c r="N25" s="117"/>
      <c r="AB25" s="103"/>
      <c r="AG25" s="103"/>
    </row>
    <row r="26" spans="2:52" ht="15" customHeight="1" x14ac:dyDescent="0.2">
      <c r="B26" s="103"/>
      <c r="J26" s="98"/>
      <c r="L26" s="103"/>
      <c r="N26" s="117"/>
      <c r="T26" s="98"/>
      <c r="AB26" s="103"/>
      <c r="AG26" s="103"/>
    </row>
    <row r="27" spans="2:52" ht="15" customHeight="1" x14ac:dyDescent="0.2">
      <c r="B27" s="103"/>
      <c r="F27" s="1094" t="str">
        <f>+P27</f>
        <v>COSTO PLENARIAS</v>
      </c>
      <c r="H27" s="96" t="str">
        <f>+PLAN!D33&amp;" PLENARIAS"</f>
        <v>2 PLENARIAS</v>
      </c>
      <c r="I27" s="100">
        <f>+PLAN!E33</f>
        <v>3000000</v>
      </c>
      <c r="J27" s="98">
        <f>+IF($F$29=0,0,+I27/$F$29)</f>
        <v>0.92879256965944268</v>
      </c>
      <c r="L27" s="103"/>
      <c r="N27" s="117"/>
      <c r="P27" s="1094" t="str">
        <f>+PLAN!B32</f>
        <v>COSTO PLENARIAS</v>
      </c>
      <c r="R27" s="96" t="str">
        <f>+H27</f>
        <v>2 PLENARIAS</v>
      </c>
      <c r="S27" s="100">
        <f>+CARTOLA!P46*-1</f>
        <v>2594625</v>
      </c>
      <c r="T27" s="98">
        <f>+IF($P$29=0,0,+S27/$P$29)</f>
        <v>1</v>
      </c>
      <c r="AB27" s="103"/>
      <c r="AD27" s="117"/>
      <c r="AG27" s="103"/>
    </row>
    <row r="28" spans="2:52" ht="15" customHeight="1" x14ac:dyDescent="0.2">
      <c r="B28" s="103"/>
      <c r="F28" s="1095"/>
      <c r="H28" s="96" t="s">
        <v>69</v>
      </c>
      <c r="I28" s="100">
        <f>+PLAN!E34</f>
        <v>200000</v>
      </c>
      <c r="J28" s="98">
        <f>+IF($F$29=0,0,+I28/$F$29)</f>
        <v>6.1919504643962849E-2</v>
      </c>
      <c r="L28" s="103"/>
      <c r="N28" s="96"/>
      <c r="P28" s="1095"/>
      <c r="R28" s="96" t="str">
        <f>+H28</f>
        <v>COLACION / BREAK</v>
      </c>
      <c r="S28" s="100">
        <f>+CARTOLA!C47</f>
        <v>0</v>
      </c>
      <c r="T28" s="98">
        <f>+IF($P$29=0,0,+S28/$P$29)</f>
        <v>0</v>
      </c>
      <c r="AB28" s="103"/>
      <c r="AG28" s="103"/>
    </row>
    <row r="29" spans="2:52" ht="15" customHeight="1" x14ac:dyDescent="0.2">
      <c r="B29" s="103"/>
      <c r="F29" s="119">
        <f>+PLAN!E36</f>
        <v>3230000</v>
      </c>
      <c r="H29" s="96" t="s">
        <v>87</v>
      </c>
      <c r="I29" s="100">
        <f>+PLAN!E35</f>
        <v>30000</v>
      </c>
      <c r="J29" s="98">
        <f>+IF($F$29=0,0,+I29/$F$29)</f>
        <v>9.2879256965944269E-3</v>
      </c>
      <c r="L29" s="103"/>
      <c r="N29" s="100"/>
      <c r="P29" s="119">
        <f>SUM(S27:S30)</f>
        <v>2594625</v>
      </c>
      <c r="R29" s="96" t="str">
        <f>+H29</f>
        <v>PROPINA</v>
      </c>
      <c r="S29" s="130">
        <f>+CARTOLA!P48*-1</f>
        <v>0</v>
      </c>
      <c r="T29" s="98">
        <f>+IF($P$29=0,0,+S29/$P$29)</f>
        <v>0</v>
      </c>
      <c r="AB29" s="103"/>
      <c r="AG29" s="103"/>
    </row>
    <row r="30" spans="2:52" ht="15" customHeight="1" x14ac:dyDescent="0.25">
      <c r="B30" s="103"/>
      <c r="F30" s="111">
        <f>+IF($D$22=0,"-",+F29/$D$22)</f>
        <v>0.35960810509908708</v>
      </c>
      <c r="L30" s="103"/>
      <c r="N30" s="117"/>
      <c r="P30" s="111">
        <f>+IF(F29=0,0,+P29/F29)</f>
        <v>0.80328947368421055</v>
      </c>
      <c r="R30" s="96" t="s">
        <v>282</v>
      </c>
      <c r="S30" s="100">
        <f>+CARTOLA!P48</f>
        <v>0</v>
      </c>
      <c r="T30" s="98">
        <f>+IF($P$29=0,0,+S30/$P$29)</f>
        <v>0</v>
      </c>
      <c r="AB30" s="103"/>
      <c r="AG30" s="103"/>
      <c r="AJ30" s="303" t="s">
        <v>346</v>
      </c>
    </row>
    <row r="31" spans="2:52" ht="15" customHeight="1" x14ac:dyDescent="0.2">
      <c r="B31" s="103"/>
      <c r="J31" s="107"/>
      <c r="L31" s="103"/>
      <c r="N31" s="96"/>
      <c r="P31" s="274"/>
      <c r="T31" s="107"/>
      <c r="AB31" s="103"/>
      <c r="AG31" s="103"/>
      <c r="AJ31" s="105" t="str">
        <f>+CARTOLA!B3</f>
        <v>1 IQUIQUE</v>
      </c>
    </row>
    <row r="32" spans="2:52" ht="15" customHeight="1" x14ac:dyDescent="0.2">
      <c r="B32" s="103"/>
      <c r="H32" s="96" t="str">
        <f>+PLAN!B39</f>
        <v>CELULAR PRESIDENTE</v>
      </c>
      <c r="I32" s="100">
        <f>+PLAN!E39</f>
        <v>60000</v>
      </c>
      <c r="J32" s="98">
        <f>+IF($F$39=0,0,+I32/$F$39)</f>
        <v>2.2539444027047332E-2</v>
      </c>
      <c r="L32" s="103"/>
      <c r="N32" s="96"/>
      <c r="P32" s="117"/>
      <c r="R32" s="96" t="str">
        <f t="shared" ref="R32:R45" si="5">+H32</f>
        <v>CELULAR PRESIDENTE</v>
      </c>
      <c r="S32" s="100">
        <f>+CARTOLA!P44*-1</f>
        <v>15000</v>
      </c>
      <c r="T32" s="98">
        <f>+IF($P$39=0,0,+S32/$P$39)</f>
        <v>1.0540895512319145E-2</v>
      </c>
      <c r="AB32" s="103"/>
      <c r="AG32" s="103"/>
      <c r="AJ32" s="105" t="str">
        <f>+CARTOLA!B4</f>
        <v>4 PLAZA NORTE</v>
      </c>
    </row>
    <row r="33" spans="2:36" ht="15" customHeight="1" x14ac:dyDescent="0.2">
      <c r="B33" s="103"/>
      <c r="H33" s="96" t="str">
        <f>+PLAN!B40</f>
        <v>MATERIAL OFICINA</v>
      </c>
      <c r="I33" s="100">
        <f>+PLAN!E40</f>
        <v>60000</v>
      </c>
      <c r="J33" s="98">
        <f t="shared" ref="J33:J45" si="6">+IF($F$39=0,0,+I33/$F$39)</f>
        <v>2.2539444027047332E-2</v>
      </c>
      <c r="L33" s="103"/>
      <c r="N33" s="131"/>
      <c r="R33" s="96" t="str">
        <f t="shared" si="5"/>
        <v>MATERIAL OFICINA</v>
      </c>
      <c r="S33" s="100">
        <f>+CARTOLA!P49*-1</f>
        <v>0</v>
      </c>
      <c r="T33" s="98">
        <f t="shared" ref="T33:T45" si="7">+IF($P$39=0,0,+S33/$P$39)</f>
        <v>0</v>
      </c>
      <c r="AB33" s="103"/>
      <c r="AG33" s="103"/>
      <c r="AJ33" s="105" t="str">
        <f>+CARTOLA!B5</f>
        <v>5 COSTANERA</v>
      </c>
    </row>
    <row r="34" spans="2:36" ht="15" customHeight="1" x14ac:dyDescent="0.2">
      <c r="B34" s="103"/>
      <c r="H34" s="96" t="str">
        <f>+PLAN!B41</f>
        <v>COMISION ASESORIA NEGOCIACION</v>
      </c>
      <c r="I34" s="100">
        <f>+PLAN!E41</f>
        <v>0</v>
      </c>
      <c r="J34" s="98">
        <f t="shared" si="6"/>
        <v>0</v>
      </c>
      <c r="L34" s="103"/>
      <c r="N34" s="131"/>
      <c r="R34" s="96" t="str">
        <f t="shared" si="5"/>
        <v>COMISION ASESORIA NEGOCIACION</v>
      </c>
      <c r="S34" s="100">
        <f>+CARTOLA!P50*-1</f>
        <v>0</v>
      </c>
      <c r="T34" s="98">
        <f t="shared" si="7"/>
        <v>0</v>
      </c>
      <c r="AB34" s="103"/>
      <c r="AD34" s="277"/>
      <c r="AG34" s="103"/>
      <c r="AJ34" s="105" t="str">
        <f>+CARTOLA!B6</f>
        <v>6 RANCAGUA</v>
      </c>
    </row>
    <row r="35" spans="2:36" ht="15" customHeight="1" x14ac:dyDescent="0.2">
      <c r="B35" s="103"/>
      <c r="H35" s="96" t="str">
        <f>+PLAN!B42</f>
        <v>ASESORIA ABOGADOS</v>
      </c>
      <c r="I35" s="100">
        <f>+PLAN!E42</f>
        <v>1800000</v>
      </c>
      <c r="J35" s="98">
        <f t="shared" si="6"/>
        <v>0.67618332081141996</v>
      </c>
      <c r="L35" s="103"/>
      <c r="N35" s="131"/>
      <c r="R35" s="96" t="str">
        <f t="shared" si="5"/>
        <v>ASESORIA ABOGADOS</v>
      </c>
      <c r="S35" s="100">
        <f>+CARTOLA!P51*-1</f>
        <v>1350000</v>
      </c>
      <c r="T35" s="98">
        <f t="shared" si="7"/>
        <v>0.94868059610872302</v>
      </c>
      <c r="AB35" s="103"/>
      <c r="AG35" s="103"/>
      <c r="AJ35" s="105" t="str">
        <f>+CARTOLA!B7</f>
        <v>7 CURICO</v>
      </c>
    </row>
    <row r="36" spans="2:36" ht="15" customHeight="1" x14ac:dyDescent="0.2">
      <c r="B36" s="103"/>
      <c r="H36" s="96" t="str">
        <f>+PLAN!B43</f>
        <v>ANIVERSARIO</v>
      </c>
      <c r="I36" s="100">
        <f>+PLAN!E43</f>
        <v>150000</v>
      </c>
      <c r="J36" s="98">
        <f t="shared" si="6"/>
        <v>5.6348610067618335E-2</v>
      </c>
      <c r="L36" s="103"/>
      <c r="N36" s="131"/>
      <c r="R36" s="96" t="str">
        <f t="shared" si="5"/>
        <v>ANIVERSARIO</v>
      </c>
      <c r="S36" s="100">
        <f>+CARTOLA!P52*-1</f>
        <v>0</v>
      </c>
      <c r="T36" s="98">
        <f t="shared" si="7"/>
        <v>0</v>
      </c>
      <c r="AB36" s="103"/>
      <c r="AG36" s="103"/>
      <c r="AJ36" s="105" t="str">
        <f>+CARTOLA!B8</f>
        <v xml:space="preserve">8 TREBOL </v>
      </c>
    </row>
    <row r="37" spans="2:36" ht="15" customHeight="1" x14ac:dyDescent="0.2">
      <c r="B37" s="103"/>
      <c r="F37" s="1094" t="s">
        <v>314</v>
      </c>
      <c r="H37" s="96" t="str">
        <f>+PLAN!B44</f>
        <v>CAJA CHICA</v>
      </c>
      <c r="I37" s="100">
        <f>+PLAN!E44</f>
        <v>0</v>
      </c>
      <c r="J37" s="98">
        <f t="shared" si="6"/>
        <v>0</v>
      </c>
      <c r="L37" s="103"/>
      <c r="N37" s="131"/>
      <c r="P37" s="1094" t="str">
        <f>+PLAN!B38</f>
        <v xml:space="preserve">GASTOS GESTION </v>
      </c>
      <c r="R37" s="96" t="str">
        <f t="shared" si="5"/>
        <v>CAJA CHICA</v>
      </c>
      <c r="S37" s="100">
        <f>+CARTOLA!P53*-1</f>
        <v>0</v>
      </c>
      <c r="T37" s="98">
        <f t="shared" si="7"/>
        <v>0</v>
      </c>
      <c r="AB37" s="103"/>
      <c r="AG37" s="103"/>
      <c r="AJ37" s="105" t="str">
        <f>+CARTOLA!B9</f>
        <v>9 CONCEPCION</v>
      </c>
    </row>
    <row r="38" spans="2:36" ht="15" customHeight="1" x14ac:dyDescent="0.2">
      <c r="B38" s="103"/>
      <c r="F38" s="1095"/>
      <c r="H38" s="96" t="str">
        <f>+PLAN!B45</f>
        <v>PAGINA WEB (TEAMS)</v>
      </c>
      <c r="I38" s="100">
        <f>+PLAN!E45</f>
        <v>192000</v>
      </c>
      <c r="J38" s="98">
        <f t="shared" si="6"/>
        <v>7.2126220886551462E-2</v>
      </c>
      <c r="L38" s="103"/>
      <c r="N38" s="131"/>
      <c r="P38" s="1095"/>
      <c r="R38" s="96" t="str">
        <f t="shared" si="5"/>
        <v>PAGINA WEB (TEAMS)</v>
      </c>
      <c r="S38" s="100">
        <f>+CARTOLA!P54*-1</f>
        <v>0</v>
      </c>
      <c r="T38" s="98">
        <f t="shared" si="7"/>
        <v>0</v>
      </c>
      <c r="AB38" s="103"/>
      <c r="AG38" s="103"/>
      <c r="AJ38" s="105" t="str">
        <f>+CARTOLA!B10</f>
        <v>10 PUERTO MONTT</v>
      </c>
    </row>
    <row r="39" spans="2:36" ht="15" customHeight="1" x14ac:dyDescent="0.2">
      <c r="B39" s="103"/>
      <c r="F39" s="119">
        <f>+PLAN!E53</f>
        <v>2662000</v>
      </c>
      <c r="H39" s="96" t="str">
        <f>+PLAN!B46</f>
        <v>REPRESENTACION</v>
      </c>
      <c r="I39" s="100">
        <f>+PLAN!E46</f>
        <v>0</v>
      </c>
      <c r="J39" s="98">
        <f t="shared" si="6"/>
        <v>0</v>
      </c>
      <c r="L39" s="103"/>
      <c r="N39" s="131"/>
      <c r="P39" s="119">
        <f>+CARTOLA!Q61*-1+S32</f>
        <v>1423029</v>
      </c>
      <c r="R39" s="96" t="str">
        <f t="shared" si="5"/>
        <v>REPRESENTACION</v>
      </c>
      <c r="S39" s="100">
        <f>+CARTOLA!P55*-1</f>
        <v>0</v>
      </c>
      <c r="T39" s="98">
        <f t="shared" si="7"/>
        <v>0</v>
      </c>
      <c r="AB39" s="103"/>
      <c r="AG39" s="103"/>
    </row>
    <row r="40" spans="2:36" ht="15" customHeight="1" x14ac:dyDescent="0.2">
      <c r="B40" s="103"/>
      <c r="F40" s="111">
        <f>+IF($D$22=0,"-",+F39/$D$22)</f>
        <v>0.2963705188154086</v>
      </c>
      <c r="H40" s="96" t="str">
        <f>+PLAN!B47</f>
        <v>UNIFORMES</v>
      </c>
      <c r="I40" s="100">
        <f>+PLAN!E47</f>
        <v>0</v>
      </c>
      <c r="J40" s="98">
        <f t="shared" si="6"/>
        <v>0</v>
      </c>
      <c r="L40" s="103"/>
      <c r="P40" s="111">
        <f>+IF(F39=0,0,+P39/F39)</f>
        <v>0.53457137490608564</v>
      </c>
      <c r="R40" s="96" t="str">
        <f t="shared" si="5"/>
        <v>UNIFORMES</v>
      </c>
      <c r="S40" s="100">
        <f>+CARTOLA!P56*-1</f>
        <v>0</v>
      </c>
      <c r="T40" s="98">
        <f t="shared" si="7"/>
        <v>0</v>
      </c>
      <c r="AB40" s="103"/>
      <c r="AG40" s="103"/>
    </row>
    <row r="41" spans="2:36" ht="15" customHeight="1" x14ac:dyDescent="0.2">
      <c r="B41" s="103"/>
      <c r="H41" s="96" t="str">
        <f>+PLAN!B48</f>
        <v>ALMUERZO EJECUTIVO (6)</v>
      </c>
      <c r="I41" s="100">
        <f>+PLAN!E48</f>
        <v>0</v>
      </c>
      <c r="J41" s="98">
        <f t="shared" si="6"/>
        <v>0</v>
      </c>
      <c r="L41" s="103"/>
      <c r="P41" s="274"/>
      <c r="R41" s="96" t="str">
        <f t="shared" si="5"/>
        <v>ALMUERZO EJECUTIVO (6)</v>
      </c>
      <c r="S41" s="100">
        <f>+CARTOLA!P57*-1</f>
        <v>0</v>
      </c>
      <c r="T41" s="98">
        <f t="shared" si="7"/>
        <v>0</v>
      </c>
      <c r="AB41" s="103"/>
      <c r="AG41" s="103"/>
    </row>
    <row r="42" spans="2:36" ht="15" customHeight="1" x14ac:dyDescent="0.2">
      <c r="B42" s="103"/>
      <c r="H42" s="96" t="str">
        <f>+PLAN!B49</f>
        <v>ATENCION INVITADOS</v>
      </c>
      <c r="I42" s="100">
        <f>+PLAN!E49</f>
        <v>0</v>
      </c>
      <c r="J42" s="98">
        <f t="shared" si="6"/>
        <v>0</v>
      </c>
      <c r="L42" s="103"/>
      <c r="N42" s="131"/>
      <c r="R42" s="96" t="str">
        <f t="shared" si="5"/>
        <v>ATENCION INVITADOS</v>
      </c>
      <c r="S42" s="100">
        <f>+CARTOLA!P58*-1</f>
        <v>58029</v>
      </c>
      <c r="T42" s="98">
        <f t="shared" si="7"/>
        <v>4.0778508378957842E-2</v>
      </c>
      <c r="AB42" s="103"/>
      <c r="AG42" s="103"/>
    </row>
    <row r="43" spans="2:36" ht="15" customHeight="1" x14ac:dyDescent="0.2">
      <c r="B43" s="103"/>
      <c r="H43" s="96" t="str">
        <f>+PLAN!B50</f>
        <v>CAPACITACION</v>
      </c>
      <c r="I43" s="100">
        <f>+PLAN!E50</f>
        <v>0</v>
      </c>
      <c r="J43" s="98">
        <f t="shared" si="6"/>
        <v>0</v>
      </c>
      <c r="L43" s="103"/>
      <c r="N43" s="131"/>
      <c r="R43" s="96" t="str">
        <f t="shared" si="5"/>
        <v>CAPACITACION</v>
      </c>
      <c r="S43" s="100">
        <f>+CARTOLA!P59*-1</f>
        <v>0</v>
      </c>
      <c r="T43" s="98">
        <f t="shared" si="7"/>
        <v>0</v>
      </c>
      <c r="AB43" s="103"/>
      <c r="AG43" s="103"/>
    </row>
    <row r="44" spans="2:36" ht="15" customHeight="1" x14ac:dyDescent="0.2">
      <c r="B44" s="103"/>
      <c r="H44" s="96" t="str">
        <f>+PLAN!B51</f>
        <v>GASTOS VARIOS</v>
      </c>
      <c r="I44" s="100">
        <f>+PLAN!E51</f>
        <v>150000</v>
      </c>
      <c r="J44" s="98">
        <f t="shared" si="6"/>
        <v>5.6348610067618335E-2</v>
      </c>
      <c r="L44" s="103"/>
      <c r="N44" s="131"/>
      <c r="R44" s="96" t="str">
        <f t="shared" si="5"/>
        <v>GASTOS VARIOS</v>
      </c>
      <c r="S44" s="100">
        <f>+CARTOLA!P60*-1</f>
        <v>0</v>
      </c>
      <c r="T44" s="98">
        <f t="shared" si="7"/>
        <v>0</v>
      </c>
      <c r="AB44" s="103"/>
      <c r="AG44" s="103"/>
    </row>
    <row r="45" spans="2:36" ht="15" customHeight="1" x14ac:dyDescent="0.2">
      <c r="B45" s="103"/>
      <c r="H45" s="96" t="str">
        <f>+PLAN!B52</f>
        <v>IMPREVISTOS</v>
      </c>
      <c r="I45" s="100">
        <f>+PLAN!E52</f>
        <v>250000</v>
      </c>
      <c r="J45" s="98">
        <f t="shared" si="6"/>
        <v>9.391435011269722E-2</v>
      </c>
      <c r="L45" s="103"/>
      <c r="N45" s="131"/>
      <c r="R45" s="96" t="str">
        <f t="shared" si="5"/>
        <v>IMPREVISTOS</v>
      </c>
      <c r="S45" s="100">
        <f>+CARTOLA!P61*-1</f>
        <v>0</v>
      </c>
      <c r="T45" s="98">
        <f t="shared" si="7"/>
        <v>0</v>
      </c>
      <c r="AB45" s="103"/>
      <c r="AG45" s="103"/>
    </row>
    <row r="46" spans="2:36" ht="15" customHeight="1" x14ac:dyDescent="0.2">
      <c r="B46" s="103"/>
      <c r="J46" s="133"/>
      <c r="L46" s="103"/>
      <c r="N46" s="131"/>
      <c r="T46" s="133"/>
      <c r="AB46" s="103"/>
      <c r="AG46" s="103"/>
    </row>
    <row r="47" spans="2:36" ht="15" customHeight="1" x14ac:dyDescent="0.2">
      <c r="B47" s="103"/>
      <c r="H47" s="96" t="str">
        <f>+PLAN!B56</f>
        <v>NEGOCIACION COLECTIVA (3p)</v>
      </c>
      <c r="I47" s="100">
        <f>+PLAN!D56</f>
        <v>75000</v>
      </c>
      <c r="J47" s="98">
        <f t="shared" ref="J47:J52" si="8">+IF($F$50=0,0,+I47/$F$50)</f>
        <v>0.16666666666666666</v>
      </c>
      <c r="L47" s="103"/>
      <c r="N47" s="131"/>
      <c r="R47" s="96" t="str">
        <f t="shared" ref="R47:R52" si="9">+H47</f>
        <v>NEGOCIACION COLECTIVA (3p)</v>
      </c>
      <c r="S47" s="100">
        <f>+CARTOLA!P62*-1</f>
        <v>0</v>
      </c>
      <c r="T47" s="98">
        <f t="shared" ref="T47:T52" si="10">+IF($P$50=0,0,+S47/$P$50)</f>
        <v>0</v>
      </c>
      <c r="AB47" s="103"/>
      <c r="AG47" s="103"/>
    </row>
    <row r="48" spans="2:36" ht="15" customHeight="1" x14ac:dyDescent="0.2">
      <c r="B48" s="103"/>
      <c r="F48" s="1094" t="str">
        <f>+P48</f>
        <v xml:space="preserve">COMISIONES </v>
      </c>
      <c r="H48" s="96" t="str">
        <f>+PLAN!B57</f>
        <v>DISCIPLINA (3p)</v>
      </c>
      <c r="I48" s="100">
        <f>+PLAN!D57</f>
        <v>75000</v>
      </c>
      <c r="J48" s="98">
        <f t="shared" si="8"/>
        <v>0.16666666666666666</v>
      </c>
      <c r="L48" s="103"/>
      <c r="P48" s="1094" t="str">
        <f>+PLAN!B55</f>
        <v xml:space="preserve">COMISIONES </v>
      </c>
      <c r="R48" s="96" t="str">
        <f t="shared" si="9"/>
        <v>DISCIPLINA (3p)</v>
      </c>
      <c r="S48" s="100">
        <f>+CARTOLA!P63*-1</f>
        <v>0</v>
      </c>
      <c r="T48" s="98">
        <f t="shared" si="10"/>
        <v>0</v>
      </c>
      <c r="AB48" s="103"/>
      <c r="AG48" s="103"/>
    </row>
    <row r="49" spans="2:33" ht="15" customHeight="1" x14ac:dyDescent="0.2">
      <c r="B49" s="103"/>
      <c r="F49" s="1095"/>
      <c r="H49" s="96" t="str">
        <f>+PLAN!B58</f>
        <v>CAPACITACION Y EXTENSION (3p)</v>
      </c>
      <c r="I49" s="100">
        <f>+PLAN!D58</f>
        <v>75000</v>
      </c>
      <c r="J49" s="98">
        <f t="shared" si="8"/>
        <v>0.16666666666666666</v>
      </c>
      <c r="L49" s="103"/>
      <c r="P49" s="1095"/>
      <c r="R49" s="96" t="str">
        <f t="shared" si="9"/>
        <v>CAPACITACION Y EXTENSION (3p)</v>
      </c>
      <c r="S49" s="100">
        <f>+CARTOLA!P64*-1</f>
        <v>0</v>
      </c>
      <c r="T49" s="98">
        <f t="shared" si="10"/>
        <v>0</v>
      </c>
      <c r="AB49" s="103"/>
      <c r="AG49" s="103"/>
    </row>
    <row r="50" spans="2:33" ht="15" customHeight="1" x14ac:dyDescent="0.2">
      <c r="B50" s="103"/>
      <c r="F50" s="119">
        <f>+PLAN!D62</f>
        <v>450000</v>
      </c>
      <c r="H50" s="96" t="str">
        <f>+PLAN!B59</f>
        <v>BIENESTAR SOCIAL (3p)</v>
      </c>
      <c r="I50" s="100">
        <f>+PLAN!D59</f>
        <v>75000</v>
      </c>
      <c r="J50" s="98">
        <f t="shared" si="8"/>
        <v>0.16666666666666666</v>
      </c>
      <c r="L50" s="103"/>
      <c r="N50" s="278" t="str">
        <f>+CARTOLA!B69</f>
        <v>Otros Salidas</v>
      </c>
      <c r="P50" s="119">
        <f>+CARTOLA!Q67*-1</f>
        <v>0</v>
      </c>
      <c r="R50" s="96" t="str">
        <f t="shared" si="9"/>
        <v>BIENESTAR SOCIAL (3p)</v>
      </c>
      <c r="S50" s="100">
        <f>+CARTOLA!P65*-1</f>
        <v>0</v>
      </c>
      <c r="T50" s="98">
        <f t="shared" si="10"/>
        <v>0</v>
      </c>
      <c r="AB50" s="103"/>
      <c r="AG50" s="103"/>
    </row>
    <row r="51" spans="2:33" ht="15" customHeight="1" x14ac:dyDescent="0.2">
      <c r="B51" s="103"/>
      <c r="F51" s="111">
        <f>+IF($D$22=0,"-",+F50/$D$22)</f>
        <v>5.0100200400801605E-2</v>
      </c>
      <c r="H51" s="96" t="str">
        <f>+PLAN!B60</f>
        <v>CONFLICTO, COMUNICACIÓN Y DIFUSION (3p)</v>
      </c>
      <c r="I51" s="100">
        <f>+PLAN!D60</f>
        <v>75000</v>
      </c>
      <c r="J51" s="98">
        <f t="shared" si="8"/>
        <v>0.16666666666666666</v>
      </c>
      <c r="L51" s="103"/>
      <c r="N51" s="279">
        <f>-CARTOLA!P69</f>
        <v>0</v>
      </c>
      <c r="P51" s="111">
        <f>+IF(F50=0,0,+P50/F50)</f>
        <v>0</v>
      </c>
      <c r="R51" s="96" t="str">
        <f t="shared" si="9"/>
        <v>CONFLICTO, COMUNICACIÓN Y DIFUSION (3p)</v>
      </c>
      <c r="S51" s="100">
        <f>+CARTOLA!P66*-1</f>
        <v>0</v>
      </c>
      <c r="T51" s="98">
        <f t="shared" si="10"/>
        <v>0</v>
      </c>
      <c r="AB51" s="103"/>
      <c r="AG51" s="103"/>
    </row>
    <row r="52" spans="2:33" ht="15" customHeight="1" x14ac:dyDescent="0.2">
      <c r="B52" s="103"/>
      <c r="H52" s="96" t="str">
        <f>+PLAN!B61</f>
        <v>DEPORTE, CULTURA Y RECREACION (3p)</v>
      </c>
      <c r="I52" s="100">
        <f>+PLAN!D61</f>
        <v>75000</v>
      </c>
      <c r="J52" s="98">
        <f t="shared" si="8"/>
        <v>0.16666666666666666</v>
      </c>
      <c r="L52" s="103"/>
      <c r="N52" s="111">
        <f>+IF(N22=0,0,+N51/N22)</f>
        <v>0</v>
      </c>
      <c r="P52" s="278" t="s">
        <v>403</v>
      </c>
      <c r="R52" s="96" t="str">
        <f t="shared" si="9"/>
        <v>DEPORTE, CULTURA Y RECREACION (3p)</v>
      </c>
      <c r="S52" s="100">
        <f>+CARTOLA!P67*-1</f>
        <v>0</v>
      </c>
      <c r="T52" s="98">
        <f t="shared" si="10"/>
        <v>0</v>
      </c>
      <c r="AB52" s="103"/>
      <c r="AG52" s="103"/>
    </row>
    <row r="53" spans="2:33" ht="15" customHeight="1" x14ac:dyDescent="0.2">
      <c r="B53" s="103"/>
      <c r="L53" s="103"/>
      <c r="P53" s="279">
        <f>+DIRECTOR!M4</f>
        <v>260773</v>
      </c>
      <c r="AB53" s="103"/>
      <c r="AG53" s="103"/>
    </row>
    <row r="54" spans="2:33" x14ac:dyDescent="0.2">
      <c r="B54" s="103"/>
      <c r="C54" s="103"/>
      <c r="D54" s="134"/>
      <c r="E54" s="134"/>
      <c r="F54" s="135"/>
      <c r="G54" s="136"/>
      <c r="H54" s="134"/>
      <c r="I54" s="134"/>
      <c r="J54" s="135"/>
      <c r="K54" s="103"/>
      <c r="L54" s="103"/>
      <c r="M54" s="103"/>
      <c r="N54" s="137"/>
      <c r="O54" s="103"/>
      <c r="P54" s="134"/>
      <c r="Q54" s="134"/>
      <c r="R54" s="134"/>
      <c r="S54" s="134"/>
      <c r="T54" s="135"/>
      <c r="U54" s="134"/>
      <c r="V54" s="134"/>
      <c r="W54" s="134"/>
      <c r="X54" s="134"/>
      <c r="Y54" s="134"/>
      <c r="Z54" s="138"/>
      <c r="AA54" s="103"/>
      <c r="AB54" s="103"/>
      <c r="AC54" s="103"/>
      <c r="AD54" s="134"/>
      <c r="AE54" s="103"/>
      <c r="AF54" s="103"/>
      <c r="AG54" s="103"/>
    </row>
  </sheetData>
  <sheetProtection sheet="1"/>
  <mergeCells count="30">
    <mergeCell ref="AC1:AF1"/>
    <mergeCell ref="AE5:AE6"/>
    <mergeCell ref="AE7:AE8"/>
    <mergeCell ref="AE3:AE4"/>
    <mergeCell ref="F27:F28"/>
    <mergeCell ref="M1:AA1"/>
    <mergeCell ref="C1:K1"/>
    <mergeCell ref="N3:N4"/>
    <mergeCell ref="D3:D4"/>
    <mergeCell ref="AE11:AE12"/>
    <mergeCell ref="AE13:AE14"/>
    <mergeCell ref="AE15:AE16"/>
    <mergeCell ref="AE23:AE24"/>
    <mergeCell ref="AE21:AE22"/>
    <mergeCell ref="AE19:AE20"/>
    <mergeCell ref="D20:D21"/>
    <mergeCell ref="F48:F49"/>
    <mergeCell ref="F20:F22"/>
    <mergeCell ref="P11:P12"/>
    <mergeCell ref="P20:P21"/>
    <mergeCell ref="P27:P28"/>
    <mergeCell ref="P37:P38"/>
    <mergeCell ref="P48:P49"/>
    <mergeCell ref="F11:F12"/>
    <mergeCell ref="N20:N21"/>
    <mergeCell ref="V19:V21"/>
    <mergeCell ref="N11:N12"/>
    <mergeCell ref="D11:D12"/>
    <mergeCell ref="V10:V12"/>
    <mergeCell ref="F37:F38"/>
  </mergeCells>
  <phoneticPr fontId="22" type="noConversion"/>
  <conditionalFormatting sqref="T9:T16">
    <cfRule type="dataBar" priority="109">
      <dataBar>
        <cfvo type="min"/>
        <cfvo type="max"/>
        <color rgb="FF638EC6"/>
      </dataBar>
    </cfRule>
  </conditionalFormatting>
  <conditionalFormatting sqref="T3:T7">
    <cfRule type="dataBar" priority="108">
      <dataBar>
        <cfvo type="min"/>
        <cfvo type="max"/>
        <color rgb="FF638EC6"/>
      </dataBar>
    </cfRule>
  </conditionalFormatting>
  <conditionalFormatting sqref="T19:T23">
    <cfRule type="dataBar" priority="107">
      <dataBar>
        <cfvo type="min"/>
        <cfvo type="max"/>
        <color rgb="FF638EC6"/>
      </dataBar>
    </cfRule>
  </conditionalFormatting>
  <conditionalFormatting sqref="N33:N47">
    <cfRule type="dataBar" priority="118">
      <dataBar>
        <cfvo type="min"/>
        <cfvo type="max"/>
        <color rgb="FFFF0000"/>
      </dataBar>
    </cfRule>
  </conditionalFormatting>
  <conditionalFormatting sqref="Z3:Z6">
    <cfRule type="dataBar" priority="105">
      <dataBar>
        <cfvo type="min"/>
        <cfvo type="max"/>
        <color rgb="FF638EC6"/>
      </dataBar>
    </cfRule>
  </conditionalFormatting>
  <conditionalFormatting sqref="Z18:Z23">
    <cfRule type="dataBar" priority="104">
      <dataBar>
        <cfvo type="min"/>
        <cfvo type="max"/>
        <color rgb="FF638EC6"/>
      </dataBar>
    </cfRule>
  </conditionalFormatting>
  <conditionalFormatting sqref="T27:T30">
    <cfRule type="dataBar" priority="103">
      <dataBar>
        <cfvo type="min"/>
        <cfvo type="max"/>
        <color rgb="FF638EC6"/>
      </dataBar>
    </cfRule>
  </conditionalFormatting>
  <conditionalFormatting sqref="Z8:Z16">
    <cfRule type="dataBar" priority="101">
      <dataBar>
        <cfvo type="percent" val="0"/>
        <cfvo type="percent" val="100"/>
        <color rgb="FF638EC6"/>
      </dataBar>
    </cfRule>
  </conditionalFormatting>
  <conditionalFormatting sqref="Z9:Z16">
    <cfRule type="dataBar" priority="100">
      <dataBar>
        <cfvo type="percent" val="0"/>
        <cfvo type="percent" val="100"/>
        <color rgb="FF638EC6"/>
      </dataBar>
    </cfRule>
  </conditionalFormatting>
  <conditionalFormatting sqref="Z7">
    <cfRule type="dataBar" priority="99">
      <dataBar>
        <cfvo type="percent" val="0"/>
        <cfvo type="percent" val="100"/>
        <color rgb="FF638EC6"/>
      </dataBar>
    </cfRule>
  </conditionalFormatting>
  <conditionalFormatting sqref="Z8:Z16">
    <cfRule type="dataBar" priority="97">
      <dataBar>
        <cfvo type="min"/>
        <cfvo type="max"/>
        <color rgb="FF638EC6"/>
      </dataBar>
    </cfRule>
  </conditionalFormatting>
  <conditionalFormatting sqref="Z9:Z16">
    <cfRule type="dataBar" priority="96">
      <dataBar>
        <cfvo type="min"/>
        <cfvo type="max"/>
        <color rgb="FF638EC6"/>
      </dataBar>
    </cfRule>
  </conditionalFormatting>
  <conditionalFormatting sqref="Z19:Z23">
    <cfRule type="dataBar" priority="94">
      <dataBar>
        <cfvo type="min"/>
        <cfvo type="max"/>
        <color rgb="FF638EC6"/>
      </dataBar>
    </cfRule>
  </conditionalFormatting>
  <conditionalFormatting sqref="Z27:Z29">
    <cfRule type="dataBar" priority="93">
      <dataBar>
        <cfvo type="min"/>
        <cfvo type="max"/>
        <color rgb="FF638EC6"/>
      </dataBar>
    </cfRule>
  </conditionalFormatting>
  <conditionalFormatting sqref="T32:T45">
    <cfRule type="dataBar" priority="92">
      <dataBar>
        <cfvo type="min"/>
        <cfvo type="max"/>
        <color rgb="FF638EC6"/>
      </dataBar>
    </cfRule>
  </conditionalFormatting>
  <conditionalFormatting sqref="T47:T52">
    <cfRule type="dataBar" priority="90">
      <dataBar>
        <cfvo type="min"/>
        <cfvo type="max"/>
        <color rgb="FF638EC6"/>
      </dataBar>
    </cfRule>
  </conditionalFormatting>
  <conditionalFormatting sqref="J3">
    <cfRule type="dataBar" priority="80">
      <dataBar>
        <cfvo type="num" val="0"/>
        <cfvo type="num" val="1"/>
        <color rgb="FF638EC6"/>
      </dataBar>
    </cfRule>
  </conditionalFormatting>
  <conditionalFormatting sqref="J4:J6">
    <cfRule type="dataBar" priority="79">
      <dataBar>
        <cfvo type="min"/>
        <cfvo type="max"/>
        <color rgb="FF638EC6"/>
      </dataBar>
    </cfRule>
  </conditionalFormatting>
  <conditionalFormatting sqref="J9:J16">
    <cfRule type="dataBar" priority="78">
      <dataBar>
        <cfvo type="min"/>
        <cfvo type="max"/>
        <color rgb="FF638EC6"/>
      </dataBar>
    </cfRule>
  </conditionalFormatting>
  <conditionalFormatting sqref="J19:J23">
    <cfRule type="dataBar" priority="77">
      <dataBar>
        <cfvo type="min"/>
        <cfvo type="max"/>
        <color rgb="FF638EC6"/>
      </dataBar>
    </cfRule>
  </conditionalFormatting>
  <conditionalFormatting sqref="J27:J29">
    <cfRule type="dataBar" priority="76">
      <dataBar>
        <cfvo type="min"/>
        <cfvo type="max"/>
        <color rgb="FF638EC6"/>
      </dataBar>
    </cfRule>
  </conditionalFormatting>
  <conditionalFormatting sqref="J32:J45">
    <cfRule type="dataBar" priority="75">
      <dataBar>
        <cfvo type="min"/>
        <cfvo type="max"/>
        <color rgb="FF638EC6"/>
      </dataBar>
    </cfRule>
  </conditionalFormatting>
  <conditionalFormatting sqref="J47:J52">
    <cfRule type="dataBar" priority="74">
      <dataBar>
        <cfvo type="min"/>
        <cfvo type="max"/>
        <color rgb="FF638EC6"/>
      </dataBar>
    </cfRule>
  </conditionalFormatting>
  <conditionalFormatting sqref="J4:J6">
    <cfRule type="dataBar" priority="73">
      <dataBar>
        <cfvo type="num" val="0"/>
        <cfvo type="num" val="1"/>
        <color rgb="FF638EC6"/>
      </dataBar>
    </cfRule>
  </conditionalFormatting>
  <conditionalFormatting sqref="J9:J16">
    <cfRule type="dataBar" priority="72">
      <dataBar>
        <cfvo type="num" val="0"/>
        <cfvo type="num" val="1"/>
        <color rgb="FF638EC6"/>
      </dataBar>
    </cfRule>
  </conditionalFormatting>
  <conditionalFormatting sqref="J19:J23">
    <cfRule type="dataBar" priority="71">
      <dataBar>
        <cfvo type="min"/>
        <cfvo type="max"/>
        <color rgb="FF638EC6"/>
      </dataBar>
    </cfRule>
  </conditionalFormatting>
  <conditionalFormatting sqref="J19:J23">
    <cfRule type="dataBar" priority="70">
      <dataBar>
        <cfvo type="num" val="0"/>
        <cfvo type="num" val="1"/>
        <color rgb="FF638EC6"/>
      </dataBar>
    </cfRule>
  </conditionalFormatting>
  <conditionalFormatting sqref="J27:J29">
    <cfRule type="dataBar" priority="69">
      <dataBar>
        <cfvo type="min"/>
        <cfvo type="max"/>
        <color rgb="FF638EC6"/>
      </dataBar>
    </cfRule>
  </conditionalFormatting>
  <conditionalFormatting sqref="J27:J29">
    <cfRule type="dataBar" priority="68">
      <dataBar>
        <cfvo type="min"/>
        <cfvo type="max"/>
        <color rgb="FF638EC6"/>
      </dataBar>
    </cfRule>
  </conditionalFormatting>
  <conditionalFormatting sqref="J27:J29">
    <cfRule type="dataBar" priority="67">
      <dataBar>
        <cfvo type="num" val="0"/>
        <cfvo type="num" val="1"/>
        <color rgb="FF638EC6"/>
      </dataBar>
    </cfRule>
  </conditionalFormatting>
  <conditionalFormatting sqref="J32:J45">
    <cfRule type="dataBar" priority="66">
      <dataBar>
        <cfvo type="min"/>
        <cfvo type="max"/>
        <color rgb="FF638EC6"/>
      </dataBar>
    </cfRule>
  </conditionalFormatting>
  <conditionalFormatting sqref="J32:J45">
    <cfRule type="dataBar" priority="65">
      <dataBar>
        <cfvo type="min"/>
        <cfvo type="max"/>
        <color rgb="FF638EC6"/>
      </dataBar>
    </cfRule>
  </conditionalFormatting>
  <conditionalFormatting sqref="J32:J45">
    <cfRule type="dataBar" priority="64">
      <dataBar>
        <cfvo type="min"/>
        <cfvo type="max"/>
        <color rgb="FF638EC6"/>
      </dataBar>
    </cfRule>
  </conditionalFormatting>
  <conditionalFormatting sqref="J32:J45">
    <cfRule type="dataBar" priority="63">
      <dataBar>
        <cfvo type="num" val="0"/>
        <cfvo type="num" val="1"/>
        <color rgb="FF638EC6"/>
      </dataBar>
    </cfRule>
  </conditionalFormatting>
  <conditionalFormatting sqref="J47:J52">
    <cfRule type="dataBar" priority="62">
      <dataBar>
        <cfvo type="min"/>
        <cfvo type="max"/>
        <color rgb="FF638EC6"/>
      </dataBar>
    </cfRule>
  </conditionalFormatting>
  <conditionalFormatting sqref="J47:J52">
    <cfRule type="dataBar" priority="61">
      <dataBar>
        <cfvo type="min"/>
        <cfvo type="max"/>
        <color rgb="FF638EC6"/>
      </dataBar>
    </cfRule>
  </conditionalFormatting>
  <conditionalFormatting sqref="J47:J52">
    <cfRule type="dataBar" priority="60">
      <dataBar>
        <cfvo type="min"/>
        <cfvo type="max"/>
        <color rgb="FF638EC6"/>
      </dataBar>
    </cfRule>
  </conditionalFormatting>
  <conditionalFormatting sqref="J47:J52">
    <cfRule type="dataBar" priority="59">
      <dataBar>
        <cfvo type="min"/>
        <cfvo type="max"/>
        <color rgb="FF638EC6"/>
      </dataBar>
    </cfRule>
  </conditionalFormatting>
  <conditionalFormatting sqref="J47:J52">
    <cfRule type="dataBar" priority="58">
      <dataBar>
        <cfvo type="num" val="0"/>
        <cfvo type="num" val="1"/>
        <color rgb="FF638EC6"/>
      </dataBar>
    </cfRule>
  </conditionalFormatting>
  <conditionalFormatting sqref="T3">
    <cfRule type="dataBar" priority="57">
      <dataBar>
        <cfvo type="num" val="0"/>
        <cfvo type="num" val="1"/>
        <color rgb="FF638EC6"/>
      </dataBar>
    </cfRule>
  </conditionalFormatting>
  <conditionalFormatting sqref="T4:T6">
    <cfRule type="dataBar" priority="56">
      <dataBar>
        <cfvo type="min"/>
        <cfvo type="max"/>
        <color rgb="FF638EC6"/>
      </dataBar>
    </cfRule>
  </conditionalFormatting>
  <conditionalFormatting sqref="T9:T16">
    <cfRule type="dataBar" priority="55">
      <dataBar>
        <cfvo type="min"/>
        <cfvo type="max"/>
        <color rgb="FF638EC6"/>
      </dataBar>
    </cfRule>
  </conditionalFormatting>
  <conditionalFormatting sqref="T19:T23">
    <cfRule type="dataBar" priority="54">
      <dataBar>
        <cfvo type="min"/>
        <cfvo type="max"/>
        <color rgb="FF638EC6"/>
      </dataBar>
    </cfRule>
  </conditionalFormatting>
  <conditionalFormatting sqref="T27:T30">
    <cfRule type="dataBar" priority="53">
      <dataBar>
        <cfvo type="min"/>
        <cfvo type="max"/>
        <color rgb="FF638EC6"/>
      </dataBar>
    </cfRule>
  </conditionalFormatting>
  <conditionalFormatting sqref="T32:T45">
    <cfRule type="dataBar" priority="52">
      <dataBar>
        <cfvo type="min"/>
        <cfvo type="max"/>
        <color rgb="FF638EC6"/>
      </dataBar>
    </cfRule>
  </conditionalFormatting>
  <conditionalFormatting sqref="T47:T52">
    <cfRule type="dataBar" priority="51">
      <dataBar>
        <cfvo type="min"/>
        <cfvo type="max"/>
        <color rgb="FF638EC6"/>
      </dataBar>
    </cfRule>
  </conditionalFormatting>
  <conditionalFormatting sqref="T4:T6">
    <cfRule type="dataBar" priority="50">
      <dataBar>
        <cfvo type="num" val="0"/>
        <cfvo type="num" val="1"/>
        <color rgb="FF638EC6"/>
      </dataBar>
    </cfRule>
  </conditionalFormatting>
  <conditionalFormatting sqref="T9:T16">
    <cfRule type="dataBar" priority="49">
      <dataBar>
        <cfvo type="num" val="0"/>
        <cfvo type="num" val="1"/>
        <color rgb="FF638EC6"/>
      </dataBar>
    </cfRule>
  </conditionalFormatting>
  <conditionalFormatting sqref="T19:T23">
    <cfRule type="dataBar" priority="48">
      <dataBar>
        <cfvo type="min"/>
        <cfvo type="max"/>
        <color rgb="FF638EC6"/>
      </dataBar>
    </cfRule>
  </conditionalFormatting>
  <conditionalFormatting sqref="T19:T23">
    <cfRule type="dataBar" priority="47">
      <dataBar>
        <cfvo type="num" val="0"/>
        <cfvo type="num" val="1"/>
        <color rgb="FF638EC6"/>
      </dataBar>
    </cfRule>
  </conditionalFormatting>
  <conditionalFormatting sqref="T27:T30">
    <cfRule type="dataBar" priority="46">
      <dataBar>
        <cfvo type="min"/>
        <cfvo type="max"/>
        <color rgb="FF638EC6"/>
      </dataBar>
    </cfRule>
  </conditionalFormatting>
  <conditionalFormatting sqref="T27:T30">
    <cfRule type="dataBar" priority="45">
      <dataBar>
        <cfvo type="min"/>
        <cfvo type="max"/>
        <color rgb="FF638EC6"/>
      </dataBar>
    </cfRule>
  </conditionalFormatting>
  <conditionalFormatting sqref="T27:T30">
    <cfRule type="dataBar" priority="44">
      <dataBar>
        <cfvo type="num" val="0"/>
        <cfvo type="num" val="1"/>
        <color rgb="FF638EC6"/>
      </dataBar>
    </cfRule>
  </conditionalFormatting>
  <conditionalFormatting sqref="T32:T45">
    <cfRule type="dataBar" priority="43">
      <dataBar>
        <cfvo type="min"/>
        <cfvo type="max"/>
        <color rgb="FF638EC6"/>
      </dataBar>
    </cfRule>
  </conditionalFormatting>
  <conditionalFormatting sqref="T32:T45">
    <cfRule type="dataBar" priority="42">
      <dataBar>
        <cfvo type="min"/>
        <cfvo type="max"/>
        <color rgb="FF638EC6"/>
      </dataBar>
    </cfRule>
  </conditionalFormatting>
  <conditionalFormatting sqref="T32:T45">
    <cfRule type="dataBar" priority="41">
      <dataBar>
        <cfvo type="min"/>
        <cfvo type="max"/>
        <color rgb="FF638EC6"/>
      </dataBar>
    </cfRule>
  </conditionalFormatting>
  <conditionalFormatting sqref="T32:T45">
    <cfRule type="dataBar" priority="40">
      <dataBar>
        <cfvo type="num" val="0"/>
        <cfvo type="num" val="1"/>
        <color rgb="FF638EC6"/>
      </dataBar>
    </cfRule>
  </conditionalFormatting>
  <conditionalFormatting sqref="T47:T52">
    <cfRule type="dataBar" priority="39">
      <dataBar>
        <cfvo type="min"/>
        <cfvo type="max"/>
        <color rgb="FF638EC6"/>
      </dataBar>
    </cfRule>
  </conditionalFormatting>
  <conditionalFormatting sqref="T47:T52">
    <cfRule type="dataBar" priority="38">
      <dataBar>
        <cfvo type="min"/>
        <cfvo type="max"/>
        <color rgb="FF638EC6"/>
      </dataBar>
    </cfRule>
  </conditionalFormatting>
  <conditionalFormatting sqref="T47:T52">
    <cfRule type="dataBar" priority="37">
      <dataBar>
        <cfvo type="min"/>
        <cfvo type="max"/>
        <color rgb="FF638EC6"/>
      </dataBar>
    </cfRule>
  </conditionalFormatting>
  <conditionalFormatting sqref="T47:T52">
    <cfRule type="dataBar" priority="36">
      <dataBar>
        <cfvo type="min"/>
        <cfvo type="max"/>
        <color rgb="FF638EC6"/>
      </dataBar>
    </cfRule>
  </conditionalFormatting>
  <conditionalFormatting sqref="T47:T52">
    <cfRule type="dataBar" priority="35">
      <dataBar>
        <cfvo type="num" val="0"/>
        <cfvo type="num" val="1"/>
        <color rgb="FF638EC6"/>
      </dataBar>
    </cfRule>
  </conditionalFormatting>
  <conditionalFormatting sqref="T7">
    <cfRule type="dataBar" priority="34">
      <dataBar>
        <cfvo type="min"/>
        <cfvo type="max"/>
        <color rgb="FF638EC6"/>
      </dataBar>
    </cfRule>
  </conditionalFormatting>
  <conditionalFormatting sqref="T7">
    <cfRule type="dataBar" priority="33">
      <dataBar>
        <cfvo type="num" val="0"/>
        <cfvo type="num" val="1"/>
        <color rgb="FF638EC6"/>
      </dataBar>
    </cfRule>
  </conditionalFormatting>
  <conditionalFormatting sqref="Z8:Z16">
    <cfRule type="dataBar" priority="32">
      <dataBar>
        <cfvo type="min"/>
        <cfvo type="max"/>
        <color rgb="FF638EC6"/>
      </dataBar>
    </cfRule>
  </conditionalFormatting>
  <conditionalFormatting sqref="Z8:Z16">
    <cfRule type="dataBar" priority="31">
      <dataBar>
        <cfvo type="num" val="0"/>
        <cfvo type="num" val="1"/>
        <color rgb="FF638EC6"/>
      </dataBar>
    </cfRule>
  </conditionalFormatting>
  <conditionalFormatting sqref="Z18:Z23">
    <cfRule type="dataBar" priority="30">
      <dataBar>
        <cfvo type="percent" val="0"/>
        <cfvo type="percent" val="100"/>
        <color rgb="FF638EC6"/>
      </dataBar>
    </cfRule>
  </conditionalFormatting>
  <conditionalFormatting sqref="Z19:Z23">
    <cfRule type="dataBar" priority="29">
      <dataBar>
        <cfvo type="percent" val="0"/>
        <cfvo type="percent" val="100"/>
        <color rgb="FF638EC6"/>
      </dataBar>
    </cfRule>
  </conditionalFormatting>
  <conditionalFormatting sqref="Z18:Z23">
    <cfRule type="dataBar" priority="28">
      <dataBar>
        <cfvo type="min"/>
        <cfvo type="max"/>
        <color rgb="FF638EC6"/>
      </dataBar>
    </cfRule>
  </conditionalFormatting>
  <conditionalFormatting sqref="Z19:Z23">
    <cfRule type="dataBar" priority="27">
      <dataBar>
        <cfvo type="min"/>
        <cfvo type="max"/>
        <color rgb="FF638EC6"/>
      </dataBar>
    </cfRule>
  </conditionalFormatting>
  <conditionalFormatting sqref="Z18:Z23">
    <cfRule type="dataBar" priority="26">
      <dataBar>
        <cfvo type="min"/>
        <cfvo type="max"/>
        <color rgb="FF638EC6"/>
      </dataBar>
    </cfRule>
  </conditionalFormatting>
  <conditionalFormatting sqref="Z18:Z23">
    <cfRule type="dataBar" priority="25">
      <dataBar>
        <cfvo type="num" val="0"/>
        <cfvo type="num" val="1"/>
        <color rgb="FF638EC6"/>
      </dataBar>
    </cfRule>
  </conditionalFormatting>
  <conditionalFormatting sqref="F14 F24 F30 F40 F51">
    <cfRule type="dataBar" priority="24">
      <dataBar>
        <cfvo type="min"/>
        <cfvo type="max"/>
        <color rgb="FF638EC6"/>
      </dataBar>
    </cfRule>
  </conditionalFormatting>
  <conditionalFormatting sqref="P14 P23 P30 P40 P51">
    <cfRule type="dataBar" priority="23">
      <dataBar>
        <cfvo type="num" val="0"/>
        <cfvo type="num" val="1"/>
        <color rgb="FF638EC6"/>
      </dataBar>
    </cfRule>
  </conditionalFormatting>
  <conditionalFormatting sqref="N6">
    <cfRule type="dataBar" priority="22">
      <dataBar>
        <cfvo type="num" val="0"/>
        <cfvo type="num" val="1"/>
        <color rgb="FF638EC6"/>
      </dataBar>
    </cfRule>
  </conditionalFormatting>
  <conditionalFormatting sqref="N23">
    <cfRule type="dataBar" priority="21">
      <dataBar>
        <cfvo type="num" val="0"/>
        <cfvo type="num" val="1"/>
        <color rgb="FF638EC6"/>
      </dataBar>
    </cfRule>
  </conditionalFormatting>
  <conditionalFormatting sqref="N52">
    <cfRule type="dataBar" priority="5">
      <dataBar>
        <cfvo type="num" val="0"/>
        <cfvo type="num" val="1"/>
        <color rgb="FF638EC6"/>
      </dataBar>
    </cfRule>
  </conditionalFormatting>
  <conditionalFormatting sqref="AJ1:AR1">
    <cfRule type="iconSet" priority="120">
      <iconSet iconSet="4Arrows">
        <cfvo type="percent" val="0"/>
        <cfvo type="percent" val="25"/>
        <cfvo type="percent" val="50"/>
        <cfvo type="percent" val="75"/>
      </iconSet>
    </cfRule>
  </conditionalFormatting>
  <printOptions horizontalCentered="1"/>
  <pageMargins left="0.25" right="0.25" top="0.75" bottom="0.75" header="0.3" footer="0.3"/>
  <pageSetup scale="89" fitToWidth="0" orientation="portrait" horizontalDpi="300" verticalDpi="300" r:id="rId1"/>
  <rowBreaks count="1" manualBreakCount="1">
    <brk id="54" min="2" max="10" man="1"/>
  </rowBreaks>
  <colBreaks count="3" manualBreakCount="3">
    <brk id="12" max="53" man="1"/>
    <brk id="22" max="53" man="1"/>
    <brk id="44" max="5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locked="0" defaultSize="0" autoFill="0" autoLine="0" autoPict="0" macro="[0]!MOSTRAR1">
                <anchor moveWithCells="1">
                  <from>
                    <xdr:col>0</xdr:col>
                    <xdr:colOff>0</xdr:colOff>
                    <xdr:row>1</xdr:row>
                    <xdr:rowOff>28575</xdr:rowOff>
                  </from>
                  <to>
                    <xdr:col>34</xdr:col>
                    <xdr:colOff>152400</xdr:colOff>
                    <xdr:row>2</xdr:row>
                    <xdr:rowOff>28575</xdr:rowOff>
                  </to>
                </anchor>
              </controlPr>
            </control>
          </mc:Choice>
        </mc:AlternateContent>
        <mc:AlternateContent xmlns:mc="http://schemas.openxmlformats.org/markup-compatibility/2006">
          <mc:Choice Requires="x14">
            <control shapeId="1026" r:id="rId5" name="Option Button 2">
              <controlPr locked="0" defaultSize="0" autoFill="0" autoLine="0" autoPict="0" macro="[0]!MOSTRAR2">
                <anchor moveWithCells="1">
                  <from>
                    <xdr:col>0</xdr:col>
                    <xdr:colOff>0</xdr:colOff>
                    <xdr:row>2</xdr:row>
                    <xdr:rowOff>57150</xdr:rowOff>
                  </from>
                  <to>
                    <xdr:col>34</xdr:col>
                    <xdr:colOff>152400</xdr:colOff>
                    <xdr:row>3</xdr:row>
                    <xdr:rowOff>57150</xdr:rowOff>
                  </to>
                </anchor>
              </controlPr>
            </control>
          </mc:Choice>
        </mc:AlternateContent>
        <mc:AlternateContent xmlns:mc="http://schemas.openxmlformats.org/markup-compatibility/2006">
          <mc:Choice Requires="x14">
            <control shapeId="1027" r:id="rId6" name="Option Button 3">
              <controlPr locked="0" defaultSize="0" autoFill="0" autoLine="0" autoPict="0" macro="[0]!MOSTRAR3">
                <anchor moveWithCells="1">
                  <from>
                    <xdr:col>0</xdr:col>
                    <xdr:colOff>0</xdr:colOff>
                    <xdr:row>3</xdr:row>
                    <xdr:rowOff>104775</xdr:rowOff>
                  </from>
                  <to>
                    <xdr:col>34</xdr:col>
                    <xdr:colOff>152400</xdr:colOff>
                    <xdr:row>4</xdr:row>
                    <xdr:rowOff>104775</xdr:rowOff>
                  </to>
                </anchor>
              </controlPr>
            </control>
          </mc:Choice>
        </mc:AlternateContent>
        <mc:AlternateContent xmlns:mc="http://schemas.openxmlformats.org/markup-compatibility/2006">
          <mc:Choice Requires="x14">
            <control shapeId="1028" r:id="rId7" name="Option Button 4">
              <controlPr locked="0" defaultSize="0" autoFill="0" autoLine="0" autoPict="0" macro="[0]!OCULTARTODO">
                <anchor moveWithCells="1">
                  <from>
                    <xdr:col>0</xdr:col>
                    <xdr:colOff>0</xdr:colOff>
                    <xdr:row>4</xdr:row>
                    <xdr:rowOff>95250</xdr:rowOff>
                  </from>
                  <to>
                    <xdr:col>34</xdr:col>
                    <xdr:colOff>47625</xdr:colOff>
                    <xdr:row>5</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rgb="FF92D050"/>
  </sheetPr>
  <dimension ref="A1:WVW150"/>
  <sheetViews>
    <sheetView showGridLines="0" zoomScale="95" zoomScaleNormal="95" workbookViewId="0">
      <pane xSplit="2" ySplit="2" topLeftCell="C3" activePane="bottomRight" state="frozen"/>
      <selection pane="topRight" activeCell="C1" sqref="C1"/>
      <selection pane="bottomLeft" activeCell="A3" sqref="A3"/>
      <selection pane="bottomRight"/>
    </sheetView>
  </sheetViews>
  <sheetFormatPr baseColWidth="10" defaultRowHeight="12.75" x14ac:dyDescent="0.25"/>
  <cols>
    <col min="1" max="1" width="3" style="139" bestFit="1" customWidth="1"/>
    <col min="2" max="2" width="22" style="141" bestFit="1" customWidth="1"/>
    <col min="3" max="4" width="12.7109375" style="140" bestFit="1" customWidth="1"/>
    <col min="5" max="5" width="13" style="140" bestFit="1" customWidth="1"/>
    <col min="6" max="7" width="12.7109375" style="140" bestFit="1" customWidth="1"/>
    <col min="8" max="8" width="12.7109375" style="140" customWidth="1"/>
    <col min="9" max="9" width="12.85546875" style="140" bestFit="1" customWidth="1"/>
    <col min="10" max="10" width="12.5703125" style="140" bestFit="1" customWidth="1"/>
    <col min="11" max="14" width="12.7109375" style="140" customWidth="1"/>
    <col min="15" max="15" width="2" style="140" customWidth="1"/>
    <col min="16" max="16" width="12.7109375" style="140" bestFit="1" customWidth="1"/>
    <col min="17" max="17" width="12.28515625" style="171" bestFit="1" customWidth="1"/>
    <col min="18" max="18" width="6.42578125" style="171" bestFit="1" customWidth="1"/>
    <col min="19" max="19" width="4.5703125" style="139" bestFit="1" customWidth="1"/>
    <col min="20" max="20" width="4.85546875" style="139" bestFit="1" customWidth="1"/>
    <col min="21" max="21" width="9.7109375" style="139" bestFit="1" customWidth="1"/>
    <col min="22" max="22" width="4.28515625" style="139" bestFit="1" customWidth="1"/>
    <col min="23" max="23" width="7.5703125" style="139" bestFit="1" customWidth="1"/>
    <col min="24" max="24" width="9.5703125" style="139" bestFit="1" customWidth="1"/>
    <col min="25" max="26" width="8" style="139" bestFit="1" customWidth="1"/>
    <col min="27" max="27" width="8.5703125" style="139" bestFit="1" customWidth="1"/>
    <col min="28" max="29" width="7" style="139" bestFit="1" customWidth="1"/>
    <col min="30" max="30" width="8.5703125" style="139" bestFit="1" customWidth="1"/>
    <col min="31" max="31" width="8" style="139" bestFit="1" customWidth="1"/>
    <col min="32" max="33" width="7" style="139" bestFit="1" customWidth="1"/>
    <col min="34" max="34" width="3.42578125" style="139" bestFit="1" customWidth="1"/>
    <col min="35" max="256" width="11.42578125" style="139"/>
    <col min="257" max="257" width="1.85546875" style="139" customWidth="1"/>
    <col min="258" max="258" width="3" style="139" customWidth="1"/>
    <col min="259" max="259" width="17.42578125" style="139" customWidth="1"/>
    <col min="260" max="271" width="10.7109375" style="139" customWidth="1"/>
    <col min="272" max="512" width="11.42578125" style="139"/>
    <col min="513" max="513" width="1.85546875" style="139" customWidth="1"/>
    <col min="514" max="514" width="3" style="139" customWidth="1"/>
    <col min="515" max="515" width="17.42578125" style="139" customWidth="1"/>
    <col min="516" max="527" width="10.7109375" style="139" customWidth="1"/>
    <col min="528" max="768" width="11.42578125" style="139"/>
    <col min="769" max="769" width="1.85546875" style="139" customWidth="1"/>
    <col min="770" max="770" width="3" style="139" customWidth="1"/>
    <col min="771" max="771" width="17.42578125" style="139" customWidth="1"/>
    <col min="772" max="783" width="10.7109375" style="139" customWidth="1"/>
    <col min="784" max="1024" width="11.42578125" style="139"/>
    <col min="1025" max="1025" width="1.85546875" style="139" customWidth="1"/>
    <col min="1026" max="1026" width="3" style="139" customWidth="1"/>
    <col min="1027" max="1027" width="17.42578125" style="139" customWidth="1"/>
    <col min="1028" max="1039" width="10.7109375" style="139" customWidth="1"/>
    <col min="1040" max="1280" width="11.42578125" style="139"/>
    <col min="1281" max="1281" width="1.85546875" style="139" customWidth="1"/>
    <col min="1282" max="1282" width="3" style="139" customWidth="1"/>
    <col min="1283" max="1283" width="17.42578125" style="139" customWidth="1"/>
    <col min="1284" max="1295" width="10.7109375" style="139" customWidth="1"/>
    <col min="1296" max="1536" width="11.42578125" style="139"/>
    <col min="1537" max="1537" width="1.85546875" style="139" customWidth="1"/>
    <col min="1538" max="1538" width="3" style="139" customWidth="1"/>
    <col min="1539" max="1539" width="17.42578125" style="139" customWidth="1"/>
    <col min="1540" max="1551" width="10.7109375" style="139" customWidth="1"/>
    <col min="1552" max="1792" width="11.42578125" style="139"/>
    <col min="1793" max="1793" width="1.85546875" style="139" customWidth="1"/>
    <col min="1794" max="1794" width="3" style="139" customWidth="1"/>
    <col min="1795" max="1795" width="17.42578125" style="139" customWidth="1"/>
    <col min="1796" max="1807" width="10.7109375" style="139" customWidth="1"/>
    <col min="1808" max="2048" width="11.42578125" style="139"/>
    <col min="2049" max="2049" width="1.85546875" style="139" customWidth="1"/>
    <col min="2050" max="2050" width="3" style="139" customWidth="1"/>
    <col min="2051" max="2051" width="17.42578125" style="139" customWidth="1"/>
    <col min="2052" max="2063" width="10.7109375" style="139" customWidth="1"/>
    <col min="2064" max="2304" width="11.42578125" style="139"/>
    <col min="2305" max="2305" width="1.85546875" style="139" customWidth="1"/>
    <col min="2306" max="2306" width="3" style="139" customWidth="1"/>
    <col min="2307" max="2307" width="17.42578125" style="139" customWidth="1"/>
    <col min="2308" max="2319" width="10.7109375" style="139" customWidth="1"/>
    <col min="2320" max="2560" width="11.42578125" style="139"/>
    <col min="2561" max="2561" width="1.85546875" style="139" customWidth="1"/>
    <col min="2562" max="2562" width="3" style="139" customWidth="1"/>
    <col min="2563" max="2563" width="17.42578125" style="139" customWidth="1"/>
    <col min="2564" max="2575" width="10.7109375" style="139" customWidth="1"/>
    <col min="2576" max="2816" width="11.42578125" style="139"/>
    <col min="2817" max="2817" width="1.85546875" style="139" customWidth="1"/>
    <col min="2818" max="2818" width="3" style="139" customWidth="1"/>
    <col min="2819" max="2819" width="17.42578125" style="139" customWidth="1"/>
    <col min="2820" max="2831" width="10.7109375" style="139" customWidth="1"/>
    <col min="2832" max="3072" width="11.42578125" style="139"/>
    <col min="3073" max="3073" width="1.85546875" style="139" customWidth="1"/>
    <col min="3074" max="3074" width="3" style="139" customWidth="1"/>
    <col min="3075" max="3075" width="17.42578125" style="139" customWidth="1"/>
    <col min="3076" max="3087" width="10.7109375" style="139" customWidth="1"/>
    <col min="3088" max="3328" width="11.42578125" style="139"/>
    <col min="3329" max="3329" width="1.85546875" style="139" customWidth="1"/>
    <col min="3330" max="3330" width="3" style="139" customWidth="1"/>
    <col min="3331" max="3331" width="17.42578125" style="139" customWidth="1"/>
    <col min="3332" max="3343" width="10.7109375" style="139" customWidth="1"/>
    <col min="3344" max="3584" width="11.42578125" style="139"/>
    <col min="3585" max="3585" width="1.85546875" style="139" customWidth="1"/>
    <col min="3586" max="3586" width="3" style="139" customWidth="1"/>
    <col min="3587" max="3587" width="17.42578125" style="139" customWidth="1"/>
    <col min="3588" max="3599" width="10.7109375" style="139" customWidth="1"/>
    <col min="3600" max="3840" width="11.42578125" style="139"/>
    <col min="3841" max="3841" width="1.85546875" style="139" customWidth="1"/>
    <col min="3842" max="3842" width="3" style="139" customWidth="1"/>
    <col min="3843" max="3843" width="17.42578125" style="139" customWidth="1"/>
    <col min="3844" max="3855" width="10.7109375" style="139" customWidth="1"/>
    <col min="3856" max="4096" width="11.42578125" style="139"/>
    <col min="4097" max="4097" width="1.85546875" style="139" customWidth="1"/>
    <col min="4098" max="4098" width="3" style="139" customWidth="1"/>
    <col min="4099" max="4099" width="17.42578125" style="139" customWidth="1"/>
    <col min="4100" max="4111" width="10.7109375" style="139" customWidth="1"/>
    <col min="4112" max="4352" width="11.42578125" style="139"/>
    <col min="4353" max="4353" width="1.85546875" style="139" customWidth="1"/>
    <col min="4354" max="4354" width="3" style="139" customWidth="1"/>
    <col min="4355" max="4355" width="17.42578125" style="139" customWidth="1"/>
    <col min="4356" max="4367" width="10.7109375" style="139" customWidth="1"/>
    <col min="4368" max="4608" width="11.42578125" style="139"/>
    <col min="4609" max="4609" width="1.85546875" style="139" customWidth="1"/>
    <col min="4610" max="4610" width="3" style="139" customWidth="1"/>
    <col min="4611" max="4611" width="17.42578125" style="139" customWidth="1"/>
    <col min="4612" max="4623" width="10.7109375" style="139" customWidth="1"/>
    <col min="4624" max="4864" width="11.42578125" style="139"/>
    <col min="4865" max="4865" width="1.85546875" style="139" customWidth="1"/>
    <col min="4866" max="4866" width="3" style="139" customWidth="1"/>
    <col min="4867" max="4867" width="17.42578125" style="139" customWidth="1"/>
    <col min="4868" max="4879" width="10.7109375" style="139" customWidth="1"/>
    <col min="4880" max="5120" width="11.42578125" style="139"/>
    <col min="5121" max="5121" width="1.85546875" style="139" customWidth="1"/>
    <col min="5122" max="5122" width="3" style="139" customWidth="1"/>
    <col min="5123" max="5123" width="17.42578125" style="139" customWidth="1"/>
    <col min="5124" max="5135" width="10.7109375" style="139" customWidth="1"/>
    <col min="5136" max="5376" width="11.42578125" style="139"/>
    <col min="5377" max="5377" width="1.85546875" style="139" customWidth="1"/>
    <col min="5378" max="5378" width="3" style="139" customWidth="1"/>
    <col min="5379" max="5379" width="17.42578125" style="139" customWidth="1"/>
    <col min="5380" max="5391" width="10.7109375" style="139" customWidth="1"/>
    <col min="5392" max="5632" width="11.42578125" style="139"/>
    <col min="5633" max="5633" width="1.85546875" style="139" customWidth="1"/>
    <col min="5634" max="5634" width="3" style="139" customWidth="1"/>
    <col min="5635" max="5635" width="17.42578125" style="139" customWidth="1"/>
    <col min="5636" max="5647" width="10.7109375" style="139" customWidth="1"/>
    <col min="5648" max="5888" width="11.42578125" style="139"/>
    <col min="5889" max="5889" width="1.85546875" style="139" customWidth="1"/>
    <col min="5890" max="5890" width="3" style="139" customWidth="1"/>
    <col min="5891" max="5891" width="17.42578125" style="139" customWidth="1"/>
    <col min="5892" max="5903" width="10.7109375" style="139" customWidth="1"/>
    <col min="5904" max="6144" width="11.42578125" style="139"/>
    <col min="6145" max="6145" width="1.85546875" style="139" customWidth="1"/>
    <col min="6146" max="6146" width="3" style="139" customWidth="1"/>
    <col min="6147" max="6147" width="17.42578125" style="139" customWidth="1"/>
    <col min="6148" max="6159" width="10.7109375" style="139" customWidth="1"/>
    <col min="6160" max="6400" width="11.42578125" style="139"/>
    <col min="6401" max="6401" width="1.85546875" style="139" customWidth="1"/>
    <col min="6402" max="6402" width="3" style="139" customWidth="1"/>
    <col min="6403" max="6403" width="17.42578125" style="139" customWidth="1"/>
    <col min="6404" max="6415" width="10.7109375" style="139" customWidth="1"/>
    <col min="6416" max="6656" width="11.42578125" style="139"/>
    <col min="6657" max="6657" width="1.85546875" style="139" customWidth="1"/>
    <col min="6658" max="6658" width="3" style="139" customWidth="1"/>
    <col min="6659" max="6659" width="17.42578125" style="139" customWidth="1"/>
    <col min="6660" max="6671" width="10.7109375" style="139" customWidth="1"/>
    <col min="6672" max="6912" width="11.42578125" style="139"/>
    <col min="6913" max="6913" width="1.85546875" style="139" customWidth="1"/>
    <col min="6914" max="6914" width="3" style="139" customWidth="1"/>
    <col min="6915" max="6915" width="17.42578125" style="139" customWidth="1"/>
    <col min="6916" max="6927" width="10.7109375" style="139" customWidth="1"/>
    <col min="6928" max="7168" width="11.42578125" style="139"/>
    <col min="7169" max="7169" width="1.85546875" style="139" customWidth="1"/>
    <col min="7170" max="7170" width="3" style="139" customWidth="1"/>
    <col min="7171" max="7171" width="17.42578125" style="139" customWidth="1"/>
    <col min="7172" max="7183" width="10.7109375" style="139" customWidth="1"/>
    <col min="7184" max="7424" width="11.42578125" style="139"/>
    <col min="7425" max="7425" width="1.85546875" style="139" customWidth="1"/>
    <col min="7426" max="7426" width="3" style="139" customWidth="1"/>
    <col min="7427" max="7427" width="17.42578125" style="139" customWidth="1"/>
    <col min="7428" max="7439" width="10.7109375" style="139" customWidth="1"/>
    <col min="7440" max="7680" width="11.42578125" style="139"/>
    <col min="7681" max="7681" width="1.85546875" style="139" customWidth="1"/>
    <col min="7682" max="7682" width="3" style="139" customWidth="1"/>
    <col min="7683" max="7683" width="17.42578125" style="139" customWidth="1"/>
    <col min="7684" max="7695" width="10.7109375" style="139" customWidth="1"/>
    <col min="7696" max="7936" width="11.42578125" style="139"/>
    <col min="7937" max="7937" width="1.85546875" style="139" customWidth="1"/>
    <col min="7938" max="7938" width="3" style="139" customWidth="1"/>
    <col min="7939" max="7939" width="17.42578125" style="139" customWidth="1"/>
    <col min="7940" max="7951" width="10.7109375" style="139" customWidth="1"/>
    <col min="7952" max="8192" width="11.42578125" style="139"/>
    <col min="8193" max="8193" width="1.85546875" style="139" customWidth="1"/>
    <col min="8194" max="8194" width="3" style="139" customWidth="1"/>
    <col min="8195" max="8195" width="17.42578125" style="139" customWidth="1"/>
    <col min="8196" max="8207" width="10.7109375" style="139" customWidth="1"/>
    <col min="8208" max="8448" width="11.42578125" style="139"/>
    <col min="8449" max="8449" width="1.85546875" style="139" customWidth="1"/>
    <col min="8450" max="8450" width="3" style="139" customWidth="1"/>
    <col min="8451" max="8451" width="17.42578125" style="139" customWidth="1"/>
    <col min="8452" max="8463" width="10.7109375" style="139" customWidth="1"/>
    <col min="8464" max="8704" width="11.42578125" style="139"/>
    <col min="8705" max="8705" width="1.85546875" style="139" customWidth="1"/>
    <col min="8706" max="8706" width="3" style="139" customWidth="1"/>
    <col min="8707" max="8707" width="17.42578125" style="139" customWidth="1"/>
    <col min="8708" max="8719" width="10.7109375" style="139" customWidth="1"/>
    <col min="8720" max="8960" width="11.42578125" style="139"/>
    <col min="8961" max="8961" width="1.85546875" style="139" customWidth="1"/>
    <col min="8962" max="8962" width="3" style="139" customWidth="1"/>
    <col min="8963" max="8963" width="17.42578125" style="139" customWidth="1"/>
    <col min="8964" max="8975" width="10.7109375" style="139" customWidth="1"/>
    <col min="8976" max="9216" width="11.42578125" style="139"/>
    <col min="9217" max="9217" width="1.85546875" style="139" customWidth="1"/>
    <col min="9218" max="9218" width="3" style="139" customWidth="1"/>
    <col min="9219" max="9219" width="17.42578125" style="139" customWidth="1"/>
    <col min="9220" max="9231" width="10.7109375" style="139" customWidth="1"/>
    <col min="9232" max="9472" width="11.42578125" style="139"/>
    <col min="9473" max="9473" width="1.85546875" style="139" customWidth="1"/>
    <col min="9474" max="9474" width="3" style="139" customWidth="1"/>
    <col min="9475" max="9475" width="17.42578125" style="139" customWidth="1"/>
    <col min="9476" max="9487" width="10.7109375" style="139" customWidth="1"/>
    <col min="9488" max="9728" width="11.42578125" style="139"/>
    <col min="9729" max="9729" width="1.85546875" style="139" customWidth="1"/>
    <col min="9730" max="9730" width="3" style="139" customWidth="1"/>
    <col min="9731" max="9731" width="17.42578125" style="139" customWidth="1"/>
    <col min="9732" max="9743" width="10.7109375" style="139" customWidth="1"/>
    <col min="9744" max="9984" width="11.42578125" style="139"/>
    <col min="9985" max="9985" width="1.85546875" style="139" customWidth="1"/>
    <col min="9986" max="9986" width="3" style="139" customWidth="1"/>
    <col min="9987" max="9987" width="17.42578125" style="139" customWidth="1"/>
    <col min="9988" max="9999" width="10.7109375" style="139" customWidth="1"/>
    <col min="10000" max="10240" width="11.42578125" style="139"/>
    <col min="10241" max="10241" width="1.85546875" style="139" customWidth="1"/>
    <col min="10242" max="10242" width="3" style="139" customWidth="1"/>
    <col min="10243" max="10243" width="17.42578125" style="139" customWidth="1"/>
    <col min="10244" max="10255" width="10.7109375" style="139" customWidth="1"/>
    <col min="10256" max="10496" width="11.42578125" style="139"/>
    <col min="10497" max="10497" width="1.85546875" style="139" customWidth="1"/>
    <col min="10498" max="10498" width="3" style="139" customWidth="1"/>
    <col min="10499" max="10499" width="17.42578125" style="139" customWidth="1"/>
    <col min="10500" max="10511" width="10.7109375" style="139" customWidth="1"/>
    <col min="10512" max="10752" width="11.42578125" style="139"/>
    <col min="10753" max="10753" width="1.85546875" style="139" customWidth="1"/>
    <col min="10754" max="10754" width="3" style="139" customWidth="1"/>
    <col min="10755" max="10755" width="17.42578125" style="139" customWidth="1"/>
    <col min="10756" max="10767" width="10.7109375" style="139" customWidth="1"/>
    <col min="10768" max="11008" width="11.42578125" style="139"/>
    <col min="11009" max="11009" width="1.85546875" style="139" customWidth="1"/>
    <col min="11010" max="11010" width="3" style="139" customWidth="1"/>
    <col min="11011" max="11011" width="17.42578125" style="139" customWidth="1"/>
    <col min="11012" max="11023" width="10.7109375" style="139" customWidth="1"/>
    <col min="11024" max="11264" width="11.42578125" style="139"/>
    <col min="11265" max="11265" width="1.85546875" style="139" customWidth="1"/>
    <col min="11266" max="11266" width="3" style="139" customWidth="1"/>
    <col min="11267" max="11267" width="17.42578125" style="139" customWidth="1"/>
    <col min="11268" max="11279" width="10.7109375" style="139" customWidth="1"/>
    <col min="11280" max="11520" width="11.42578125" style="139"/>
    <col min="11521" max="11521" width="1.85546875" style="139" customWidth="1"/>
    <col min="11522" max="11522" width="3" style="139" customWidth="1"/>
    <col min="11523" max="11523" width="17.42578125" style="139" customWidth="1"/>
    <col min="11524" max="11535" width="10.7109375" style="139" customWidth="1"/>
    <col min="11536" max="11776" width="11.42578125" style="139"/>
    <col min="11777" max="11777" width="1.85546875" style="139" customWidth="1"/>
    <col min="11778" max="11778" width="3" style="139" customWidth="1"/>
    <col min="11779" max="11779" width="17.42578125" style="139" customWidth="1"/>
    <col min="11780" max="11791" width="10.7109375" style="139" customWidth="1"/>
    <col min="11792" max="12032" width="11.42578125" style="139"/>
    <col min="12033" max="12033" width="1.85546875" style="139" customWidth="1"/>
    <col min="12034" max="12034" width="3" style="139" customWidth="1"/>
    <col min="12035" max="12035" width="17.42578125" style="139" customWidth="1"/>
    <col min="12036" max="12047" width="10.7109375" style="139" customWidth="1"/>
    <col min="12048" max="12288" width="11.42578125" style="139"/>
    <col min="12289" max="12289" width="1.85546875" style="139" customWidth="1"/>
    <col min="12290" max="12290" width="3" style="139" customWidth="1"/>
    <col min="12291" max="12291" width="17.42578125" style="139" customWidth="1"/>
    <col min="12292" max="12303" width="10.7109375" style="139" customWidth="1"/>
    <col min="12304" max="12544" width="11.42578125" style="139"/>
    <col min="12545" max="12545" width="1.85546875" style="139" customWidth="1"/>
    <col min="12546" max="12546" width="3" style="139" customWidth="1"/>
    <col min="12547" max="12547" width="17.42578125" style="139" customWidth="1"/>
    <col min="12548" max="12559" width="10.7109375" style="139" customWidth="1"/>
    <col min="12560" max="12800" width="11.42578125" style="139"/>
    <col min="12801" max="12801" width="1.85546875" style="139" customWidth="1"/>
    <col min="12802" max="12802" width="3" style="139" customWidth="1"/>
    <col min="12803" max="12803" width="17.42578125" style="139" customWidth="1"/>
    <col min="12804" max="12815" width="10.7109375" style="139" customWidth="1"/>
    <col min="12816" max="13056" width="11.42578125" style="139"/>
    <col min="13057" max="13057" width="1.85546875" style="139" customWidth="1"/>
    <col min="13058" max="13058" width="3" style="139" customWidth="1"/>
    <col min="13059" max="13059" width="17.42578125" style="139" customWidth="1"/>
    <col min="13060" max="13071" width="10.7109375" style="139" customWidth="1"/>
    <col min="13072" max="13312" width="11.42578125" style="139"/>
    <col min="13313" max="13313" width="1.85546875" style="139" customWidth="1"/>
    <col min="13314" max="13314" width="3" style="139" customWidth="1"/>
    <col min="13315" max="13315" width="17.42578125" style="139" customWidth="1"/>
    <col min="13316" max="13327" width="10.7109375" style="139" customWidth="1"/>
    <col min="13328" max="13568" width="11.42578125" style="139"/>
    <col min="13569" max="13569" width="1.85546875" style="139" customWidth="1"/>
    <col min="13570" max="13570" width="3" style="139" customWidth="1"/>
    <col min="13571" max="13571" width="17.42578125" style="139" customWidth="1"/>
    <col min="13572" max="13583" width="10.7109375" style="139" customWidth="1"/>
    <col min="13584" max="13824" width="11.42578125" style="139"/>
    <col min="13825" max="13825" width="1.85546875" style="139" customWidth="1"/>
    <col min="13826" max="13826" width="3" style="139" customWidth="1"/>
    <col min="13827" max="13827" width="17.42578125" style="139" customWidth="1"/>
    <col min="13828" max="13839" width="10.7109375" style="139" customWidth="1"/>
    <col min="13840" max="14080" width="11.42578125" style="139"/>
    <col min="14081" max="14081" width="1.85546875" style="139" customWidth="1"/>
    <col min="14082" max="14082" width="3" style="139" customWidth="1"/>
    <col min="14083" max="14083" width="17.42578125" style="139" customWidth="1"/>
    <col min="14084" max="14095" width="10.7109375" style="139" customWidth="1"/>
    <col min="14096" max="14336" width="11.42578125" style="139"/>
    <col min="14337" max="14337" width="1.85546875" style="139" customWidth="1"/>
    <col min="14338" max="14338" width="3" style="139" customWidth="1"/>
    <col min="14339" max="14339" width="17.42578125" style="139" customWidth="1"/>
    <col min="14340" max="14351" width="10.7109375" style="139" customWidth="1"/>
    <col min="14352" max="14592" width="11.42578125" style="139"/>
    <col min="14593" max="14593" width="1.85546875" style="139" customWidth="1"/>
    <col min="14594" max="14594" width="3" style="139" customWidth="1"/>
    <col min="14595" max="14595" width="17.42578125" style="139" customWidth="1"/>
    <col min="14596" max="14607" width="10.7109375" style="139" customWidth="1"/>
    <col min="14608" max="14848" width="11.42578125" style="139"/>
    <col min="14849" max="14849" width="1.85546875" style="139" customWidth="1"/>
    <col min="14850" max="14850" width="3" style="139" customWidth="1"/>
    <col min="14851" max="14851" width="17.42578125" style="139" customWidth="1"/>
    <col min="14852" max="14863" width="10.7109375" style="139" customWidth="1"/>
    <col min="14864" max="15104" width="11.42578125" style="139"/>
    <col min="15105" max="15105" width="1.85546875" style="139" customWidth="1"/>
    <col min="15106" max="15106" width="3" style="139" customWidth="1"/>
    <col min="15107" max="15107" width="17.42578125" style="139" customWidth="1"/>
    <col min="15108" max="15119" width="10.7109375" style="139" customWidth="1"/>
    <col min="15120" max="15360" width="11.42578125" style="139"/>
    <col min="15361" max="15361" width="1.85546875" style="139" customWidth="1"/>
    <col min="15362" max="15362" width="3" style="139" customWidth="1"/>
    <col min="15363" max="15363" width="17.42578125" style="139" customWidth="1"/>
    <col min="15364" max="15375" width="10.7109375" style="139" customWidth="1"/>
    <col min="15376" max="15616" width="11.42578125" style="139"/>
    <col min="15617" max="15617" width="1.85546875" style="139" customWidth="1"/>
    <col min="15618" max="15618" width="3" style="139" customWidth="1"/>
    <col min="15619" max="15619" width="17.42578125" style="139" customWidth="1"/>
    <col min="15620" max="15631" width="10.7109375" style="139" customWidth="1"/>
    <col min="15632" max="15872" width="11.42578125" style="139"/>
    <col min="15873" max="15873" width="1.85546875" style="139" customWidth="1"/>
    <col min="15874" max="15874" width="3" style="139" customWidth="1"/>
    <col min="15875" max="15875" width="17.42578125" style="139" customWidth="1"/>
    <col min="15876" max="15887" width="10.7109375" style="139" customWidth="1"/>
    <col min="15888" max="16128" width="11.42578125" style="139"/>
    <col min="16129" max="16129" width="1.85546875" style="139" customWidth="1"/>
    <col min="16130" max="16130" width="3" style="139" customWidth="1"/>
    <col min="16131" max="16131" width="17.42578125" style="139" customWidth="1"/>
    <col min="16132" max="16143" width="10.7109375" style="139" customWidth="1"/>
    <col min="16144" max="16384" width="11.42578125" style="139"/>
  </cols>
  <sheetData>
    <row r="1" spans="1:25" s="629" customFormat="1" ht="15" x14ac:dyDescent="0.25">
      <c r="B1" s="640" t="s">
        <v>39</v>
      </c>
      <c r="C1" s="1121" t="s">
        <v>40</v>
      </c>
      <c r="D1" s="1121"/>
      <c r="E1" s="641">
        <f>1000000+7000000+2611753</f>
        <v>10611753</v>
      </c>
      <c r="F1" s="642">
        <f>+J1-N1</f>
        <v>1</v>
      </c>
      <c r="G1" s="1121" t="s">
        <v>41</v>
      </c>
      <c r="H1" s="1121"/>
      <c r="I1" s="643">
        <f>+P75</f>
        <v>10484429</v>
      </c>
      <c r="J1" s="644">
        <f>+I1/E1</f>
        <v>0.98800160538979753</v>
      </c>
      <c r="K1" s="1121" t="s">
        <v>42</v>
      </c>
      <c r="L1" s="1121"/>
      <c r="M1" s="645">
        <f>+IF(I1=0,0,+I1-E1)</f>
        <v>-127324</v>
      </c>
      <c r="N1" s="644">
        <f>+M1/E1</f>
        <v>-1.199839461020248E-2</v>
      </c>
      <c r="O1" s="630"/>
      <c r="P1" s="648"/>
      <c r="Q1" s="631"/>
      <c r="R1" s="631"/>
      <c r="S1" s="1122" t="s">
        <v>352</v>
      </c>
      <c r="T1" s="1122"/>
      <c r="X1" s="579"/>
    </row>
    <row r="2" spans="1:25" s="144" customFormat="1" x14ac:dyDescent="0.2">
      <c r="A2" s="141"/>
      <c r="B2" s="646" t="s">
        <v>399</v>
      </c>
      <c r="C2" s="732" t="s">
        <v>46</v>
      </c>
      <c r="D2" s="647" t="s">
        <v>47</v>
      </c>
      <c r="E2" s="647" t="s">
        <v>48</v>
      </c>
      <c r="F2" s="647" t="s">
        <v>49</v>
      </c>
      <c r="G2" s="647" t="s">
        <v>50</v>
      </c>
      <c r="H2" s="647" t="s">
        <v>51</v>
      </c>
      <c r="I2" s="647" t="s">
        <v>52</v>
      </c>
      <c r="J2" s="647" t="s">
        <v>53</v>
      </c>
      <c r="K2" s="647" t="s">
        <v>54</v>
      </c>
      <c r="L2" s="647" t="s">
        <v>43</v>
      </c>
      <c r="M2" s="647" t="s">
        <v>44</v>
      </c>
      <c r="N2" s="647" t="s">
        <v>45</v>
      </c>
      <c r="O2" s="637"/>
      <c r="P2" s="647" t="s">
        <v>24</v>
      </c>
      <c r="Q2" s="143" t="s">
        <v>28</v>
      </c>
      <c r="R2" s="143"/>
      <c r="S2" s="318" t="s">
        <v>353</v>
      </c>
      <c r="T2" s="318" t="s">
        <v>351</v>
      </c>
    </row>
    <row r="3" spans="1:25" x14ac:dyDescent="0.25">
      <c r="A3" s="243">
        <f>+S3</f>
        <v>8</v>
      </c>
      <c r="B3" s="145" t="s">
        <v>55</v>
      </c>
      <c r="C3" s="819">
        <v>17500</v>
      </c>
      <c r="D3" s="330">
        <v>16500</v>
      </c>
      <c r="E3" s="330">
        <v>15500</v>
      </c>
      <c r="F3" s="330">
        <v>15000</v>
      </c>
      <c r="G3" s="330">
        <v>22630</v>
      </c>
      <c r="H3" s="330">
        <v>22630</v>
      </c>
      <c r="I3" s="330">
        <v>22630</v>
      </c>
      <c r="J3" s="330">
        <v>0</v>
      </c>
      <c r="K3" s="330"/>
      <c r="L3" s="330"/>
      <c r="M3" s="330"/>
      <c r="N3" s="331"/>
      <c r="O3" s="368"/>
      <c r="P3" s="146">
        <f>SUM(C3:N3)</f>
        <v>132390</v>
      </c>
      <c r="Q3" s="147"/>
      <c r="R3" s="147">
        <v>730</v>
      </c>
      <c r="S3" s="319">
        <f t="shared" ref="S3:S10" si="0">+COUNTA(C3:N3)</f>
        <v>8</v>
      </c>
      <c r="T3" s="335">
        <f>+IF(S3=12,"Ok",+S3/120)</f>
        <v>6.6666666666666666E-2</v>
      </c>
      <c r="U3" s="242"/>
    </row>
    <row r="4" spans="1:25" x14ac:dyDescent="0.25">
      <c r="A4" s="243">
        <f t="shared" ref="A4:A10" si="1">+S4</f>
        <v>8</v>
      </c>
      <c r="B4" s="148" t="s">
        <v>356</v>
      </c>
      <c r="C4" s="325">
        <v>58800</v>
      </c>
      <c r="D4" s="328">
        <v>56700</v>
      </c>
      <c r="E4" s="328">
        <v>56180</v>
      </c>
      <c r="F4" s="328">
        <v>55480</v>
      </c>
      <c r="G4" s="328">
        <v>54750</v>
      </c>
      <c r="H4" s="328">
        <v>54020</v>
      </c>
      <c r="I4" s="328">
        <v>57670</v>
      </c>
      <c r="J4" s="328">
        <v>0</v>
      </c>
      <c r="K4" s="328"/>
      <c r="L4" s="328"/>
      <c r="M4" s="328"/>
      <c r="N4" s="333"/>
      <c r="O4" s="368"/>
      <c r="P4" s="149">
        <f t="shared" ref="P4:P10" si="2">SUM(C4:N4)</f>
        <v>393600</v>
      </c>
      <c r="Q4" s="147"/>
      <c r="R4" s="147">
        <v>730</v>
      </c>
      <c r="S4" s="319">
        <f t="shared" si="0"/>
        <v>8</v>
      </c>
      <c r="T4" s="335">
        <f t="shared" ref="T4:T10" si="3">+IF(S4=12,"Ok",+S4/120)</f>
        <v>6.6666666666666666E-2</v>
      </c>
      <c r="U4" s="242"/>
    </row>
    <row r="5" spans="1:25" x14ac:dyDescent="0.25">
      <c r="A5" s="243">
        <f t="shared" si="1"/>
        <v>8</v>
      </c>
      <c r="B5" s="148" t="s">
        <v>357</v>
      </c>
      <c r="C5" s="325">
        <v>139300</v>
      </c>
      <c r="D5" s="328">
        <v>142350</v>
      </c>
      <c r="E5" s="328">
        <v>139430</v>
      </c>
      <c r="F5" s="328">
        <f>139430</f>
        <v>139430</v>
      </c>
      <c r="G5" s="328">
        <v>139430</v>
      </c>
      <c r="H5" s="328">
        <v>135050</v>
      </c>
      <c r="I5" s="328">
        <v>146000</v>
      </c>
      <c r="J5" s="328">
        <v>141620</v>
      </c>
      <c r="K5" s="328"/>
      <c r="L5" s="328"/>
      <c r="M5" s="328"/>
      <c r="N5" s="333"/>
      <c r="O5" s="368"/>
      <c r="P5" s="149">
        <f t="shared" si="2"/>
        <v>1122610</v>
      </c>
      <c r="Q5" s="147"/>
      <c r="R5" s="147">
        <v>730</v>
      </c>
      <c r="S5" s="319">
        <f t="shared" si="0"/>
        <v>8</v>
      </c>
      <c r="T5" s="335">
        <f t="shared" si="3"/>
        <v>6.6666666666666666E-2</v>
      </c>
      <c r="U5" s="242"/>
    </row>
    <row r="6" spans="1:25" x14ac:dyDescent="0.25">
      <c r="A6" s="243">
        <f t="shared" si="1"/>
        <v>8</v>
      </c>
      <c r="B6" s="148" t="s">
        <v>358</v>
      </c>
      <c r="C6" s="325">
        <v>97465</v>
      </c>
      <c r="D6" s="328">
        <v>97465</v>
      </c>
      <c r="E6" s="328">
        <v>98700</v>
      </c>
      <c r="F6" s="328">
        <v>107800</v>
      </c>
      <c r="G6" s="328">
        <v>109440</v>
      </c>
      <c r="H6" s="328">
        <v>104460</v>
      </c>
      <c r="I6" s="328">
        <v>113150</v>
      </c>
      <c r="J6" s="328">
        <v>0</v>
      </c>
      <c r="K6" s="328"/>
      <c r="L6" s="328"/>
      <c r="M6" s="328"/>
      <c r="N6" s="333"/>
      <c r="O6" s="368"/>
      <c r="P6" s="149">
        <f t="shared" si="2"/>
        <v>728480</v>
      </c>
      <c r="Q6" s="147"/>
      <c r="R6" s="147">
        <v>730</v>
      </c>
      <c r="S6" s="319">
        <f t="shared" si="0"/>
        <v>8</v>
      </c>
      <c r="T6" s="335">
        <f t="shared" si="3"/>
        <v>6.6666666666666666E-2</v>
      </c>
      <c r="U6" s="242"/>
    </row>
    <row r="7" spans="1:25" x14ac:dyDescent="0.25">
      <c r="A7" s="243">
        <f t="shared" si="1"/>
        <v>8</v>
      </c>
      <c r="B7" s="148" t="s">
        <v>359</v>
      </c>
      <c r="C7" s="325">
        <v>48300</v>
      </c>
      <c r="D7" s="328">
        <v>46200</v>
      </c>
      <c r="E7" s="328">
        <v>44100</v>
      </c>
      <c r="F7" s="328">
        <v>46200</v>
      </c>
      <c r="G7" s="328">
        <v>44100</v>
      </c>
      <c r="H7" s="328">
        <v>45500</v>
      </c>
      <c r="I7" s="328">
        <v>46900</v>
      </c>
      <c r="J7" s="328">
        <v>0</v>
      </c>
      <c r="K7" s="328"/>
      <c r="L7" s="328"/>
      <c r="M7" s="328"/>
      <c r="N7" s="333"/>
      <c r="O7" s="368"/>
      <c r="P7" s="149">
        <f t="shared" si="2"/>
        <v>321300</v>
      </c>
      <c r="Q7" s="147"/>
      <c r="R7" s="147">
        <v>730</v>
      </c>
      <c r="S7" s="319">
        <f t="shared" si="0"/>
        <v>8</v>
      </c>
      <c r="T7" s="335">
        <f t="shared" si="3"/>
        <v>6.6666666666666666E-2</v>
      </c>
      <c r="U7" s="242"/>
    </row>
    <row r="8" spans="1:25" x14ac:dyDescent="0.25">
      <c r="A8" s="243">
        <f t="shared" si="1"/>
        <v>8</v>
      </c>
      <c r="B8" s="148" t="s">
        <v>360</v>
      </c>
      <c r="C8" s="820">
        <f>155490</f>
        <v>155490</v>
      </c>
      <c r="D8" s="328">
        <v>0</v>
      </c>
      <c r="E8" s="332">
        <v>138700</v>
      </c>
      <c r="F8" s="328">
        <v>141620</v>
      </c>
      <c r="G8" s="328">
        <v>143080</v>
      </c>
      <c r="H8" s="328">
        <v>144500</v>
      </c>
      <c r="I8" s="328">
        <v>147460</v>
      </c>
      <c r="J8" s="328">
        <v>148920</v>
      </c>
      <c r="K8" s="328"/>
      <c r="L8" s="328"/>
      <c r="M8" s="328"/>
      <c r="N8" s="333"/>
      <c r="O8" s="368"/>
      <c r="P8" s="149">
        <f t="shared" si="2"/>
        <v>1019770</v>
      </c>
      <c r="Q8" s="147"/>
      <c r="R8" s="147">
        <v>730</v>
      </c>
      <c r="S8" s="319">
        <f t="shared" si="0"/>
        <v>8</v>
      </c>
      <c r="T8" s="335">
        <f t="shared" si="3"/>
        <v>6.6666666666666666E-2</v>
      </c>
      <c r="U8" s="242"/>
      <c r="X8" s="140"/>
    </row>
    <row r="9" spans="1:25" x14ac:dyDescent="0.25">
      <c r="A9" s="243">
        <f t="shared" si="1"/>
        <v>8</v>
      </c>
      <c r="B9" s="148" t="s">
        <v>361</v>
      </c>
      <c r="C9" s="676">
        <v>105700</v>
      </c>
      <c r="D9" s="328">
        <v>108770</v>
      </c>
      <c r="E9" s="328">
        <v>104390</v>
      </c>
      <c r="F9" s="328">
        <v>103660</v>
      </c>
      <c r="G9" s="328">
        <v>102930</v>
      </c>
      <c r="H9" s="328">
        <v>101470</v>
      </c>
      <c r="I9" s="328">
        <v>99280</v>
      </c>
      <c r="J9" s="328">
        <v>100010</v>
      </c>
      <c r="K9" s="328"/>
      <c r="L9" s="332"/>
      <c r="M9" s="328"/>
      <c r="N9" s="333"/>
      <c r="O9" s="368"/>
      <c r="P9" s="149">
        <f t="shared" si="2"/>
        <v>826210</v>
      </c>
      <c r="Q9" s="147"/>
      <c r="R9" s="147">
        <v>730</v>
      </c>
      <c r="S9" s="319">
        <f t="shared" si="0"/>
        <v>8</v>
      </c>
      <c r="T9" s="335">
        <f t="shared" si="3"/>
        <v>6.6666666666666666E-2</v>
      </c>
      <c r="U9" s="242"/>
    </row>
    <row r="10" spans="1:25" x14ac:dyDescent="0.25">
      <c r="A10" s="243">
        <f t="shared" si="1"/>
        <v>8</v>
      </c>
      <c r="B10" s="150" t="s">
        <v>362</v>
      </c>
      <c r="C10" s="821">
        <v>69076</v>
      </c>
      <c r="D10" s="329">
        <v>0</v>
      </c>
      <c r="E10" s="329">
        <v>0</v>
      </c>
      <c r="F10" s="328">
        <v>0</v>
      </c>
      <c r="G10" s="329">
        <v>277190</v>
      </c>
      <c r="H10" s="329">
        <v>73500</v>
      </c>
      <c r="I10" s="329">
        <f>80300+22265</f>
        <v>102565</v>
      </c>
      <c r="J10" s="329">
        <v>77380</v>
      </c>
      <c r="K10" s="329"/>
      <c r="L10" s="329"/>
      <c r="M10" s="329"/>
      <c r="N10" s="334"/>
      <c r="O10" s="368"/>
      <c r="P10" s="151">
        <f t="shared" si="2"/>
        <v>599711</v>
      </c>
      <c r="Q10" s="147"/>
      <c r="R10" s="147">
        <v>730</v>
      </c>
      <c r="S10" s="319">
        <f t="shared" si="0"/>
        <v>8</v>
      </c>
      <c r="T10" s="335">
        <f t="shared" si="3"/>
        <v>6.6666666666666666E-2</v>
      </c>
      <c r="U10" s="242"/>
    </row>
    <row r="11" spans="1:25" collapsed="1" x14ac:dyDescent="0.25">
      <c r="B11" s="655" t="s">
        <v>57</v>
      </c>
      <c r="C11" s="656">
        <f t="shared" ref="C11:N11" si="4">SUM(C3:C10)</f>
        <v>691631</v>
      </c>
      <c r="D11" s="656">
        <f t="shared" si="4"/>
        <v>467985</v>
      </c>
      <c r="E11" s="656">
        <f t="shared" si="4"/>
        <v>597000</v>
      </c>
      <c r="F11" s="656">
        <f t="shared" si="4"/>
        <v>609190</v>
      </c>
      <c r="G11" s="656">
        <f t="shared" si="4"/>
        <v>893550</v>
      </c>
      <c r="H11" s="656">
        <f t="shared" si="4"/>
        <v>681130</v>
      </c>
      <c r="I11" s="656">
        <f t="shared" si="4"/>
        <v>735655</v>
      </c>
      <c r="J11" s="656">
        <f t="shared" si="4"/>
        <v>467930</v>
      </c>
      <c r="K11" s="656">
        <f t="shared" si="4"/>
        <v>0</v>
      </c>
      <c r="L11" s="656">
        <f t="shared" si="4"/>
        <v>0</v>
      </c>
      <c r="M11" s="656">
        <f t="shared" si="4"/>
        <v>0</v>
      </c>
      <c r="N11" s="657">
        <f t="shared" si="4"/>
        <v>0</v>
      </c>
      <c r="Q11" s="147">
        <f>SUM(C11:N11)</f>
        <v>5144071</v>
      </c>
      <c r="R11" s="147"/>
      <c r="S11" s="320">
        <f>SUM(S3:S10)</f>
        <v>64</v>
      </c>
      <c r="T11" s="335">
        <f>SUM(T3:T10)</f>
        <v>0.53333333333333333</v>
      </c>
      <c r="U11" s="243"/>
      <c r="X11" s="321"/>
      <c r="Y11" s="243"/>
    </row>
    <row r="12" spans="1:25" x14ac:dyDescent="0.25">
      <c r="B12" s="145" t="s">
        <v>55</v>
      </c>
      <c r="C12" s="330">
        <v>0</v>
      </c>
      <c r="D12" s="330">
        <v>0</v>
      </c>
      <c r="E12" s="330">
        <v>0</v>
      </c>
      <c r="F12" s="330">
        <v>0</v>
      </c>
      <c r="G12" s="330">
        <v>0</v>
      </c>
      <c r="H12" s="873">
        <v>0</v>
      </c>
      <c r="I12" s="330">
        <v>60000</v>
      </c>
      <c r="J12" s="330">
        <v>0</v>
      </c>
      <c r="K12" s="330"/>
      <c r="L12" s="330"/>
      <c r="M12" s="330"/>
      <c r="N12" s="331"/>
      <c r="O12" s="152"/>
      <c r="P12" s="146">
        <f>SUM(C12:N12)</f>
        <v>60000</v>
      </c>
      <c r="Q12" s="153"/>
      <c r="R12" s="153"/>
    </row>
    <row r="13" spans="1:25" x14ac:dyDescent="0.25">
      <c r="B13" s="148" t="s">
        <v>356</v>
      </c>
      <c r="C13" s="328">
        <v>0</v>
      </c>
      <c r="D13" s="328">
        <v>0</v>
      </c>
      <c r="E13" s="328">
        <v>0</v>
      </c>
      <c r="F13" s="328">
        <v>0</v>
      </c>
      <c r="G13" s="328">
        <v>60000</v>
      </c>
      <c r="H13" s="328">
        <v>0</v>
      </c>
      <c r="I13" s="328">
        <v>0</v>
      </c>
      <c r="J13" s="328">
        <v>60000</v>
      </c>
      <c r="K13" s="328"/>
      <c r="L13" s="328"/>
      <c r="M13" s="328"/>
      <c r="N13" s="333"/>
      <c r="O13" s="152"/>
      <c r="P13" s="149">
        <f t="shared" ref="P13:P21" si="5">SUM(C13:N13)</f>
        <v>120000</v>
      </c>
      <c r="Q13" s="153"/>
      <c r="R13" s="153"/>
    </row>
    <row r="14" spans="1:25" x14ac:dyDescent="0.25">
      <c r="B14" s="148" t="s">
        <v>357</v>
      </c>
      <c r="C14" s="328">
        <v>0</v>
      </c>
      <c r="D14" s="328">
        <v>0</v>
      </c>
      <c r="E14" s="328">
        <v>0</v>
      </c>
      <c r="F14" s="328">
        <v>0</v>
      </c>
      <c r="G14" s="328">
        <v>60000</v>
      </c>
      <c r="H14" s="328">
        <v>0</v>
      </c>
      <c r="I14" s="328">
        <v>0</v>
      </c>
      <c r="J14" s="730">
        <v>40000</v>
      </c>
      <c r="K14" s="328"/>
      <c r="L14" s="328"/>
      <c r="M14" s="328"/>
      <c r="N14" s="333"/>
      <c r="O14" s="152"/>
      <c r="P14" s="149">
        <f t="shared" si="5"/>
        <v>100000</v>
      </c>
      <c r="Q14" s="153"/>
      <c r="R14" s="153"/>
    </row>
    <row r="15" spans="1:25" x14ac:dyDescent="0.25">
      <c r="B15" s="148" t="s">
        <v>358</v>
      </c>
      <c r="C15" s="328">
        <v>0</v>
      </c>
      <c r="D15" s="328">
        <v>0</v>
      </c>
      <c r="E15" s="328">
        <v>0</v>
      </c>
      <c r="F15" s="328">
        <v>0</v>
      </c>
      <c r="G15" s="328">
        <v>79000</v>
      </c>
      <c r="H15" s="328">
        <v>0</v>
      </c>
      <c r="I15" s="328">
        <v>0</v>
      </c>
      <c r="J15" s="1010" t="s">
        <v>1768</v>
      </c>
      <c r="K15" s="328"/>
      <c r="L15" s="328"/>
      <c r="M15" s="328"/>
      <c r="N15" s="333"/>
      <c r="O15" s="152"/>
      <c r="P15" s="149">
        <f t="shared" si="5"/>
        <v>79000</v>
      </c>
      <c r="Q15" s="153"/>
      <c r="R15" s="153"/>
    </row>
    <row r="16" spans="1:25" x14ac:dyDescent="0.25">
      <c r="B16" s="148" t="s">
        <v>359</v>
      </c>
      <c r="C16" s="328">
        <v>0</v>
      </c>
      <c r="D16" s="328">
        <v>0</v>
      </c>
      <c r="E16" s="328">
        <v>0</v>
      </c>
      <c r="F16" s="328">
        <v>0</v>
      </c>
      <c r="G16" s="328">
        <v>40000</v>
      </c>
      <c r="H16" s="328">
        <v>0</v>
      </c>
      <c r="I16" s="328">
        <v>0</v>
      </c>
      <c r="J16" s="328">
        <v>40000</v>
      </c>
      <c r="K16" s="328"/>
      <c r="L16" s="328"/>
      <c r="M16" s="328"/>
      <c r="N16" s="333"/>
      <c r="O16" s="152"/>
      <c r="P16" s="149">
        <f t="shared" si="5"/>
        <v>80000</v>
      </c>
      <c r="Q16" s="153"/>
      <c r="R16" s="153"/>
    </row>
    <row r="17" spans="1:34" x14ac:dyDescent="0.25">
      <c r="B17" s="148" t="s">
        <v>360</v>
      </c>
      <c r="C17" s="328">
        <v>0</v>
      </c>
      <c r="D17" s="328">
        <v>0</v>
      </c>
      <c r="E17" s="328">
        <v>0</v>
      </c>
      <c r="F17" s="328">
        <v>0</v>
      </c>
      <c r="G17" s="328">
        <v>0</v>
      </c>
      <c r="H17" s="328">
        <v>60000</v>
      </c>
      <c r="I17" s="328">
        <v>0</v>
      </c>
      <c r="J17" s="328">
        <v>60000</v>
      </c>
      <c r="K17" s="328"/>
      <c r="L17" s="328"/>
      <c r="M17" s="328"/>
      <c r="N17" s="333"/>
      <c r="O17" s="152"/>
      <c r="P17" s="149">
        <f t="shared" si="5"/>
        <v>120000</v>
      </c>
      <c r="Q17" s="153"/>
      <c r="R17" s="153"/>
    </row>
    <row r="18" spans="1:34" x14ac:dyDescent="0.25">
      <c r="B18" s="148" t="s">
        <v>361</v>
      </c>
      <c r="C18" s="328">
        <v>0</v>
      </c>
      <c r="D18" s="328">
        <v>0</v>
      </c>
      <c r="E18" s="328">
        <v>0</v>
      </c>
      <c r="F18" s="328">
        <v>0</v>
      </c>
      <c r="G18" s="328">
        <v>60000</v>
      </c>
      <c r="H18" s="328">
        <v>0</v>
      </c>
      <c r="I18" s="328">
        <v>0</v>
      </c>
      <c r="J18" s="328">
        <v>60000</v>
      </c>
      <c r="K18" s="328"/>
      <c r="L18" s="328"/>
      <c r="M18" s="328"/>
      <c r="N18" s="333"/>
      <c r="O18" s="152"/>
      <c r="P18" s="149">
        <f t="shared" si="5"/>
        <v>120000</v>
      </c>
      <c r="Q18" s="153"/>
      <c r="R18" s="153"/>
    </row>
    <row r="19" spans="1:34" x14ac:dyDescent="0.25">
      <c r="B19" s="148" t="s">
        <v>362</v>
      </c>
      <c r="C19" s="328">
        <v>0</v>
      </c>
      <c r="D19" s="328">
        <v>0</v>
      </c>
      <c r="E19" s="328">
        <v>0</v>
      </c>
      <c r="F19" s="328">
        <v>0</v>
      </c>
      <c r="G19" s="328">
        <v>40000</v>
      </c>
      <c r="H19" s="328">
        <v>0</v>
      </c>
      <c r="I19" s="328">
        <v>0</v>
      </c>
      <c r="J19" s="328">
        <v>60000</v>
      </c>
      <c r="K19" s="328"/>
      <c r="L19" s="328"/>
      <c r="M19" s="328"/>
      <c r="N19" s="333"/>
      <c r="O19" s="152"/>
      <c r="P19" s="149">
        <f t="shared" si="5"/>
        <v>100000</v>
      </c>
      <c r="Q19" s="153"/>
      <c r="R19" s="153"/>
    </row>
    <row r="20" spans="1:34" x14ac:dyDescent="0.25">
      <c r="B20" s="148" t="s">
        <v>56</v>
      </c>
      <c r="C20" s="328">
        <v>0</v>
      </c>
      <c r="D20" s="328">
        <v>0</v>
      </c>
      <c r="E20" s="328">
        <v>0</v>
      </c>
      <c r="F20" s="328">
        <v>0</v>
      </c>
      <c r="G20" s="730">
        <v>0</v>
      </c>
      <c r="H20" s="730">
        <v>1000</v>
      </c>
      <c r="I20" s="328">
        <v>0</v>
      </c>
      <c r="J20" s="730">
        <v>1000</v>
      </c>
      <c r="K20" s="328"/>
      <c r="L20" s="328"/>
      <c r="M20" s="328"/>
      <c r="N20" s="333"/>
      <c r="O20" s="152"/>
      <c r="P20" s="149">
        <f t="shared" si="5"/>
        <v>2000</v>
      </c>
      <c r="Q20" s="153"/>
      <c r="R20" s="153"/>
    </row>
    <row r="21" spans="1:34" x14ac:dyDescent="0.25">
      <c r="B21" s="154" t="s">
        <v>58</v>
      </c>
      <c r="C21" s="329">
        <v>0</v>
      </c>
      <c r="D21" s="329">
        <v>0</v>
      </c>
      <c r="E21" s="329">
        <v>0</v>
      </c>
      <c r="F21" s="329">
        <v>0</v>
      </c>
      <c r="G21" s="329">
        <v>0</v>
      </c>
      <c r="H21" s="329">
        <v>0</v>
      </c>
      <c r="I21" s="329">
        <v>0</v>
      </c>
      <c r="J21" s="329">
        <v>0</v>
      </c>
      <c r="K21" s="329"/>
      <c r="L21" s="329"/>
      <c r="M21" s="329"/>
      <c r="N21" s="334"/>
      <c r="O21" s="152"/>
      <c r="P21" s="151">
        <f t="shared" si="5"/>
        <v>0</v>
      </c>
      <c r="Q21" s="153"/>
      <c r="R21" s="153"/>
    </row>
    <row r="22" spans="1:34" collapsed="1" x14ac:dyDescent="0.25">
      <c r="B22" s="655" t="s">
        <v>59</v>
      </c>
      <c r="C22" s="656">
        <f t="shared" ref="C22:N22" si="6">SUM(C12:C21)</f>
        <v>0</v>
      </c>
      <c r="D22" s="656">
        <f t="shared" si="6"/>
        <v>0</v>
      </c>
      <c r="E22" s="656">
        <f t="shared" si="6"/>
        <v>0</v>
      </c>
      <c r="F22" s="656">
        <f t="shared" si="6"/>
        <v>0</v>
      </c>
      <c r="G22" s="656">
        <f t="shared" si="6"/>
        <v>339000</v>
      </c>
      <c r="H22" s="656">
        <f t="shared" si="6"/>
        <v>61000</v>
      </c>
      <c r="I22" s="656">
        <f t="shared" si="6"/>
        <v>60000</v>
      </c>
      <c r="J22" s="656">
        <f t="shared" si="6"/>
        <v>321000</v>
      </c>
      <c r="K22" s="656">
        <f t="shared" si="6"/>
        <v>0</v>
      </c>
      <c r="L22" s="656">
        <f t="shared" si="6"/>
        <v>0</v>
      </c>
      <c r="M22" s="656">
        <f t="shared" si="6"/>
        <v>0</v>
      </c>
      <c r="N22" s="657">
        <f t="shared" si="6"/>
        <v>0</v>
      </c>
      <c r="O22" s="155"/>
      <c r="P22" s="156"/>
      <c r="Q22" s="147">
        <f>SUM(C22:N22)</f>
        <v>781000</v>
      </c>
      <c r="R22" s="147"/>
    </row>
    <row r="23" spans="1:34" x14ac:dyDescent="0.25">
      <c r="A23" s="139">
        <v>3</v>
      </c>
      <c r="B23" s="145" t="s">
        <v>55</v>
      </c>
      <c r="C23" s="330">
        <v>0</v>
      </c>
      <c r="D23" s="330">
        <v>0</v>
      </c>
      <c r="E23" s="330">
        <v>0</v>
      </c>
      <c r="F23" s="330">
        <v>0</v>
      </c>
      <c r="G23" s="330">
        <v>0</v>
      </c>
      <c r="H23" s="330">
        <v>0</v>
      </c>
      <c r="I23" s="330">
        <v>24000</v>
      </c>
      <c r="J23" s="330">
        <v>0</v>
      </c>
      <c r="K23" s="330"/>
      <c r="L23" s="330"/>
      <c r="M23" s="330"/>
      <c r="N23" s="331"/>
      <c r="O23" s="152"/>
      <c r="P23" s="146">
        <f>SUM(C23:N23)</f>
        <v>24000</v>
      </c>
      <c r="Q23" s="153"/>
      <c r="R23" s="153"/>
    </row>
    <row r="24" spans="1:34" x14ac:dyDescent="0.25">
      <c r="A24" s="139">
        <v>3</v>
      </c>
      <c r="B24" s="148" t="s">
        <v>356</v>
      </c>
      <c r="C24" s="328">
        <v>0</v>
      </c>
      <c r="D24" s="328">
        <v>0</v>
      </c>
      <c r="E24" s="328">
        <v>0</v>
      </c>
      <c r="F24" s="328">
        <v>0</v>
      </c>
      <c r="G24" s="328">
        <v>0</v>
      </c>
      <c r="H24" s="328">
        <v>0</v>
      </c>
      <c r="I24" s="328">
        <v>0</v>
      </c>
      <c r="J24" s="328">
        <v>0</v>
      </c>
      <c r="K24" s="328"/>
      <c r="L24" s="328"/>
      <c r="M24" s="328"/>
      <c r="N24" s="333"/>
      <c r="O24" s="152"/>
      <c r="P24" s="149">
        <f t="shared" ref="P24:P31" si="7">SUM(C24:N24)</f>
        <v>0</v>
      </c>
      <c r="Q24" s="153"/>
      <c r="R24" s="153"/>
    </row>
    <row r="25" spans="1:34" x14ac:dyDescent="0.25">
      <c r="A25" s="139">
        <v>3</v>
      </c>
      <c r="B25" s="148" t="s">
        <v>357</v>
      </c>
      <c r="C25" s="328">
        <v>0</v>
      </c>
      <c r="D25" s="328">
        <v>0</v>
      </c>
      <c r="E25" s="328">
        <v>0</v>
      </c>
      <c r="F25" s="328">
        <v>0</v>
      </c>
      <c r="G25" s="328">
        <v>0</v>
      </c>
      <c r="H25" s="328">
        <v>0</v>
      </c>
      <c r="I25" s="328">
        <v>0</v>
      </c>
      <c r="J25" s="730">
        <v>27000</v>
      </c>
      <c r="K25" s="328"/>
      <c r="L25" s="328"/>
      <c r="M25" s="328"/>
      <c r="N25" s="333"/>
      <c r="O25" s="152"/>
      <c r="P25" s="149">
        <f t="shared" si="7"/>
        <v>27000</v>
      </c>
      <c r="Q25" s="153"/>
      <c r="R25" s="153"/>
    </row>
    <row r="26" spans="1:34" x14ac:dyDescent="0.25">
      <c r="A26" s="139">
        <v>3</v>
      </c>
      <c r="B26" s="148" t="s">
        <v>358</v>
      </c>
      <c r="C26" s="328">
        <v>0</v>
      </c>
      <c r="D26" s="328">
        <v>0</v>
      </c>
      <c r="E26" s="328">
        <v>0</v>
      </c>
      <c r="F26" s="328">
        <v>0</v>
      </c>
      <c r="G26" s="328">
        <v>0</v>
      </c>
      <c r="H26" s="328">
        <v>0</v>
      </c>
      <c r="I26" s="328">
        <v>0</v>
      </c>
      <c r="J26" s="328">
        <v>0</v>
      </c>
      <c r="K26" s="328"/>
      <c r="L26" s="328"/>
      <c r="M26" s="328"/>
      <c r="N26" s="333"/>
      <c r="O26" s="152"/>
      <c r="P26" s="149">
        <f t="shared" si="7"/>
        <v>0</v>
      </c>
      <c r="Q26" s="153"/>
      <c r="R26" s="153"/>
    </row>
    <row r="27" spans="1:34" x14ac:dyDescent="0.25">
      <c r="A27" s="139">
        <v>3</v>
      </c>
      <c r="B27" s="148" t="s">
        <v>359</v>
      </c>
      <c r="C27" s="328">
        <v>0</v>
      </c>
      <c r="D27" s="328">
        <v>0</v>
      </c>
      <c r="E27" s="328">
        <v>0</v>
      </c>
      <c r="F27" s="328">
        <v>0</v>
      </c>
      <c r="G27" s="328">
        <v>0</v>
      </c>
      <c r="H27" s="328">
        <v>0</v>
      </c>
      <c r="I27" s="328">
        <v>0</v>
      </c>
      <c r="J27" s="328">
        <v>0</v>
      </c>
      <c r="K27" s="328"/>
      <c r="L27" s="328"/>
      <c r="M27" s="328"/>
      <c r="N27" s="333"/>
      <c r="O27" s="152"/>
      <c r="P27" s="149">
        <f t="shared" si="7"/>
        <v>0</v>
      </c>
      <c r="Q27" s="153"/>
      <c r="R27" s="153"/>
    </row>
    <row r="28" spans="1:34" x14ac:dyDescent="0.25">
      <c r="A28" s="139">
        <v>3</v>
      </c>
      <c r="B28" s="148" t="s">
        <v>360</v>
      </c>
      <c r="C28" s="328">
        <v>0</v>
      </c>
      <c r="D28" s="328">
        <v>0</v>
      </c>
      <c r="E28" s="328">
        <v>0</v>
      </c>
      <c r="F28" s="328">
        <v>0</v>
      </c>
      <c r="G28" s="328">
        <v>0</v>
      </c>
      <c r="H28" s="328">
        <v>0</v>
      </c>
      <c r="I28" s="328">
        <v>0</v>
      </c>
      <c r="J28" s="328">
        <v>18000</v>
      </c>
      <c r="K28" s="328"/>
      <c r="L28" s="328"/>
      <c r="M28" s="328"/>
      <c r="N28" s="333"/>
      <c r="O28" s="152"/>
      <c r="P28" s="149">
        <f t="shared" si="7"/>
        <v>18000</v>
      </c>
      <c r="Q28" s="153"/>
      <c r="R28" s="153"/>
    </row>
    <row r="29" spans="1:34" x14ac:dyDescent="0.25">
      <c r="A29" s="139">
        <v>3</v>
      </c>
      <c r="B29" s="148" t="s">
        <v>361</v>
      </c>
      <c r="C29" s="730">
        <v>3000</v>
      </c>
      <c r="D29" s="328">
        <v>3000</v>
      </c>
      <c r="E29" s="328">
        <v>3000</v>
      </c>
      <c r="F29" s="328">
        <v>3000</v>
      </c>
      <c r="G29" s="328">
        <v>3000</v>
      </c>
      <c r="H29" s="328">
        <v>3000</v>
      </c>
      <c r="I29" s="328">
        <v>3000</v>
      </c>
      <c r="J29" s="328">
        <v>3000</v>
      </c>
      <c r="K29" s="328"/>
      <c r="L29" s="328"/>
      <c r="M29" s="328"/>
      <c r="N29" s="333"/>
      <c r="O29" s="152"/>
      <c r="P29" s="149">
        <f t="shared" si="7"/>
        <v>24000</v>
      </c>
      <c r="Q29" s="153"/>
      <c r="R29" s="153"/>
    </row>
    <row r="30" spans="1:34" x14ac:dyDescent="0.25">
      <c r="A30" s="139">
        <v>3</v>
      </c>
      <c r="B30" s="148" t="s">
        <v>362</v>
      </c>
      <c r="C30" s="327">
        <v>0</v>
      </c>
      <c r="D30" s="328">
        <v>0</v>
      </c>
      <c r="E30" s="328">
        <v>0</v>
      </c>
      <c r="F30" s="328">
        <v>0</v>
      </c>
      <c r="G30" s="328">
        <v>0</v>
      </c>
      <c r="H30" s="328">
        <v>0</v>
      </c>
      <c r="I30" s="328">
        <v>0</v>
      </c>
      <c r="J30" s="328">
        <v>0</v>
      </c>
      <c r="K30" s="328"/>
      <c r="L30" s="328"/>
      <c r="M30" s="328"/>
      <c r="N30" s="333"/>
      <c r="O30" s="152"/>
      <c r="P30" s="149">
        <f t="shared" si="7"/>
        <v>0</v>
      </c>
      <c r="Q30" s="153"/>
      <c r="R30" s="153"/>
    </row>
    <row r="31" spans="1:34" x14ac:dyDescent="0.25">
      <c r="A31" s="139">
        <v>1</v>
      </c>
      <c r="B31" s="150" t="s">
        <v>56</v>
      </c>
      <c r="C31" s="329">
        <v>0</v>
      </c>
      <c r="D31" s="329">
        <v>0</v>
      </c>
      <c r="E31" s="329">
        <v>0</v>
      </c>
      <c r="F31" s="329">
        <v>0</v>
      </c>
      <c r="G31" s="329">
        <v>0</v>
      </c>
      <c r="H31" s="329">
        <v>0</v>
      </c>
      <c r="I31" s="329">
        <v>0</v>
      </c>
      <c r="J31" s="1011">
        <v>8000</v>
      </c>
      <c r="K31" s="329"/>
      <c r="L31" s="329"/>
      <c r="M31" s="329"/>
      <c r="N31" s="334"/>
      <c r="O31" s="152"/>
      <c r="P31" s="151">
        <f t="shared" si="7"/>
        <v>8000</v>
      </c>
      <c r="Q31" s="153"/>
      <c r="R31" s="153"/>
    </row>
    <row r="32" spans="1:34" collapsed="1" x14ac:dyDescent="0.25">
      <c r="A32" s="139">
        <f>SUM(A23:A31)</f>
        <v>25</v>
      </c>
      <c r="B32" s="655" t="s">
        <v>60</v>
      </c>
      <c r="C32" s="656">
        <f t="shared" ref="C32:N32" si="8">SUM(C23:C31)</f>
        <v>3000</v>
      </c>
      <c r="D32" s="656">
        <f t="shared" si="8"/>
        <v>3000</v>
      </c>
      <c r="E32" s="656">
        <f t="shared" si="8"/>
        <v>3000</v>
      </c>
      <c r="F32" s="656">
        <f t="shared" si="8"/>
        <v>3000</v>
      </c>
      <c r="G32" s="656">
        <f t="shared" si="8"/>
        <v>3000</v>
      </c>
      <c r="H32" s="656">
        <f t="shared" si="8"/>
        <v>3000</v>
      </c>
      <c r="I32" s="656">
        <f t="shared" si="8"/>
        <v>27000</v>
      </c>
      <c r="J32" s="656">
        <f t="shared" si="8"/>
        <v>56000</v>
      </c>
      <c r="K32" s="656">
        <f t="shared" si="8"/>
        <v>0</v>
      </c>
      <c r="L32" s="656">
        <f t="shared" si="8"/>
        <v>0</v>
      </c>
      <c r="M32" s="656">
        <f t="shared" si="8"/>
        <v>0</v>
      </c>
      <c r="N32" s="657">
        <f t="shared" si="8"/>
        <v>0</v>
      </c>
      <c r="P32" s="158"/>
      <c r="Q32" s="147">
        <f>SUM(C32:N32)</f>
        <v>101000</v>
      </c>
      <c r="R32" s="147"/>
      <c r="T32" s="159"/>
      <c r="U32" s="159"/>
      <c r="V32" s="159"/>
      <c r="W32" s="159"/>
      <c r="X32" s="159"/>
      <c r="Y32" s="159"/>
      <c r="Z32" s="159"/>
      <c r="AA32" s="159"/>
      <c r="AB32" s="159"/>
      <c r="AC32" s="159"/>
      <c r="AD32" s="159"/>
      <c r="AE32" s="159"/>
      <c r="AF32" s="159"/>
      <c r="AG32" s="159"/>
      <c r="AH32" s="159"/>
    </row>
    <row r="33" spans="2:34" x14ac:dyDescent="0.25">
      <c r="B33" s="649" t="s">
        <v>303</v>
      </c>
      <c r="C33" s="650">
        <v>5335</v>
      </c>
      <c r="D33" s="650">
        <f>150500+6*700</f>
        <v>154700</v>
      </c>
      <c r="E33" s="650">
        <v>151800</v>
      </c>
      <c r="F33" s="650">
        <v>0</v>
      </c>
      <c r="G33" s="650">
        <v>0</v>
      </c>
      <c r="H33" s="650">
        <v>0</v>
      </c>
      <c r="I33" s="650">
        <v>0</v>
      </c>
      <c r="J33" s="650">
        <v>0</v>
      </c>
      <c r="K33" s="650"/>
      <c r="L33" s="650"/>
      <c r="M33" s="650"/>
      <c r="N33" s="651"/>
      <c r="O33" s="155"/>
      <c r="P33" s="157">
        <f>SUM(C33:N33)</f>
        <v>311835</v>
      </c>
      <c r="Q33" s="153"/>
      <c r="R33" s="153"/>
    </row>
    <row r="34" spans="2:34" x14ac:dyDescent="0.25">
      <c r="B34" s="652" t="s">
        <v>79</v>
      </c>
      <c r="C34" s="653">
        <v>0</v>
      </c>
      <c r="D34" s="653">
        <v>0</v>
      </c>
      <c r="E34" s="653">
        <v>0</v>
      </c>
      <c r="F34" s="653">
        <v>0</v>
      </c>
      <c r="G34" s="653">
        <v>0</v>
      </c>
      <c r="H34" s="653">
        <v>0</v>
      </c>
      <c r="I34" s="653">
        <v>0</v>
      </c>
      <c r="J34" s="653">
        <v>0</v>
      </c>
      <c r="K34" s="653">
        <v>0</v>
      </c>
      <c r="L34" s="653">
        <v>0</v>
      </c>
      <c r="M34" s="653">
        <v>0</v>
      </c>
      <c r="N34" s="654">
        <v>0</v>
      </c>
      <c r="O34" s="155"/>
      <c r="P34" s="157">
        <f>SUM(C34:N34)</f>
        <v>0</v>
      </c>
      <c r="Q34" s="153"/>
      <c r="R34" s="153"/>
    </row>
    <row r="35" spans="2:34" x14ac:dyDescent="0.25">
      <c r="B35" s="658" t="s">
        <v>38</v>
      </c>
      <c r="C35" s="659">
        <f t="shared" ref="C35:N35" si="9">+C32+C34+C33+C22+C11</f>
        <v>699966</v>
      </c>
      <c r="D35" s="659">
        <f t="shared" si="9"/>
        <v>625685</v>
      </c>
      <c r="E35" s="659">
        <f t="shared" si="9"/>
        <v>751800</v>
      </c>
      <c r="F35" s="659">
        <f t="shared" si="9"/>
        <v>612190</v>
      </c>
      <c r="G35" s="659">
        <f t="shared" si="9"/>
        <v>1235550</v>
      </c>
      <c r="H35" s="659">
        <f t="shared" si="9"/>
        <v>745130</v>
      </c>
      <c r="I35" s="659">
        <f t="shared" si="9"/>
        <v>822655</v>
      </c>
      <c r="J35" s="659">
        <f t="shared" si="9"/>
        <v>844930</v>
      </c>
      <c r="K35" s="659">
        <f t="shared" si="9"/>
        <v>0</v>
      </c>
      <c r="L35" s="659">
        <f t="shared" si="9"/>
        <v>0</v>
      </c>
      <c r="M35" s="659">
        <f t="shared" si="9"/>
        <v>0</v>
      </c>
      <c r="N35" s="660">
        <f t="shared" si="9"/>
        <v>0</v>
      </c>
      <c r="Q35" s="241">
        <f>SUM(C35:N35)</f>
        <v>6337906</v>
      </c>
      <c r="R35" s="153"/>
    </row>
    <row r="36" spans="2:34" s="159" customFormat="1" x14ac:dyDescent="0.25">
      <c r="B36" s="160"/>
      <c r="C36" s="142"/>
      <c r="D36" s="142"/>
      <c r="E36" s="142"/>
      <c r="F36" s="142"/>
      <c r="G36" s="142"/>
      <c r="H36" s="142"/>
      <c r="I36" s="142"/>
      <c r="J36" s="142"/>
      <c r="K36" s="142"/>
      <c r="L36" s="142"/>
      <c r="M36" s="142"/>
      <c r="N36" s="142"/>
      <c r="O36" s="155"/>
      <c r="P36" s="155"/>
      <c r="Q36" s="161"/>
      <c r="R36" s="161"/>
      <c r="T36" s="139"/>
      <c r="U36" s="139"/>
      <c r="V36" s="139"/>
      <c r="W36" s="139"/>
      <c r="X36" s="139"/>
      <c r="Y36" s="139"/>
      <c r="Z36" s="139"/>
      <c r="AA36" s="139"/>
      <c r="AB36" s="139"/>
      <c r="AC36" s="139"/>
      <c r="AD36" s="139"/>
      <c r="AE36" s="139"/>
      <c r="AF36" s="139"/>
      <c r="AG36" s="139"/>
      <c r="AH36" s="139"/>
    </row>
    <row r="37" spans="2:34" x14ac:dyDescent="0.25">
      <c r="B37" s="663" t="s">
        <v>7</v>
      </c>
      <c r="C37" s="664">
        <f>+DIRECTOR!M5</f>
        <v>80000</v>
      </c>
      <c r="D37" s="664">
        <f>+DIRECTOR!M15</f>
        <v>95000</v>
      </c>
      <c r="E37" s="664">
        <f>+DIRECTOR!M25</f>
        <v>110000</v>
      </c>
      <c r="F37" s="664">
        <f>+DIRECTOR!M35</f>
        <v>0</v>
      </c>
      <c r="G37" s="664">
        <f>+DIRECTOR!M45</f>
        <v>60000</v>
      </c>
      <c r="H37" s="664">
        <f>+DIRECTOR!M55</f>
        <v>356331</v>
      </c>
      <c r="I37" s="664">
        <f>+DIRECTOR!M65</f>
        <v>0</v>
      </c>
      <c r="J37" s="664">
        <f>+DIRECTOR!M75</f>
        <v>0</v>
      </c>
      <c r="K37" s="664">
        <f>+DIRECTOR!M85</f>
        <v>0</v>
      </c>
      <c r="L37" s="664">
        <f>+DIRECTOR!M95</f>
        <v>0</v>
      </c>
      <c r="M37" s="664">
        <f>+DIRECTOR!M105</f>
        <v>0</v>
      </c>
      <c r="N37" s="665">
        <f>+DIRECTOR!M115</f>
        <v>0</v>
      </c>
      <c r="O37" s="152"/>
      <c r="P37" s="162">
        <f t="shared" ref="P37:P44" si="10">SUM(C37:N37)*(-1)</f>
        <v>-701331</v>
      </c>
      <c r="Q37" s="147">
        <f>+P37</f>
        <v>-701331</v>
      </c>
      <c r="R37" s="147"/>
      <c r="S37" s="163"/>
    </row>
    <row r="38" spans="2:34" x14ac:dyDescent="0.25">
      <c r="B38" s="666" t="s">
        <v>61</v>
      </c>
      <c r="C38" s="662">
        <f>+DIRECTOR!M6</f>
        <v>60900</v>
      </c>
      <c r="D38" s="662">
        <f>+DIRECTOR!M16</f>
        <v>126290</v>
      </c>
      <c r="E38" s="662">
        <f>+DIRECTOR!M26</f>
        <v>79970</v>
      </c>
      <c r="F38" s="662">
        <f>+DIRECTOR!M36</f>
        <v>0</v>
      </c>
      <c r="G38" s="662">
        <f>+DIRECTOR!M46</f>
        <v>0</v>
      </c>
      <c r="H38" s="662">
        <f>+DIRECTOR!M56</f>
        <v>98000</v>
      </c>
      <c r="I38" s="662">
        <f>+DIRECTOR!M66</f>
        <v>0</v>
      </c>
      <c r="J38" s="662">
        <f>+DIRECTOR!M76</f>
        <v>9086</v>
      </c>
      <c r="K38" s="662">
        <f>+DIRECTOR!M86</f>
        <v>0</v>
      </c>
      <c r="L38" s="662">
        <f>+DIRECTOR!M96</f>
        <v>0</v>
      </c>
      <c r="M38" s="662">
        <f>+DIRECTOR!M106</f>
        <v>0</v>
      </c>
      <c r="N38" s="669">
        <f>+DIRECTOR!M116</f>
        <v>0</v>
      </c>
      <c r="O38" s="152"/>
      <c r="P38" s="164">
        <f t="shared" si="10"/>
        <v>-374246</v>
      </c>
      <c r="Q38" s="153"/>
      <c r="R38" s="147"/>
      <c r="S38" s="163"/>
    </row>
    <row r="39" spans="2:34" x14ac:dyDescent="0.25">
      <c r="B39" s="666" t="s">
        <v>62</v>
      </c>
      <c r="C39" s="662">
        <f>+DIRECTOR!M7</f>
        <v>23400</v>
      </c>
      <c r="D39" s="662">
        <f>+DIRECTOR!M17</f>
        <v>40430</v>
      </c>
      <c r="E39" s="662">
        <f>+DIRECTOR!M27</f>
        <v>18150</v>
      </c>
      <c r="F39" s="662">
        <f>+DIRECTOR!M37</f>
        <v>0</v>
      </c>
      <c r="G39" s="662">
        <f>+DIRECTOR!M47</f>
        <v>0</v>
      </c>
      <c r="H39" s="662">
        <f>+DIRECTOR!M57</f>
        <v>143130</v>
      </c>
      <c r="I39" s="662">
        <f>+DIRECTOR!M67</f>
        <v>0</v>
      </c>
      <c r="J39" s="662">
        <f>+DIRECTOR!M77</f>
        <v>21360</v>
      </c>
      <c r="K39" s="662">
        <f>+DIRECTOR!M87</f>
        <v>0</v>
      </c>
      <c r="L39" s="662">
        <f>+DIRECTOR!M97</f>
        <v>0</v>
      </c>
      <c r="M39" s="662">
        <f>+DIRECTOR!M107</f>
        <v>0</v>
      </c>
      <c r="N39" s="669">
        <f>+DIRECTOR!M117</f>
        <v>0</v>
      </c>
      <c r="O39" s="152"/>
      <c r="P39" s="164">
        <f t="shared" si="10"/>
        <v>-246470</v>
      </c>
      <c r="Q39" s="153"/>
      <c r="R39" s="147"/>
      <c r="S39" s="163"/>
    </row>
    <row r="40" spans="2:34" x14ac:dyDescent="0.25">
      <c r="B40" s="666" t="s">
        <v>63</v>
      </c>
      <c r="C40" s="662">
        <f>+DIRECTOR!M8</f>
        <v>4000</v>
      </c>
      <c r="D40" s="662">
        <f>+DIRECTOR!M18</f>
        <v>3000</v>
      </c>
      <c r="E40" s="662">
        <f>+DIRECTOR!M28</f>
        <v>8000</v>
      </c>
      <c r="F40" s="662">
        <f>+DIRECTOR!M38</f>
        <v>0</v>
      </c>
      <c r="G40" s="662">
        <f>+DIRECTOR!M48</f>
        <v>0</v>
      </c>
      <c r="H40" s="662">
        <f>+DIRECTOR!M58</f>
        <v>5000</v>
      </c>
      <c r="I40" s="662">
        <f>+DIRECTOR!M68</f>
        <v>0</v>
      </c>
      <c r="J40" s="662">
        <f>+DIRECTOR!M78</f>
        <v>0</v>
      </c>
      <c r="K40" s="662">
        <f>+DIRECTOR!M88</f>
        <v>0</v>
      </c>
      <c r="L40" s="662">
        <f>+DIRECTOR!M98</f>
        <v>0</v>
      </c>
      <c r="M40" s="662">
        <f>+DIRECTOR!M108</f>
        <v>0</v>
      </c>
      <c r="N40" s="669">
        <f>+DIRECTOR!M118</f>
        <v>0</v>
      </c>
      <c r="O40" s="152"/>
      <c r="P40" s="164">
        <f t="shared" si="10"/>
        <v>-20000</v>
      </c>
      <c r="Q40" s="153"/>
      <c r="R40" s="147"/>
      <c r="S40" s="163"/>
    </row>
    <row r="41" spans="2:34" x14ac:dyDescent="0.25">
      <c r="B41" s="666" t="s">
        <v>64</v>
      </c>
      <c r="C41" s="662">
        <f>+DIRECTOR!M9</f>
        <v>5037</v>
      </c>
      <c r="D41" s="662">
        <f>+DIRECTOR!M19</f>
        <v>15996</v>
      </c>
      <c r="E41" s="662">
        <f>+DIRECTOR!M29</f>
        <v>8796</v>
      </c>
      <c r="F41" s="662">
        <f>+DIRECTOR!M39</f>
        <v>0</v>
      </c>
      <c r="G41" s="662">
        <f>+DIRECTOR!M49</f>
        <v>0</v>
      </c>
      <c r="H41" s="662">
        <f>+DIRECTOR!M59</f>
        <v>9198</v>
      </c>
      <c r="I41" s="662">
        <f>+DIRECTOR!M69</f>
        <v>0</v>
      </c>
      <c r="J41" s="662">
        <f>+DIRECTOR!M79</f>
        <v>0</v>
      </c>
      <c r="K41" s="662">
        <f>+DIRECTOR!M89</f>
        <v>0</v>
      </c>
      <c r="L41" s="662">
        <f>+DIRECTOR!M99</f>
        <v>0</v>
      </c>
      <c r="M41" s="662">
        <f>+DIRECTOR!M109</f>
        <v>0</v>
      </c>
      <c r="N41" s="669">
        <f>+DIRECTOR!M119</f>
        <v>0</v>
      </c>
      <c r="O41" s="152"/>
      <c r="P41" s="164">
        <f t="shared" si="10"/>
        <v>-39027</v>
      </c>
      <c r="Q41" s="153"/>
      <c r="R41" s="147"/>
      <c r="S41" s="163"/>
    </row>
    <row r="42" spans="2:34" x14ac:dyDescent="0.25">
      <c r="B42" s="666" t="s">
        <v>65</v>
      </c>
      <c r="C42" s="662">
        <f>+DIRECTOR!M10</f>
        <v>600</v>
      </c>
      <c r="D42" s="662">
        <f>+DIRECTOR!M20</f>
        <v>0</v>
      </c>
      <c r="E42" s="662">
        <f>+DIRECTOR!M30</f>
        <v>0</v>
      </c>
      <c r="F42" s="662">
        <f>+DIRECTOR!M40</f>
        <v>0</v>
      </c>
      <c r="G42" s="662">
        <f>+DIRECTOR!M50</f>
        <v>0</v>
      </c>
      <c r="H42" s="662">
        <f>+DIRECTOR!M60</f>
        <v>1000</v>
      </c>
      <c r="I42" s="662">
        <f>+DIRECTOR!M70</f>
        <v>0</v>
      </c>
      <c r="J42" s="662">
        <f>+DIRECTOR!M80</f>
        <v>0</v>
      </c>
      <c r="K42" s="662">
        <f>+DIRECTOR!M90</f>
        <v>0</v>
      </c>
      <c r="L42" s="662">
        <f>+DIRECTOR!M100</f>
        <v>0</v>
      </c>
      <c r="M42" s="662">
        <f>+DIRECTOR!M110</f>
        <v>0</v>
      </c>
      <c r="N42" s="669">
        <f>+DIRECTOR!M120</f>
        <v>0</v>
      </c>
      <c r="O42" s="152"/>
      <c r="P42" s="164">
        <f t="shared" si="10"/>
        <v>-1600</v>
      </c>
      <c r="Q42" s="153"/>
      <c r="R42" s="147"/>
      <c r="S42" s="163"/>
    </row>
    <row r="43" spans="2:34" x14ac:dyDescent="0.25">
      <c r="B43" s="666" t="s">
        <v>67</v>
      </c>
      <c r="C43" s="662">
        <f>+DIRECTOR!M11</f>
        <v>86836</v>
      </c>
      <c r="D43" s="662">
        <f>+DIRECTOR!M21</f>
        <v>116500</v>
      </c>
      <c r="E43" s="662">
        <f>+DIRECTOR!M31</f>
        <v>83560</v>
      </c>
      <c r="F43" s="662">
        <f>+DIRECTOR!M41</f>
        <v>0</v>
      </c>
      <c r="G43" s="875">
        <f>+DIRECTOR!M51</f>
        <v>742936</v>
      </c>
      <c r="H43" s="662">
        <f>+DIRECTOR!M61</f>
        <v>35070</v>
      </c>
      <c r="I43" s="662">
        <f>+DIRECTOR!M71</f>
        <v>0</v>
      </c>
      <c r="J43" s="662">
        <f>+DIRECTOR!M81</f>
        <v>0</v>
      </c>
      <c r="K43" s="662">
        <f>+DIRECTOR!M91</f>
        <v>0</v>
      </c>
      <c r="L43" s="662">
        <f>+DIRECTOR!M101</f>
        <v>0</v>
      </c>
      <c r="M43" s="662">
        <f>+DIRECTOR!M111</f>
        <v>0</v>
      </c>
      <c r="N43" s="669">
        <f>+DIRECTOR!M121</f>
        <v>0</v>
      </c>
      <c r="O43" s="152"/>
      <c r="P43" s="162">
        <f t="shared" si="10"/>
        <v>-1064902</v>
      </c>
      <c r="Q43" s="153">
        <f>SUM(P38:P43)</f>
        <v>-1746245</v>
      </c>
      <c r="R43" s="147"/>
      <c r="S43" s="163"/>
    </row>
    <row r="44" spans="2:34" x14ac:dyDescent="0.25">
      <c r="B44" s="667" t="s">
        <v>66</v>
      </c>
      <c r="C44" s="670">
        <f>+DIRECTOR!C12</f>
        <v>0</v>
      </c>
      <c r="D44" s="670">
        <f>+DIRECTOR!$C22</f>
        <v>10000</v>
      </c>
      <c r="E44" s="670">
        <f>+DIRECTOR!$C32</f>
        <v>5000</v>
      </c>
      <c r="F44" s="670">
        <f>+DIRECTOR!$C42</f>
        <v>0</v>
      </c>
      <c r="G44" s="670">
        <f>+DIRECTOR!$C52</f>
        <v>0</v>
      </c>
      <c r="H44" s="670">
        <f>+DIRECTOR!$C62</f>
        <v>0</v>
      </c>
      <c r="I44" s="670">
        <f>+DIRECTOR!$C72</f>
        <v>0</v>
      </c>
      <c r="J44" s="1014" t="str">
        <f>+DIRECTOR!$C82</f>
        <v>25000</v>
      </c>
      <c r="K44" s="670">
        <f>+DIRECTOR!$C92</f>
        <v>0</v>
      </c>
      <c r="L44" s="670">
        <f>+DIRECTOR!$C102</f>
        <v>0</v>
      </c>
      <c r="M44" s="670">
        <f>+DIRECTOR!$C112</f>
        <v>0</v>
      </c>
      <c r="N44" s="671">
        <f>+DIRECTOR!$C122</f>
        <v>0</v>
      </c>
      <c r="O44" s="152"/>
      <c r="P44" s="162">
        <f t="shared" si="10"/>
        <v>-15000</v>
      </c>
      <c r="Q44" s="153">
        <f>+P44</f>
        <v>-15000</v>
      </c>
      <c r="R44" s="153"/>
      <c r="S44" s="163"/>
    </row>
    <row r="45" spans="2:34" collapsed="1" x14ac:dyDescent="0.25">
      <c r="B45" s="638" t="s">
        <v>68</v>
      </c>
      <c r="C45" s="639">
        <f>SUM(C37:C44)</f>
        <v>260773</v>
      </c>
      <c r="D45" s="639">
        <f t="shared" ref="D45:N45" si="11">SUM(D37:D44)</f>
        <v>407216</v>
      </c>
      <c r="E45" s="639">
        <f t="shared" si="11"/>
        <v>313476</v>
      </c>
      <c r="F45" s="639">
        <f t="shared" si="11"/>
        <v>0</v>
      </c>
      <c r="G45" s="639">
        <f t="shared" si="11"/>
        <v>802936</v>
      </c>
      <c r="H45" s="639">
        <f t="shared" si="11"/>
        <v>647729</v>
      </c>
      <c r="I45" s="639">
        <f t="shared" si="11"/>
        <v>0</v>
      </c>
      <c r="J45" s="639">
        <f t="shared" si="11"/>
        <v>30446</v>
      </c>
      <c r="K45" s="639">
        <f t="shared" si="11"/>
        <v>0</v>
      </c>
      <c r="L45" s="639">
        <f t="shared" si="11"/>
        <v>0</v>
      </c>
      <c r="M45" s="639">
        <f t="shared" si="11"/>
        <v>0</v>
      </c>
      <c r="N45" s="661">
        <f t="shared" si="11"/>
        <v>0</v>
      </c>
      <c r="Q45" s="147">
        <f>SUM(Q37:Q44)</f>
        <v>-2462576</v>
      </c>
      <c r="R45" s="153"/>
      <c r="S45" s="163"/>
      <c r="T45" s="304"/>
    </row>
    <row r="46" spans="2:34" x14ac:dyDescent="0.2">
      <c r="B46" s="148" t="s">
        <v>91</v>
      </c>
      <c r="C46" s="668">
        <v>294625</v>
      </c>
      <c r="D46" s="328">
        <v>0</v>
      </c>
      <c r="E46" s="328">
        <v>0</v>
      </c>
      <c r="F46" s="328">
        <v>0</v>
      </c>
      <c r="G46" s="874">
        <f>659800+340000+200</f>
        <v>1000000</v>
      </c>
      <c r="H46" s="328">
        <v>0</v>
      </c>
      <c r="I46" s="328">
        <v>0</v>
      </c>
      <c r="J46" s="874">
        <f>500000+800000</f>
        <v>1300000</v>
      </c>
      <c r="K46" s="328"/>
      <c r="L46" s="328"/>
      <c r="M46" s="328"/>
      <c r="N46" s="333"/>
      <c r="O46" s="152"/>
      <c r="P46" s="165">
        <f t="shared" ref="P46:P67" si="12">SUM(C46:N46)*(-1)</f>
        <v>-2594625</v>
      </c>
      <c r="Q46" s="147"/>
      <c r="R46" s="153"/>
      <c r="S46" s="163"/>
    </row>
    <row r="47" spans="2:34" x14ac:dyDescent="0.25">
      <c r="B47" s="148" t="s">
        <v>69</v>
      </c>
      <c r="C47" s="325">
        <v>0</v>
      </c>
      <c r="D47" s="328">
        <v>0</v>
      </c>
      <c r="E47" s="328">
        <v>0</v>
      </c>
      <c r="F47" s="328">
        <v>0</v>
      </c>
      <c r="G47" s="328">
        <v>0</v>
      </c>
      <c r="H47" s="328">
        <v>0</v>
      </c>
      <c r="I47" s="328">
        <v>0</v>
      </c>
      <c r="J47" s="328">
        <v>0</v>
      </c>
      <c r="K47" s="328"/>
      <c r="L47" s="328"/>
      <c r="M47" s="328"/>
      <c r="N47" s="333"/>
      <c r="O47" s="152"/>
      <c r="P47" s="164">
        <f t="shared" si="12"/>
        <v>0</v>
      </c>
      <c r="Q47" s="147"/>
      <c r="R47" s="147"/>
      <c r="S47" s="163"/>
    </row>
    <row r="48" spans="2:34" x14ac:dyDescent="0.25">
      <c r="B48" s="150" t="s">
        <v>384</v>
      </c>
      <c r="C48" s="329">
        <v>0</v>
      </c>
      <c r="D48" s="329">
        <v>0</v>
      </c>
      <c r="E48" s="329">
        <v>0</v>
      </c>
      <c r="F48" s="329">
        <v>0</v>
      </c>
      <c r="G48" s="329">
        <v>0</v>
      </c>
      <c r="H48" s="329">
        <v>0</v>
      </c>
      <c r="I48" s="329">
        <v>0</v>
      </c>
      <c r="J48" s="329">
        <v>0</v>
      </c>
      <c r="K48" s="329"/>
      <c r="L48" s="329"/>
      <c r="M48" s="329"/>
      <c r="N48" s="334"/>
      <c r="O48" s="152"/>
      <c r="P48" s="166">
        <f t="shared" si="12"/>
        <v>0</v>
      </c>
      <c r="Q48" s="147">
        <f>SUM(P46:P47)</f>
        <v>-2594625</v>
      </c>
      <c r="R48" s="147"/>
      <c r="S48" s="163"/>
    </row>
    <row r="49" spans="2:19" x14ac:dyDescent="0.25">
      <c r="B49" s="148" t="s">
        <v>70</v>
      </c>
      <c r="C49" s="325">
        <v>0</v>
      </c>
      <c r="D49" s="328">
        <v>0</v>
      </c>
      <c r="E49" s="328">
        <v>0</v>
      </c>
      <c r="F49" s="328">
        <v>0</v>
      </c>
      <c r="G49" s="328">
        <v>0</v>
      </c>
      <c r="H49" s="328">
        <v>0</v>
      </c>
      <c r="I49" s="328">
        <v>0</v>
      </c>
      <c r="J49" s="328">
        <v>0</v>
      </c>
      <c r="K49" s="328"/>
      <c r="L49" s="328"/>
      <c r="M49" s="328"/>
      <c r="N49" s="333"/>
      <c r="O49" s="152"/>
      <c r="P49" s="164">
        <f t="shared" si="12"/>
        <v>0</v>
      </c>
      <c r="Q49" s="153"/>
      <c r="R49" s="153"/>
      <c r="S49" s="163"/>
    </row>
    <row r="50" spans="2:19" x14ac:dyDescent="0.25">
      <c r="B50" s="148" t="s">
        <v>29</v>
      </c>
      <c r="C50" s="325">
        <v>0</v>
      </c>
      <c r="D50" s="328">
        <v>0</v>
      </c>
      <c r="E50" s="328">
        <v>0</v>
      </c>
      <c r="F50" s="328">
        <v>0</v>
      </c>
      <c r="G50" s="328">
        <v>0</v>
      </c>
      <c r="H50" s="328">
        <v>0</v>
      </c>
      <c r="I50" s="328">
        <v>0</v>
      </c>
      <c r="J50" s="328">
        <v>0</v>
      </c>
      <c r="K50" s="328"/>
      <c r="L50" s="328"/>
      <c r="M50" s="328"/>
      <c r="N50" s="333"/>
      <c r="O50" s="152"/>
      <c r="P50" s="164">
        <f t="shared" si="12"/>
        <v>0</v>
      </c>
      <c r="Q50" s="153"/>
      <c r="R50" s="153"/>
      <c r="S50" s="163"/>
    </row>
    <row r="51" spans="2:19" x14ac:dyDescent="0.25">
      <c r="B51" s="148" t="s">
        <v>30</v>
      </c>
      <c r="C51" s="676">
        <v>150000</v>
      </c>
      <c r="D51" s="730">
        <v>0</v>
      </c>
      <c r="E51" s="730">
        <f>150000+150000</f>
        <v>300000</v>
      </c>
      <c r="F51" s="328">
        <v>150000</v>
      </c>
      <c r="G51" s="730">
        <v>0</v>
      </c>
      <c r="H51" s="328">
        <v>0</v>
      </c>
      <c r="I51" s="328">
        <f>450000+150000</f>
        <v>600000</v>
      </c>
      <c r="J51" s="730">
        <v>150000</v>
      </c>
      <c r="K51" s="328"/>
      <c r="L51" s="328"/>
      <c r="M51" s="328"/>
      <c r="N51" s="333"/>
      <c r="O51" s="152"/>
      <c r="P51" s="164">
        <f>SUM(C51:N51)*(-1)</f>
        <v>-1350000</v>
      </c>
      <c r="Q51" s="153"/>
      <c r="R51" s="153"/>
      <c r="S51" s="163"/>
    </row>
    <row r="52" spans="2:19" x14ac:dyDescent="0.25">
      <c r="B52" s="148" t="s">
        <v>31</v>
      </c>
      <c r="C52" s="325">
        <v>0</v>
      </c>
      <c r="D52" s="328">
        <v>0</v>
      </c>
      <c r="E52" s="328">
        <v>0</v>
      </c>
      <c r="F52" s="328">
        <v>0</v>
      </c>
      <c r="G52" s="328">
        <v>0</v>
      </c>
      <c r="H52" s="328">
        <v>0</v>
      </c>
      <c r="I52" s="328">
        <v>0</v>
      </c>
      <c r="J52" s="328">
        <v>0</v>
      </c>
      <c r="K52" s="328"/>
      <c r="L52" s="328"/>
      <c r="M52" s="328"/>
      <c r="N52" s="333"/>
      <c r="O52" s="152"/>
      <c r="P52" s="164">
        <f t="shared" si="12"/>
        <v>0</v>
      </c>
      <c r="Q52" s="153"/>
      <c r="R52" s="153"/>
      <c r="S52" s="163"/>
    </row>
    <row r="53" spans="2:19" x14ac:dyDescent="0.25">
      <c r="B53" s="148" t="s">
        <v>32</v>
      </c>
      <c r="C53" s="325">
        <v>0</v>
      </c>
      <c r="D53" s="328">
        <v>0</v>
      </c>
      <c r="E53" s="328">
        <v>0</v>
      </c>
      <c r="F53" s="328">
        <v>0</v>
      </c>
      <c r="G53" s="328">
        <v>0</v>
      </c>
      <c r="H53" s="328">
        <v>0</v>
      </c>
      <c r="I53" s="328">
        <v>0</v>
      </c>
      <c r="J53" s="328">
        <v>0</v>
      </c>
      <c r="K53" s="328"/>
      <c r="L53" s="328"/>
      <c r="M53" s="328"/>
      <c r="N53" s="333"/>
      <c r="O53" s="152"/>
      <c r="P53" s="164">
        <f t="shared" si="12"/>
        <v>0</v>
      </c>
      <c r="Q53" s="153"/>
      <c r="R53" s="153"/>
      <c r="S53" s="163"/>
    </row>
    <row r="54" spans="2:19" x14ac:dyDescent="0.25">
      <c r="B54" s="148" t="s">
        <v>374</v>
      </c>
      <c r="C54" s="876" t="s">
        <v>461</v>
      </c>
      <c r="D54" s="877" t="s">
        <v>484</v>
      </c>
      <c r="E54" s="877" t="s">
        <v>484</v>
      </c>
      <c r="F54" s="877" t="s">
        <v>484</v>
      </c>
      <c r="G54" s="877" t="s">
        <v>484</v>
      </c>
      <c r="H54" s="877" t="s">
        <v>484</v>
      </c>
      <c r="I54" s="1010" t="s">
        <v>484</v>
      </c>
      <c r="J54" s="1010" t="s">
        <v>484</v>
      </c>
      <c r="K54" s="328"/>
      <c r="L54" s="328"/>
      <c r="M54" s="328"/>
      <c r="N54" s="333"/>
      <c r="O54" s="152"/>
      <c r="P54" s="164">
        <f t="shared" si="12"/>
        <v>0</v>
      </c>
      <c r="Q54" s="153"/>
      <c r="R54" s="153"/>
      <c r="S54" s="163"/>
    </row>
    <row r="55" spans="2:19" x14ac:dyDescent="0.25">
      <c r="B55" s="148" t="s">
        <v>33</v>
      </c>
      <c r="C55" s="325">
        <v>0</v>
      </c>
      <c r="D55" s="328">
        <v>0</v>
      </c>
      <c r="E55" s="328">
        <v>0</v>
      </c>
      <c r="F55" s="328">
        <v>0</v>
      </c>
      <c r="G55" s="328">
        <v>0</v>
      </c>
      <c r="H55" s="328">
        <v>0</v>
      </c>
      <c r="I55" s="328">
        <v>0</v>
      </c>
      <c r="J55" s="328">
        <v>0</v>
      </c>
      <c r="K55" s="328"/>
      <c r="L55" s="328"/>
      <c r="M55" s="328"/>
      <c r="N55" s="333"/>
      <c r="O55" s="152"/>
      <c r="P55" s="164">
        <f t="shared" si="12"/>
        <v>0</v>
      </c>
      <c r="Q55" s="153"/>
      <c r="R55" s="153"/>
      <c r="S55" s="163"/>
    </row>
    <row r="56" spans="2:19" x14ac:dyDescent="0.25">
      <c r="B56" s="148" t="s">
        <v>34</v>
      </c>
      <c r="C56" s="325">
        <v>0</v>
      </c>
      <c r="D56" s="328">
        <v>0</v>
      </c>
      <c r="E56" s="328">
        <v>0</v>
      </c>
      <c r="F56" s="328">
        <v>0</v>
      </c>
      <c r="G56" s="328">
        <v>0</v>
      </c>
      <c r="H56" s="328">
        <v>0</v>
      </c>
      <c r="I56" s="328">
        <v>0</v>
      </c>
      <c r="J56" s="328">
        <v>0</v>
      </c>
      <c r="K56" s="328"/>
      <c r="L56" s="328"/>
      <c r="M56" s="328"/>
      <c r="N56" s="333"/>
      <c r="O56" s="152"/>
      <c r="P56" s="164">
        <f t="shared" si="12"/>
        <v>0</v>
      </c>
      <c r="Q56" s="153"/>
      <c r="R56" s="153"/>
      <c r="S56" s="163"/>
    </row>
    <row r="57" spans="2:19" x14ac:dyDescent="0.25">
      <c r="B57" s="148" t="s">
        <v>90</v>
      </c>
      <c r="C57" s="325">
        <v>0</v>
      </c>
      <c r="D57" s="328">
        <v>0</v>
      </c>
      <c r="E57" s="328">
        <v>0</v>
      </c>
      <c r="F57" s="328">
        <v>0</v>
      </c>
      <c r="G57" s="328">
        <v>0</v>
      </c>
      <c r="H57" s="328">
        <v>0</v>
      </c>
      <c r="I57" s="328">
        <v>0</v>
      </c>
      <c r="J57" s="328">
        <v>0</v>
      </c>
      <c r="K57" s="328"/>
      <c r="L57" s="328"/>
      <c r="M57" s="328"/>
      <c r="N57" s="333"/>
      <c r="O57" s="152"/>
      <c r="P57" s="164">
        <f t="shared" si="12"/>
        <v>0</v>
      </c>
      <c r="Q57" s="153"/>
      <c r="R57" s="153"/>
      <c r="S57" s="163"/>
    </row>
    <row r="58" spans="2:19" x14ac:dyDescent="0.25">
      <c r="B58" s="148" t="s">
        <v>35</v>
      </c>
      <c r="C58" s="325">
        <v>0</v>
      </c>
      <c r="D58" s="328">
        <v>0</v>
      </c>
      <c r="E58" s="328">
        <v>0</v>
      </c>
      <c r="F58" s="328">
        <v>0</v>
      </c>
      <c r="G58" s="328">
        <v>0</v>
      </c>
      <c r="H58" s="328">
        <v>0</v>
      </c>
      <c r="I58" s="328">
        <v>0</v>
      </c>
      <c r="J58" s="730">
        <v>58029</v>
      </c>
      <c r="K58" s="328"/>
      <c r="L58" s="328"/>
      <c r="M58" s="328"/>
      <c r="N58" s="333"/>
      <c r="O58" s="152"/>
      <c r="P58" s="164">
        <f t="shared" si="12"/>
        <v>-58029</v>
      </c>
      <c r="Q58" s="153"/>
      <c r="R58" s="153"/>
      <c r="S58" s="163"/>
    </row>
    <row r="59" spans="2:19" x14ac:dyDescent="0.25">
      <c r="B59" s="148" t="s">
        <v>36</v>
      </c>
      <c r="C59" s="325">
        <v>0</v>
      </c>
      <c r="D59" s="328">
        <v>0</v>
      </c>
      <c r="E59" s="328">
        <v>0</v>
      </c>
      <c r="F59" s="328">
        <v>0</v>
      </c>
      <c r="G59" s="328">
        <v>0</v>
      </c>
      <c r="H59" s="328">
        <v>0</v>
      </c>
      <c r="I59" s="328">
        <v>0</v>
      </c>
      <c r="J59" s="328">
        <v>0</v>
      </c>
      <c r="K59" s="328"/>
      <c r="L59" s="328"/>
      <c r="M59" s="328"/>
      <c r="N59" s="333"/>
      <c r="O59" s="152"/>
      <c r="P59" s="164">
        <f t="shared" si="12"/>
        <v>0</v>
      </c>
      <c r="Q59" s="153"/>
      <c r="R59" s="153"/>
      <c r="S59" s="163"/>
    </row>
    <row r="60" spans="2:19" x14ac:dyDescent="0.25">
      <c r="B60" s="148" t="s">
        <v>37</v>
      </c>
      <c r="C60" s="325">
        <v>0</v>
      </c>
      <c r="D60" s="730" t="s">
        <v>481</v>
      </c>
      <c r="E60" s="328">
        <v>0</v>
      </c>
      <c r="F60" s="328">
        <v>0</v>
      </c>
      <c r="G60" s="328">
        <v>0</v>
      </c>
      <c r="H60" s="328">
        <v>0</v>
      </c>
      <c r="I60" s="328">
        <v>0</v>
      </c>
      <c r="J60" s="328">
        <v>0</v>
      </c>
      <c r="K60" s="328"/>
      <c r="L60" s="328"/>
      <c r="M60" s="328"/>
      <c r="N60" s="333"/>
      <c r="O60" s="152"/>
      <c r="P60" s="164">
        <f t="shared" si="12"/>
        <v>0</v>
      </c>
      <c r="Q60" s="139"/>
      <c r="R60" s="139"/>
      <c r="S60" s="163"/>
    </row>
    <row r="61" spans="2:19" x14ac:dyDescent="0.25">
      <c r="B61" s="148" t="s">
        <v>233</v>
      </c>
      <c r="C61" s="326">
        <v>0</v>
      </c>
      <c r="D61" s="329">
        <v>0</v>
      </c>
      <c r="E61" s="329">
        <v>0</v>
      </c>
      <c r="F61" s="329">
        <v>0</v>
      </c>
      <c r="G61" s="329">
        <v>0</v>
      </c>
      <c r="H61" s="329">
        <v>0</v>
      </c>
      <c r="I61" s="329">
        <v>0</v>
      </c>
      <c r="J61" s="329">
        <v>0</v>
      </c>
      <c r="K61" s="329"/>
      <c r="L61" s="329"/>
      <c r="M61" s="329"/>
      <c r="N61" s="334"/>
      <c r="O61" s="152"/>
      <c r="P61" s="164">
        <f t="shared" si="12"/>
        <v>0</v>
      </c>
      <c r="Q61" s="153">
        <f>SUM(P49:P61)</f>
        <v>-1408029</v>
      </c>
      <c r="R61" s="153"/>
      <c r="S61" s="163"/>
    </row>
    <row r="62" spans="2:19" x14ac:dyDescent="0.25">
      <c r="B62" s="145" t="s">
        <v>202</v>
      </c>
      <c r="C62" s="330">
        <v>0</v>
      </c>
      <c r="D62" s="330">
        <v>0</v>
      </c>
      <c r="E62" s="330">
        <v>0</v>
      </c>
      <c r="F62" s="330">
        <v>0</v>
      </c>
      <c r="G62" s="330">
        <v>0</v>
      </c>
      <c r="H62" s="330">
        <v>0</v>
      </c>
      <c r="I62" s="330">
        <v>0</v>
      </c>
      <c r="J62" s="330">
        <v>0</v>
      </c>
      <c r="K62" s="330"/>
      <c r="L62" s="330"/>
      <c r="M62" s="330"/>
      <c r="N62" s="331"/>
      <c r="O62" s="152"/>
      <c r="P62" s="165">
        <f t="shared" si="12"/>
        <v>0</v>
      </c>
      <c r="Q62" s="153"/>
      <c r="R62" s="153"/>
      <c r="S62" s="163"/>
    </row>
    <row r="63" spans="2:19" x14ac:dyDescent="0.25">
      <c r="B63" s="148" t="s">
        <v>98</v>
      </c>
      <c r="C63" s="328">
        <v>0</v>
      </c>
      <c r="D63" s="328">
        <v>0</v>
      </c>
      <c r="E63" s="328">
        <v>0</v>
      </c>
      <c r="F63" s="328">
        <v>0</v>
      </c>
      <c r="G63" s="328">
        <v>0</v>
      </c>
      <c r="H63" s="328">
        <v>0</v>
      </c>
      <c r="I63" s="328">
        <v>0</v>
      </c>
      <c r="J63" s="328">
        <v>0</v>
      </c>
      <c r="K63" s="328"/>
      <c r="L63" s="328"/>
      <c r="M63" s="328"/>
      <c r="N63" s="333"/>
      <c r="O63" s="152"/>
      <c r="P63" s="164">
        <f t="shared" si="12"/>
        <v>0</v>
      </c>
      <c r="Q63" s="153"/>
      <c r="R63" s="153"/>
      <c r="S63" s="163"/>
    </row>
    <row r="64" spans="2:19" x14ac:dyDescent="0.25">
      <c r="B64" s="148" t="s">
        <v>99</v>
      </c>
      <c r="C64" s="328">
        <v>0</v>
      </c>
      <c r="D64" s="328">
        <v>0</v>
      </c>
      <c r="E64" s="328">
        <v>0</v>
      </c>
      <c r="F64" s="328">
        <v>0</v>
      </c>
      <c r="G64" s="328">
        <v>0</v>
      </c>
      <c r="H64" s="328">
        <v>0</v>
      </c>
      <c r="I64" s="328">
        <v>0</v>
      </c>
      <c r="J64" s="328">
        <v>0</v>
      </c>
      <c r="K64" s="328"/>
      <c r="L64" s="328"/>
      <c r="M64" s="328"/>
      <c r="N64" s="333"/>
      <c r="O64" s="152"/>
      <c r="P64" s="164">
        <f t="shared" si="12"/>
        <v>0</v>
      </c>
      <c r="Q64" s="153"/>
      <c r="R64" s="153"/>
      <c r="S64" s="163"/>
    </row>
    <row r="65" spans="2:19" x14ac:dyDescent="0.25">
      <c r="B65" s="148" t="s">
        <v>100</v>
      </c>
      <c r="C65" s="328">
        <v>0</v>
      </c>
      <c r="D65" s="328">
        <v>0</v>
      </c>
      <c r="E65" s="328">
        <v>0</v>
      </c>
      <c r="F65" s="328">
        <v>0</v>
      </c>
      <c r="G65" s="328">
        <v>0</v>
      </c>
      <c r="H65" s="328">
        <v>0</v>
      </c>
      <c r="I65" s="328">
        <v>0</v>
      </c>
      <c r="J65" s="328">
        <v>0</v>
      </c>
      <c r="K65" s="328"/>
      <c r="L65" s="328"/>
      <c r="M65" s="328"/>
      <c r="N65" s="333"/>
      <c r="O65" s="152"/>
      <c r="P65" s="164">
        <f t="shared" si="12"/>
        <v>0</v>
      </c>
      <c r="Q65" s="153"/>
      <c r="R65" s="153"/>
      <c r="S65" s="163"/>
    </row>
    <row r="66" spans="2:19" x14ac:dyDescent="0.25">
      <c r="B66" s="148" t="s">
        <v>97</v>
      </c>
      <c r="C66" s="328">
        <v>0</v>
      </c>
      <c r="D66" s="328">
        <v>0</v>
      </c>
      <c r="E66" s="328">
        <v>0</v>
      </c>
      <c r="F66" s="328">
        <v>0</v>
      </c>
      <c r="G66" s="328">
        <v>0</v>
      </c>
      <c r="H66" s="328">
        <v>0</v>
      </c>
      <c r="I66" s="328">
        <v>0</v>
      </c>
      <c r="J66" s="328">
        <v>0</v>
      </c>
      <c r="K66" s="328"/>
      <c r="L66" s="328"/>
      <c r="M66" s="328"/>
      <c r="N66" s="333"/>
      <c r="O66" s="152"/>
      <c r="P66" s="164">
        <f t="shared" si="12"/>
        <v>0</v>
      </c>
      <c r="Q66" s="153"/>
      <c r="R66" s="153"/>
      <c r="S66" s="163"/>
    </row>
    <row r="67" spans="2:19" x14ac:dyDescent="0.25">
      <c r="B67" s="150" t="s">
        <v>101</v>
      </c>
      <c r="C67" s="329">
        <v>0</v>
      </c>
      <c r="D67" s="329">
        <v>0</v>
      </c>
      <c r="E67" s="329">
        <v>0</v>
      </c>
      <c r="F67" s="329">
        <v>0</v>
      </c>
      <c r="G67" s="329">
        <v>0</v>
      </c>
      <c r="H67" s="329">
        <v>0</v>
      </c>
      <c r="I67" s="329">
        <v>0</v>
      </c>
      <c r="J67" s="329">
        <v>0</v>
      </c>
      <c r="K67" s="329"/>
      <c r="L67" s="329"/>
      <c r="M67" s="329"/>
      <c r="N67" s="334"/>
      <c r="O67" s="152"/>
      <c r="P67" s="166">
        <f t="shared" si="12"/>
        <v>0</v>
      </c>
      <c r="Q67" s="153">
        <f>SUM(P62:P67)</f>
        <v>0</v>
      </c>
      <c r="R67" s="153"/>
      <c r="S67" s="163"/>
    </row>
    <row r="68" spans="2:19" x14ac:dyDescent="0.25">
      <c r="B68" s="638" t="s">
        <v>71</v>
      </c>
      <c r="C68" s="639">
        <f t="shared" ref="C68:N68" si="13">SUM(C46:C67)</f>
        <v>444625</v>
      </c>
      <c r="D68" s="639">
        <f t="shared" si="13"/>
        <v>0</v>
      </c>
      <c r="E68" s="639">
        <f t="shared" si="13"/>
        <v>300000</v>
      </c>
      <c r="F68" s="639">
        <f t="shared" si="13"/>
        <v>150000</v>
      </c>
      <c r="G68" s="639">
        <f t="shared" si="13"/>
        <v>1000000</v>
      </c>
      <c r="H68" s="639">
        <f t="shared" si="13"/>
        <v>0</v>
      </c>
      <c r="I68" s="639">
        <f t="shared" si="13"/>
        <v>600000</v>
      </c>
      <c r="J68" s="639">
        <f t="shared" si="13"/>
        <v>1508029</v>
      </c>
      <c r="K68" s="639">
        <f t="shared" si="13"/>
        <v>0</v>
      </c>
      <c r="L68" s="639">
        <f t="shared" si="13"/>
        <v>0</v>
      </c>
      <c r="M68" s="639">
        <f t="shared" si="13"/>
        <v>0</v>
      </c>
      <c r="N68" s="661">
        <f t="shared" si="13"/>
        <v>0</v>
      </c>
      <c r="Q68" s="147">
        <f>SUM(Q45:Q67)</f>
        <v>-6465230</v>
      </c>
      <c r="R68" s="147"/>
    </row>
    <row r="69" spans="2:19" x14ac:dyDescent="0.25">
      <c r="B69" s="649" t="s">
        <v>304</v>
      </c>
      <c r="C69" s="650"/>
      <c r="D69" s="650"/>
      <c r="E69" s="650"/>
      <c r="F69" s="650"/>
      <c r="G69" s="650"/>
      <c r="H69" s="650"/>
      <c r="I69" s="650"/>
      <c r="J69" s="650"/>
      <c r="K69" s="650"/>
      <c r="L69" s="650"/>
      <c r="M69" s="650"/>
      <c r="N69" s="651"/>
      <c r="O69" s="155"/>
      <c r="P69" s="157">
        <f>SUM(C69:N69)*-1</f>
        <v>0</v>
      </c>
      <c r="Q69" s="153"/>
      <c r="R69" s="153"/>
    </row>
    <row r="70" spans="2:19" x14ac:dyDescent="0.25">
      <c r="B70" s="658" t="s">
        <v>72</v>
      </c>
      <c r="C70" s="659">
        <f t="shared" ref="C70:N70" si="14">+C68+C45+C69</f>
        <v>705398</v>
      </c>
      <c r="D70" s="659">
        <f t="shared" si="14"/>
        <v>407216</v>
      </c>
      <c r="E70" s="659">
        <f t="shared" si="14"/>
        <v>613476</v>
      </c>
      <c r="F70" s="659">
        <f t="shared" si="14"/>
        <v>150000</v>
      </c>
      <c r="G70" s="659">
        <f t="shared" si="14"/>
        <v>1802936</v>
      </c>
      <c r="H70" s="659">
        <f t="shared" si="14"/>
        <v>647729</v>
      </c>
      <c r="I70" s="659">
        <f t="shared" si="14"/>
        <v>600000</v>
      </c>
      <c r="J70" s="659">
        <f t="shared" si="14"/>
        <v>1538475</v>
      </c>
      <c r="K70" s="659">
        <f t="shared" si="14"/>
        <v>0</v>
      </c>
      <c r="L70" s="659">
        <f t="shared" si="14"/>
        <v>0</v>
      </c>
      <c r="M70" s="659">
        <f t="shared" si="14"/>
        <v>0</v>
      </c>
      <c r="N70" s="660">
        <f t="shared" si="14"/>
        <v>0</v>
      </c>
      <c r="Q70" s="241">
        <f>SUM(Q68)+P69</f>
        <v>-6465230</v>
      </c>
      <c r="R70" s="140"/>
      <c r="S70" s="140"/>
    </row>
    <row r="71" spans="2:19" x14ac:dyDescent="0.25">
      <c r="B71" s="860" t="s">
        <v>533</v>
      </c>
      <c r="C71" s="861">
        <v>227565</v>
      </c>
      <c r="D71" s="861">
        <v>599130</v>
      </c>
      <c r="E71" s="861">
        <v>813610</v>
      </c>
      <c r="F71" s="861">
        <v>1038090</v>
      </c>
      <c r="G71" s="861">
        <v>269010</v>
      </c>
      <c r="H71" s="861">
        <v>495620</v>
      </c>
      <c r="I71" s="861">
        <v>735970</v>
      </c>
      <c r="J71" s="861">
        <f>+I71+18000</f>
        <v>753970</v>
      </c>
      <c r="K71" s="861"/>
      <c r="L71" s="861"/>
      <c r="M71" s="861"/>
      <c r="N71" s="861"/>
    </row>
    <row r="72" spans="2:19" x14ac:dyDescent="0.25">
      <c r="B72" s="860" t="s">
        <v>534</v>
      </c>
      <c r="C72" s="862">
        <v>10378756</v>
      </c>
      <c r="D72" s="862">
        <v>10225660</v>
      </c>
      <c r="E72" s="862">
        <v>10149504</v>
      </c>
      <c r="F72" s="862">
        <v>10387214</v>
      </c>
      <c r="G72" s="862">
        <v>10588908</v>
      </c>
      <c r="H72" s="862">
        <v>10459699</v>
      </c>
      <c r="I72" s="862">
        <v>10442004</v>
      </c>
      <c r="J72" s="862">
        <v>9760905</v>
      </c>
      <c r="K72" s="862"/>
      <c r="L72" s="862"/>
      <c r="M72" s="862"/>
      <c r="N72" s="862"/>
      <c r="P72" s="168">
        <f>SUM(P3:P69)</f>
        <v>-127324</v>
      </c>
    </row>
    <row r="73" spans="2:19" x14ac:dyDescent="0.25">
      <c r="B73" s="173" t="s">
        <v>73</v>
      </c>
      <c r="C73" s="360">
        <f t="shared" ref="C73:N73" si="15">C35-C70</f>
        <v>-5432</v>
      </c>
      <c r="D73" s="360">
        <f t="shared" si="15"/>
        <v>218469</v>
      </c>
      <c r="E73" s="360">
        <f t="shared" si="15"/>
        <v>138324</v>
      </c>
      <c r="F73" s="360">
        <f t="shared" si="15"/>
        <v>462190</v>
      </c>
      <c r="G73" s="360">
        <f t="shared" si="15"/>
        <v>-567386</v>
      </c>
      <c r="H73" s="360">
        <f t="shared" si="15"/>
        <v>97401</v>
      </c>
      <c r="I73" s="360">
        <f t="shared" si="15"/>
        <v>222655</v>
      </c>
      <c r="J73" s="360">
        <f t="shared" si="15"/>
        <v>-693545</v>
      </c>
      <c r="K73" s="360">
        <f t="shared" si="15"/>
        <v>0</v>
      </c>
      <c r="L73" s="360">
        <f t="shared" si="15"/>
        <v>0</v>
      </c>
      <c r="M73" s="360">
        <f t="shared" si="15"/>
        <v>0</v>
      </c>
      <c r="N73" s="361">
        <f t="shared" si="15"/>
        <v>0</v>
      </c>
      <c r="O73" s="169"/>
      <c r="P73" s="170">
        <f>SUM(C73:N73)</f>
        <v>-127324</v>
      </c>
      <c r="Q73" s="301">
        <f>+Q70+Q35-P73</f>
        <v>0</v>
      </c>
      <c r="R73" s="301"/>
    </row>
    <row r="74" spans="2:19" s="141" customFormat="1" x14ac:dyDescent="0.25">
      <c r="B74" s="376" t="s">
        <v>74</v>
      </c>
      <c r="C74" s="360">
        <f>IF(C73&lt;&gt;0,C73,0)</f>
        <v>-5432</v>
      </c>
      <c r="D74" s="360">
        <f t="shared" ref="D74:N74" si="16">IF(D73&lt;&gt;0,C74+D73,0)</f>
        <v>213037</v>
      </c>
      <c r="E74" s="360">
        <f t="shared" si="16"/>
        <v>351361</v>
      </c>
      <c r="F74" s="360">
        <f t="shared" si="16"/>
        <v>813551</v>
      </c>
      <c r="G74" s="360">
        <f t="shared" si="16"/>
        <v>246165</v>
      </c>
      <c r="H74" s="360">
        <f t="shared" si="16"/>
        <v>343566</v>
      </c>
      <c r="I74" s="360">
        <f t="shared" si="16"/>
        <v>566221</v>
      </c>
      <c r="J74" s="360">
        <f t="shared" si="16"/>
        <v>-127324</v>
      </c>
      <c r="K74" s="360">
        <f t="shared" si="16"/>
        <v>0</v>
      </c>
      <c r="L74" s="360">
        <f t="shared" si="16"/>
        <v>0</v>
      </c>
      <c r="M74" s="360">
        <f t="shared" si="16"/>
        <v>0</v>
      </c>
      <c r="N74" s="361">
        <f t="shared" si="16"/>
        <v>0</v>
      </c>
      <c r="O74" s="172"/>
      <c r="P74" s="170">
        <f>SUM(C74:N74)</f>
        <v>2401145</v>
      </c>
      <c r="Q74" s="171"/>
      <c r="R74" s="171"/>
    </row>
    <row r="75" spans="2:19" x14ac:dyDescent="0.25">
      <c r="B75" s="672" t="s">
        <v>75</v>
      </c>
      <c r="C75" s="673">
        <f>IF(C73&lt;&gt;0,+ROUND(C74+$E$1,0),0)</f>
        <v>10606321</v>
      </c>
      <c r="D75" s="673">
        <f>IF(D73&lt;&gt;0,+ROUND(D74+$E$1,0),0)</f>
        <v>10824790</v>
      </c>
      <c r="E75" s="673">
        <f>IF(E73&lt;&gt;0,+ROUND(E74+$E$1,0),0)</f>
        <v>10963114</v>
      </c>
      <c r="F75" s="673">
        <f>IF(F73&lt;&gt;0,+ROUND(F74+$E$1,0),0)</f>
        <v>11425304</v>
      </c>
      <c r="G75" s="673">
        <f>IF(G73&lt;&gt;0,+ROUND(G74+$E$1,0),0)</f>
        <v>10857918</v>
      </c>
      <c r="H75" s="673">
        <f t="shared" ref="H75:N75" si="17">IF(H73&lt;&gt;0,+ROUND(H74+$E$1,0),0)</f>
        <v>10955319</v>
      </c>
      <c r="I75" s="673">
        <f t="shared" si="17"/>
        <v>11177974</v>
      </c>
      <c r="J75" s="673">
        <f t="shared" si="17"/>
        <v>10484429</v>
      </c>
      <c r="K75" s="673">
        <f t="shared" si="17"/>
        <v>0</v>
      </c>
      <c r="L75" s="673">
        <f t="shared" si="17"/>
        <v>0</v>
      </c>
      <c r="M75" s="673">
        <f t="shared" si="17"/>
        <v>0</v>
      </c>
      <c r="N75" s="674">
        <f t="shared" si="17"/>
        <v>0</v>
      </c>
      <c r="P75" s="170">
        <f>+IF(P73=0,0,+P73+E1)</f>
        <v>10484429</v>
      </c>
    </row>
    <row r="76" spans="2:19" x14ac:dyDescent="0.25">
      <c r="B76" s="173" t="s">
        <v>76</v>
      </c>
      <c r="C76" s="174">
        <f>+C72+C71</f>
        <v>10606321</v>
      </c>
      <c r="D76" s="174">
        <f t="shared" ref="D76:N76" si="18">+D72+D71</f>
        <v>10824790</v>
      </c>
      <c r="E76" s="174">
        <f t="shared" si="18"/>
        <v>10963114</v>
      </c>
      <c r="F76" s="174">
        <f t="shared" si="18"/>
        <v>11425304</v>
      </c>
      <c r="G76" s="174">
        <f t="shared" si="18"/>
        <v>10857918</v>
      </c>
      <c r="H76" s="174">
        <f t="shared" si="18"/>
        <v>10955319</v>
      </c>
      <c r="I76" s="174">
        <f t="shared" si="18"/>
        <v>11177974</v>
      </c>
      <c r="J76" s="174">
        <f t="shared" si="18"/>
        <v>10514875</v>
      </c>
      <c r="K76" s="174">
        <f t="shared" si="18"/>
        <v>0</v>
      </c>
      <c r="L76" s="174">
        <f t="shared" si="18"/>
        <v>0</v>
      </c>
      <c r="M76" s="174">
        <f t="shared" si="18"/>
        <v>0</v>
      </c>
      <c r="N76" s="175">
        <f t="shared" si="18"/>
        <v>0</v>
      </c>
      <c r="P76" s="176">
        <f>+P72-P73</f>
        <v>0</v>
      </c>
      <c r="S76" s="177"/>
    </row>
    <row r="77" spans="2:19" x14ac:dyDescent="0.25">
      <c r="B77" s="178" t="s">
        <v>77</v>
      </c>
      <c r="C77" s="179">
        <f t="shared" ref="C77:N77" si="19">+C76-C75</f>
        <v>0</v>
      </c>
      <c r="D77" s="179">
        <f t="shared" si="19"/>
        <v>0</v>
      </c>
      <c r="E77" s="179">
        <f t="shared" si="19"/>
        <v>0</v>
      </c>
      <c r="F77" s="179">
        <f t="shared" si="19"/>
        <v>0</v>
      </c>
      <c r="G77" s="179">
        <f t="shared" si="19"/>
        <v>0</v>
      </c>
      <c r="H77" s="179">
        <f t="shared" si="19"/>
        <v>0</v>
      </c>
      <c r="I77" s="179">
        <f t="shared" si="19"/>
        <v>0</v>
      </c>
      <c r="J77" s="179">
        <f t="shared" si="19"/>
        <v>30446</v>
      </c>
      <c r="K77" s="179">
        <f t="shared" si="19"/>
        <v>0</v>
      </c>
      <c r="L77" s="179">
        <f>+L76-L75</f>
        <v>0</v>
      </c>
      <c r="M77" s="179">
        <f t="shared" si="19"/>
        <v>0</v>
      </c>
      <c r="N77" s="180">
        <f t="shared" si="19"/>
        <v>0</v>
      </c>
    </row>
    <row r="78" spans="2:19" x14ac:dyDescent="0.25">
      <c r="B78" s="181"/>
      <c r="C78" s="240" t="str">
        <f>+IF(C76&lt;&gt;0,+IF(C77&lt;&gt;0,"DIFERENCIA","-"),"")</f>
        <v>-</v>
      </c>
      <c r="D78" s="240" t="str">
        <f t="shared" ref="D78:N78" si="20">+IF(D76&lt;&gt;0,+IF(D77&lt;&gt;0,"DIFERENCIA","-"),"")</f>
        <v>-</v>
      </c>
      <c r="E78" s="240" t="str">
        <f t="shared" si="20"/>
        <v>-</v>
      </c>
      <c r="F78" s="240" t="str">
        <f t="shared" si="20"/>
        <v>-</v>
      </c>
      <c r="G78" s="240" t="str">
        <f t="shared" si="20"/>
        <v>-</v>
      </c>
      <c r="H78" s="240" t="str">
        <f t="shared" si="20"/>
        <v>-</v>
      </c>
      <c r="I78" s="240" t="str">
        <f t="shared" si="20"/>
        <v>-</v>
      </c>
      <c r="J78" s="240" t="str">
        <f t="shared" si="20"/>
        <v>DIFERENCIA</v>
      </c>
      <c r="K78" s="240" t="str">
        <f t="shared" si="20"/>
        <v/>
      </c>
      <c r="L78" s="240" t="str">
        <f t="shared" si="20"/>
        <v/>
      </c>
      <c r="M78" s="240" t="str">
        <f t="shared" si="20"/>
        <v/>
      </c>
      <c r="N78" s="240" t="str">
        <f t="shared" si="20"/>
        <v/>
      </c>
    </row>
    <row r="79" spans="2:19" x14ac:dyDescent="0.25">
      <c r="B79" s="181"/>
      <c r="C79" s="182"/>
      <c r="D79" s="182"/>
      <c r="E79" s="182"/>
      <c r="F79" s="182"/>
      <c r="G79" s="182"/>
      <c r="H79" s="182"/>
      <c r="I79" s="182"/>
      <c r="J79" s="182"/>
      <c r="K79" s="182"/>
      <c r="L79" s="182"/>
      <c r="M79" s="182"/>
      <c r="N79" s="182"/>
    </row>
    <row r="80" spans="2:19" x14ac:dyDescent="0.25">
      <c r="B80" s="167"/>
      <c r="C80" s="183"/>
      <c r="D80" s="183"/>
      <c r="E80" s="183"/>
      <c r="F80" s="183"/>
      <c r="G80" s="183"/>
      <c r="H80" s="183"/>
      <c r="I80" s="183"/>
      <c r="J80" s="183"/>
      <c r="K80" s="183"/>
      <c r="L80" s="183"/>
      <c r="M80" s="183"/>
      <c r="N80" s="183"/>
      <c r="O80" s="183"/>
    </row>
    <row r="81" spans="2:18" x14ac:dyDescent="0.25">
      <c r="B81" s="167"/>
    </row>
    <row r="82" spans="2:18" x14ac:dyDescent="0.25">
      <c r="B82" s="167"/>
    </row>
    <row r="83" spans="2:18" x14ac:dyDescent="0.25">
      <c r="B83" s="167"/>
    </row>
    <row r="84" spans="2:18" x14ac:dyDescent="0.25">
      <c r="B84" s="167"/>
    </row>
    <row r="85" spans="2:18" x14ac:dyDescent="0.25">
      <c r="B85" s="167"/>
    </row>
    <row r="86" spans="2:18" x14ac:dyDescent="0.25">
      <c r="B86" s="167"/>
    </row>
    <row r="87" spans="2:18" x14ac:dyDescent="0.25">
      <c r="B87" s="167"/>
    </row>
    <row r="88" spans="2:18" x14ac:dyDescent="0.25">
      <c r="B88" s="167"/>
    </row>
    <row r="89" spans="2:18" x14ac:dyDescent="0.25">
      <c r="B89" s="167"/>
    </row>
    <row r="90" spans="2:18" x14ac:dyDescent="0.25">
      <c r="B90" s="167"/>
    </row>
    <row r="91" spans="2:18" x14ac:dyDescent="0.25">
      <c r="B91" s="167"/>
    </row>
    <row r="92" spans="2:18" x14ac:dyDescent="0.25">
      <c r="B92" s="167"/>
      <c r="C92" s="139"/>
      <c r="D92" s="139"/>
      <c r="E92" s="139"/>
      <c r="F92" s="139"/>
      <c r="G92" s="139"/>
      <c r="H92" s="139"/>
      <c r="I92" s="139"/>
      <c r="J92" s="139"/>
      <c r="K92" s="139"/>
      <c r="L92" s="139"/>
      <c r="M92" s="139"/>
      <c r="N92" s="139"/>
      <c r="O92" s="139"/>
      <c r="P92" s="139"/>
      <c r="Q92" s="139"/>
      <c r="R92" s="139"/>
    </row>
    <row r="93" spans="2:18" x14ac:dyDescent="0.25">
      <c r="B93" s="167"/>
      <c r="C93" s="139"/>
      <c r="D93" s="139"/>
      <c r="E93" s="139"/>
      <c r="F93" s="139"/>
      <c r="G93" s="139"/>
      <c r="H93" s="139"/>
      <c r="I93" s="139"/>
      <c r="J93" s="139"/>
      <c r="K93" s="139"/>
      <c r="L93" s="139"/>
      <c r="M93" s="139"/>
      <c r="N93" s="139"/>
      <c r="O93" s="139"/>
      <c r="P93" s="139"/>
      <c r="Q93" s="139"/>
      <c r="R93" s="139"/>
    </row>
    <row r="94" spans="2:18" x14ac:dyDescent="0.25">
      <c r="B94" s="167"/>
      <c r="C94" s="139"/>
      <c r="D94" s="139"/>
      <c r="E94" s="139"/>
      <c r="F94" s="139"/>
      <c r="G94" s="139"/>
      <c r="H94" s="139"/>
      <c r="I94" s="139"/>
      <c r="J94" s="139"/>
      <c r="K94" s="139"/>
      <c r="L94" s="139"/>
      <c r="M94" s="139"/>
      <c r="N94" s="139"/>
      <c r="O94" s="139"/>
      <c r="P94" s="139"/>
      <c r="Q94" s="139"/>
      <c r="R94" s="139"/>
    </row>
    <row r="95" spans="2:18" x14ac:dyDescent="0.25">
      <c r="B95" s="167"/>
      <c r="C95" s="139"/>
      <c r="D95" s="139"/>
      <c r="E95" s="139"/>
      <c r="F95" s="139"/>
      <c r="G95" s="139"/>
      <c r="H95" s="139"/>
      <c r="I95" s="139"/>
      <c r="J95" s="139"/>
      <c r="K95" s="139"/>
      <c r="L95" s="139"/>
      <c r="M95" s="139"/>
      <c r="N95" s="139"/>
      <c r="O95" s="139"/>
      <c r="P95" s="139"/>
      <c r="Q95" s="139"/>
      <c r="R95" s="139"/>
    </row>
    <row r="96" spans="2:18" x14ac:dyDescent="0.25">
      <c r="B96" s="167"/>
      <c r="C96" s="139"/>
      <c r="D96" s="139"/>
      <c r="E96" s="139"/>
      <c r="F96" s="139"/>
      <c r="G96" s="139"/>
      <c r="H96" s="139"/>
      <c r="I96" s="139"/>
      <c r="J96" s="139"/>
      <c r="K96" s="139"/>
      <c r="L96" s="139"/>
      <c r="M96" s="139"/>
      <c r="N96" s="139"/>
      <c r="O96" s="139"/>
      <c r="P96" s="139"/>
      <c r="Q96" s="139"/>
      <c r="R96" s="139"/>
    </row>
    <row r="97" spans="1:16143" x14ac:dyDescent="0.25">
      <c r="B97" s="167"/>
      <c r="C97" s="139"/>
      <c r="D97" s="139"/>
      <c r="E97" s="139"/>
      <c r="F97" s="139"/>
      <c r="G97" s="139"/>
      <c r="H97" s="139"/>
      <c r="I97" s="139"/>
      <c r="J97" s="139"/>
      <c r="K97" s="139"/>
      <c r="L97" s="139"/>
      <c r="M97" s="139"/>
      <c r="N97" s="139"/>
      <c r="O97" s="139"/>
      <c r="P97" s="139"/>
      <c r="Q97" s="139"/>
      <c r="R97" s="139"/>
    </row>
    <row r="98" spans="1:16143" x14ac:dyDescent="0.25">
      <c r="B98" s="167"/>
      <c r="C98" s="139"/>
      <c r="D98" s="139"/>
      <c r="E98" s="139"/>
      <c r="F98" s="139"/>
      <c r="G98" s="139"/>
      <c r="H98" s="139"/>
      <c r="I98" s="139"/>
      <c r="J98" s="139"/>
      <c r="K98" s="139"/>
      <c r="L98" s="139"/>
      <c r="M98" s="139"/>
      <c r="N98" s="139"/>
      <c r="O98" s="139"/>
      <c r="P98" s="139"/>
      <c r="Q98" s="139"/>
      <c r="R98" s="139"/>
    </row>
    <row r="99" spans="1:16143" x14ac:dyDescent="0.25">
      <c r="B99" s="167"/>
      <c r="C99" s="139"/>
      <c r="D99" s="139"/>
      <c r="E99" s="139"/>
      <c r="F99" s="139"/>
      <c r="G99" s="139"/>
      <c r="H99" s="139"/>
      <c r="I99" s="139"/>
      <c r="J99" s="139"/>
      <c r="K99" s="139"/>
      <c r="L99" s="139"/>
      <c r="M99" s="139"/>
      <c r="N99" s="139"/>
      <c r="O99" s="139"/>
      <c r="P99" s="139"/>
      <c r="Q99" s="139"/>
      <c r="R99" s="139"/>
    </row>
    <row r="101" spans="1:16143" collapsed="1" x14ac:dyDescent="0.2">
      <c r="B101" s="632" t="s">
        <v>344</v>
      </c>
      <c r="C101" s="633" t="str">
        <f t="shared" ref="C101:N101" si="21">+C2</f>
        <v>ABR</v>
      </c>
      <c r="D101" s="633" t="str">
        <f t="shared" si="21"/>
        <v>MAY</v>
      </c>
      <c r="E101" s="633" t="str">
        <f t="shared" si="21"/>
        <v>JUN</v>
      </c>
      <c r="F101" s="633" t="str">
        <f t="shared" si="21"/>
        <v>JUL</v>
      </c>
      <c r="G101" s="633" t="str">
        <f t="shared" si="21"/>
        <v>AGO</v>
      </c>
      <c r="H101" s="633" t="str">
        <f t="shared" si="21"/>
        <v>SEP</v>
      </c>
      <c r="I101" s="633" t="str">
        <f t="shared" si="21"/>
        <v>OCT</v>
      </c>
      <c r="J101" s="633" t="str">
        <f t="shared" si="21"/>
        <v>NOV</v>
      </c>
      <c r="K101" s="633" t="str">
        <f t="shared" si="21"/>
        <v>DIC</v>
      </c>
      <c r="L101" s="633" t="str">
        <f t="shared" si="21"/>
        <v>ENE</v>
      </c>
      <c r="M101" s="633" t="str">
        <f t="shared" si="21"/>
        <v>FEB</v>
      </c>
      <c r="N101" s="633" t="str">
        <f t="shared" si="21"/>
        <v>MAR</v>
      </c>
      <c r="O101" s="139"/>
      <c r="P101" s="169"/>
      <c r="Q101" s="139"/>
      <c r="R101" s="139"/>
    </row>
    <row r="102" spans="1:16143" x14ac:dyDescent="0.25">
      <c r="B102" s="341" t="str">
        <f>+B35</f>
        <v>TOTAL INGRESOS</v>
      </c>
      <c r="C102" s="344">
        <f t="shared" ref="C102:N102" si="22">+IF(C35=0,"",+C35)</f>
        <v>699966</v>
      </c>
      <c r="D102" s="344">
        <f t="shared" si="22"/>
        <v>625685</v>
      </c>
      <c r="E102" s="344">
        <f t="shared" si="22"/>
        <v>751800</v>
      </c>
      <c r="F102" s="344">
        <f t="shared" si="22"/>
        <v>612190</v>
      </c>
      <c r="G102" s="344">
        <f t="shared" si="22"/>
        <v>1235550</v>
      </c>
      <c r="H102" s="344">
        <f t="shared" si="22"/>
        <v>745130</v>
      </c>
      <c r="I102" s="344">
        <f t="shared" si="22"/>
        <v>822655</v>
      </c>
      <c r="J102" s="344">
        <f t="shared" si="22"/>
        <v>844930</v>
      </c>
      <c r="K102" s="344" t="str">
        <f t="shared" si="22"/>
        <v/>
      </c>
      <c r="L102" s="344" t="str">
        <f t="shared" si="22"/>
        <v/>
      </c>
      <c r="M102" s="344" t="str">
        <f t="shared" si="22"/>
        <v/>
      </c>
      <c r="N102" s="344" t="str">
        <f t="shared" si="22"/>
        <v/>
      </c>
      <c r="O102" s="139"/>
      <c r="P102" s="169">
        <f>SUM(C102:N102)</f>
        <v>6337906</v>
      </c>
      <c r="Q102" s="139"/>
      <c r="R102" s="139"/>
    </row>
    <row r="103" spans="1:16143" x14ac:dyDescent="0.25">
      <c r="B103" s="342" t="str">
        <f>+B70</f>
        <v>TOTAL GASTOS</v>
      </c>
      <c r="C103" s="345">
        <f t="shared" ref="C103:N103" si="23">+IF(C70=0,"",+C70)</f>
        <v>705398</v>
      </c>
      <c r="D103" s="345">
        <f t="shared" si="23"/>
        <v>407216</v>
      </c>
      <c r="E103" s="345">
        <f t="shared" si="23"/>
        <v>613476</v>
      </c>
      <c r="F103" s="345">
        <f t="shared" si="23"/>
        <v>150000</v>
      </c>
      <c r="G103" s="345">
        <f t="shared" si="23"/>
        <v>1802936</v>
      </c>
      <c r="H103" s="345">
        <f t="shared" si="23"/>
        <v>647729</v>
      </c>
      <c r="I103" s="345">
        <f t="shared" si="23"/>
        <v>600000</v>
      </c>
      <c r="J103" s="345">
        <f t="shared" si="23"/>
        <v>1538475</v>
      </c>
      <c r="K103" s="345" t="str">
        <f t="shared" si="23"/>
        <v/>
      </c>
      <c r="L103" s="345" t="str">
        <f t="shared" si="23"/>
        <v/>
      </c>
      <c r="M103" s="345" t="str">
        <f t="shared" si="23"/>
        <v/>
      </c>
      <c r="N103" s="345" t="str">
        <f t="shared" si="23"/>
        <v/>
      </c>
      <c r="O103" s="139"/>
      <c r="P103" s="169">
        <f>SUM(C103:N103)</f>
        <v>6465230</v>
      </c>
      <c r="Q103" s="139"/>
      <c r="R103" s="139"/>
    </row>
    <row r="104" spans="1:16143" x14ac:dyDescent="0.25">
      <c r="B104" s="343" t="str">
        <f>+B73</f>
        <v>AHORRO O DÉFICIT</v>
      </c>
      <c r="C104" s="346">
        <f t="shared" ref="C104:N104" si="24">+IF(C73=0,"",+C73)</f>
        <v>-5432</v>
      </c>
      <c r="D104" s="346">
        <f t="shared" si="24"/>
        <v>218469</v>
      </c>
      <c r="E104" s="346">
        <f t="shared" si="24"/>
        <v>138324</v>
      </c>
      <c r="F104" s="346">
        <f t="shared" si="24"/>
        <v>462190</v>
      </c>
      <c r="G104" s="346">
        <f t="shared" si="24"/>
        <v>-567386</v>
      </c>
      <c r="H104" s="346">
        <f t="shared" si="24"/>
        <v>97401</v>
      </c>
      <c r="I104" s="346">
        <f t="shared" si="24"/>
        <v>222655</v>
      </c>
      <c r="J104" s="346">
        <f t="shared" si="24"/>
        <v>-693545</v>
      </c>
      <c r="K104" s="346" t="str">
        <f t="shared" si="24"/>
        <v/>
      </c>
      <c r="L104" s="346" t="str">
        <f t="shared" si="24"/>
        <v/>
      </c>
      <c r="M104" s="346" t="str">
        <f t="shared" si="24"/>
        <v/>
      </c>
      <c r="N104" s="346" t="str">
        <f t="shared" si="24"/>
        <v/>
      </c>
      <c r="O104" s="139"/>
      <c r="P104" s="169">
        <f>SUM(C104:N104)</f>
        <v>-127324</v>
      </c>
      <c r="Q104" s="139"/>
      <c r="R104" s="139"/>
    </row>
    <row r="105" spans="1:16143" x14ac:dyDescent="0.25">
      <c r="B105" s="159"/>
      <c r="C105" s="184"/>
      <c r="D105" s="184"/>
      <c r="E105" s="184"/>
      <c r="F105" s="184"/>
      <c r="G105" s="184"/>
      <c r="H105" s="184"/>
      <c r="I105" s="184"/>
      <c r="J105" s="184"/>
      <c r="K105" s="184"/>
      <c r="L105" s="184"/>
      <c r="M105" s="184"/>
      <c r="N105" s="184"/>
      <c r="O105" s="139"/>
      <c r="P105" s="139"/>
      <c r="Q105" s="139"/>
      <c r="R105" s="139"/>
    </row>
    <row r="107" spans="1:16143" x14ac:dyDescent="0.2">
      <c r="B107" s="632" t="s">
        <v>343</v>
      </c>
      <c r="C107" s="633" t="str">
        <f>+C101</f>
        <v>ABR</v>
      </c>
      <c r="D107" s="633" t="str">
        <f t="shared" ref="D107:N107" si="25">+D101</f>
        <v>MAY</v>
      </c>
      <c r="E107" s="633" t="str">
        <f t="shared" si="25"/>
        <v>JUN</v>
      </c>
      <c r="F107" s="633" t="str">
        <f t="shared" si="25"/>
        <v>JUL</v>
      </c>
      <c r="G107" s="633" t="str">
        <f t="shared" si="25"/>
        <v>AGO</v>
      </c>
      <c r="H107" s="633" t="str">
        <f t="shared" si="25"/>
        <v>SEP</v>
      </c>
      <c r="I107" s="633" t="str">
        <f t="shared" si="25"/>
        <v>OCT</v>
      </c>
      <c r="J107" s="633" t="str">
        <f t="shared" si="25"/>
        <v>NOV</v>
      </c>
      <c r="K107" s="633" t="str">
        <f t="shared" si="25"/>
        <v>DIC</v>
      </c>
      <c r="L107" s="633" t="str">
        <f t="shared" si="25"/>
        <v>ENE</v>
      </c>
      <c r="M107" s="633" t="str">
        <f t="shared" si="25"/>
        <v>FEB</v>
      </c>
      <c r="N107" s="633" t="str">
        <f t="shared" si="25"/>
        <v>MAR</v>
      </c>
    </row>
    <row r="108" spans="1:16143" x14ac:dyDescent="0.2">
      <c r="B108" s="634" t="s">
        <v>55</v>
      </c>
      <c r="C108" s="340" t="str">
        <f t="shared" ref="C108:N108" si="26">+IF(C3&lt;&gt;0,"Ok","")</f>
        <v>Ok</v>
      </c>
      <c r="D108" s="340" t="str">
        <f t="shared" si="26"/>
        <v>Ok</v>
      </c>
      <c r="E108" s="340" t="str">
        <f t="shared" si="26"/>
        <v>Ok</v>
      </c>
      <c r="F108" s="340" t="str">
        <f t="shared" si="26"/>
        <v>Ok</v>
      </c>
      <c r="G108" s="340" t="str">
        <f t="shared" si="26"/>
        <v>Ok</v>
      </c>
      <c r="H108" s="340" t="str">
        <f t="shared" si="26"/>
        <v>Ok</v>
      </c>
      <c r="I108" s="340" t="str">
        <f t="shared" si="26"/>
        <v>Ok</v>
      </c>
      <c r="J108" s="340" t="str">
        <f t="shared" si="26"/>
        <v/>
      </c>
      <c r="K108" s="340" t="str">
        <f t="shared" si="26"/>
        <v/>
      </c>
      <c r="L108" s="340" t="str">
        <f t="shared" si="26"/>
        <v/>
      </c>
      <c r="M108" s="340" t="str">
        <f t="shared" si="26"/>
        <v/>
      </c>
      <c r="N108" s="340" t="str">
        <f t="shared" si="26"/>
        <v/>
      </c>
    </row>
    <row r="109" spans="1:16143" s="140" customFormat="1" x14ac:dyDescent="0.2">
      <c r="A109" s="139"/>
      <c r="B109" s="635" t="s">
        <v>356</v>
      </c>
      <c r="C109" s="338" t="str">
        <f t="shared" ref="C109:N109" si="27">+IF(C4&lt;&gt;0,"Ok","")</f>
        <v>Ok</v>
      </c>
      <c r="D109" s="338" t="str">
        <f t="shared" si="27"/>
        <v>Ok</v>
      </c>
      <c r="E109" s="338" t="str">
        <f t="shared" si="27"/>
        <v>Ok</v>
      </c>
      <c r="F109" s="338" t="str">
        <f t="shared" si="27"/>
        <v>Ok</v>
      </c>
      <c r="G109" s="338" t="str">
        <f t="shared" si="27"/>
        <v>Ok</v>
      </c>
      <c r="H109" s="338" t="str">
        <f t="shared" si="27"/>
        <v>Ok</v>
      </c>
      <c r="I109" s="338" t="str">
        <f t="shared" si="27"/>
        <v>Ok</v>
      </c>
      <c r="J109" s="338" t="str">
        <f t="shared" si="27"/>
        <v/>
      </c>
      <c r="K109" s="338" t="str">
        <f t="shared" si="27"/>
        <v/>
      </c>
      <c r="L109" s="338" t="str">
        <f t="shared" si="27"/>
        <v/>
      </c>
      <c r="M109" s="338" t="str">
        <f t="shared" si="27"/>
        <v/>
      </c>
      <c r="N109" s="338" t="str">
        <f t="shared" si="27"/>
        <v/>
      </c>
      <c r="Q109" s="171"/>
      <c r="R109" s="171"/>
      <c r="S109" s="139"/>
      <c r="T109" s="139"/>
      <c r="U109" s="139"/>
      <c r="V109" s="139"/>
      <c r="W109" s="139"/>
      <c r="X109" s="139"/>
      <c r="Y109" s="139"/>
      <c r="Z109" s="139"/>
      <c r="AA109" s="139"/>
      <c r="AB109" s="139"/>
      <c r="AC109" s="139"/>
      <c r="AD109" s="139"/>
      <c r="AE109" s="139"/>
      <c r="AF109" s="139"/>
      <c r="AG109" s="139"/>
      <c r="AH109" s="139"/>
      <c r="AI109" s="139"/>
      <c r="AJ109" s="139"/>
      <c r="AK109" s="139"/>
      <c r="AL109" s="139"/>
      <c r="AM109" s="139"/>
      <c r="AN109" s="139"/>
      <c r="AO109" s="139"/>
      <c r="AP109" s="139"/>
      <c r="AQ109" s="139"/>
      <c r="AR109" s="139"/>
      <c r="AS109" s="139"/>
      <c r="AT109" s="139"/>
      <c r="AU109" s="139"/>
      <c r="AV109" s="139"/>
      <c r="AW109" s="139"/>
      <c r="AX109" s="139"/>
      <c r="AY109" s="139"/>
      <c r="AZ109" s="139"/>
      <c r="BA109" s="139"/>
      <c r="BB109" s="139"/>
      <c r="BC109" s="139"/>
      <c r="BD109" s="139"/>
      <c r="BE109" s="139"/>
      <c r="BF109" s="139"/>
      <c r="BG109" s="139"/>
      <c r="BH109" s="139"/>
      <c r="BI109" s="139"/>
      <c r="BJ109" s="139"/>
      <c r="BK109" s="139"/>
      <c r="BL109" s="139"/>
      <c r="BM109" s="139"/>
      <c r="BN109" s="139"/>
      <c r="BO109" s="139"/>
      <c r="BP109" s="139"/>
      <c r="BQ109" s="139"/>
      <c r="BR109" s="139"/>
      <c r="BS109" s="139"/>
      <c r="BT109" s="139"/>
      <c r="BU109" s="139"/>
      <c r="BV109" s="139"/>
      <c r="BW109" s="139"/>
      <c r="BX109" s="139"/>
      <c r="BY109" s="139"/>
      <c r="BZ109" s="139"/>
      <c r="CA109" s="139"/>
      <c r="CB109" s="139"/>
      <c r="CC109" s="139"/>
      <c r="CD109" s="139"/>
      <c r="CE109" s="139"/>
      <c r="CF109" s="139"/>
      <c r="CG109" s="139"/>
      <c r="CH109" s="139"/>
      <c r="CI109" s="139"/>
      <c r="CJ109" s="139"/>
      <c r="CK109" s="139"/>
      <c r="CL109" s="139"/>
      <c r="CM109" s="139"/>
      <c r="CN109" s="139"/>
      <c r="CO109" s="139"/>
      <c r="CP109" s="139"/>
      <c r="CQ109" s="139"/>
      <c r="CR109" s="139"/>
      <c r="CS109" s="139"/>
      <c r="CT109" s="139"/>
      <c r="CU109" s="139"/>
      <c r="CV109" s="139"/>
      <c r="CW109" s="139"/>
      <c r="CX109" s="139"/>
      <c r="CY109" s="139"/>
      <c r="CZ109" s="139"/>
      <c r="DA109" s="139"/>
      <c r="DB109" s="139"/>
      <c r="DC109" s="139"/>
      <c r="DD109" s="139"/>
      <c r="DE109" s="139"/>
      <c r="DF109" s="139"/>
      <c r="DG109" s="139"/>
      <c r="DH109" s="139"/>
      <c r="DI109" s="139"/>
      <c r="DJ109" s="139"/>
      <c r="DK109" s="139"/>
      <c r="DL109" s="139"/>
      <c r="DM109" s="139"/>
      <c r="DN109" s="139"/>
      <c r="DO109" s="139"/>
      <c r="DP109" s="139"/>
      <c r="DQ109" s="139"/>
      <c r="DR109" s="139"/>
      <c r="DS109" s="139"/>
      <c r="DT109" s="139"/>
      <c r="DU109" s="139"/>
      <c r="DV109" s="139"/>
      <c r="DW109" s="139"/>
      <c r="DX109" s="139"/>
      <c r="DY109" s="139"/>
      <c r="DZ109" s="139"/>
      <c r="EA109" s="139"/>
      <c r="EB109" s="139"/>
      <c r="EC109" s="139"/>
      <c r="ED109" s="139"/>
      <c r="EE109" s="139"/>
      <c r="EF109" s="139"/>
      <c r="EG109" s="139"/>
      <c r="EH109" s="139"/>
      <c r="EI109" s="139"/>
      <c r="EJ109" s="139"/>
      <c r="EK109" s="139"/>
      <c r="EL109" s="139"/>
      <c r="EM109" s="139"/>
      <c r="EN109" s="139"/>
      <c r="EO109" s="139"/>
      <c r="EP109" s="139"/>
      <c r="EQ109" s="139"/>
      <c r="ER109" s="139"/>
      <c r="ES109" s="139"/>
      <c r="ET109" s="139"/>
      <c r="EU109" s="139"/>
      <c r="EV109" s="139"/>
      <c r="EW109" s="139"/>
      <c r="EX109" s="139"/>
      <c r="EY109" s="139"/>
      <c r="EZ109" s="139"/>
      <c r="FA109" s="139"/>
      <c r="FB109" s="139"/>
      <c r="FC109" s="139"/>
      <c r="FD109" s="139"/>
      <c r="FE109" s="139"/>
      <c r="FF109" s="139"/>
      <c r="FG109" s="139"/>
      <c r="FH109" s="139"/>
      <c r="FI109" s="139"/>
      <c r="FJ109" s="139"/>
      <c r="FK109" s="139"/>
      <c r="FL109" s="139"/>
      <c r="FM109" s="139"/>
      <c r="FN109" s="139"/>
      <c r="FO109" s="139"/>
      <c r="FP109" s="139"/>
      <c r="FQ109" s="139"/>
      <c r="FR109" s="139"/>
      <c r="FS109" s="139"/>
      <c r="FT109" s="139"/>
      <c r="FU109" s="139"/>
      <c r="FV109" s="139"/>
      <c r="FW109" s="139"/>
      <c r="FX109" s="139"/>
      <c r="FY109" s="139"/>
      <c r="FZ109" s="139"/>
      <c r="GA109" s="139"/>
      <c r="GB109" s="139"/>
      <c r="GC109" s="139"/>
      <c r="GD109" s="139"/>
      <c r="GE109" s="139"/>
      <c r="GF109" s="139"/>
      <c r="GG109" s="139"/>
      <c r="GH109" s="139"/>
      <c r="GI109" s="139"/>
      <c r="GJ109" s="139"/>
      <c r="GK109" s="139"/>
      <c r="GL109" s="139"/>
      <c r="GM109" s="139"/>
      <c r="GN109" s="139"/>
      <c r="GO109" s="139"/>
      <c r="GP109" s="139"/>
      <c r="GQ109" s="139"/>
      <c r="GR109" s="139"/>
      <c r="GS109" s="139"/>
      <c r="GT109" s="139"/>
      <c r="GU109" s="139"/>
      <c r="GV109" s="139"/>
      <c r="GW109" s="139"/>
      <c r="GX109" s="139"/>
      <c r="GY109" s="139"/>
      <c r="GZ109" s="139"/>
      <c r="HA109" s="139"/>
      <c r="HB109" s="139"/>
      <c r="HC109" s="139"/>
      <c r="HD109" s="139"/>
      <c r="HE109" s="139"/>
      <c r="HF109" s="139"/>
      <c r="HG109" s="139"/>
      <c r="HH109" s="139"/>
      <c r="HI109" s="139"/>
      <c r="HJ109" s="139"/>
      <c r="HK109" s="139"/>
      <c r="HL109" s="139"/>
      <c r="HM109" s="139"/>
      <c r="HN109" s="139"/>
      <c r="HO109" s="139"/>
      <c r="HP109" s="139"/>
      <c r="HQ109" s="139"/>
      <c r="HR109" s="139"/>
      <c r="HS109" s="139"/>
      <c r="HT109" s="139"/>
      <c r="HU109" s="139"/>
      <c r="HV109" s="139"/>
      <c r="HW109" s="139"/>
      <c r="HX109" s="139"/>
      <c r="HY109" s="139"/>
      <c r="HZ109" s="139"/>
      <c r="IA109" s="139"/>
      <c r="IB109" s="139"/>
      <c r="IC109" s="139"/>
      <c r="ID109" s="139"/>
      <c r="IE109" s="139"/>
      <c r="IF109" s="139"/>
      <c r="IG109" s="139"/>
      <c r="IH109" s="139"/>
      <c r="II109" s="139"/>
      <c r="IJ109" s="139"/>
      <c r="IK109" s="139"/>
      <c r="IL109" s="139"/>
      <c r="IM109" s="139"/>
      <c r="IN109" s="139"/>
      <c r="IO109" s="139"/>
      <c r="IP109" s="139"/>
      <c r="IQ109" s="139"/>
      <c r="IR109" s="139"/>
      <c r="IS109" s="139"/>
      <c r="IT109" s="139"/>
      <c r="IU109" s="139"/>
      <c r="IV109" s="139"/>
      <c r="IW109" s="139"/>
      <c r="IX109" s="139"/>
      <c r="IY109" s="139"/>
      <c r="IZ109" s="139"/>
      <c r="JA109" s="139"/>
      <c r="JB109" s="139"/>
      <c r="JC109" s="139"/>
      <c r="JD109" s="139"/>
      <c r="JE109" s="139"/>
      <c r="JF109" s="139"/>
      <c r="JG109" s="139"/>
      <c r="JH109" s="139"/>
      <c r="JI109" s="139"/>
      <c r="JJ109" s="139"/>
      <c r="JK109" s="139"/>
      <c r="JL109" s="139"/>
      <c r="JM109" s="139"/>
      <c r="JN109" s="139"/>
      <c r="JO109" s="139"/>
      <c r="JP109" s="139"/>
      <c r="JQ109" s="139"/>
      <c r="JR109" s="139"/>
      <c r="JS109" s="139"/>
      <c r="JT109" s="139"/>
      <c r="JU109" s="139"/>
      <c r="JV109" s="139"/>
      <c r="JW109" s="139"/>
      <c r="JX109" s="139"/>
      <c r="JY109" s="139"/>
      <c r="JZ109" s="139"/>
      <c r="KA109" s="139"/>
      <c r="KB109" s="139"/>
      <c r="KC109" s="139"/>
      <c r="KD109" s="139"/>
      <c r="KE109" s="139"/>
      <c r="KF109" s="139"/>
      <c r="KG109" s="139"/>
      <c r="KH109" s="139"/>
      <c r="KI109" s="139"/>
      <c r="KJ109" s="139"/>
      <c r="KK109" s="139"/>
      <c r="KL109" s="139"/>
      <c r="KM109" s="139"/>
      <c r="KN109" s="139"/>
      <c r="KO109" s="139"/>
      <c r="KP109" s="139"/>
      <c r="KQ109" s="139"/>
      <c r="KR109" s="139"/>
      <c r="KS109" s="139"/>
      <c r="KT109" s="139"/>
      <c r="KU109" s="139"/>
      <c r="KV109" s="139"/>
      <c r="KW109" s="139"/>
      <c r="KX109" s="139"/>
      <c r="KY109" s="139"/>
      <c r="KZ109" s="139"/>
      <c r="LA109" s="139"/>
      <c r="LB109" s="139"/>
      <c r="LC109" s="139"/>
      <c r="LD109" s="139"/>
      <c r="LE109" s="139"/>
      <c r="LF109" s="139"/>
      <c r="LG109" s="139"/>
      <c r="LH109" s="139"/>
      <c r="LI109" s="139"/>
      <c r="LJ109" s="139"/>
      <c r="LK109" s="139"/>
      <c r="LL109" s="139"/>
      <c r="LM109" s="139"/>
      <c r="LN109" s="139"/>
      <c r="LO109" s="139"/>
      <c r="LP109" s="139"/>
      <c r="LQ109" s="139"/>
      <c r="LR109" s="139"/>
      <c r="LS109" s="139"/>
      <c r="LT109" s="139"/>
      <c r="LU109" s="139"/>
      <c r="LV109" s="139"/>
      <c r="LW109" s="139"/>
      <c r="LX109" s="139"/>
      <c r="LY109" s="139"/>
      <c r="LZ109" s="139"/>
      <c r="MA109" s="139"/>
      <c r="MB109" s="139"/>
      <c r="MC109" s="139"/>
      <c r="MD109" s="139"/>
      <c r="ME109" s="139"/>
      <c r="MF109" s="139"/>
      <c r="MG109" s="139"/>
      <c r="MH109" s="139"/>
      <c r="MI109" s="139"/>
      <c r="MJ109" s="139"/>
      <c r="MK109" s="139"/>
      <c r="ML109" s="139"/>
      <c r="MM109" s="139"/>
      <c r="MN109" s="139"/>
      <c r="MO109" s="139"/>
      <c r="MP109" s="139"/>
      <c r="MQ109" s="139"/>
      <c r="MR109" s="139"/>
      <c r="MS109" s="139"/>
      <c r="MT109" s="139"/>
      <c r="MU109" s="139"/>
      <c r="MV109" s="139"/>
      <c r="MW109" s="139"/>
      <c r="MX109" s="139"/>
      <c r="MY109" s="139"/>
      <c r="MZ109" s="139"/>
      <c r="NA109" s="139"/>
      <c r="NB109" s="139"/>
      <c r="NC109" s="139"/>
      <c r="ND109" s="139"/>
      <c r="NE109" s="139"/>
      <c r="NF109" s="139"/>
      <c r="NG109" s="139"/>
      <c r="NH109" s="139"/>
      <c r="NI109" s="139"/>
      <c r="NJ109" s="139"/>
      <c r="NK109" s="139"/>
      <c r="NL109" s="139"/>
      <c r="NM109" s="139"/>
      <c r="NN109" s="139"/>
      <c r="NO109" s="139"/>
      <c r="NP109" s="139"/>
      <c r="NQ109" s="139"/>
      <c r="NR109" s="139"/>
      <c r="NS109" s="139"/>
      <c r="NT109" s="139"/>
      <c r="NU109" s="139"/>
      <c r="NV109" s="139"/>
      <c r="NW109" s="139"/>
      <c r="NX109" s="139"/>
      <c r="NY109" s="139"/>
      <c r="NZ109" s="139"/>
      <c r="OA109" s="139"/>
      <c r="OB109" s="139"/>
      <c r="OC109" s="139"/>
      <c r="OD109" s="139"/>
      <c r="OE109" s="139"/>
      <c r="OF109" s="139"/>
      <c r="OG109" s="139"/>
      <c r="OH109" s="139"/>
      <c r="OI109" s="139"/>
      <c r="OJ109" s="139"/>
      <c r="OK109" s="139"/>
      <c r="OL109" s="139"/>
      <c r="OM109" s="139"/>
      <c r="ON109" s="139"/>
      <c r="OO109" s="139"/>
      <c r="OP109" s="139"/>
      <c r="OQ109" s="139"/>
      <c r="OR109" s="139"/>
      <c r="OS109" s="139"/>
      <c r="OT109" s="139"/>
      <c r="OU109" s="139"/>
      <c r="OV109" s="139"/>
      <c r="OW109" s="139"/>
      <c r="OX109" s="139"/>
      <c r="OY109" s="139"/>
      <c r="OZ109" s="139"/>
      <c r="PA109" s="139"/>
      <c r="PB109" s="139"/>
      <c r="PC109" s="139"/>
      <c r="PD109" s="139"/>
      <c r="PE109" s="139"/>
      <c r="PF109" s="139"/>
      <c r="PG109" s="139"/>
      <c r="PH109" s="139"/>
      <c r="PI109" s="139"/>
      <c r="PJ109" s="139"/>
      <c r="PK109" s="139"/>
      <c r="PL109" s="139"/>
      <c r="PM109" s="139"/>
      <c r="PN109" s="139"/>
      <c r="PO109" s="139"/>
      <c r="PP109" s="139"/>
      <c r="PQ109" s="139"/>
      <c r="PR109" s="139"/>
      <c r="PS109" s="139"/>
      <c r="PT109" s="139"/>
      <c r="PU109" s="139"/>
      <c r="PV109" s="139"/>
      <c r="PW109" s="139"/>
      <c r="PX109" s="139"/>
      <c r="PY109" s="139"/>
      <c r="PZ109" s="139"/>
      <c r="QA109" s="139"/>
      <c r="QB109" s="139"/>
      <c r="QC109" s="139"/>
      <c r="QD109" s="139"/>
      <c r="QE109" s="139"/>
      <c r="QF109" s="139"/>
      <c r="QG109" s="139"/>
      <c r="QH109" s="139"/>
      <c r="QI109" s="139"/>
      <c r="QJ109" s="139"/>
      <c r="QK109" s="139"/>
      <c r="QL109" s="139"/>
      <c r="QM109" s="139"/>
      <c r="QN109" s="139"/>
      <c r="QO109" s="139"/>
      <c r="QP109" s="139"/>
      <c r="QQ109" s="139"/>
      <c r="QR109" s="139"/>
      <c r="QS109" s="139"/>
      <c r="QT109" s="139"/>
      <c r="QU109" s="139"/>
      <c r="QV109" s="139"/>
      <c r="QW109" s="139"/>
      <c r="QX109" s="139"/>
      <c r="QY109" s="139"/>
      <c r="QZ109" s="139"/>
      <c r="RA109" s="139"/>
      <c r="RB109" s="139"/>
      <c r="RC109" s="139"/>
      <c r="RD109" s="139"/>
      <c r="RE109" s="139"/>
      <c r="RF109" s="139"/>
      <c r="RG109" s="139"/>
      <c r="RH109" s="139"/>
      <c r="RI109" s="139"/>
      <c r="RJ109" s="139"/>
      <c r="RK109" s="139"/>
      <c r="RL109" s="139"/>
      <c r="RM109" s="139"/>
      <c r="RN109" s="139"/>
      <c r="RO109" s="139"/>
      <c r="RP109" s="139"/>
      <c r="RQ109" s="139"/>
      <c r="RR109" s="139"/>
      <c r="RS109" s="139"/>
      <c r="RT109" s="139"/>
      <c r="RU109" s="139"/>
      <c r="RV109" s="139"/>
      <c r="RW109" s="139"/>
      <c r="RX109" s="139"/>
      <c r="RY109" s="139"/>
      <c r="RZ109" s="139"/>
      <c r="SA109" s="139"/>
      <c r="SB109" s="139"/>
      <c r="SC109" s="139"/>
      <c r="SD109" s="139"/>
      <c r="SE109" s="139"/>
      <c r="SF109" s="139"/>
      <c r="SG109" s="139"/>
      <c r="SH109" s="139"/>
      <c r="SI109" s="139"/>
      <c r="SJ109" s="139"/>
      <c r="SK109" s="139"/>
      <c r="SL109" s="139"/>
      <c r="SM109" s="139"/>
      <c r="SN109" s="139"/>
      <c r="SO109" s="139"/>
      <c r="SP109" s="139"/>
      <c r="SQ109" s="139"/>
      <c r="SR109" s="139"/>
      <c r="SS109" s="139"/>
      <c r="ST109" s="139"/>
      <c r="SU109" s="139"/>
      <c r="SV109" s="139"/>
      <c r="SW109" s="139"/>
      <c r="SX109" s="139"/>
      <c r="SY109" s="139"/>
      <c r="SZ109" s="139"/>
      <c r="TA109" s="139"/>
      <c r="TB109" s="139"/>
      <c r="TC109" s="139"/>
      <c r="TD109" s="139"/>
      <c r="TE109" s="139"/>
      <c r="TF109" s="139"/>
      <c r="TG109" s="139"/>
      <c r="TH109" s="139"/>
      <c r="TI109" s="139"/>
      <c r="TJ109" s="139"/>
      <c r="TK109" s="139"/>
      <c r="TL109" s="139"/>
      <c r="TM109" s="139"/>
      <c r="TN109" s="139"/>
      <c r="TO109" s="139"/>
      <c r="TP109" s="139"/>
      <c r="TQ109" s="139"/>
      <c r="TR109" s="139"/>
      <c r="TS109" s="139"/>
      <c r="TT109" s="139"/>
      <c r="TU109" s="139"/>
      <c r="TV109" s="139"/>
      <c r="TW109" s="139"/>
      <c r="TX109" s="139"/>
      <c r="TY109" s="139"/>
      <c r="TZ109" s="139"/>
      <c r="UA109" s="139"/>
      <c r="UB109" s="139"/>
      <c r="UC109" s="139"/>
      <c r="UD109" s="139"/>
      <c r="UE109" s="139"/>
      <c r="UF109" s="139"/>
      <c r="UG109" s="139"/>
      <c r="UH109" s="139"/>
      <c r="UI109" s="139"/>
      <c r="UJ109" s="139"/>
      <c r="UK109" s="139"/>
      <c r="UL109" s="139"/>
      <c r="UM109" s="139"/>
      <c r="UN109" s="139"/>
      <c r="UO109" s="139"/>
      <c r="UP109" s="139"/>
      <c r="UQ109" s="139"/>
      <c r="UR109" s="139"/>
      <c r="US109" s="139"/>
      <c r="UT109" s="139"/>
      <c r="UU109" s="139"/>
      <c r="UV109" s="139"/>
      <c r="UW109" s="139"/>
      <c r="UX109" s="139"/>
      <c r="UY109" s="139"/>
      <c r="UZ109" s="139"/>
      <c r="VA109" s="139"/>
      <c r="VB109" s="139"/>
      <c r="VC109" s="139"/>
      <c r="VD109" s="139"/>
      <c r="VE109" s="139"/>
      <c r="VF109" s="139"/>
      <c r="VG109" s="139"/>
      <c r="VH109" s="139"/>
      <c r="VI109" s="139"/>
      <c r="VJ109" s="139"/>
      <c r="VK109" s="139"/>
      <c r="VL109" s="139"/>
      <c r="VM109" s="139"/>
      <c r="VN109" s="139"/>
      <c r="VO109" s="139"/>
      <c r="VP109" s="139"/>
      <c r="VQ109" s="139"/>
      <c r="VR109" s="139"/>
      <c r="VS109" s="139"/>
      <c r="VT109" s="139"/>
      <c r="VU109" s="139"/>
      <c r="VV109" s="139"/>
      <c r="VW109" s="139"/>
      <c r="VX109" s="139"/>
      <c r="VY109" s="139"/>
      <c r="VZ109" s="139"/>
      <c r="WA109" s="139"/>
      <c r="WB109" s="139"/>
      <c r="WC109" s="139"/>
      <c r="WD109" s="139"/>
      <c r="WE109" s="139"/>
      <c r="WF109" s="139"/>
      <c r="WG109" s="139"/>
      <c r="WH109" s="139"/>
      <c r="WI109" s="139"/>
      <c r="WJ109" s="139"/>
      <c r="WK109" s="139"/>
      <c r="WL109" s="139"/>
      <c r="WM109" s="139"/>
      <c r="WN109" s="139"/>
      <c r="WO109" s="139"/>
      <c r="WP109" s="139"/>
      <c r="WQ109" s="139"/>
      <c r="WR109" s="139"/>
      <c r="WS109" s="139"/>
      <c r="WT109" s="139"/>
      <c r="WU109" s="139"/>
      <c r="WV109" s="139"/>
      <c r="WW109" s="139"/>
      <c r="WX109" s="139"/>
      <c r="WY109" s="139"/>
      <c r="WZ109" s="139"/>
      <c r="XA109" s="139"/>
      <c r="XB109" s="139"/>
      <c r="XC109" s="139"/>
      <c r="XD109" s="139"/>
      <c r="XE109" s="139"/>
      <c r="XF109" s="139"/>
      <c r="XG109" s="139"/>
      <c r="XH109" s="139"/>
      <c r="XI109" s="139"/>
      <c r="XJ109" s="139"/>
      <c r="XK109" s="139"/>
      <c r="XL109" s="139"/>
      <c r="XM109" s="139"/>
      <c r="XN109" s="139"/>
      <c r="XO109" s="139"/>
      <c r="XP109" s="139"/>
      <c r="XQ109" s="139"/>
      <c r="XR109" s="139"/>
      <c r="XS109" s="139"/>
      <c r="XT109" s="139"/>
      <c r="XU109" s="139"/>
      <c r="XV109" s="139"/>
      <c r="XW109" s="139"/>
      <c r="XX109" s="139"/>
      <c r="XY109" s="139"/>
      <c r="XZ109" s="139"/>
      <c r="YA109" s="139"/>
      <c r="YB109" s="139"/>
      <c r="YC109" s="139"/>
      <c r="YD109" s="139"/>
      <c r="YE109" s="139"/>
      <c r="YF109" s="139"/>
      <c r="YG109" s="139"/>
      <c r="YH109" s="139"/>
      <c r="YI109" s="139"/>
      <c r="YJ109" s="139"/>
      <c r="YK109" s="139"/>
      <c r="YL109" s="139"/>
      <c r="YM109" s="139"/>
      <c r="YN109" s="139"/>
      <c r="YO109" s="139"/>
      <c r="YP109" s="139"/>
      <c r="YQ109" s="139"/>
      <c r="YR109" s="139"/>
      <c r="YS109" s="139"/>
      <c r="YT109" s="139"/>
      <c r="YU109" s="139"/>
      <c r="YV109" s="139"/>
      <c r="YW109" s="139"/>
      <c r="YX109" s="139"/>
      <c r="YY109" s="139"/>
      <c r="YZ109" s="139"/>
      <c r="ZA109" s="139"/>
      <c r="ZB109" s="139"/>
      <c r="ZC109" s="139"/>
      <c r="ZD109" s="139"/>
      <c r="ZE109" s="139"/>
      <c r="ZF109" s="139"/>
      <c r="ZG109" s="139"/>
      <c r="ZH109" s="139"/>
      <c r="ZI109" s="139"/>
      <c r="ZJ109" s="139"/>
      <c r="ZK109" s="139"/>
      <c r="ZL109" s="139"/>
      <c r="ZM109" s="139"/>
      <c r="ZN109" s="139"/>
      <c r="ZO109" s="139"/>
      <c r="ZP109" s="139"/>
      <c r="ZQ109" s="139"/>
      <c r="ZR109" s="139"/>
      <c r="ZS109" s="139"/>
      <c r="ZT109" s="139"/>
      <c r="ZU109" s="139"/>
      <c r="ZV109" s="139"/>
      <c r="ZW109" s="139"/>
      <c r="ZX109" s="139"/>
      <c r="ZY109" s="139"/>
      <c r="ZZ109" s="139"/>
      <c r="AAA109" s="139"/>
      <c r="AAB109" s="139"/>
      <c r="AAC109" s="139"/>
      <c r="AAD109" s="139"/>
      <c r="AAE109" s="139"/>
      <c r="AAF109" s="139"/>
      <c r="AAG109" s="139"/>
      <c r="AAH109" s="139"/>
      <c r="AAI109" s="139"/>
      <c r="AAJ109" s="139"/>
      <c r="AAK109" s="139"/>
      <c r="AAL109" s="139"/>
      <c r="AAM109" s="139"/>
      <c r="AAN109" s="139"/>
      <c r="AAO109" s="139"/>
      <c r="AAP109" s="139"/>
      <c r="AAQ109" s="139"/>
      <c r="AAR109" s="139"/>
      <c r="AAS109" s="139"/>
      <c r="AAT109" s="139"/>
      <c r="AAU109" s="139"/>
      <c r="AAV109" s="139"/>
      <c r="AAW109" s="139"/>
      <c r="AAX109" s="139"/>
      <c r="AAY109" s="139"/>
      <c r="AAZ109" s="139"/>
      <c r="ABA109" s="139"/>
      <c r="ABB109" s="139"/>
      <c r="ABC109" s="139"/>
      <c r="ABD109" s="139"/>
      <c r="ABE109" s="139"/>
      <c r="ABF109" s="139"/>
      <c r="ABG109" s="139"/>
      <c r="ABH109" s="139"/>
      <c r="ABI109" s="139"/>
      <c r="ABJ109" s="139"/>
      <c r="ABK109" s="139"/>
      <c r="ABL109" s="139"/>
      <c r="ABM109" s="139"/>
      <c r="ABN109" s="139"/>
      <c r="ABO109" s="139"/>
      <c r="ABP109" s="139"/>
      <c r="ABQ109" s="139"/>
      <c r="ABR109" s="139"/>
      <c r="ABS109" s="139"/>
      <c r="ABT109" s="139"/>
      <c r="ABU109" s="139"/>
      <c r="ABV109" s="139"/>
      <c r="ABW109" s="139"/>
      <c r="ABX109" s="139"/>
      <c r="ABY109" s="139"/>
      <c r="ABZ109" s="139"/>
      <c r="ACA109" s="139"/>
      <c r="ACB109" s="139"/>
      <c r="ACC109" s="139"/>
      <c r="ACD109" s="139"/>
      <c r="ACE109" s="139"/>
      <c r="ACF109" s="139"/>
      <c r="ACG109" s="139"/>
      <c r="ACH109" s="139"/>
      <c r="ACI109" s="139"/>
      <c r="ACJ109" s="139"/>
      <c r="ACK109" s="139"/>
      <c r="ACL109" s="139"/>
      <c r="ACM109" s="139"/>
      <c r="ACN109" s="139"/>
      <c r="ACO109" s="139"/>
      <c r="ACP109" s="139"/>
      <c r="ACQ109" s="139"/>
      <c r="ACR109" s="139"/>
      <c r="ACS109" s="139"/>
      <c r="ACT109" s="139"/>
      <c r="ACU109" s="139"/>
      <c r="ACV109" s="139"/>
      <c r="ACW109" s="139"/>
      <c r="ACX109" s="139"/>
      <c r="ACY109" s="139"/>
      <c r="ACZ109" s="139"/>
      <c r="ADA109" s="139"/>
      <c r="ADB109" s="139"/>
      <c r="ADC109" s="139"/>
      <c r="ADD109" s="139"/>
      <c r="ADE109" s="139"/>
      <c r="ADF109" s="139"/>
      <c r="ADG109" s="139"/>
      <c r="ADH109" s="139"/>
      <c r="ADI109" s="139"/>
      <c r="ADJ109" s="139"/>
      <c r="ADK109" s="139"/>
      <c r="ADL109" s="139"/>
      <c r="ADM109" s="139"/>
      <c r="ADN109" s="139"/>
      <c r="ADO109" s="139"/>
      <c r="ADP109" s="139"/>
      <c r="ADQ109" s="139"/>
      <c r="ADR109" s="139"/>
      <c r="ADS109" s="139"/>
      <c r="ADT109" s="139"/>
      <c r="ADU109" s="139"/>
      <c r="ADV109" s="139"/>
      <c r="ADW109" s="139"/>
      <c r="ADX109" s="139"/>
      <c r="ADY109" s="139"/>
      <c r="ADZ109" s="139"/>
      <c r="AEA109" s="139"/>
      <c r="AEB109" s="139"/>
      <c r="AEC109" s="139"/>
      <c r="AED109" s="139"/>
      <c r="AEE109" s="139"/>
      <c r="AEF109" s="139"/>
      <c r="AEG109" s="139"/>
      <c r="AEH109" s="139"/>
      <c r="AEI109" s="139"/>
      <c r="AEJ109" s="139"/>
      <c r="AEK109" s="139"/>
      <c r="AEL109" s="139"/>
      <c r="AEM109" s="139"/>
      <c r="AEN109" s="139"/>
      <c r="AEO109" s="139"/>
      <c r="AEP109" s="139"/>
      <c r="AEQ109" s="139"/>
      <c r="AER109" s="139"/>
      <c r="AES109" s="139"/>
      <c r="AET109" s="139"/>
      <c r="AEU109" s="139"/>
      <c r="AEV109" s="139"/>
      <c r="AEW109" s="139"/>
      <c r="AEX109" s="139"/>
      <c r="AEY109" s="139"/>
      <c r="AEZ109" s="139"/>
      <c r="AFA109" s="139"/>
      <c r="AFB109" s="139"/>
      <c r="AFC109" s="139"/>
      <c r="AFD109" s="139"/>
      <c r="AFE109" s="139"/>
      <c r="AFF109" s="139"/>
      <c r="AFG109" s="139"/>
      <c r="AFH109" s="139"/>
      <c r="AFI109" s="139"/>
      <c r="AFJ109" s="139"/>
      <c r="AFK109" s="139"/>
      <c r="AFL109" s="139"/>
      <c r="AFM109" s="139"/>
      <c r="AFN109" s="139"/>
      <c r="AFO109" s="139"/>
      <c r="AFP109" s="139"/>
      <c r="AFQ109" s="139"/>
      <c r="AFR109" s="139"/>
      <c r="AFS109" s="139"/>
      <c r="AFT109" s="139"/>
      <c r="AFU109" s="139"/>
      <c r="AFV109" s="139"/>
      <c r="AFW109" s="139"/>
      <c r="AFX109" s="139"/>
      <c r="AFY109" s="139"/>
      <c r="AFZ109" s="139"/>
      <c r="AGA109" s="139"/>
      <c r="AGB109" s="139"/>
      <c r="AGC109" s="139"/>
      <c r="AGD109" s="139"/>
      <c r="AGE109" s="139"/>
      <c r="AGF109" s="139"/>
      <c r="AGG109" s="139"/>
      <c r="AGH109" s="139"/>
      <c r="AGI109" s="139"/>
      <c r="AGJ109" s="139"/>
      <c r="AGK109" s="139"/>
      <c r="AGL109" s="139"/>
      <c r="AGM109" s="139"/>
      <c r="AGN109" s="139"/>
      <c r="AGO109" s="139"/>
      <c r="AGP109" s="139"/>
      <c r="AGQ109" s="139"/>
      <c r="AGR109" s="139"/>
      <c r="AGS109" s="139"/>
      <c r="AGT109" s="139"/>
      <c r="AGU109" s="139"/>
      <c r="AGV109" s="139"/>
      <c r="AGW109" s="139"/>
      <c r="AGX109" s="139"/>
      <c r="AGY109" s="139"/>
      <c r="AGZ109" s="139"/>
      <c r="AHA109" s="139"/>
      <c r="AHB109" s="139"/>
      <c r="AHC109" s="139"/>
      <c r="AHD109" s="139"/>
      <c r="AHE109" s="139"/>
      <c r="AHF109" s="139"/>
      <c r="AHG109" s="139"/>
      <c r="AHH109" s="139"/>
      <c r="AHI109" s="139"/>
      <c r="AHJ109" s="139"/>
      <c r="AHK109" s="139"/>
      <c r="AHL109" s="139"/>
      <c r="AHM109" s="139"/>
      <c r="AHN109" s="139"/>
      <c r="AHO109" s="139"/>
      <c r="AHP109" s="139"/>
      <c r="AHQ109" s="139"/>
      <c r="AHR109" s="139"/>
      <c r="AHS109" s="139"/>
      <c r="AHT109" s="139"/>
      <c r="AHU109" s="139"/>
      <c r="AHV109" s="139"/>
      <c r="AHW109" s="139"/>
      <c r="AHX109" s="139"/>
      <c r="AHY109" s="139"/>
      <c r="AHZ109" s="139"/>
      <c r="AIA109" s="139"/>
      <c r="AIB109" s="139"/>
      <c r="AIC109" s="139"/>
      <c r="AID109" s="139"/>
      <c r="AIE109" s="139"/>
      <c r="AIF109" s="139"/>
      <c r="AIG109" s="139"/>
      <c r="AIH109" s="139"/>
      <c r="AII109" s="139"/>
      <c r="AIJ109" s="139"/>
      <c r="AIK109" s="139"/>
      <c r="AIL109" s="139"/>
      <c r="AIM109" s="139"/>
      <c r="AIN109" s="139"/>
      <c r="AIO109" s="139"/>
      <c r="AIP109" s="139"/>
      <c r="AIQ109" s="139"/>
      <c r="AIR109" s="139"/>
      <c r="AIS109" s="139"/>
      <c r="AIT109" s="139"/>
      <c r="AIU109" s="139"/>
      <c r="AIV109" s="139"/>
      <c r="AIW109" s="139"/>
      <c r="AIX109" s="139"/>
      <c r="AIY109" s="139"/>
      <c r="AIZ109" s="139"/>
      <c r="AJA109" s="139"/>
      <c r="AJB109" s="139"/>
      <c r="AJC109" s="139"/>
      <c r="AJD109" s="139"/>
      <c r="AJE109" s="139"/>
      <c r="AJF109" s="139"/>
      <c r="AJG109" s="139"/>
      <c r="AJH109" s="139"/>
      <c r="AJI109" s="139"/>
      <c r="AJJ109" s="139"/>
      <c r="AJK109" s="139"/>
      <c r="AJL109" s="139"/>
      <c r="AJM109" s="139"/>
      <c r="AJN109" s="139"/>
      <c r="AJO109" s="139"/>
      <c r="AJP109" s="139"/>
      <c r="AJQ109" s="139"/>
      <c r="AJR109" s="139"/>
      <c r="AJS109" s="139"/>
      <c r="AJT109" s="139"/>
      <c r="AJU109" s="139"/>
      <c r="AJV109" s="139"/>
      <c r="AJW109" s="139"/>
      <c r="AJX109" s="139"/>
      <c r="AJY109" s="139"/>
      <c r="AJZ109" s="139"/>
      <c r="AKA109" s="139"/>
      <c r="AKB109" s="139"/>
      <c r="AKC109" s="139"/>
      <c r="AKD109" s="139"/>
      <c r="AKE109" s="139"/>
      <c r="AKF109" s="139"/>
      <c r="AKG109" s="139"/>
      <c r="AKH109" s="139"/>
      <c r="AKI109" s="139"/>
      <c r="AKJ109" s="139"/>
      <c r="AKK109" s="139"/>
      <c r="AKL109" s="139"/>
      <c r="AKM109" s="139"/>
      <c r="AKN109" s="139"/>
      <c r="AKO109" s="139"/>
      <c r="AKP109" s="139"/>
      <c r="AKQ109" s="139"/>
      <c r="AKR109" s="139"/>
      <c r="AKS109" s="139"/>
      <c r="AKT109" s="139"/>
      <c r="AKU109" s="139"/>
      <c r="AKV109" s="139"/>
      <c r="AKW109" s="139"/>
      <c r="AKX109" s="139"/>
      <c r="AKY109" s="139"/>
      <c r="AKZ109" s="139"/>
      <c r="ALA109" s="139"/>
      <c r="ALB109" s="139"/>
      <c r="ALC109" s="139"/>
      <c r="ALD109" s="139"/>
      <c r="ALE109" s="139"/>
      <c r="ALF109" s="139"/>
      <c r="ALG109" s="139"/>
      <c r="ALH109" s="139"/>
      <c r="ALI109" s="139"/>
      <c r="ALJ109" s="139"/>
      <c r="ALK109" s="139"/>
      <c r="ALL109" s="139"/>
      <c r="ALM109" s="139"/>
      <c r="ALN109" s="139"/>
      <c r="ALO109" s="139"/>
      <c r="ALP109" s="139"/>
      <c r="ALQ109" s="139"/>
      <c r="ALR109" s="139"/>
      <c r="ALS109" s="139"/>
      <c r="ALT109" s="139"/>
      <c r="ALU109" s="139"/>
      <c r="ALV109" s="139"/>
      <c r="ALW109" s="139"/>
      <c r="ALX109" s="139"/>
      <c r="ALY109" s="139"/>
      <c r="ALZ109" s="139"/>
      <c r="AMA109" s="139"/>
      <c r="AMB109" s="139"/>
      <c r="AMC109" s="139"/>
      <c r="AMD109" s="139"/>
      <c r="AME109" s="139"/>
      <c r="AMF109" s="139"/>
      <c r="AMG109" s="139"/>
      <c r="AMH109" s="139"/>
      <c r="AMI109" s="139"/>
      <c r="AMJ109" s="139"/>
      <c r="AMK109" s="139"/>
      <c r="AML109" s="139"/>
      <c r="AMM109" s="139"/>
      <c r="AMN109" s="139"/>
      <c r="AMO109" s="139"/>
      <c r="AMP109" s="139"/>
      <c r="AMQ109" s="139"/>
      <c r="AMR109" s="139"/>
      <c r="AMS109" s="139"/>
      <c r="AMT109" s="139"/>
      <c r="AMU109" s="139"/>
      <c r="AMV109" s="139"/>
      <c r="AMW109" s="139"/>
      <c r="AMX109" s="139"/>
      <c r="AMY109" s="139"/>
      <c r="AMZ109" s="139"/>
      <c r="ANA109" s="139"/>
      <c r="ANB109" s="139"/>
      <c r="ANC109" s="139"/>
      <c r="AND109" s="139"/>
      <c r="ANE109" s="139"/>
      <c r="ANF109" s="139"/>
      <c r="ANG109" s="139"/>
      <c r="ANH109" s="139"/>
      <c r="ANI109" s="139"/>
      <c r="ANJ109" s="139"/>
      <c r="ANK109" s="139"/>
      <c r="ANL109" s="139"/>
      <c r="ANM109" s="139"/>
      <c r="ANN109" s="139"/>
      <c r="ANO109" s="139"/>
      <c r="ANP109" s="139"/>
      <c r="ANQ109" s="139"/>
      <c r="ANR109" s="139"/>
      <c r="ANS109" s="139"/>
      <c r="ANT109" s="139"/>
      <c r="ANU109" s="139"/>
      <c r="ANV109" s="139"/>
      <c r="ANW109" s="139"/>
      <c r="ANX109" s="139"/>
      <c r="ANY109" s="139"/>
      <c r="ANZ109" s="139"/>
      <c r="AOA109" s="139"/>
      <c r="AOB109" s="139"/>
      <c r="AOC109" s="139"/>
      <c r="AOD109" s="139"/>
      <c r="AOE109" s="139"/>
      <c r="AOF109" s="139"/>
      <c r="AOG109" s="139"/>
      <c r="AOH109" s="139"/>
      <c r="AOI109" s="139"/>
      <c r="AOJ109" s="139"/>
      <c r="AOK109" s="139"/>
      <c r="AOL109" s="139"/>
      <c r="AOM109" s="139"/>
      <c r="AON109" s="139"/>
      <c r="AOO109" s="139"/>
      <c r="AOP109" s="139"/>
      <c r="AOQ109" s="139"/>
      <c r="AOR109" s="139"/>
      <c r="AOS109" s="139"/>
      <c r="AOT109" s="139"/>
      <c r="AOU109" s="139"/>
      <c r="AOV109" s="139"/>
      <c r="AOW109" s="139"/>
      <c r="AOX109" s="139"/>
      <c r="AOY109" s="139"/>
      <c r="AOZ109" s="139"/>
      <c r="APA109" s="139"/>
      <c r="APB109" s="139"/>
      <c r="APC109" s="139"/>
      <c r="APD109" s="139"/>
      <c r="APE109" s="139"/>
      <c r="APF109" s="139"/>
      <c r="APG109" s="139"/>
      <c r="APH109" s="139"/>
      <c r="API109" s="139"/>
      <c r="APJ109" s="139"/>
      <c r="APK109" s="139"/>
      <c r="APL109" s="139"/>
      <c r="APM109" s="139"/>
      <c r="APN109" s="139"/>
      <c r="APO109" s="139"/>
      <c r="APP109" s="139"/>
      <c r="APQ109" s="139"/>
      <c r="APR109" s="139"/>
      <c r="APS109" s="139"/>
      <c r="APT109" s="139"/>
      <c r="APU109" s="139"/>
      <c r="APV109" s="139"/>
      <c r="APW109" s="139"/>
      <c r="APX109" s="139"/>
      <c r="APY109" s="139"/>
      <c r="APZ109" s="139"/>
      <c r="AQA109" s="139"/>
      <c r="AQB109" s="139"/>
      <c r="AQC109" s="139"/>
      <c r="AQD109" s="139"/>
      <c r="AQE109" s="139"/>
      <c r="AQF109" s="139"/>
      <c r="AQG109" s="139"/>
      <c r="AQH109" s="139"/>
      <c r="AQI109" s="139"/>
      <c r="AQJ109" s="139"/>
      <c r="AQK109" s="139"/>
      <c r="AQL109" s="139"/>
      <c r="AQM109" s="139"/>
      <c r="AQN109" s="139"/>
      <c r="AQO109" s="139"/>
      <c r="AQP109" s="139"/>
      <c r="AQQ109" s="139"/>
      <c r="AQR109" s="139"/>
      <c r="AQS109" s="139"/>
      <c r="AQT109" s="139"/>
      <c r="AQU109" s="139"/>
      <c r="AQV109" s="139"/>
      <c r="AQW109" s="139"/>
      <c r="AQX109" s="139"/>
      <c r="AQY109" s="139"/>
      <c r="AQZ109" s="139"/>
      <c r="ARA109" s="139"/>
      <c r="ARB109" s="139"/>
      <c r="ARC109" s="139"/>
      <c r="ARD109" s="139"/>
      <c r="ARE109" s="139"/>
      <c r="ARF109" s="139"/>
      <c r="ARG109" s="139"/>
      <c r="ARH109" s="139"/>
      <c r="ARI109" s="139"/>
      <c r="ARJ109" s="139"/>
      <c r="ARK109" s="139"/>
      <c r="ARL109" s="139"/>
      <c r="ARM109" s="139"/>
      <c r="ARN109" s="139"/>
      <c r="ARO109" s="139"/>
      <c r="ARP109" s="139"/>
      <c r="ARQ109" s="139"/>
      <c r="ARR109" s="139"/>
      <c r="ARS109" s="139"/>
      <c r="ART109" s="139"/>
      <c r="ARU109" s="139"/>
      <c r="ARV109" s="139"/>
      <c r="ARW109" s="139"/>
      <c r="ARX109" s="139"/>
      <c r="ARY109" s="139"/>
      <c r="ARZ109" s="139"/>
      <c r="ASA109" s="139"/>
      <c r="ASB109" s="139"/>
      <c r="ASC109" s="139"/>
      <c r="ASD109" s="139"/>
      <c r="ASE109" s="139"/>
      <c r="ASF109" s="139"/>
      <c r="ASG109" s="139"/>
      <c r="ASH109" s="139"/>
      <c r="ASI109" s="139"/>
      <c r="ASJ109" s="139"/>
      <c r="ASK109" s="139"/>
      <c r="ASL109" s="139"/>
      <c r="ASM109" s="139"/>
      <c r="ASN109" s="139"/>
      <c r="ASO109" s="139"/>
      <c r="ASP109" s="139"/>
      <c r="ASQ109" s="139"/>
      <c r="ASR109" s="139"/>
      <c r="ASS109" s="139"/>
      <c r="AST109" s="139"/>
      <c r="ASU109" s="139"/>
      <c r="ASV109" s="139"/>
      <c r="ASW109" s="139"/>
      <c r="ASX109" s="139"/>
      <c r="ASY109" s="139"/>
      <c r="ASZ109" s="139"/>
      <c r="ATA109" s="139"/>
      <c r="ATB109" s="139"/>
      <c r="ATC109" s="139"/>
      <c r="ATD109" s="139"/>
      <c r="ATE109" s="139"/>
      <c r="ATF109" s="139"/>
      <c r="ATG109" s="139"/>
      <c r="ATH109" s="139"/>
      <c r="ATI109" s="139"/>
      <c r="ATJ109" s="139"/>
      <c r="ATK109" s="139"/>
      <c r="ATL109" s="139"/>
      <c r="ATM109" s="139"/>
      <c r="ATN109" s="139"/>
      <c r="ATO109" s="139"/>
      <c r="ATP109" s="139"/>
      <c r="ATQ109" s="139"/>
      <c r="ATR109" s="139"/>
      <c r="ATS109" s="139"/>
      <c r="ATT109" s="139"/>
      <c r="ATU109" s="139"/>
      <c r="ATV109" s="139"/>
      <c r="ATW109" s="139"/>
      <c r="ATX109" s="139"/>
      <c r="ATY109" s="139"/>
      <c r="ATZ109" s="139"/>
      <c r="AUA109" s="139"/>
      <c r="AUB109" s="139"/>
      <c r="AUC109" s="139"/>
      <c r="AUD109" s="139"/>
      <c r="AUE109" s="139"/>
      <c r="AUF109" s="139"/>
      <c r="AUG109" s="139"/>
      <c r="AUH109" s="139"/>
      <c r="AUI109" s="139"/>
      <c r="AUJ109" s="139"/>
      <c r="AUK109" s="139"/>
      <c r="AUL109" s="139"/>
      <c r="AUM109" s="139"/>
      <c r="AUN109" s="139"/>
      <c r="AUO109" s="139"/>
      <c r="AUP109" s="139"/>
      <c r="AUQ109" s="139"/>
      <c r="AUR109" s="139"/>
      <c r="AUS109" s="139"/>
      <c r="AUT109" s="139"/>
      <c r="AUU109" s="139"/>
      <c r="AUV109" s="139"/>
      <c r="AUW109" s="139"/>
      <c r="AUX109" s="139"/>
      <c r="AUY109" s="139"/>
      <c r="AUZ109" s="139"/>
      <c r="AVA109" s="139"/>
      <c r="AVB109" s="139"/>
      <c r="AVC109" s="139"/>
      <c r="AVD109" s="139"/>
      <c r="AVE109" s="139"/>
      <c r="AVF109" s="139"/>
      <c r="AVG109" s="139"/>
      <c r="AVH109" s="139"/>
      <c r="AVI109" s="139"/>
      <c r="AVJ109" s="139"/>
      <c r="AVK109" s="139"/>
      <c r="AVL109" s="139"/>
      <c r="AVM109" s="139"/>
      <c r="AVN109" s="139"/>
      <c r="AVO109" s="139"/>
      <c r="AVP109" s="139"/>
      <c r="AVQ109" s="139"/>
      <c r="AVR109" s="139"/>
      <c r="AVS109" s="139"/>
      <c r="AVT109" s="139"/>
      <c r="AVU109" s="139"/>
      <c r="AVV109" s="139"/>
      <c r="AVW109" s="139"/>
      <c r="AVX109" s="139"/>
      <c r="AVY109" s="139"/>
      <c r="AVZ109" s="139"/>
      <c r="AWA109" s="139"/>
      <c r="AWB109" s="139"/>
      <c r="AWC109" s="139"/>
      <c r="AWD109" s="139"/>
      <c r="AWE109" s="139"/>
      <c r="AWF109" s="139"/>
      <c r="AWG109" s="139"/>
      <c r="AWH109" s="139"/>
      <c r="AWI109" s="139"/>
      <c r="AWJ109" s="139"/>
      <c r="AWK109" s="139"/>
      <c r="AWL109" s="139"/>
      <c r="AWM109" s="139"/>
      <c r="AWN109" s="139"/>
      <c r="AWO109" s="139"/>
      <c r="AWP109" s="139"/>
      <c r="AWQ109" s="139"/>
      <c r="AWR109" s="139"/>
      <c r="AWS109" s="139"/>
      <c r="AWT109" s="139"/>
      <c r="AWU109" s="139"/>
      <c r="AWV109" s="139"/>
      <c r="AWW109" s="139"/>
      <c r="AWX109" s="139"/>
      <c r="AWY109" s="139"/>
      <c r="AWZ109" s="139"/>
      <c r="AXA109" s="139"/>
      <c r="AXB109" s="139"/>
      <c r="AXC109" s="139"/>
      <c r="AXD109" s="139"/>
      <c r="AXE109" s="139"/>
      <c r="AXF109" s="139"/>
      <c r="AXG109" s="139"/>
      <c r="AXH109" s="139"/>
      <c r="AXI109" s="139"/>
      <c r="AXJ109" s="139"/>
      <c r="AXK109" s="139"/>
      <c r="AXL109" s="139"/>
      <c r="AXM109" s="139"/>
      <c r="AXN109" s="139"/>
      <c r="AXO109" s="139"/>
      <c r="AXP109" s="139"/>
      <c r="AXQ109" s="139"/>
      <c r="AXR109" s="139"/>
      <c r="AXS109" s="139"/>
      <c r="AXT109" s="139"/>
      <c r="AXU109" s="139"/>
      <c r="AXV109" s="139"/>
      <c r="AXW109" s="139"/>
      <c r="AXX109" s="139"/>
      <c r="AXY109" s="139"/>
      <c r="AXZ109" s="139"/>
      <c r="AYA109" s="139"/>
      <c r="AYB109" s="139"/>
      <c r="AYC109" s="139"/>
      <c r="AYD109" s="139"/>
      <c r="AYE109" s="139"/>
      <c r="AYF109" s="139"/>
      <c r="AYG109" s="139"/>
      <c r="AYH109" s="139"/>
      <c r="AYI109" s="139"/>
      <c r="AYJ109" s="139"/>
      <c r="AYK109" s="139"/>
      <c r="AYL109" s="139"/>
      <c r="AYM109" s="139"/>
      <c r="AYN109" s="139"/>
      <c r="AYO109" s="139"/>
      <c r="AYP109" s="139"/>
      <c r="AYQ109" s="139"/>
      <c r="AYR109" s="139"/>
      <c r="AYS109" s="139"/>
      <c r="AYT109" s="139"/>
      <c r="AYU109" s="139"/>
      <c r="AYV109" s="139"/>
      <c r="AYW109" s="139"/>
      <c r="AYX109" s="139"/>
      <c r="AYY109" s="139"/>
      <c r="AYZ109" s="139"/>
      <c r="AZA109" s="139"/>
      <c r="AZB109" s="139"/>
      <c r="AZC109" s="139"/>
      <c r="AZD109" s="139"/>
      <c r="AZE109" s="139"/>
      <c r="AZF109" s="139"/>
      <c r="AZG109" s="139"/>
      <c r="AZH109" s="139"/>
      <c r="AZI109" s="139"/>
      <c r="AZJ109" s="139"/>
      <c r="AZK109" s="139"/>
      <c r="AZL109" s="139"/>
      <c r="AZM109" s="139"/>
      <c r="AZN109" s="139"/>
      <c r="AZO109" s="139"/>
      <c r="AZP109" s="139"/>
      <c r="AZQ109" s="139"/>
      <c r="AZR109" s="139"/>
      <c r="AZS109" s="139"/>
      <c r="AZT109" s="139"/>
      <c r="AZU109" s="139"/>
      <c r="AZV109" s="139"/>
      <c r="AZW109" s="139"/>
      <c r="AZX109" s="139"/>
      <c r="AZY109" s="139"/>
      <c r="AZZ109" s="139"/>
      <c r="BAA109" s="139"/>
      <c r="BAB109" s="139"/>
      <c r="BAC109" s="139"/>
      <c r="BAD109" s="139"/>
      <c r="BAE109" s="139"/>
      <c r="BAF109" s="139"/>
      <c r="BAG109" s="139"/>
      <c r="BAH109" s="139"/>
      <c r="BAI109" s="139"/>
      <c r="BAJ109" s="139"/>
      <c r="BAK109" s="139"/>
      <c r="BAL109" s="139"/>
      <c r="BAM109" s="139"/>
      <c r="BAN109" s="139"/>
      <c r="BAO109" s="139"/>
      <c r="BAP109" s="139"/>
      <c r="BAQ109" s="139"/>
      <c r="BAR109" s="139"/>
      <c r="BAS109" s="139"/>
      <c r="BAT109" s="139"/>
      <c r="BAU109" s="139"/>
      <c r="BAV109" s="139"/>
      <c r="BAW109" s="139"/>
      <c r="BAX109" s="139"/>
      <c r="BAY109" s="139"/>
      <c r="BAZ109" s="139"/>
      <c r="BBA109" s="139"/>
      <c r="BBB109" s="139"/>
      <c r="BBC109" s="139"/>
      <c r="BBD109" s="139"/>
      <c r="BBE109" s="139"/>
      <c r="BBF109" s="139"/>
      <c r="BBG109" s="139"/>
      <c r="BBH109" s="139"/>
      <c r="BBI109" s="139"/>
      <c r="BBJ109" s="139"/>
      <c r="BBK109" s="139"/>
      <c r="BBL109" s="139"/>
      <c r="BBM109" s="139"/>
      <c r="BBN109" s="139"/>
      <c r="BBO109" s="139"/>
      <c r="BBP109" s="139"/>
      <c r="BBQ109" s="139"/>
      <c r="BBR109" s="139"/>
      <c r="BBS109" s="139"/>
      <c r="BBT109" s="139"/>
      <c r="BBU109" s="139"/>
      <c r="BBV109" s="139"/>
      <c r="BBW109" s="139"/>
      <c r="BBX109" s="139"/>
      <c r="BBY109" s="139"/>
      <c r="BBZ109" s="139"/>
      <c r="BCA109" s="139"/>
      <c r="BCB109" s="139"/>
      <c r="BCC109" s="139"/>
      <c r="BCD109" s="139"/>
      <c r="BCE109" s="139"/>
      <c r="BCF109" s="139"/>
      <c r="BCG109" s="139"/>
      <c r="BCH109" s="139"/>
      <c r="BCI109" s="139"/>
      <c r="BCJ109" s="139"/>
      <c r="BCK109" s="139"/>
      <c r="BCL109" s="139"/>
      <c r="BCM109" s="139"/>
      <c r="BCN109" s="139"/>
      <c r="BCO109" s="139"/>
      <c r="BCP109" s="139"/>
      <c r="BCQ109" s="139"/>
      <c r="BCR109" s="139"/>
      <c r="BCS109" s="139"/>
      <c r="BCT109" s="139"/>
      <c r="BCU109" s="139"/>
      <c r="BCV109" s="139"/>
      <c r="BCW109" s="139"/>
      <c r="BCX109" s="139"/>
      <c r="BCY109" s="139"/>
      <c r="BCZ109" s="139"/>
      <c r="BDA109" s="139"/>
      <c r="BDB109" s="139"/>
      <c r="BDC109" s="139"/>
      <c r="BDD109" s="139"/>
      <c r="BDE109" s="139"/>
      <c r="BDF109" s="139"/>
      <c r="BDG109" s="139"/>
      <c r="BDH109" s="139"/>
      <c r="BDI109" s="139"/>
      <c r="BDJ109" s="139"/>
      <c r="BDK109" s="139"/>
      <c r="BDL109" s="139"/>
      <c r="BDM109" s="139"/>
      <c r="BDN109" s="139"/>
      <c r="BDO109" s="139"/>
      <c r="BDP109" s="139"/>
      <c r="BDQ109" s="139"/>
      <c r="BDR109" s="139"/>
      <c r="BDS109" s="139"/>
      <c r="BDT109" s="139"/>
      <c r="BDU109" s="139"/>
      <c r="BDV109" s="139"/>
      <c r="BDW109" s="139"/>
      <c r="BDX109" s="139"/>
      <c r="BDY109" s="139"/>
      <c r="BDZ109" s="139"/>
      <c r="BEA109" s="139"/>
      <c r="BEB109" s="139"/>
      <c r="BEC109" s="139"/>
      <c r="BED109" s="139"/>
      <c r="BEE109" s="139"/>
      <c r="BEF109" s="139"/>
      <c r="BEG109" s="139"/>
      <c r="BEH109" s="139"/>
      <c r="BEI109" s="139"/>
      <c r="BEJ109" s="139"/>
      <c r="BEK109" s="139"/>
      <c r="BEL109" s="139"/>
      <c r="BEM109" s="139"/>
      <c r="BEN109" s="139"/>
      <c r="BEO109" s="139"/>
      <c r="BEP109" s="139"/>
      <c r="BEQ109" s="139"/>
      <c r="BER109" s="139"/>
      <c r="BES109" s="139"/>
      <c r="BET109" s="139"/>
      <c r="BEU109" s="139"/>
      <c r="BEV109" s="139"/>
      <c r="BEW109" s="139"/>
      <c r="BEX109" s="139"/>
      <c r="BEY109" s="139"/>
      <c r="BEZ109" s="139"/>
      <c r="BFA109" s="139"/>
      <c r="BFB109" s="139"/>
      <c r="BFC109" s="139"/>
      <c r="BFD109" s="139"/>
      <c r="BFE109" s="139"/>
      <c r="BFF109" s="139"/>
      <c r="BFG109" s="139"/>
      <c r="BFH109" s="139"/>
      <c r="BFI109" s="139"/>
      <c r="BFJ109" s="139"/>
      <c r="BFK109" s="139"/>
      <c r="BFL109" s="139"/>
      <c r="BFM109" s="139"/>
      <c r="BFN109" s="139"/>
      <c r="BFO109" s="139"/>
      <c r="BFP109" s="139"/>
      <c r="BFQ109" s="139"/>
      <c r="BFR109" s="139"/>
      <c r="BFS109" s="139"/>
      <c r="BFT109" s="139"/>
      <c r="BFU109" s="139"/>
      <c r="BFV109" s="139"/>
      <c r="BFW109" s="139"/>
      <c r="BFX109" s="139"/>
      <c r="BFY109" s="139"/>
      <c r="BFZ109" s="139"/>
      <c r="BGA109" s="139"/>
      <c r="BGB109" s="139"/>
      <c r="BGC109" s="139"/>
      <c r="BGD109" s="139"/>
      <c r="BGE109" s="139"/>
      <c r="BGF109" s="139"/>
      <c r="BGG109" s="139"/>
      <c r="BGH109" s="139"/>
      <c r="BGI109" s="139"/>
      <c r="BGJ109" s="139"/>
      <c r="BGK109" s="139"/>
      <c r="BGL109" s="139"/>
      <c r="BGM109" s="139"/>
      <c r="BGN109" s="139"/>
      <c r="BGO109" s="139"/>
      <c r="BGP109" s="139"/>
      <c r="BGQ109" s="139"/>
      <c r="BGR109" s="139"/>
      <c r="BGS109" s="139"/>
      <c r="BGT109" s="139"/>
      <c r="BGU109" s="139"/>
      <c r="BGV109" s="139"/>
      <c r="BGW109" s="139"/>
      <c r="BGX109" s="139"/>
      <c r="BGY109" s="139"/>
      <c r="BGZ109" s="139"/>
      <c r="BHA109" s="139"/>
      <c r="BHB109" s="139"/>
      <c r="BHC109" s="139"/>
      <c r="BHD109" s="139"/>
      <c r="BHE109" s="139"/>
      <c r="BHF109" s="139"/>
      <c r="BHG109" s="139"/>
      <c r="BHH109" s="139"/>
      <c r="BHI109" s="139"/>
      <c r="BHJ109" s="139"/>
      <c r="BHK109" s="139"/>
      <c r="BHL109" s="139"/>
      <c r="BHM109" s="139"/>
      <c r="BHN109" s="139"/>
      <c r="BHO109" s="139"/>
      <c r="BHP109" s="139"/>
      <c r="BHQ109" s="139"/>
      <c r="BHR109" s="139"/>
      <c r="BHS109" s="139"/>
      <c r="BHT109" s="139"/>
      <c r="BHU109" s="139"/>
      <c r="BHV109" s="139"/>
      <c r="BHW109" s="139"/>
      <c r="BHX109" s="139"/>
      <c r="BHY109" s="139"/>
      <c r="BHZ109" s="139"/>
      <c r="BIA109" s="139"/>
      <c r="BIB109" s="139"/>
      <c r="BIC109" s="139"/>
      <c r="BID109" s="139"/>
      <c r="BIE109" s="139"/>
      <c r="BIF109" s="139"/>
      <c r="BIG109" s="139"/>
      <c r="BIH109" s="139"/>
      <c r="BII109" s="139"/>
      <c r="BIJ109" s="139"/>
      <c r="BIK109" s="139"/>
      <c r="BIL109" s="139"/>
      <c r="BIM109" s="139"/>
      <c r="BIN109" s="139"/>
      <c r="BIO109" s="139"/>
      <c r="BIP109" s="139"/>
      <c r="BIQ109" s="139"/>
      <c r="BIR109" s="139"/>
      <c r="BIS109" s="139"/>
      <c r="BIT109" s="139"/>
      <c r="BIU109" s="139"/>
      <c r="BIV109" s="139"/>
      <c r="BIW109" s="139"/>
      <c r="BIX109" s="139"/>
      <c r="BIY109" s="139"/>
      <c r="BIZ109" s="139"/>
      <c r="BJA109" s="139"/>
      <c r="BJB109" s="139"/>
      <c r="BJC109" s="139"/>
      <c r="BJD109" s="139"/>
      <c r="BJE109" s="139"/>
      <c r="BJF109" s="139"/>
      <c r="BJG109" s="139"/>
      <c r="BJH109" s="139"/>
      <c r="BJI109" s="139"/>
      <c r="BJJ109" s="139"/>
      <c r="BJK109" s="139"/>
      <c r="BJL109" s="139"/>
      <c r="BJM109" s="139"/>
      <c r="BJN109" s="139"/>
      <c r="BJO109" s="139"/>
      <c r="BJP109" s="139"/>
      <c r="BJQ109" s="139"/>
      <c r="BJR109" s="139"/>
      <c r="BJS109" s="139"/>
      <c r="BJT109" s="139"/>
      <c r="BJU109" s="139"/>
      <c r="BJV109" s="139"/>
      <c r="BJW109" s="139"/>
      <c r="BJX109" s="139"/>
      <c r="BJY109" s="139"/>
      <c r="BJZ109" s="139"/>
      <c r="BKA109" s="139"/>
      <c r="BKB109" s="139"/>
      <c r="BKC109" s="139"/>
      <c r="BKD109" s="139"/>
      <c r="BKE109" s="139"/>
      <c r="BKF109" s="139"/>
      <c r="BKG109" s="139"/>
      <c r="BKH109" s="139"/>
      <c r="BKI109" s="139"/>
      <c r="BKJ109" s="139"/>
      <c r="BKK109" s="139"/>
      <c r="BKL109" s="139"/>
      <c r="BKM109" s="139"/>
      <c r="BKN109" s="139"/>
      <c r="BKO109" s="139"/>
      <c r="BKP109" s="139"/>
      <c r="BKQ109" s="139"/>
      <c r="BKR109" s="139"/>
      <c r="BKS109" s="139"/>
      <c r="BKT109" s="139"/>
      <c r="BKU109" s="139"/>
      <c r="BKV109" s="139"/>
      <c r="BKW109" s="139"/>
      <c r="BKX109" s="139"/>
      <c r="BKY109" s="139"/>
      <c r="BKZ109" s="139"/>
      <c r="BLA109" s="139"/>
      <c r="BLB109" s="139"/>
      <c r="BLC109" s="139"/>
      <c r="BLD109" s="139"/>
      <c r="BLE109" s="139"/>
      <c r="BLF109" s="139"/>
      <c r="BLG109" s="139"/>
      <c r="BLH109" s="139"/>
      <c r="BLI109" s="139"/>
      <c r="BLJ109" s="139"/>
      <c r="BLK109" s="139"/>
      <c r="BLL109" s="139"/>
      <c r="BLM109" s="139"/>
      <c r="BLN109" s="139"/>
      <c r="BLO109" s="139"/>
      <c r="BLP109" s="139"/>
      <c r="BLQ109" s="139"/>
      <c r="BLR109" s="139"/>
      <c r="BLS109" s="139"/>
      <c r="BLT109" s="139"/>
      <c r="BLU109" s="139"/>
      <c r="BLV109" s="139"/>
      <c r="BLW109" s="139"/>
      <c r="BLX109" s="139"/>
      <c r="BLY109" s="139"/>
      <c r="BLZ109" s="139"/>
      <c r="BMA109" s="139"/>
      <c r="BMB109" s="139"/>
      <c r="BMC109" s="139"/>
      <c r="BMD109" s="139"/>
      <c r="BME109" s="139"/>
      <c r="BMF109" s="139"/>
      <c r="BMG109" s="139"/>
      <c r="BMH109" s="139"/>
      <c r="BMI109" s="139"/>
      <c r="BMJ109" s="139"/>
      <c r="BMK109" s="139"/>
      <c r="BML109" s="139"/>
      <c r="BMM109" s="139"/>
      <c r="BMN109" s="139"/>
      <c r="BMO109" s="139"/>
      <c r="BMP109" s="139"/>
      <c r="BMQ109" s="139"/>
      <c r="BMR109" s="139"/>
      <c r="BMS109" s="139"/>
      <c r="BMT109" s="139"/>
      <c r="BMU109" s="139"/>
      <c r="BMV109" s="139"/>
      <c r="BMW109" s="139"/>
      <c r="BMX109" s="139"/>
      <c r="BMY109" s="139"/>
      <c r="BMZ109" s="139"/>
      <c r="BNA109" s="139"/>
      <c r="BNB109" s="139"/>
      <c r="BNC109" s="139"/>
      <c r="BND109" s="139"/>
      <c r="BNE109" s="139"/>
      <c r="BNF109" s="139"/>
      <c r="BNG109" s="139"/>
      <c r="BNH109" s="139"/>
      <c r="BNI109" s="139"/>
      <c r="BNJ109" s="139"/>
      <c r="BNK109" s="139"/>
      <c r="BNL109" s="139"/>
      <c r="BNM109" s="139"/>
      <c r="BNN109" s="139"/>
      <c r="BNO109" s="139"/>
      <c r="BNP109" s="139"/>
      <c r="BNQ109" s="139"/>
      <c r="BNR109" s="139"/>
      <c r="BNS109" s="139"/>
      <c r="BNT109" s="139"/>
      <c r="BNU109" s="139"/>
      <c r="BNV109" s="139"/>
      <c r="BNW109" s="139"/>
      <c r="BNX109" s="139"/>
      <c r="BNY109" s="139"/>
      <c r="BNZ109" s="139"/>
      <c r="BOA109" s="139"/>
      <c r="BOB109" s="139"/>
      <c r="BOC109" s="139"/>
      <c r="BOD109" s="139"/>
      <c r="BOE109" s="139"/>
      <c r="BOF109" s="139"/>
      <c r="BOG109" s="139"/>
      <c r="BOH109" s="139"/>
      <c r="BOI109" s="139"/>
      <c r="BOJ109" s="139"/>
      <c r="BOK109" s="139"/>
      <c r="BOL109" s="139"/>
      <c r="BOM109" s="139"/>
      <c r="BON109" s="139"/>
      <c r="BOO109" s="139"/>
      <c r="BOP109" s="139"/>
      <c r="BOQ109" s="139"/>
      <c r="BOR109" s="139"/>
      <c r="BOS109" s="139"/>
      <c r="BOT109" s="139"/>
      <c r="BOU109" s="139"/>
      <c r="BOV109" s="139"/>
      <c r="BOW109" s="139"/>
      <c r="BOX109" s="139"/>
      <c r="BOY109" s="139"/>
      <c r="BOZ109" s="139"/>
      <c r="BPA109" s="139"/>
      <c r="BPB109" s="139"/>
      <c r="BPC109" s="139"/>
      <c r="BPD109" s="139"/>
      <c r="BPE109" s="139"/>
      <c r="BPF109" s="139"/>
      <c r="BPG109" s="139"/>
      <c r="BPH109" s="139"/>
      <c r="BPI109" s="139"/>
      <c r="BPJ109" s="139"/>
      <c r="BPK109" s="139"/>
      <c r="BPL109" s="139"/>
      <c r="BPM109" s="139"/>
      <c r="BPN109" s="139"/>
      <c r="BPO109" s="139"/>
      <c r="BPP109" s="139"/>
      <c r="BPQ109" s="139"/>
      <c r="BPR109" s="139"/>
      <c r="BPS109" s="139"/>
      <c r="BPT109" s="139"/>
      <c r="BPU109" s="139"/>
      <c r="BPV109" s="139"/>
      <c r="BPW109" s="139"/>
      <c r="BPX109" s="139"/>
      <c r="BPY109" s="139"/>
      <c r="BPZ109" s="139"/>
      <c r="BQA109" s="139"/>
      <c r="BQB109" s="139"/>
      <c r="BQC109" s="139"/>
      <c r="BQD109" s="139"/>
      <c r="BQE109" s="139"/>
      <c r="BQF109" s="139"/>
      <c r="BQG109" s="139"/>
      <c r="BQH109" s="139"/>
      <c r="BQI109" s="139"/>
      <c r="BQJ109" s="139"/>
      <c r="BQK109" s="139"/>
      <c r="BQL109" s="139"/>
      <c r="BQM109" s="139"/>
      <c r="BQN109" s="139"/>
      <c r="BQO109" s="139"/>
      <c r="BQP109" s="139"/>
      <c r="BQQ109" s="139"/>
      <c r="BQR109" s="139"/>
      <c r="BQS109" s="139"/>
      <c r="BQT109" s="139"/>
      <c r="BQU109" s="139"/>
      <c r="BQV109" s="139"/>
      <c r="BQW109" s="139"/>
      <c r="BQX109" s="139"/>
      <c r="BQY109" s="139"/>
      <c r="BQZ109" s="139"/>
      <c r="BRA109" s="139"/>
      <c r="BRB109" s="139"/>
      <c r="BRC109" s="139"/>
      <c r="BRD109" s="139"/>
      <c r="BRE109" s="139"/>
      <c r="BRF109" s="139"/>
      <c r="BRG109" s="139"/>
      <c r="BRH109" s="139"/>
      <c r="BRI109" s="139"/>
      <c r="BRJ109" s="139"/>
      <c r="BRK109" s="139"/>
      <c r="BRL109" s="139"/>
      <c r="BRM109" s="139"/>
      <c r="BRN109" s="139"/>
      <c r="BRO109" s="139"/>
      <c r="BRP109" s="139"/>
      <c r="BRQ109" s="139"/>
      <c r="BRR109" s="139"/>
      <c r="BRS109" s="139"/>
      <c r="BRT109" s="139"/>
      <c r="BRU109" s="139"/>
      <c r="BRV109" s="139"/>
      <c r="BRW109" s="139"/>
      <c r="BRX109" s="139"/>
      <c r="BRY109" s="139"/>
      <c r="BRZ109" s="139"/>
      <c r="BSA109" s="139"/>
      <c r="BSB109" s="139"/>
      <c r="BSC109" s="139"/>
      <c r="BSD109" s="139"/>
      <c r="BSE109" s="139"/>
      <c r="BSF109" s="139"/>
      <c r="BSG109" s="139"/>
      <c r="BSH109" s="139"/>
      <c r="BSI109" s="139"/>
      <c r="BSJ109" s="139"/>
      <c r="BSK109" s="139"/>
      <c r="BSL109" s="139"/>
      <c r="BSM109" s="139"/>
      <c r="BSN109" s="139"/>
      <c r="BSO109" s="139"/>
      <c r="BSP109" s="139"/>
      <c r="BSQ109" s="139"/>
      <c r="BSR109" s="139"/>
      <c r="BSS109" s="139"/>
      <c r="BST109" s="139"/>
      <c r="BSU109" s="139"/>
      <c r="BSV109" s="139"/>
      <c r="BSW109" s="139"/>
      <c r="BSX109" s="139"/>
      <c r="BSY109" s="139"/>
      <c r="BSZ109" s="139"/>
      <c r="BTA109" s="139"/>
      <c r="BTB109" s="139"/>
      <c r="BTC109" s="139"/>
      <c r="BTD109" s="139"/>
      <c r="BTE109" s="139"/>
      <c r="BTF109" s="139"/>
      <c r="BTG109" s="139"/>
      <c r="BTH109" s="139"/>
      <c r="BTI109" s="139"/>
      <c r="BTJ109" s="139"/>
      <c r="BTK109" s="139"/>
      <c r="BTL109" s="139"/>
      <c r="BTM109" s="139"/>
      <c r="BTN109" s="139"/>
      <c r="BTO109" s="139"/>
      <c r="BTP109" s="139"/>
      <c r="BTQ109" s="139"/>
      <c r="BTR109" s="139"/>
      <c r="BTS109" s="139"/>
      <c r="BTT109" s="139"/>
      <c r="BTU109" s="139"/>
      <c r="BTV109" s="139"/>
      <c r="BTW109" s="139"/>
      <c r="BTX109" s="139"/>
      <c r="BTY109" s="139"/>
      <c r="BTZ109" s="139"/>
      <c r="BUA109" s="139"/>
      <c r="BUB109" s="139"/>
      <c r="BUC109" s="139"/>
      <c r="BUD109" s="139"/>
      <c r="BUE109" s="139"/>
      <c r="BUF109" s="139"/>
      <c r="BUG109" s="139"/>
      <c r="BUH109" s="139"/>
      <c r="BUI109" s="139"/>
      <c r="BUJ109" s="139"/>
      <c r="BUK109" s="139"/>
      <c r="BUL109" s="139"/>
      <c r="BUM109" s="139"/>
      <c r="BUN109" s="139"/>
      <c r="BUO109" s="139"/>
      <c r="BUP109" s="139"/>
      <c r="BUQ109" s="139"/>
      <c r="BUR109" s="139"/>
      <c r="BUS109" s="139"/>
      <c r="BUT109" s="139"/>
      <c r="BUU109" s="139"/>
      <c r="BUV109" s="139"/>
      <c r="BUW109" s="139"/>
      <c r="BUX109" s="139"/>
      <c r="BUY109" s="139"/>
      <c r="BUZ109" s="139"/>
      <c r="BVA109" s="139"/>
      <c r="BVB109" s="139"/>
      <c r="BVC109" s="139"/>
      <c r="BVD109" s="139"/>
      <c r="BVE109" s="139"/>
      <c r="BVF109" s="139"/>
      <c r="BVG109" s="139"/>
      <c r="BVH109" s="139"/>
      <c r="BVI109" s="139"/>
      <c r="BVJ109" s="139"/>
      <c r="BVK109" s="139"/>
      <c r="BVL109" s="139"/>
      <c r="BVM109" s="139"/>
      <c r="BVN109" s="139"/>
      <c r="BVO109" s="139"/>
      <c r="BVP109" s="139"/>
      <c r="BVQ109" s="139"/>
      <c r="BVR109" s="139"/>
      <c r="BVS109" s="139"/>
      <c r="BVT109" s="139"/>
      <c r="BVU109" s="139"/>
      <c r="BVV109" s="139"/>
      <c r="BVW109" s="139"/>
      <c r="BVX109" s="139"/>
      <c r="BVY109" s="139"/>
      <c r="BVZ109" s="139"/>
      <c r="BWA109" s="139"/>
      <c r="BWB109" s="139"/>
      <c r="BWC109" s="139"/>
      <c r="BWD109" s="139"/>
      <c r="BWE109" s="139"/>
      <c r="BWF109" s="139"/>
      <c r="BWG109" s="139"/>
      <c r="BWH109" s="139"/>
      <c r="BWI109" s="139"/>
      <c r="BWJ109" s="139"/>
      <c r="BWK109" s="139"/>
      <c r="BWL109" s="139"/>
      <c r="BWM109" s="139"/>
      <c r="BWN109" s="139"/>
      <c r="BWO109" s="139"/>
      <c r="BWP109" s="139"/>
      <c r="BWQ109" s="139"/>
      <c r="BWR109" s="139"/>
      <c r="BWS109" s="139"/>
      <c r="BWT109" s="139"/>
      <c r="BWU109" s="139"/>
      <c r="BWV109" s="139"/>
      <c r="BWW109" s="139"/>
      <c r="BWX109" s="139"/>
      <c r="BWY109" s="139"/>
      <c r="BWZ109" s="139"/>
      <c r="BXA109" s="139"/>
      <c r="BXB109" s="139"/>
      <c r="BXC109" s="139"/>
      <c r="BXD109" s="139"/>
      <c r="BXE109" s="139"/>
      <c r="BXF109" s="139"/>
      <c r="BXG109" s="139"/>
      <c r="BXH109" s="139"/>
      <c r="BXI109" s="139"/>
      <c r="BXJ109" s="139"/>
      <c r="BXK109" s="139"/>
      <c r="BXL109" s="139"/>
      <c r="BXM109" s="139"/>
      <c r="BXN109" s="139"/>
      <c r="BXO109" s="139"/>
      <c r="BXP109" s="139"/>
      <c r="BXQ109" s="139"/>
      <c r="BXR109" s="139"/>
      <c r="BXS109" s="139"/>
      <c r="BXT109" s="139"/>
      <c r="BXU109" s="139"/>
      <c r="BXV109" s="139"/>
      <c r="BXW109" s="139"/>
      <c r="BXX109" s="139"/>
      <c r="BXY109" s="139"/>
      <c r="BXZ109" s="139"/>
      <c r="BYA109" s="139"/>
      <c r="BYB109" s="139"/>
      <c r="BYC109" s="139"/>
      <c r="BYD109" s="139"/>
      <c r="BYE109" s="139"/>
      <c r="BYF109" s="139"/>
      <c r="BYG109" s="139"/>
      <c r="BYH109" s="139"/>
      <c r="BYI109" s="139"/>
      <c r="BYJ109" s="139"/>
      <c r="BYK109" s="139"/>
      <c r="BYL109" s="139"/>
      <c r="BYM109" s="139"/>
      <c r="BYN109" s="139"/>
      <c r="BYO109" s="139"/>
      <c r="BYP109" s="139"/>
      <c r="BYQ109" s="139"/>
      <c r="BYR109" s="139"/>
      <c r="BYS109" s="139"/>
      <c r="BYT109" s="139"/>
      <c r="BYU109" s="139"/>
      <c r="BYV109" s="139"/>
      <c r="BYW109" s="139"/>
      <c r="BYX109" s="139"/>
      <c r="BYY109" s="139"/>
      <c r="BYZ109" s="139"/>
      <c r="BZA109" s="139"/>
      <c r="BZB109" s="139"/>
      <c r="BZC109" s="139"/>
      <c r="BZD109" s="139"/>
      <c r="BZE109" s="139"/>
      <c r="BZF109" s="139"/>
      <c r="BZG109" s="139"/>
      <c r="BZH109" s="139"/>
      <c r="BZI109" s="139"/>
      <c r="BZJ109" s="139"/>
      <c r="BZK109" s="139"/>
      <c r="BZL109" s="139"/>
      <c r="BZM109" s="139"/>
      <c r="BZN109" s="139"/>
      <c r="BZO109" s="139"/>
      <c r="BZP109" s="139"/>
      <c r="BZQ109" s="139"/>
      <c r="BZR109" s="139"/>
      <c r="BZS109" s="139"/>
      <c r="BZT109" s="139"/>
      <c r="BZU109" s="139"/>
      <c r="BZV109" s="139"/>
      <c r="BZW109" s="139"/>
      <c r="BZX109" s="139"/>
      <c r="BZY109" s="139"/>
      <c r="BZZ109" s="139"/>
      <c r="CAA109" s="139"/>
      <c r="CAB109" s="139"/>
      <c r="CAC109" s="139"/>
      <c r="CAD109" s="139"/>
      <c r="CAE109" s="139"/>
      <c r="CAF109" s="139"/>
      <c r="CAG109" s="139"/>
      <c r="CAH109" s="139"/>
      <c r="CAI109" s="139"/>
      <c r="CAJ109" s="139"/>
      <c r="CAK109" s="139"/>
      <c r="CAL109" s="139"/>
      <c r="CAM109" s="139"/>
      <c r="CAN109" s="139"/>
      <c r="CAO109" s="139"/>
      <c r="CAP109" s="139"/>
      <c r="CAQ109" s="139"/>
      <c r="CAR109" s="139"/>
      <c r="CAS109" s="139"/>
      <c r="CAT109" s="139"/>
      <c r="CAU109" s="139"/>
      <c r="CAV109" s="139"/>
      <c r="CAW109" s="139"/>
      <c r="CAX109" s="139"/>
      <c r="CAY109" s="139"/>
      <c r="CAZ109" s="139"/>
      <c r="CBA109" s="139"/>
      <c r="CBB109" s="139"/>
      <c r="CBC109" s="139"/>
      <c r="CBD109" s="139"/>
      <c r="CBE109" s="139"/>
      <c r="CBF109" s="139"/>
      <c r="CBG109" s="139"/>
      <c r="CBH109" s="139"/>
      <c r="CBI109" s="139"/>
      <c r="CBJ109" s="139"/>
      <c r="CBK109" s="139"/>
      <c r="CBL109" s="139"/>
      <c r="CBM109" s="139"/>
      <c r="CBN109" s="139"/>
      <c r="CBO109" s="139"/>
      <c r="CBP109" s="139"/>
      <c r="CBQ109" s="139"/>
      <c r="CBR109" s="139"/>
      <c r="CBS109" s="139"/>
      <c r="CBT109" s="139"/>
      <c r="CBU109" s="139"/>
      <c r="CBV109" s="139"/>
      <c r="CBW109" s="139"/>
      <c r="CBX109" s="139"/>
      <c r="CBY109" s="139"/>
      <c r="CBZ109" s="139"/>
      <c r="CCA109" s="139"/>
      <c r="CCB109" s="139"/>
      <c r="CCC109" s="139"/>
      <c r="CCD109" s="139"/>
      <c r="CCE109" s="139"/>
      <c r="CCF109" s="139"/>
      <c r="CCG109" s="139"/>
      <c r="CCH109" s="139"/>
      <c r="CCI109" s="139"/>
      <c r="CCJ109" s="139"/>
      <c r="CCK109" s="139"/>
      <c r="CCL109" s="139"/>
      <c r="CCM109" s="139"/>
      <c r="CCN109" s="139"/>
      <c r="CCO109" s="139"/>
      <c r="CCP109" s="139"/>
      <c r="CCQ109" s="139"/>
      <c r="CCR109" s="139"/>
      <c r="CCS109" s="139"/>
      <c r="CCT109" s="139"/>
      <c r="CCU109" s="139"/>
      <c r="CCV109" s="139"/>
      <c r="CCW109" s="139"/>
      <c r="CCX109" s="139"/>
      <c r="CCY109" s="139"/>
      <c r="CCZ109" s="139"/>
      <c r="CDA109" s="139"/>
      <c r="CDB109" s="139"/>
      <c r="CDC109" s="139"/>
      <c r="CDD109" s="139"/>
      <c r="CDE109" s="139"/>
      <c r="CDF109" s="139"/>
      <c r="CDG109" s="139"/>
      <c r="CDH109" s="139"/>
      <c r="CDI109" s="139"/>
      <c r="CDJ109" s="139"/>
      <c r="CDK109" s="139"/>
      <c r="CDL109" s="139"/>
      <c r="CDM109" s="139"/>
      <c r="CDN109" s="139"/>
      <c r="CDO109" s="139"/>
      <c r="CDP109" s="139"/>
      <c r="CDQ109" s="139"/>
      <c r="CDR109" s="139"/>
      <c r="CDS109" s="139"/>
      <c r="CDT109" s="139"/>
      <c r="CDU109" s="139"/>
      <c r="CDV109" s="139"/>
      <c r="CDW109" s="139"/>
      <c r="CDX109" s="139"/>
      <c r="CDY109" s="139"/>
      <c r="CDZ109" s="139"/>
      <c r="CEA109" s="139"/>
      <c r="CEB109" s="139"/>
      <c r="CEC109" s="139"/>
      <c r="CED109" s="139"/>
      <c r="CEE109" s="139"/>
      <c r="CEF109" s="139"/>
      <c r="CEG109" s="139"/>
      <c r="CEH109" s="139"/>
      <c r="CEI109" s="139"/>
      <c r="CEJ109" s="139"/>
      <c r="CEK109" s="139"/>
      <c r="CEL109" s="139"/>
      <c r="CEM109" s="139"/>
      <c r="CEN109" s="139"/>
      <c r="CEO109" s="139"/>
      <c r="CEP109" s="139"/>
      <c r="CEQ109" s="139"/>
      <c r="CER109" s="139"/>
      <c r="CES109" s="139"/>
      <c r="CET109" s="139"/>
      <c r="CEU109" s="139"/>
      <c r="CEV109" s="139"/>
      <c r="CEW109" s="139"/>
      <c r="CEX109" s="139"/>
      <c r="CEY109" s="139"/>
      <c r="CEZ109" s="139"/>
      <c r="CFA109" s="139"/>
      <c r="CFB109" s="139"/>
      <c r="CFC109" s="139"/>
      <c r="CFD109" s="139"/>
      <c r="CFE109" s="139"/>
      <c r="CFF109" s="139"/>
      <c r="CFG109" s="139"/>
      <c r="CFH109" s="139"/>
      <c r="CFI109" s="139"/>
      <c r="CFJ109" s="139"/>
      <c r="CFK109" s="139"/>
      <c r="CFL109" s="139"/>
      <c r="CFM109" s="139"/>
      <c r="CFN109" s="139"/>
      <c r="CFO109" s="139"/>
      <c r="CFP109" s="139"/>
      <c r="CFQ109" s="139"/>
      <c r="CFR109" s="139"/>
      <c r="CFS109" s="139"/>
      <c r="CFT109" s="139"/>
      <c r="CFU109" s="139"/>
      <c r="CFV109" s="139"/>
      <c r="CFW109" s="139"/>
      <c r="CFX109" s="139"/>
      <c r="CFY109" s="139"/>
      <c r="CFZ109" s="139"/>
      <c r="CGA109" s="139"/>
      <c r="CGB109" s="139"/>
      <c r="CGC109" s="139"/>
      <c r="CGD109" s="139"/>
      <c r="CGE109" s="139"/>
      <c r="CGF109" s="139"/>
      <c r="CGG109" s="139"/>
      <c r="CGH109" s="139"/>
      <c r="CGI109" s="139"/>
      <c r="CGJ109" s="139"/>
      <c r="CGK109" s="139"/>
      <c r="CGL109" s="139"/>
      <c r="CGM109" s="139"/>
      <c r="CGN109" s="139"/>
      <c r="CGO109" s="139"/>
      <c r="CGP109" s="139"/>
      <c r="CGQ109" s="139"/>
      <c r="CGR109" s="139"/>
      <c r="CGS109" s="139"/>
      <c r="CGT109" s="139"/>
      <c r="CGU109" s="139"/>
      <c r="CGV109" s="139"/>
      <c r="CGW109" s="139"/>
      <c r="CGX109" s="139"/>
      <c r="CGY109" s="139"/>
      <c r="CGZ109" s="139"/>
      <c r="CHA109" s="139"/>
      <c r="CHB109" s="139"/>
      <c r="CHC109" s="139"/>
      <c r="CHD109" s="139"/>
      <c r="CHE109" s="139"/>
      <c r="CHF109" s="139"/>
      <c r="CHG109" s="139"/>
      <c r="CHH109" s="139"/>
      <c r="CHI109" s="139"/>
      <c r="CHJ109" s="139"/>
      <c r="CHK109" s="139"/>
      <c r="CHL109" s="139"/>
      <c r="CHM109" s="139"/>
      <c r="CHN109" s="139"/>
      <c r="CHO109" s="139"/>
      <c r="CHP109" s="139"/>
      <c r="CHQ109" s="139"/>
      <c r="CHR109" s="139"/>
      <c r="CHS109" s="139"/>
      <c r="CHT109" s="139"/>
      <c r="CHU109" s="139"/>
      <c r="CHV109" s="139"/>
      <c r="CHW109" s="139"/>
      <c r="CHX109" s="139"/>
      <c r="CHY109" s="139"/>
      <c r="CHZ109" s="139"/>
      <c r="CIA109" s="139"/>
      <c r="CIB109" s="139"/>
      <c r="CIC109" s="139"/>
      <c r="CID109" s="139"/>
      <c r="CIE109" s="139"/>
      <c r="CIF109" s="139"/>
      <c r="CIG109" s="139"/>
      <c r="CIH109" s="139"/>
      <c r="CII109" s="139"/>
      <c r="CIJ109" s="139"/>
      <c r="CIK109" s="139"/>
      <c r="CIL109" s="139"/>
      <c r="CIM109" s="139"/>
      <c r="CIN109" s="139"/>
      <c r="CIO109" s="139"/>
      <c r="CIP109" s="139"/>
      <c r="CIQ109" s="139"/>
      <c r="CIR109" s="139"/>
      <c r="CIS109" s="139"/>
      <c r="CIT109" s="139"/>
      <c r="CIU109" s="139"/>
      <c r="CIV109" s="139"/>
      <c r="CIW109" s="139"/>
      <c r="CIX109" s="139"/>
      <c r="CIY109" s="139"/>
      <c r="CIZ109" s="139"/>
      <c r="CJA109" s="139"/>
      <c r="CJB109" s="139"/>
      <c r="CJC109" s="139"/>
      <c r="CJD109" s="139"/>
      <c r="CJE109" s="139"/>
      <c r="CJF109" s="139"/>
      <c r="CJG109" s="139"/>
      <c r="CJH109" s="139"/>
      <c r="CJI109" s="139"/>
      <c r="CJJ109" s="139"/>
      <c r="CJK109" s="139"/>
      <c r="CJL109" s="139"/>
      <c r="CJM109" s="139"/>
      <c r="CJN109" s="139"/>
      <c r="CJO109" s="139"/>
      <c r="CJP109" s="139"/>
      <c r="CJQ109" s="139"/>
      <c r="CJR109" s="139"/>
      <c r="CJS109" s="139"/>
      <c r="CJT109" s="139"/>
      <c r="CJU109" s="139"/>
      <c r="CJV109" s="139"/>
      <c r="CJW109" s="139"/>
      <c r="CJX109" s="139"/>
      <c r="CJY109" s="139"/>
      <c r="CJZ109" s="139"/>
      <c r="CKA109" s="139"/>
      <c r="CKB109" s="139"/>
      <c r="CKC109" s="139"/>
      <c r="CKD109" s="139"/>
      <c r="CKE109" s="139"/>
      <c r="CKF109" s="139"/>
      <c r="CKG109" s="139"/>
      <c r="CKH109" s="139"/>
      <c r="CKI109" s="139"/>
      <c r="CKJ109" s="139"/>
      <c r="CKK109" s="139"/>
      <c r="CKL109" s="139"/>
      <c r="CKM109" s="139"/>
      <c r="CKN109" s="139"/>
      <c r="CKO109" s="139"/>
      <c r="CKP109" s="139"/>
      <c r="CKQ109" s="139"/>
      <c r="CKR109" s="139"/>
      <c r="CKS109" s="139"/>
      <c r="CKT109" s="139"/>
      <c r="CKU109" s="139"/>
      <c r="CKV109" s="139"/>
      <c r="CKW109" s="139"/>
      <c r="CKX109" s="139"/>
      <c r="CKY109" s="139"/>
      <c r="CKZ109" s="139"/>
      <c r="CLA109" s="139"/>
      <c r="CLB109" s="139"/>
      <c r="CLC109" s="139"/>
      <c r="CLD109" s="139"/>
      <c r="CLE109" s="139"/>
      <c r="CLF109" s="139"/>
      <c r="CLG109" s="139"/>
      <c r="CLH109" s="139"/>
      <c r="CLI109" s="139"/>
      <c r="CLJ109" s="139"/>
      <c r="CLK109" s="139"/>
      <c r="CLL109" s="139"/>
      <c r="CLM109" s="139"/>
      <c r="CLN109" s="139"/>
      <c r="CLO109" s="139"/>
      <c r="CLP109" s="139"/>
      <c r="CLQ109" s="139"/>
      <c r="CLR109" s="139"/>
      <c r="CLS109" s="139"/>
      <c r="CLT109" s="139"/>
      <c r="CLU109" s="139"/>
      <c r="CLV109" s="139"/>
      <c r="CLW109" s="139"/>
      <c r="CLX109" s="139"/>
      <c r="CLY109" s="139"/>
      <c r="CLZ109" s="139"/>
      <c r="CMA109" s="139"/>
      <c r="CMB109" s="139"/>
      <c r="CMC109" s="139"/>
      <c r="CMD109" s="139"/>
      <c r="CME109" s="139"/>
      <c r="CMF109" s="139"/>
      <c r="CMG109" s="139"/>
      <c r="CMH109" s="139"/>
      <c r="CMI109" s="139"/>
      <c r="CMJ109" s="139"/>
      <c r="CMK109" s="139"/>
      <c r="CML109" s="139"/>
      <c r="CMM109" s="139"/>
      <c r="CMN109" s="139"/>
      <c r="CMO109" s="139"/>
      <c r="CMP109" s="139"/>
      <c r="CMQ109" s="139"/>
      <c r="CMR109" s="139"/>
      <c r="CMS109" s="139"/>
      <c r="CMT109" s="139"/>
      <c r="CMU109" s="139"/>
      <c r="CMV109" s="139"/>
      <c r="CMW109" s="139"/>
      <c r="CMX109" s="139"/>
      <c r="CMY109" s="139"/>
      <c r="CMZ109" s="139"/>
      <c r="CNA109" s="139"/>
      <c r="CNB109" s="139"/>
      <c r="CNC109" s="139"/>
      <c r="CND109" s="139"/>
      <c r="CNE109" s="139"/>
      <c r="CNF109" s="139"/>
      <c r="CNG109" s="139"/>
      <c r="CNH109" s="139"/>
      <c r="CNI109" s="139"/>
      <c r="CNJ109" s="139"/>
      <c r="CNK109" s="139"/>
      <c r="CNL109" s="139"/>
      <c r="CNM109" s="139"/>
      <c r="CNN109" s="139"/>
      <c r="CNO109" s="139"/>
      <c r="CNP109" s="139"/>
      <c r="CNQ109" s="139"/>
      <c r="CNR109" s="139"/>
      <c r="CNS109" s="139"/>
      <c r="CNT109" s="139"/>
      <c r="CNU109" s="139"/>
      <c r="CNV109" s="139"/>
      <c r="CNW109" s="139"/>
      <c r="CNX109" s="139"/>
      <c r="CNY109" s="139"/>
      <c r="CNZ109" s="139"/>
      <c r="COA109" s="139"/>
      <c r="COB109" s="139"/>
      <c r="COC109" s="139"/>
      <c r="COD109" s="139"/>
      <c r="COE109" s="139"/>
      <c r="COF109" s="139"/>
      <c r="COG109" s="139"/>
      <c r="COH109" s="139"/>
      <c r="COI109" s="139"/>
      <c r="COJ109" s="139"/>
      <c r="COK109" s="139"/>
      <c r="COL109" s="139"/>
      <c r="COM109" s="139"/>
      <c r="CON109" s="139"/>
      <c r="COO109" s="139"/>
      <c r="COP109" s="139"/>
      <c r="COQ109" s="139"/>
      <c r="COR109" s="139"/>
      <c r="COS109" s="139"/>
      <c r="COT109" s="139"/>
      <c r="COU109" s="139"/>
      <c r="COV109" s="139"/>
      <c r="COW109" s="139"/>
      <c r="COX109" s="139"/>
      <c r="COY109" s="139"/>
      <c r="COZ109" s="139"/>
      <c r="CPA109" s="139"/>
      <c r="CPB109" s="139"/>
      <c r="CPC109" s="139"/>
      <c r="CPD109" s="139"/>
      <c r="CPE109" s="139"/>
      <c r="CPF109" s="139"/>
      <c r="CPG109" s="139"/>
      <c r="CPH109" s="139"/>
      <c r="CPI109" s="139"/>
      <c r="CPJ109" s="139"/>
      <c r="CPK109" s="139"/>
      <c r="CPL109" s="139"/>
      <c r="CPM109" s="139"/>
      <c r="CPN109" s="139"/>
      <c r="CPO109" s="139"/>
      <c r="CPP109" s="139"/>
      <c r="CPQ109" s="139"/>
      <c r="CPR109" s="139"/>
      <c r="CPS109" s="139"/>
      <c r="CPT109" s="139"/>
      <c r="CPU109" s="139"/>
      <c r="CPV109" s="139"/>
      <c r="CPW109" s="139"/>
      <c r="CPX109" s="139"/>
      <c r="CPY109" s="139"/>
      <c r="CPZ109" s="139"/>
      <c r="CQA109" s="139"/>
      <c r="CQB109" s="139"/>
      <c r="CQC109" s="139"/>
      <c r="CQD109" s="139"/>
      <c r="CQE109" s="139"/>
      <c r="CQF109" s="139"/>
      <c r="CQG109" s="139"/>
      <c r="CQH109" s="139"/>
      <c r="CQI109" s="139"/>
      <c r="CQJ109" s="139"/>
      <c r="CQK109" s="139"/>
      <c r="CQL109" s="139"/>
      <c r="CQM109" s="139"/>
      <c r="CQN109" s="139"/>
      <c r="CQO109" s="139"/>
      <c r="CQP109" s="139"/>
      <c r="CQQ109" s="139"/>
      <c r="CQR109" s="139"/>
      <c r="CQS109" s="139"/>
      <c r="CQT109" s="139"/>
      <c r="CQU109" s="139"/>
      <c r="CQV109" s="139"/>
      <c r="CQW109" s="139"/>
      <c r="CQX109" s="139"/>
      <c r="CQY109" s="139"/>
      <c r="CQZ109" s="139"/>
      <c r="CRA109" s="139"/>
      <c r="CRB109" s="139"/>
      <c r="CRC109" s="139"/>
      <c r="CRD109" s="139"/>
      <c r="CRE109" s="139"/>
      <c r="CRF109" s="139"/>
      <c r="CRG109" s="139"/>
      <c r="CRH109" s="139"/>
      <c r="CRI109" s="139"/>
      <c r="CRJ109" s="139"/>
      <c r="CRK109" s="139"/>
      <c r="CRL109" s="139"/>
      <c r="CRM109" s="139"/>
      <c r="CRN109" s="139"/>
      <c r="CRO109" s="139"/>
      <c r="CRP109" s="139"/>
      <c r="CRQ109" s="139"/>
      <c r="CRR109" s="139"/>
      <c r="CRS109" s="139"/>
      <c r="CRT109" s="139"/>
      <c r="CRU109" s="139"/>
      <c r="CRV109" s="139"/>
      <c r="CRW109" s="139"/>
      <c r="CRX109" s="139"/>
      <c r="CRY109" s="139"/>
      <c r="CRZ109" s="139"/>
      <c r="CSA109" s="139"/>
      <c r="CSB109" s="139"/>
      <c r="CSC109" s="139"/>
      <c r="CSD109" s="139"/>
      <c r="CSE109" s="139"/>
      <c r="CSF109" s="139"/>
      <c r="CSG109" s="139"/>
      <c r="CSH109" s="139"/>
      <c r="CSI109" s="139"/>
      <c r="CSJ109" s="139"/>
      <c r="CSK109" s="139"/>
      <c r="CSL109" s="139"/>
      <c r="CSM109" s="139"/>
      <c r="CSN109" s="139"/>
      <c r="CSO109" s="139"/>
      <c r="CSP109" s="139"/>
      <c r="CSQ109" s="139"/>
      <c r="CSR109" s="139"/>
      <c r="CSS109" s="139"/>
      <c r="CST109" s="139"/>
      <c r="CSU109" s="139"/>
      <c r="CSV109" s="139"/>
      <c r="CSW109" s="139"/>
      <c r="CSX109" s="139"/>
      <c r="CSY109" s="139"/>
      <c r="CSZ109" s="139"/>
      <c r="CTA109" s="139"/>
      <c r="CTB109" s="139"/>
      <c r="CTC109" s="139"/>
      <c r="CTD109" s="139"/>
      <c r="CTE109" s="139"/>
      <c r="CTF109" s="139"/>
      <c r="CTG109" s="139"/>
      <c r="CTH109" s="139"/>
      <c r="CTI109" s="139"/>
      <c r="CTJ109" s="139"/>
      <c r="CTK109" s="139"/>
      <c r="CTL109" s="139"/>
      <c r="CTM109" s="139"/>
      <c r="CTN109" s="139"/>
      <c r="CTO109" s="139"/>
      <c r="CTP109" s="139"/>
      <c r="CTQ109" s="139"/>
      <c r="CTR109" s="139"/>
      <c r="CTS109" s="139"/>
      <c r="CTT109" s="139"/>
      <c r="CTU109" s="139"/>
      <c r="CTV109" s="139"/>
      <c r="CTW109" s="139"/>
      <c r="CTX109" s="139"/>
      <c r="CTY109" s="139"/>
      <c r="CTZ109" s="139"/>
      <c r="CUA109" s="139"/>
      <c r="CUB109" s="139"/>
      <c r="CUC109" s="139"/>
      <c r="CUD109" s="139"/>
      <c r="CUE109" s="139"/>
      <c r="CUF109" s="139"/>
      <c r="CUG109" s="139"/>
      <c r="CUH109" s="139"/>
      <c r="CUI109" s="139"/>
      <c r="CUJ109" s="139"/>
      <c r="CUK109" s="139"/>
      <c r="CUL109" s="139"/>
      <c r="CUM109" s="139"/>
      <c r="CUN109" s="139"/>
      <c r="CUO109" s="139"/>
      <c r="CUP109" s="139"/>
      <c r="CUQ109" s="139"/>
      <c r="CUR109" s="139"/>
      <c r="CUS109" s="139"/>
      <c r="CUT109" s="139"/>
      <c r="CUU109" s="139"/>
      <c r="CUV109" s="139"/>
      <c r="CUW109" s="139"/>
      <c r="CUX109" s="139"/>
      <c r="CUY109" s="139"/>
      <c r="CUZ109" s="139"/>
      <c r="CVA109" s="139"/>
      <c r="CVB109" s="139"/>
      <c r="CVC109" s="139"/>
      <c r="CVD109" s="139"/>
      <c r="CVE109" s="139"/>
      <c r="CVF109" s="139"/>
      <c r="CVG109" s="139"/>
      <c r="CVH109" s="139"/>
      <c r="CVI109" s="139"/>
      <c r="CVJ109" s="139"/>
      <c r="CVK109" s="139"/>
      <c r="CVL109" s="139"/>
      <c r="CVM109" s="139"/>
      <c r="CVN109" s="139"/>
      <c r="CVO109" s="139"/>
      <c r="CVP109" s="139"/>
      <c r="CVQ109" s="139"/>
      <c r="CVR109" s="139"/>
      <c r="CVS109" s="139"/>
      <c r="CVT109" s="139"/>
      <c r="CVU109" s="139"/>
      <c r="CVV109" s="139"/>
      <c r="CVW109" s="139"/>
      <c r="CVX109" s="139"/>
      <c r="CVY109" s="139"/>
      <c r="CVZ109" s="139"/>
      <c r="CWA109" s="139"/>
      <c r="CWB109" s="139"/>
      <c r="CWC109" s="139"/>
      <c r="CWD109" s="139"/>
      <c r="CWE109" s="139"/>
      <c r="CWF109" s="139"/>
      <c r="CWG109" s="139"/>
      <c r="CWH109" s="139"/>
      <c r="CWI109" s="139"/>
      <c r="CWJ109" s="139"/>
      <c r="CWK109" s="139"/>
      <c r="CWL109" s="139"/>
      <c r="CWM109" s="139"/>
      <c r="CWN109" s="139"/>
      <c r="CWO109" s="139"/>
      <c r="CWP109" s="139"/>
      <c r="CWQ109" s="139"/>
      <c r="CWR109" s="139"/>
      <c r="CWS109" s="139"/>
      <c r="CWT109" s="139"/>
      <c r="CWU109" s="139"/>
      <c r="CWV109" s="139"/>
      <c r="CWW109" s="139"/>
      <c r="CWX109" s="139"/>
      <c r="CWY109" s="139"/>
      <c r="CWZ109" s="139"/>
      <c r="CXA109" s="139"/>
      <c r="CXB109" s="139"/>
      <c r="CXC109" s="139"/>
      <c r="CXD109" s="139"/>
      <c r="CXE109" s="139"/>
      <c r="CXF109" s="139"/>
      <c r="CXG109" s="139"/>
      <c r="CXH109" s="139"/>
      <c r="CXI109" s="139"/>
      <c r="CXJ109" s="139"/>
      <c r="CXK109" s="139"/>
      <c r="CXL109" s="139"/>
      <c r="CXM109" s="139"/>
      <c r="CXN109" s="139"/>
      <c r="CXO109" s="139"/>
      <c r="CXP109" s="139"/>
      <c r="CXQ109" s="139"/>
      <c r="CXR109" s="139"/>
      <c r="CXS109" s="139"/>
      <c r="CXT109" s="139"/>
      <c r="CXU109" s="139"/>
      <c r="CXV109" s="139"/>
      <c r="CXW109" s="139"/>
      <c r="CXX109" s="139"/>
      <c r="CXY109" s="139"/>
      <c r="CXZ109" s="139"/>
      <c r="CYA109" s="139"/>
      <c r="CYB109" s="139"/>
      <c r="CYC109" s="139"/>
      <c r="CYD109" s="139"/>
      <c r="CYE109" s="139"/>
      <c r="CYF109" s="139"/>
      <c r="CYG109" s="139"/>
      <c r="CYH109" s="139"/>
      <c r="CYI109" s="139"/>
      <c r="CYJ109" s="139"/>
      <c r="CYK109" s="139"/>
      <c r="CYL109" s="139"/>
      <c r="CYM109" s="139"/>
      <c r="CYN109" s="139"/>
      <c r="CYO109" s="139"/>
      <c r="CYP109" s="139"/>
      <c r="CYQ109" s="139"/>
      <c r="CYR109" s="139"/>
      <c r="CYS109" s="139"/>
      <c r="CYT109" s="139"/>
      <c r="CYU109" s="139"/>
      <c r="CYV109" s="139"/>
      <c r="CYW109" s="139"/>
      <c r="CYX109" s="139"/>
      <c r="CYY109" s="139"/>
      <c r="CYZ109" s="139"/>
      <c r="CZA109" s="139"/>
      <c r="CZB109" s="139"/>
      <c r="CZC109" s="139"/>
      <c r="CZD109" s="139"/>
      <c r="CZE109" s="139"/>
      <c r="CZF109" s="139"/>
      <c r="CZG109" s="139"/>
      <c r="CZH109" s="139"/>
      <c r="CZI109" s="139"/>
      <c r="CZJ109" s="139"/>
      <c r="CZK109" s="139"/>
      <c r="CZL109" s="139"/>
      <c r="CZM109" s="139"/>
      <c r="CZN109" s="139"/>
      <c r="CZO109" s="139"/>
      <c r="CZP109" s="139"/>
      <c r="CZQ109" s="139"/>
      <c r="CZR109" s="139"/>
      <c r="CZS109" s="139"/>
      <c r="CZT109" s="139"/>
      <c r="CZU109" s="139"/>
      <c r="CZV109" s="139"/>
      <c r="CZW109" s="139"/>
      <c r="CZX109" s="139"/>
      <c r="CZY109" s="139"/>
      <c r="CZZ109" s="139"/>
      <c r="DAA109" s="139"/>
      <c r="DAB109" s="139"/>
      <c r="DAC109" s="139"/>
      <c r="DAD109" s="139"/>
      <c r="DAE109" s="139"/>
      <c r="DAF109" s="139"/>
      <c r="DAG109" s="139"/>
      <c r="DAH109" s="139"/>
      <c r="DAI109" s="139"/>
      <c r="DAJ109" s="139"/>
      <c r="DAK109" s="139"/>
      <c r="DAL109" s="139"/>
      <c r="DAM109" s="139"/>
      <c r="DAN109" s="139"/>
      <c r="DAO109" s="139"/>
      <c r="DAP109" s="139"/>
      <c r="DAQ109" s="139"/>
      <c r="DAR109" s="139"/>
      <c r="DAS109" s="139"/>
      <c r="DAT109" s="139"/>
      <c r="DAU109" s="139"/>
      <c r="DAV109" s="139"/>
      <c r="DAW109" s="139"/>
      <c r="DAX109" s="139"/>
      <c r="DAY109" s="139"/>
      <c r="DAZ109" s="139"/>
      <c r="DBA109" s="139"/>
      <c r="DBB109" s="139"/>
      <c r="DBC109" s="139"/>
      <c r="DBD109" s="139"/>
      <c r="DBE109" s="139"/>
      <c r="DBF109" s="139"/>
      <c r="DBG109" s="139"/>
      <c r="DBH109" s="139"/>
      <c r="DBI109" s="139"/>
      <c r="DBJ109" s="139"/>
      <c r="DBK109" s="139"/>
      <c r="DBL109" s="139"/>
      <c r="DBM109" s="139"/>
      <c r="DBN109" s="139"/>
      <c r="DBO109" s="139"/>
      <c r="DBP109" s="139"/>
      <c r="DBQ109" s="139"/>
      <c r="DBR109" s="139"/>
      <c r="DBS109" s="139"/>
      <c r="DBT109" s="139"/>
      <c r="DBU109" s="139"/>
      <c r="DBV109" s="139"/>
      <c r="DBW109" s="139"/>
      <c r="DBX109" s="139"/>
      <c r="DBY109" s="139"/>
      <c r="DBZ109" s="139"/>
      <c r="DCA109" s="139"/>
      <c r="DCB109" s="139"/>
      <c r="DCC109" s="139"/>
      <c r="DCD109" s="139"/>
      <c r="DCE109" s="139"/>
      <c r="DCF109" s="139"/>
      <c r="DCG109" s="139"/>
      <c r="DCH109" s="139"/>
      <c r="DCI109" s="139"/>
      <c r="DCJ109" s="139"/>
      <c r="DCK109" s="139"/>
      <c r="DCL109" s="139"/>
      <c r="DCM109" s="139"/>
      <c r="DCN109" s="139"/>
      <c r="DCO109" s="139"/>
      <c r="DCP109" s="139"/>
      <c r="DCQ109" s="139"/>
      <c r="DCR109" s="139"/>
      <c r="DCS109" s="139"/>
      <c r="DCT109" s="139"/>
      <c r="DCU109" s="139"/>
      <c r="DCV109" s="139"/>
      <c r="DCW109" s="139"/>
      <c r="DCX109" s="139"/>
      <c r="DCY109" s="139"/>
      <c r="DCZ109" s="139"/>
      <c r="DDA109" s="139"/>
      <c r="DDB109" s="139"/>
      <c r="DDC109" s="139"/>
      <c r="DDD109" s="139"/>
      <c r="DDE109" s="139"/>
      <c r="DDF109" s="139"/>
      <c r="DDG109" s="139"/>
      <c r="DDH109" s="139"/>
      <c r="DDI109" s="139"/>
      <c r="DDJ109" s="139"/>
      <c r="DDK109" s="139"/>
      <c r="DDL109" s="139"/>
      <c r="DDM109" s="139"/>
      <c r="DDN109" s="139"/>
      <c r="DDO109" s="139"/>
      <c r="DDP109" s="139"/>
      <c r="DDQ109" s="139"/>
      <c r="DDR109" s="139"/>
      <c r="DDS109" s="139"/>
      <c r="DDT109" s="139"/>
      <c r="DDU109" s="139"/>
      <c r="DDV109" s="139"/>
      <c r="DDW109" s="139"/>
      <c r="DDX109" s="139"/>
      <c r="DDY109" s="139"/>
      <c r="DDZ109" s="139"/>
      <c r="DEA109" s="139"/>
      <c r="DEB109" s="139"/>
      <c r="DEC109" s="139"/>
      <c r="DED109" s="139"/>
      <c r="DEE109" s="139"/>
      <c r="DEF109" s="139"/>
      <c r="DEG109" s="139"/>
      <c r="DEH109" s="139"/>
      <c r="DEI109" s="139"/>
      <c r="DEJ109" s="139"/>
      <c r="DEK109" s="139"/>
      <c r="DEL109" s="139"/>
      <c r="DEM109" s="139"/>
      <c r="DEN109" s="139"/>
      <c r="DEO109" s="139"/>
      <c r="DEP109" s="139"/>
      <c r="DEQ109" s="139"/>
      <c r="DER109" s="139"/>
      <c r="DES109" s="139"/>
      <c r="DET109" s="139"/>
      <c r="DEU109" s="139"/>
      <c r="DEV109" s="139"/>
      <c r="DEW109" s="139"/>
      <c r="DEX109" s="139"/>
      <c r="DEY109" s="139"/>
      <c r="DEZ109" s="139"/>
      <c r="DFA109" s="139"/>
      <c r="DFB109" s="139"/>
      <c r="DFC109" s="139"/>
      <c r="DFD109" s="139"/>
      <c r="DFE109" s="139"/>
      <c r="DFF109" s="139"/>
      <c r="DFG109" s="139"/>
      <c r="DFH109" s="139"/>
      <c r="DFI109" s="139"/>
      <c r="DFJ109" s="139"/>
      <c r="DFK109" s="139"/>
      <c r="DFL109" s="139"/>
      <c r="DFM109" s="139"/>
      <c r="DFN109" s="139"/>
      <c r="DFO109" s="139"/>
      <c r="DFP109" s="139"/>
      <c r="DFQ109" s="139"/>
      <c r="DFR109" s="139"/>
      <c r="DFS109" s="139"/>
      <c r="DFT109" s="139"/>
      <c r="DFU109" s="139"/>
      <c r="DFV109" s="139"/>
      <c r="DFW109" s="139"/>
      <c r="DFX109" s="139"/>
      <c r="DFY109" s="139"/>
      <c r="DFZ109" s="139"/>
      <c r="DGA109" s="139"/>
      <c r="DGB109" s="139"/>
      <c r="DGC109" s="139"/>
      <c r="DGD109" s="139"/>
      <c r="DGE109" s="139"/>
      <c r="DGF109" s="139"/>
      <c r="DGG109" s="139"/>
      <c r="DGH109" s="139"/>
      <c r="DGI109" s="139"/>
      <c r="DGJ109" s="139"/>
      <c r="DGK109" s="139"/>
      <c r="DGL109" s="139"/>
      <c r="DGM109" s="139"/>
      <c r="DGN109" s="139"/>
      <c r="DGO109" s="139"/>
      <c r="DGP109" s="139"/>
      <c r="DGQ109" s="139"/>
      <c r="DGR109" s="139"/>
      <c r="DGS109" s="139"/>
      <c r="DGT109" s="139"/>
      <c r="DGU109" s="139"/>
      <c r="DGV109" s="139"/>
      <c r="DGW109" s="139"/>
      <c r="DGX109" s="139"/>
      <c r="DGY109" s="139"/>
      <c r="DGZ109" s="139"/>
      <c r="DHA109" s="139"/>
      <c r="DHB109" s="139"/>
      <c r="DHC109" s="139"/>
      <c r="DHD109" s="139"/>
      <c r="DHE109" s="139"/>
      <c r="DHF109" s="139"/>
      <c r="DHG109" s="139"/>
      <c r="DHH109" s="139"/>
      <c r="DHI109" s="139"/>
      <c r="DHJ109" s="139"/>
      <c r="DHK109" s="139"/>
      <c r="DHL109" s="139"/>
      <c r="DHM109" s="139"/>
      <c r="DHN109" s="139"/>
      <c r="DHO109" s="139"/>
      <c r="DHP109" s="139"/>
      <c r="DHQ109" s="139"/>
      <c r="DHR109" s="139"/>
      <c r="DHS109" s="139"/>
      <c r="DHT109" s="139"/>
      <c r="DHU109" s="139"/>
      <c r="DHV109" s="139"/>
      <c r="DHW109" s="139"/>
      <c r="DHX109" s="139"/>
      <c r="DHY109" s="139"/>
      <c r="DHZ109" s="139"/>
      <c r="DIA109" s="139"/>
      <c r="DIB109" s="139"/>
      <c r="DIC109" s="139"/>
      <c r="DID109" s="139"/>
      <c r="DIE109" s="139"/>
      <c r="DIF109" s="139"/>
      <c r="DIG109" s="139"/>
      <c r="DIH109" s="139"/>
      <c r="DII109" s="139"/>
      <c r="DIJ109" s="139"/>
      <c r="DIK109" s="139"/>
      <c r="DIL109" s="139"/>
      <c r="DIM109" s="139"/>
      <c r="DIN109" s="139"/>
      <c r="DIO109" s="139"/>
      <c r="DIP109" s="139"/>
      <c r="DIQ109" s="139"/>
      <c r="DIR109" s="139"/>
      <c r="DIS109" s="139"/>
      <c r="DIT109" s="139"/>
      <c r="DIU109" s="139"/>
      <c r="DIV109" s="139"/>
      <c r="DIW109" s="139"/>
      <c r="DIX109" s="139"/>
      <c r="DIY109" s="139"/>
      <c r="DIZ109" s="139"/>
      <c r="DJA109" s="139"/>
      <c r="DJB109" s="139"/>
      <c r="DJC109" s="139"/>
      <c r="DJD109" s="139"/>
      <c r="DJE109" s="139"/>
      <c r="DJF109" s="139"/>
      <c r="DJG109" s="139"/>
      <c r="DJH109" s="139"/>
      <c r="DJI109" s="139"/>
      <c r="DJJ109" s="139"/>
      <c r="DJK109" s="139"/>
      <c r="DJL109" s="139"/>
      <c r="DJM109" s="139"/>
      <c r="DJN109" s="139"/>
      <c r="DJO109" s="139"/>
      <c r="DJP109" s="139"/>
      <c r="DJQ109" s="139"/>
      <c r="DJR109" s="139"/>
      <c r="DJS109" s="139"/>
      <c r="DJT109" s="139"/>
      <c r="DJU109" s="139"/>
      <c r="DJV109" s="139"/>
      <c r="DJW109" s="139"/>
      <c r="DJX109" s="139"/>
      <c r="DJY109" s="139"/>
      <c r="DJZ109" s="139"/>
      <c r="DKA109" s="139"/>
      <c r="DKB109" s="139"/>
      <c r="DKC109" s="139"/>
      <c r="DKD109" s="139"/>
      <c r="DKE109" s="139"/>
      <c r="DKF109" s="139"/>
      <c r="DKG109" s="139"/>
      <c r="DKH109" s="139"/>
      <c r="DKI109" s="139"/>
      <c r="DKJ109" s="139"/>
      <c r="DKK109" s="139"/>
      <c r="DKL109" s="139"/>
      <c r="DKM109" s="139"/>
      <c r="DKN109" s="139"/>
      <c r="DKO109" s="139"/>
      <c r="DKP109" s="139"/>
      <c r="DKQ109" s="139"/>
      <c r="DKR109" s="139"/>
      <c r="DKS109" s="139"/>
      <c r="DKT109" s="139"/>
      <c r="DKU109" s="139"/>
      <c r="DKV109" s="139"/>
      <c r="DKW109" s="139"/>
      <c r="DKX109" s="139"/>
      <c r="DKY109" s="139"/>
      <c r="DKZ109" s="139"/>
      <c r="DLA109" s="139"/>
      <c r="DLB109" s="139"/>
      <c r="DLC109" s="139"/>
      <c r="DLD109" s="139"/>
      <c r="DLE109" s="139"/>
      <c r="DLF109" s="139"/>
      <c r="DLG109" s="139"/>
      <c r="DLH109" s="139"/>
      <c r="DLI109" s="139"/>
      <c r="DLJ109" s="139"/>
      <c r="DLK109" s="139"/>
      <c r="DLL109" s="139"/>
      <c r="DLM109" s="139"/>
      <c r="DLN109" s="139"/>
      <c r="DLO109" s="139"/>
      <c r="DLP109" s="139"/>
      <c r="DLQ109" s="139"/>
      <c r="DLR109" s="139"/>
      <c r="DLS109" s="139"/>
      <c r="DLT109" s="139"/>
      <c r="DLU109" s="139"/>
      <c r="DLV109" s="139"/>
      <c r="DLW109" s="139"/>
      <c r="DLX109" s="139"/>
      <c r="DLY109" s="139"/>
      <c r="DLZ109" s="139"/>
      <c r="DMA109" s="139"/>
      <c r="DMB109" s="139"/>
      <c r="DMC109" s="139"/>
      <c r="DMD109" s="139"/>
      <c r="DME109" s="139"/>
      <c r="DMF109" s="139"/>
      <c r="DMG109" s="139"/>
      <c r="DMH109" s="139"/>
      <c r="DMI109" s="139"/>
      <c r="DMJ109" s="139"/>
      <c r="DMK109" s="139"/>
      <c r="DML109" s="139"/>
      <c r="DMM109" s="139"/>
      <c r="DMN109" s="139"/>
      <c r="DMO109" s="139"/>
      <c r="DMP109" s="139"/>
      <c r="DMQ109" s="139"/>
      <c r="DMR109" s="139"/>
      <c r="DMS109" s="139"/>
      <c r="DMT109" s="139"/>
      <c r="DMU109" s="139"/>
      <c r="DMV109" s="139"/>
      <c r="DMW109" s="139"/>
      <c r="DMX109" s="139"/>
      <c r="DMY109" s="139"/>
      <c r="DMZ109" s="139"/>
      <c r="DNA109" s="139"/>
      <c r="DNB109" s="139"/>
      <c r="DNC109" s="139"/>
      <c r="DND109" s="139"/>
      <c r="DNE109" s="139"/>
      <c r="DNF109" s="139"/>
      <c r="DNG109" s="139"/>
      <c r="DNH109" s="139"/>
      <c r="DNI109" s="139"/>
      <c r="DNJ109" s="139"/>
      <c r="DNK109" s="139"/>
      <c r="DNL109" s="139"/>
      <c r="DNM109" s="139"/>
      <c r="DNN109" s="139"/>
      <c r="DNO109" s="139"/>
      <c r="DNP109" s="139"/>
      <c r="DNQ109" s="139"/>
      <c r="DNR109" s="139"/>
      <c r="DNS109" s="139"/>
      <c r="DNT109" s="139"/>
      <c r="DNU109" s="139"/>
      <c r="DNV109" s="139"/>
      <c r="DNW109" s="139"/>
      <c r="DNX109" s="139"/>
      <c r="DNY109" s="139"/>
      <c r="DNZ109" s="139"/>
      <c r="DOA109" s="139"/>
      <c r="DOB109" s="139"/>
      <c r="DOC109" s="139"/>
      <c r="DOD109" s="139"/>
      <c r="DOE109" s="139"/>
      <c r="DOF109" s="139"/>
      <c r="DOG109" s="139"/>
      <c r="DOH109" s="139"/>
      <c r="DOI109" s="139"/>
      <c r="DOJ109" s="139"/>
      <c r="DOK109" s="139"/>
      <c r="DOL109" s="139"/>
      <c r="DOM109" s="139"/>
      <c r="DON109" s="139"/>
      <c r="DOO109" s="139"/>
      <c r="DOP109" s="139"/>
      <c r="DOQ109" s="139"/>
      <c r="DOR109" s="139"/>
      <c r="DOS109" s="139"/>
      <c r="DOT109" s="139"/>
      <c r="DOU109" s="139"/>
      <c r="DOV109" s="139"/>
      <c r="DOW109" s="139"/>
      <c r="DOX109" s="139"/>
      <c r="DOY109" s="139"/>
      <c r="DOZ109" s="139"/>
      <c r="DPA109" s="139"/>
      <c r="DPB109" s="139"/>
      <c r="DPC109" s="139"/>
      <c r="DPD109" s="139"/>
      <c r="DPE109" s="139"/>
      <c r="DPF109" s="139"/>
      <c r="DPG109" s="139"/>
      <c r="DPH109" s="139"/>
      <c r="DPI109" s="139"/>
      <c r="DPJ109" s="139"/>
      <c r="DPK109" s="139"/>
      <c r="DPL109" s="139"/>
      <c r="DPM109" s="139"/>
      <c r="DPN109" s="139"/>
      <c r="DPO109" s="139"/>
      <c r="DPP109" s="139"/>
      <c r="DPQ109" s="139"/>
      <c r="DPR109" s="139"/>
      <c r="DPS109" s="139"/>
      <c r="DPT109" s="139"/>
      <c r="DPU109" s="139"/>
      <c r="DPV109" s="139"/>
      <c r="DPW109" s="139"/>
      <c r="DPX109" s="139"/>
      <c r="DPY109" s="139"/>
      <c r="DPZ109" s="139"/>
      <c r="DQA109" s="139"/>
      <c r="DQB109" s="139"/>
      <c r="DQC109" s="139"/>
      <c r="DQD109" s="139"/>
      <c r="DQE109" s="139"/>
      <c r="DQF109" s="139"/>
      <c r="DQG109" s="139"/>
      <c r="DQH109" s="139"/>
      <c r="DQI109" s="139"/>
      <c r="DQJ109" s="139"/>
      <c r="DQK109" s="139"/>
      <c r="DQL109" s="139"/>
      <c r="DQM109" s="139"/>
      <c r="DQN109" s="139"/>
      <c r="DQO109" s="139"/>
      <c r="DQP109" s="139"/>
      <c r="DQQ109" s="139"/>
      <c r="DQR109" s="139"/>
      <c r="DQS109" s="139"/>
      <c r="DQT109" s="139"/>
      <c r="DQU109" s="139"/>
      <c r="DQV109" s="139"/>
      <c r="DQW109" s="139"/>
      <c r="DQX109" s="139"/>
      <c r="DQY109" s="139"/>
      <c r="DQZ109" s="139"/>
      <c r="DRA109" s="139"/>
      <c r="DRB109" s="139"/>
      <c r="DRC109" s="139"/>
      <c r="DRD109" s="139"/>
      <c r="DRE109" s="139"/>
      <c r="DRF109" s="139"/>
      <c r="DRG109" s="139"/>
      <c r="DRH109" s="139"/>
      <c r="DRI109" s="139"/>
      <c r="DRJ109" s="139"/>
      <c r="DRK109" s="139"/>
      <c r="DRL109" s="139"/>
      <c r="DRM109" s="139"/>
      <c r="DRN109" s="139"/>
      <c r="DRO109" s="139"/>
      <c r="DRP109" s="139"/>
      <c r="DRQ109" s="139"/>
      <c r="DRR109" s="139"/>
      <c r="DRS109" s="139"/>
      <c r="DRT109" s="139"/>
      <c r="DRU109" s="139"/>
      <c r="DRV109" s="139"/>
      <c r="DRW109" s="139"/>
      <c r="DRX109" s="139"/>
      <c r="DRY109" s="139"/>
      <c r="DRZ109" s="139"/>
      <c r="DSA109" s="139"/>
      <c r="DSB109" s="139"/>
      <c r="DSC109" s="139"/>
      <c r="DSD109" s="139"/>
      <c r="DSE109" s="139"/>
      <c r="DSF109" s="139"/>
      <c r="DSG109" s="139"/>
      <c r="DSH109" s="139"/>
      <c r="DSI109" s="139"/>
      <c r="DSJ109" s="139"/>
      <c r="DSK109" s="139"/>
      <c r="DSL109" s="139"/>
      <c r="DSM109" s="139"/>
      <c r="DSN109" s="139"/>
      <c r="DSO109" s="139"/>
      <c r="DSP109" s="139"/>
      <c r="DSQ109" s="139"/>
      <c r="DSR109" s="139"/>
      <c r="DSS109" s="139"/>
      <c r="DST109" s="139"/>
      <c r="DSU109" s="139"/>
      <c r="DSV109" s="139"/>
      <c r="DSW109" s="139"/>
      <c r="DSX109" s="139"/>
      <c r="DSY109" s="139"/>
      <c r="DSZ109" s="139"/>
      <c r="DTA109" s="139"/>
      <c r="DTB109" s="139"/>
      <c r="DTC109" s="139"/>
      <c r="DTD109" s="139"/>
      <c r="DTE109" s="139"/>
      <c r="DTF109" s="139"/>
      <c r="DTG109" s="139"/>
      <c r="DTH109" s="139"/>
      <c r="DTI109" s="139"/>
      <c r="DTJ109" s="139"/>
      <c r="DTK109" s="139"/>
      <c r="DTL109" s="139"/>
      <c r="DTM109" s="139"/>
      <c r="DTN109" s="139"/>
      <c r="DTO109" s="139"/>
      <c r="DTP109" s="139"/>
      <c r="DTQ109" s="139"/>
      <c r="DTR109" s="139"/>
      <c r="DTS109" s="139"/>
      <c r="DTT109" s="139"/>
      <c r="DTU109" s="139"/>
      <c r="DTV109" s="139"/>
      <c r="DTW109" s="139"/>
      <c r="DTX109" s="139"/>
      <c r="DTY109" s="139"/>
      <c r="DTZ109" s="139"/>
      <c r="DUA109" s="139"/>
      <c r="DUB109" s="139"/>
      <c r="DUC109" s="139"/>
      <c r="DUD109" s="139"/>
      <c r="DUE109" s="139"/>
      <c r="DUF109" s="139"/>
      <c r="DUG109" s="139"/>
      <c r="DUH109" s="139"/>
      <c r="DUI109" s="139"/>
      <c r="DUJ109" s="139"/>
      <c r="DUK109" s="139"/>
      <c r="DUL109" s="139"/>
      <c r="DUM109" s="139"/>
      <c r="DUN109" s="139"/>
      <c r="DUO109" s="139"/>
      <c r="DUP109" s="139"/>
      <c r="DUQ109" s="139"/>
      <c r="DUR109" s="139"/>
      <c r="DUS109" s="139"/>
      <c r="DUT109" s="139"/>
      <c r="DUU109" s="139"/>
      <c r="DUV109" s="139"/>
      <c r="DUW109" s="139"/>
      <c r="DUX109" s="139"/>
      <c r="DUY109" s="139"/>
      <c r="DUZ109" s="139"/>
      <c r="DVA109" s="139"/>
      <c r="DVB109" s="139"/>
      <c r="DVC109" s="139"/>
      <c r="DVD109" s="139"/>
      <c r="DVE109" s="139"/>
      <c r="DVF109" s="139"/>
      <c r="DVG109" s="139"/>
      <c r="DVH109" s="139"/>
      <c r="DVI109" s="139"/>
      <c r="DVJ109" s="139"/>
      <c r="DVK109" s="139"/>
      <c r="DVL109" s="139"/>
      <c r="DVM109" s="139"/>
      <c r="DVN109" s="139"/>
      <c r="DVO109" s="139"/>
      <c r="DVP109" s="139"/>
      <c r="DVQ109" s="139"/>
      <c r="DVR109" s="139"/>
      <c r="DVS109" s="139"/>
      <c r="DVT109" s="139"/>
      <c r="DVU109" s="139"/>
      <c r="DVV109" s="139"/>
      <c r="DVW109" s="139"/>
      <c r="DVX109" s="139"/>
      <c r="DVY109" s="139"/>
      <c r="DVZ109" s="139"/>
      <c r="DWA109" s="139"/>
      <c r="DWB109" s="139"/>
      <c r="DWC109" s="139"/>
      <c r="DWD109" s="139"/>
      <c r="DWE109" s="139"/>
      <c r="DWF109" s="139"/>
      <c r="DWG109" s="139"/>
      <c r="DWH109" s="139"/>
      <c r="DWI109" s="139"/>
      <c r="DWJ109" s="139"/>
      <c r="DWK109" s="139"/>
      <c r="DWL109" s="139"/>
      <c r="DWM109" s="139"/>
      <c r="DWN109" s="139"/>
      <c r="DWO109" s="139"/>
      <c r="DWP109" s="139"/>
      <c r="DWQ109" s="139"/>
      <c r="DWR109" s="139"/>
      <c r="DWS109" s="139"/>
      <c r="DWT109" s="139"/>
      <c r="DWU109" s="139"/>
      <c r="DWV109" s="139"/>
      <c r="DWW109" s="139"/>
      <c r="DWX109" s="139"/>
      <c r="DWY109" s="139"/>
      <c r="DWZ109" s="139"/>
      <c r="DXA109" s="139"/>
      <c r="DXB109" s="139"/>
      <c r="DXC109" s="139"/>
      <c r="DXD109" s="139"/>
      <c r="DXE109" s="139"/>
      <c r="DXF109" s="139"/>
      <c r="DXG109" s="139"/>
      <c r="DXH109" s="139"/>
      <c r="DXI109" s="139"/>
      <c r="DXJ109" s="139"/>
      <c r="DXK109" s="139"/>
      <c r="DXL109" s="139"/>
      <c r="DXM109" s="139"/>
      <c r="DXN109" s="139"/>
      <c r="DXO109" s="139"/>
      <c r="DXP109" s="139"/>
      <c r="DXQ109" s="139"/>
      <c r="DXR109" s="139"/>
      <c r="DXS109" s="139"/>
      <c r="DXT109" s="139"/>
      <c r="DXU109" s="139"/>
      <c r="DXV109" s="139"/>
      <c r="DXW109" s="139"/>
      <c r="DXX109" s="139"/>
      <c r="DXY109" s="139"/>
      <c r="DXZ109" s="139"/>
      <c r="DYA109" s="139"/>
      <c r="DYB109" s="139"/>
      <c r="DYC109" s="139"/>
      <c r="DYD109" s="139"/>
      <c r="DYE109" s="139"/>
      <c r="DYF109" s="139"/>
      <c r="DYG109" s="139"/>
      <c r="DYH109" s="139"/>
      <c r="DYI109" s="139"/>
      <c r="DYJ109" s="139"/>
      <c r="DYK109" s="139"/>
      <c r="DYL109" s="139"/>
      <c r="DYM109" s="139"/>
      <c r="DYN109" s="139"/>
      <c r="DYO109" s="139"/>
      <c r="DYP109" s="139"/>
      <c r="DYQ109" s="139"/>
      <c r="DYR109" s="139"/>
      <c r="DYS109" s="139"/>
      <c r="DYT109" s="139"/>
      <c r="DYU109" s="139"/>
      <c r="DYV109" s="139"/>
      <c r="DYW109" s="139"/>
      <c r="DYX109" s="139"/>
      <c r="DYY109" s="139"/>
      <c r="DYZ109" s="139"/>
      <c r="DZA109" s="139"/>
      <c r="DZB109" s="139"/>
      <c r="DZC109" s="139"/>
      <c r="DZD109" s="139"/>
      <c r="DZE109" s="139"/>
      <c r="DZF109" s="139"/>
      <c r="DZG109" s="139"/>
      <c r="DZH109" s="139"/>
      <c r="DZI109" s="139"/>
      <c r="DZJ109" s="139"/>
      <c r="DZK109" s="139"/>
      <c r="DZL109" s="139"/>
      <c r="DZM109" s="139"/>
      <c r="DZN109" s="139"/>
      <c r="DZO109" s="139"/>
      <c r="DZP109" s="139"/>
      <c r="DZQ109" s="139"/>
      <c r="DZR109" s="139"/>
      <c r="DZS109" s="139"/>
      <c r="DZT109" s="139"/>
      <c r="DZU109" s="139"/>
      <c r="DZV109" s="139"/>
      <c r="DZW109" s="139"/>
      <c r="DZX109" s="139"/>
      <c r="DZY109" s="139"/>
      <c r="DZZ109" s="139"/>
      <c r="EAA109" s="139"/>
      <c r="EAB109" s="139"/>
      <c r="EAC109" s="139"/>
      <c r="EAD109" s="139"/>
      <c r="EAE109" s="139"/>
      <c r="EAF109" s="139"/>
      <c r="EAG109" s="139"/>
      <c r="EAH109" s="139"/>
      <c r="EAI109" s="139"/>
      <c r="EAJ109" s="139"/>
      <c r="EAK109" s="139"/>
      <c r="EAL109" s="139"/>
      <c r="EAM109" s="139"/>
      <c r="EAN109" s="139"/>
      <c r="EAO109" s="139"/>
      <c r="EAP109" s="139"/>
      <c r="EAQ109" s="139"/>
      <c r="EAR109" s="139"/>
      <c r="EAS109" s="139"/>
      <c r="EAT109" s="139"/>
      <c r="EAU109" s="139"/>
      <c r="EAV109" s="139"/>
      <c r="EAW109" s="139"/>
      <c r="EAX109" s="139"/>
      <c r="EAY109" s="139"/>
      <c r="EAZ109" s="139"/>
      <c r="EBA109" s="139"/>
      <c r="EBB109" s="139"/>
      <c r="EBC109" s="139"/>
      <c r="EBD109" s="139"/>
      <c r="EBE109" s="139"/>
      <c r="EBF109" s="139"/>
      <c r="EBG109" s="139"/>
      <c r="EBH109" s="139"/>
      <c r="EBI109" s="139"/>
      <c r="EBJ109" s="139"/>
      <c r="EBK109" s="139"/>
      <c r="EBL109" s="139"/>
      <c r="EBM109" s="139"/>
      <c r="EBN109" s="139"/>
      <c r="EBO109" s="139"/>
      <c r="EBP109" s="139"/>
      <c r="EBQ109" s="139"/>
      <c r="EBR109" s="139"/>
      <c r="EBS109" s="139"/>
      <c r="EBT109" s="139"/>
      <c r="EBU109" s="139"/>
      <c r="EBV109" s="139"/>
      <c r="EBW109" s="139"/>
      <c r="EBX109" s="139"/>
      <c r="EBY109" s="139"/>
      <c r="EBZ109" s="139"/>
      <c r="ECA109" s="139"/>
      <c r="ECB109" s="139"/>
      <c r="ECC109" s="139"/>
      <c r="ECD109" s="139"/>
      <c r="ECE109" s="139"/>
      <c r="ECF109" s="139"/>
      <c r="ECG109" s="139"/>
      <c r="ECH109" s="139"/>
      <c r="ECI109" s="139"/>
      <c r="ECJ109" s="139"/>
      <c r="ECK109" s="139"/>
      <c r="ECL109" s="139"/>
      <c r="ECM109" s="139"/>
      <c r="ECN109" s="139"/>
      <c r="ECO109" s="139"/>
      <c r="ECP109" s="139"/>
      <c r="ECQ109" s="139"/>
      <c r="ECR109" s="139"/>
      <c r="ECS109" s="139"/>
      <c r="ECT109" s="139"/>
      <c r="ECU109" s="139"/>
      <c r="ECV109" s="139"/>
      <c r="ECW109" s="139"/>
      <c r="ECX109" s="139"/>
      <c r="ECY109" s="139"/>
      <c r="ECZ109" s="139"/>
      <c r="EDA109" s="139"/>
      <c r="EDB109" s="139"/>
      <c r="EDC109" s="139"/>
      <c r="EDD109" s="139"/>
      <c r="EDE109" s="139"/>
      <c r="EDF109" s="139"/>
      <c r="EDG109" s="139"/>
      <c r="EDH109" s="139"/>
      <c r="EDI109" s="139"/>
      <c r="EDJ109" s="139"/>
      <c r="EDK109" s="139"/>
      <c r="EDL109" s="139"/>
      <c r="EDM109" s="139"/>
      <c r="EDN109" s="139"/>
      <c r="EDO109" s="139"/>
      <c r="EDP109" s="139"/>
      <c r="EDQ109" s="139"/>
      <c r="EDR109" s="139"/>
      <c r="EDS109" s="139"/>
      <c r="EDT109" s="139"/>
      <c r="EDU109" s="139"/>
      <c r="EDV109" s="139"/>
      <c r="EDW109" s="139"/>
      <c r="EDX109" s="139"/>
      <c r="EDY109" s="139"/>
      <c r="EDZ109" s="139"/>
      <c r="EEA109" s="139"/>
      <c r="EEB109" s="139"/>
      <c r="EEC109" s="139"/>
      <c r="EED109" s="139"/>
      <c r="EEE109" s="139"/>
      <c r="EEF109" s="139"/>
      <c r="EEG109" s="139"/>
      <c r="EEH109" s="139"/>
      <c r="EEI109" s="139"/>
      <c r="EEJ109" s="139"/>
      <c r="EEK109" s="139"/>
      <c r="EEL109" s="139"/>
      <c r="EEM109" s="139"/>
      <c r="EEN109" s="139"/>
      <c r="EEO109" s="139"/>
      <c r="EEP109" s="139"/>
      <c r="EEQ109" s="139"/>
      <c r="EER109" s="139"/>
      <c r="EES109" s="139"/>
      <c r="EET109" s="139"/>
      <c r="EEU109" s="139"/>
      <c r="EEV109" s="139"/>
      <c r="EEW109" s="139"/>
      <c r="EEX109" s="139"/>
      <c r="EEY109" s="139"/>
      <c r="EEZ109" s="139"/>
      <c r="EFA109" s="139"/>
      <c r="EFB109" s="139"/>
      <c r="EFC109" s="139"/>
      <c r="EFD109" s="139"/>
      <c r="EFE109" s="139"/>
      <c r="EFF109" s="139"/>
      <c r="EFG109" s="139"/>
      <c r="EFH109" s="139"/>
      <c r="EFI109" s="139"/>
      <c r="EFJ109" s="139"/>
      <c r="EFK109" s="139"/>
      <c r="EFL109" s="139"/>
      <c r="EFM109" s="139"/>
      <c r="EFN109" s="139"/>
      <c r="EFO109" s="139"/>
      <c r="EFP109" s="139"/>
      <c r="EFQ109" s="139"/>
      <c r="EFR109" s="139"/>
      <c r="EFS109" s="139"/>
      <c r="EFT109" s="139"/>
      <c r="EFU109" s="139"/>
      <c r="EFV109" s="139"/>
      <c r="EFW109" s="139"/>
      <c r="EFX109" s="139"/>
      <c r="EFY109" s="139"/>
      <c r="EFZ109" s="139"/>
      <c r="EGA109" s="139"/>
      <c r="EGB109" s="139"/>
      <c r="EGC109" s="139"/>
      <c r="EGD109" s="139"/>
      <c r="EGE109" s="139"/>
      <c r="EGF109" s="139"/>
      <c r="EGG109" s="139"/>
      <c r="EGH109" s="139"/>
      <c r="EGI109" s="139"/>
      <c r="EGJ109" s="139"/>
      <c r="EGK109" s="139"/>
      <c r="EGL109" s="139"/>
      <c r="EGM109" s="139"/>
      <c r="EGN109" s="139"/>
      <c r="EGO109" s="139"/>
      <c r="EGP109" s="139"/>
      <c r="EGQ109" s="139"/>
      <c r="EGR109" s="139"/>
      <c r="EGS109" s="139"/>
      <c r="EGT109" s="139"/>
      <c r="EGU109" s="139"/>
      <c r="EGV109" s="139"/>
      <c r="EGW109" s="139"/>
      <c r="EGX109" s="139"/>
      <c r="EGY109" s="139"/>
      <c r="EGZ109" s="139"/>
      <c r="EHA109" s="139"/>
      <c r="EHB109" s="139"/>
      <c r="EHC109" s="139"/>
      <c r="EHD109" s="139"/>
      <c r="EHE109" s="139"/>
      <c r="EHF109" s="139"/>
      <c r="EHG109" s="139"/>
      <c r="EHH109" s="139"/>
      <c r="EHI109" s="139"/>
      <c r="EHJ109" s="139"/>
      <c r="EHK109" s="139"/>
      <c r="EHL109" s="139"/>
      <c r="EHM109" s="139"/>
      <c r="EHN109" s="139"/>
      <c r="EHO109" s="139"/>
      <c r="EHP109" s="139"/>
      <c r="EHQ109" s="139"/>
      <c r="EHR109" s="139"/>
      <c r="EHS109" s="139"/>
      <c r="EHT109" s="139"/>
      <c r="EHU109" s="139"/>
      <c r="EHV109" s="139"/>
      <c r="EHW109" s="139"/>
      <c r="EHX109" s="139"/>
      <c r="EHY109" s="139"/>
      <c r="EHZ109" s="139"/>
      <c r="EIA109" s="139"/>
      <c r="EIB109" s="139"/>
      <c r="EIC109" s="139"/>
      <c r="EID109" s="139"/>
      <c r="EIE109" s="139"/>
      <c r="EIF109" s="139"/>
      <c r="EIG109" s="139"/>
      <c r="EIH109" s="139"/>
      <c r="EII109" s="139"/>
      <c r="EIJ109" s="139"/>
      <c r="EIK109" s="139"/>
      <c r="EIL109" s="139"/>
      <c r="EIM109" s="139"/>
      <c r="EIN109" s="139"/>
      <c r="EIO109" s="139"/>
      <c r="EIP109" s="139"/>
      <c r="EIQ109" s="139"/>
      <c r="EIR109" s="139"/>
      <c r="EIS109" s="139"/>
      <c r="EIT109" s="139"/>
      <c r="EIU109" s="139"/>
      <c r="EIV109" s="139"/>
      <c r="EIW109" s="139"/>
      <c r="EIX109" s="139"/>
      <c r="EIY109" s="139"/>
      <c r="EIZ109" s="139"/>
      <c r="EJA109" s="139"/>
      <c r="EJB109" s="139"/>
      <c r="EJC109" s="139"/>
      <c r="EJD109" s="139"/>
      <c r="EJE109" s="139"/>
      <c r="EJF109" s="139"/>
      <c r="EJG109" s="139"/>
      <c r="EJH109" s="139"/>
      <c r="EJI109" s="139"/>
      <c r="EJJ109" s="139"/>
      <c r="EJK109" s="139"/>
      <c r="EJL109" s="139"/>
      <c r="EJM109" s="139"/>
      <c r="EJN109" s="139"/>
      <c r="EJO109" s="139"/>
      <c r="EJP109" s="139"/>
      <c r="EJQ109" s="139"/>
      <c r="EJR109" s="139"/>
      <c r="EJS109" s="139"/>
      <c r="EJT109" s="139"/>
      <c r="EJU109" s="139"/>
      <c r="EJV109" s="139"/>
      <c r="EJW109" s="139"/>
      <c r="EJX109" s="139"/>
      <c r="EJY109" s="139"/>
      <c r="EJZ109" s="139"/>
      <c r="EKA109" s="139"/>
      <c r="EKB109" s="139"/>
      <c r="EKC109" s="139"/>
      <c r="EKD109" s="139"/>
      <c r="EKE109" s="139"/>
      <c r="EKF109" s="139"/>
      <c r="EKG109" s="139"/>
      <c r="EKH109" s="139"/>
      <c r="EKI109" s="139"/>
      <c r="EKJ109" s="139"/>
      <c r="EKK109" s="139"/>
      <c r="EKL109" s="139"/>
      <c r="EKM109" s="139"/>
      <c r="EKN109" s="139"/>
      <c r="EKO109" s="139"/>
      <c r="EKP109" s="139"/>
      <c r="EKQ109" s="139"/>
      <c r="EKR109" s="139"/>
      <c r="EKS109" s="139"/>
      <c r="EKT109" s="139"/>
      <c r="EKU109" s="139"/>
      <c r="EKV109" s="139"/>
      <c r="EKW109" s="139"/>
      <c r="EKX109" s="139"/>
      <c r="EKY109" s="139"/>
      <c r="EKZ109" s="139"/>
      <c r="ELA109" s="139"/>
      <c r="ELB109" s="139"/>
      <c r="ELC109" s="139"/>
      <c r="ELD109" s="139"/>
      <c r="ELE109" s="139"/>
      <c r="ELF109" s="139"/>
      <c r="ELG109" s="139"/>
      <c r="ELH109" s="139"/>
      <c r="ELI109" s="139"/>
      <c r="ELJ109" s="139"/>
      <c r="ELK109" s="139"/>
      <c r="ELL109" s="139"/>
      <c r="ELM109" s="139"/>
      <c r="ELN109" s="139"/>
      <c r="ELO109" s="139"/>
      <c r="ELP109" s="139"/>
      <c r="ELQ109" s="139"/>
      <c r="ELR109" s="139"/>
      <c r="ELS109" s="139"/>
      <c r="ELT109" s="139"/>
      <c r="ELU109" s="139"/>
      <c r="ELV109" s="139"/>
      <c r="ELW109" s="139"/>
      <c r="ELX109" s="139"/>
      <c r="ELY109" s="139"/>
      <c r="ELZ109" s="139"/>
      <c r="EMA109" s="139"/>
      <c r="EMB109" s="139"/>
      <c r="EMC109" s="139"/>
      <c r="EMD109" s="139"/>
      <c r="EME109" s="139"/>
      <c r="EMF109" s="139"/>
      <c r="EMG109" s="139"/>
      <c r="EMH109" s="139"/>
      <c r="EMI109" s="139"/>
      <c r="EMJ109" s="139"/>
      <c r="EMK109" s="139"/>
      <c r="EML109" s="139"/>
      <c r="EMM109" s="139"/>
      <c r="EMN109" s="139"/>
      <c r="EMO109" s="139"/>
      <c r="EMP109" s="139"/>
      <c r="EMQ109" s="139"/>
      <c r="EMR109" s="139"/>
      <c r="EMS109" s="139"/>
      <c r="EMT109" s="139"/>
      <c r="EMU109" s="139"/>
      <c r="EMV109" s="139"/>
      <c r="EMW109" s="139"/>
      <c r="EMX109" s="139"/>
      <c r="EMY109" s="139"/>
      <c r="EMZ109" s="139"/>
      <c r="ENA109" s="139"/>
      <c r="ENB109" s="139"/>
      <c r="ENC109" s="139"/>
      <c r="END109" s="139"/>
      <c r="ENE109" s="139"/>
      <c r="ENF109" s="139"/>
      <c r="ENG109" s="139"/>
      <c r="ENH109" s="139"/>
      <c r="ENI109" s="139"/>
      <c r="ENJ109" s="139"/>
      <c r="ENK109" s="139"/>
      <c r="ENL109" s="139"/>
      <c r="ENM109" s="139"/>
      <c r="ENN109" s="139"/>
      <c r="ENO109" s="139"/>
      <c r="ENP109" s="139"/>
      <c r="ENQ109" s="139"/>
      <c r="ENR109" s="139"/>
      <c r="ENS109" s="139"/>
      <c r="ENT109" s="139"/>
      <c r="ENU109" s="139"/>
      <c r="ENV109" s="139"/>
      <c r="ENW109" s="139"/>
      <c r="ENX109" s="139"/>
      <c r="ENY109" s="139"/>
      <c r="ENZ109" s="139"/>
      <c r="EOA109" s="139"/>
      <c r="EOB109" s="139"/>
      <c r="EOC109" s="139"/>
      <c r="EOD109" s="139"/>
      <c r="EOE109" s="139"/>
      <c r="EOF109" s="139"/>
      <c r="EOG109" s="139"/>
      <c r="EOH109" s="139"/>
      <c r="EOI109" s="139"/>
      <c r="EOJ109" s="139"/>
      <c r="EOK109" s="139"/>
      <c r="EOL109" s="139"/>
      <c r="EOM109" s="139"/>
      <c r="EON109" s="139"/>
      <c r="EOO109" s="139"/>
      <c r="EOP109" s="139"/>
      <c r="EOQ109" s="139"/>
      <c r="EOR109" s="139"/>
      <c r="EOS109" s="139"/>
      <c r="EOT109" s="139"/>
      <c r="EOU109" s="139"/>
      <c r="EOV109" s="139"/>
      <c r="EOW109" s="139"/>
      <c r="EOX109" s="139"/>
      <c r="EOY109" s="139"/>
      <c r="EOZ109" s="139"/>
      <c r="EPA109" s="139"/>
      <c r="EPB109" s="139"/>
      <c r="EPC109" s="139"/>
      <c r="EPD109" s="139"/>
      <c r="EPE109" s="139"/>
      <c r="EPF109" s="139"/>
      <c r="EPG109" s="139"/>
      <c r="EPH109" s="139"/>
      <c r="EPI109" s="139"/>
      <c r="EPJ109" s="139"/>
      <c r="EPK109" s="139"/>
      <c r="EPL109" s="139"/>
      <c r="EPM109" s="139"/>
      <c r="EPN109" s="139"/>
      <c r="EPO109" s="139"/>
      <c r="EPP109" s="139"/>
      <c r="EPQ109" s="139"/>
      <c r="EPR109" s="139"/>
      <c r="EPS109" s="139"/>
      <c r="EPT109" s="139"/>
      <c r="EPU109" s="139"/>
      <c r="EPV109" s="139"/>
      <c r="EPW109" s="139"/>
      <c r="EPX109" s="139"/>
      <c r="EPY109" s="139"/>
      <c r="EPZ109" s="139"/>
      <c r="EQA109" s="139"/>
      <c r="EQB109" s="139"/>
      <c r="EQC109" s="139"/>
      <c r="EQD109" s="139"/>
      <c r="EQE109" s="139"/>
      <c r="EQF109" s="139"/>
      <c r="EQG109" s="139"/>
      <c r="EQH109" s="139"/>
      <c r="EQI109" s="139"/>
      <c r="EQJ109" s="139"/>
      <c r="EQK109" s="139"/>
      <c r="EQL109" s="139"/>
      <c r="EQM109" s="139"/>
      <c r="EQN109" s="139"/>
      <c r="EQO109" s="139"/>
      <c r="EQP109" s="139"/>
      <c r="EQQ109" s="139"/>
      <c r="EQR109" s="139"/>
      <c r="EQS109" s="139"/>
      <c r="EQT109" s="139"/>
      <c r="EQU109" s="139"/>
      <c r="EQV109" s="139"/>
      <c r="EQW109" s="139"/>
      <c r="EQX109" s="139"/>
      <c r="EQY109" s="139"/>
      <c r="EQZ109" s="139"/>
      <c r="ERA109" s="139"/>
      <c r="ERB109" s="139"/>
      <c r="ERC109" s="139"/>
      <c r="ERD109" s="139"/>
      <c r="ERE109" s="139"/>
      <c r="ERF109" s="139"/>
      <c r="ERG109" s="139"/>
      <c r="ERH109" s="139"/>
      <c r="ERI109" s="139"/>
      <c r="ERJ109" s="139"/>
      <c r="ERK109" s="139"/>
      <c r="ERL109" s="139"/>
      <c r="ERM109" s="139"/>
      <c r="ERN109" s="139"/>
      <c r="ERO109" s="139"/>
      <c r="ERP109" s="139"/>
      <c r="ERQ109" s="139"/>
      <c r="ERR109" s="139"/>
      <c r="ERS109" s="139"/>
      <c r="ERT109" s="139"/>
      <c r="ERU109" s="139"/>
      <c r="ERV109" s="139"/>
      <c r="ERW109" s="139"/>
      <c r="ERX109" s="139"/>
      <c r="ERY109" s="139"/>
      <c r="ERZ109" s="139"/>
      <c r="ESA109" s="139"/>
      <c r="ESB109" s="139"/>
      <c r="ESC109" s="139"/>
      <c r="ESD109" s="139"/>
      <c r="ESE109" s="139"/>
      <c r="ESF109" s="139"/>
      <c r="ESG109" s="139"/>
      <c r="ESH109" s="139"/>
      <c r="ESI109" s="139"/>
      <c r="ESJ109" s="139"/>
      <c r="ESK109" s="139"/>
      <c r="ESL109" s="139"/>
      <c r="ESM109" s="139"/>
      <c r="ESN109" s="139"/>
      <c r="ESO109" s="139"/>
      <c r="ESP109" s="139"/>
      <c r="ESQ109" s="139"/>
      <c r="ESR109" s="139"/>
      <c r="ESS109" s="139"/>
      <c r="EST109" s="139"/>
      <c r="ESU109" s="139"/>
      <c r="ESV109" s="139"/>
      <c r="ESW109" s="139"/>
      <c r="ESX109" s="139"/>
      <c r="ESY109" s="139"/>
      <c r="ESZ109" s="139"/>
      <c r="ETA109" s="139"/>
      <c r="ETB109" s="139"/>
      <c r="ETC109" s="139"/>
      <c r="ETD109" s="139"/>
      <c r="ETE109" s="139"/>
      <c r="ETF109" s="139"/>
      <c r="ETG109" s="139"/>
      <c r="ETH109" s="139"/>
      <c r="ETI109" s="139"/>
      <c r="ETJ109" s="139"/>
      <c r="ETK109" s="139"/>
      <c r="ETL109" s="139"/>
      <c r="ETM109" s="139"/>
      <c r="ETN109" s="139"/>
      <c r="ETO109" s="139"/>
      <c r="ETP109" s="139"/>
      <c r="ETQ109" s="139"/>
      <c r="ETR109" s="139"/>
      <c r="ETS109" s="139"/>
      <c r="ETT109" s="139"/>
      <c r="ETU109" s="139"/>
      <c r="ETV109" s="139"/>
      <c r="ETW109" s="139"/>
      <c r="ETX109" s="139"/>
      <c r="ETY109" s="139"/>
      <c r="ETZ109" s="139"/>
      <c r="EUA109" s="139"/>
      <c r="EUB109" s="139"/>
      <c r="EUC109" s="139"/>
      <c r="EUD109" s="139"/>
      <c r="EUE109" s="139"/>
      <c r="EUF109" s="139"/>
      <c r="EUG109" s="139"/>
      <c r="EUH109" s="139"/>
      <c r="EUI109" s="139"/>
      <c r="EUJ109" s="139"/>
      <c r="EUK109" s="139"/>
      <c r="EUL109" s="139"/>
      <c r="EUM109" s="139"/>
      <c r="EUN109" s="139"/>
      <c r="EUO109" s="139"/>
      <c r="EUP109" s="139"/>
      <c r="EUQ109" s="139"/>
      <c r="EUR109" s="139"/>
      <c r="EUS109" s="139"/>
      <c r="EUT109" s="139"/>
      <c r="EUU109" s="139"/>
      <c r="EUV109" s="139"/>
      <c r="EUW109" s="139"/>
      <c r="EUX109" s="139"/>
      <c r="EUY109" s="139"/>
      <c r="EUZ109" s="139"/>
      <c r="EVA109" s="139"/>
      <c r="EVB109" s="139"/>
      <c r="EVC109" s="139"/>
      <c r="EVD109" s="139"/>
      <c r="EVE109" s="139"/>
      <c r="EVF109" s="139"/>
      <c r="EVG109" s="139"/>
      <c r="EVH109" s="139"/>
      <c r="EVI109" s="139"/>
      <c r="EVJ109" s="139"/>
      <c r="EVK109" s="139"/>
      <c r="EVL109" s="139"/>
      <c r="EVM109" s="139"/>
      <c r="EVN109" s="139"/>
      <c r="EVO109" s="139"/>
      <c r="EVP109" s="139"/>
      <c r="EVQ109" s="139"/>
      <c r="EVR109" s="139"/>
      <c r="EVS109" s="139"/>
      <c r="EVT109" s="139"/>
      <c r="EVU109" s="139"/>
      <c r="EVV109" s="139"/>
      <c r="EVW109" s="139"/>
      <c r="EVX109" s="139"/>
      <c r="EVY109" s="139"/>
      <c r="EVZ109" s="139"/>
      <c r="EWA109" s="139"/>
      <c r="EWB109" s="139"/>
      <c r="EWC109" s="139"/>
      <c r="EWD109" s="139"/>
      <c r="EWE109" s="139"/>
      <c r="EWF109" s="139"/>
      <c r="EWG109" s="139"/>
      <c r="EWH109" s="139"/>
      <c r="EWI109" s="139"/>
      <c r="EWJ109" s="139"/>
      <c r="EWK109" s="139"/>
      <c r="EWL109" s="139"/>
      <c r="EWM109" s="139"/>
      <c r="EWN109" s="139"/>
      <c r="EWO109" s="139"/>
      <c r="EWP109" s="139"/>
      <c r="EWQ109" s="139"/>
      <c r="EWR109" s="139"/>
      <c r="EWS109" s="139"/>
      <c r="EWT109" s="139"/>
      <c r="EWU109" s="139"/>
      <c r="EWV109" s="139"/>
      <c r="EWW109" s="139"/>
      <c r="EWX109" s="139"/>
      <c r="EWY109" s="139"/>
      <c r="EWZ109" s="139"/>
      <c r="EXA109" s="139"/>
      <c r="EXB109" s="139"/>
      <c r="EXC109" s="139"/>
      <c r="EXD109" s="139"/>
      <c r="EXE109" s="139"/>
      <c r="EXF109" s="139"/>
      <c r="EXG109" s="139"/>
      <c r="EXH109" s="139"/>
      <c r="EXI109" s="139"/>
      <c r="EXJ109" s="139"/>
      <c r="EXK109" s="139"/>
      <c r="EXL109" s="139"/>
      <c r="EXM109" s="139"/>
      <c r="EXN109" s="139"/>
      <c r="EXO109" s="139"/>
      <c r="EXP109" s="139"/>
      <c r="EXQ109" s="139"/>
      <c r="EXR109" s="139"/>
      <c r="EXS109" s="139"/>
      <c r="EXT109" s="139"/>
      <c r="EXU109" s="139"/>
      <c r="EXV109" s="139"/>
      <c r="EXW109" s="139"/>
      <c r="EXX109" s="139"/>
      <c r="EXY109" s="139"/>
      <c r="EXZ109" s="139"/>
      <c r="EYA109" s="139"/>
      <c r="EYB109" s="139"/>
      <c r="EYC109" s="139"/>
      <c r="EYD109" s="139"/>
      <c r="EYE109" s="139"/>
      <c r="EYF109" s="139"/>
      <c r="EYG109" s="139"/>
      <c r="EYH109" s="139"/>
      <c r="EYI109" s="139"/>
      <c r="EYJ109" s="139"/>
      <c r="EYK109" s="139"/>
      <c r="EYL109" s="139"/>
      <c r="EYM109" s="139"/>
      <c r="EYN109" s="139"/>
      <c r="EYO109" s="139"/>
      <c r="EYP109" s="139"/>
      <c r="EYQ109" s="139"/>
      <c r="EYR109" s="139"/>
      <c r="EYS109" s="139"/>
      <c r="EYT109" s="139"/>
      <c r="EYU109" s="139"/>
      <c r="EYV109" s="139"/>
      <c r="EYW109" s="139"/>
      <c r="EYX109" s="139"/>
      <c r="EYY109" s="139"/>
      <c r="EYZ109" s="139"/>
      <c r="EZA109" s="139"/>
      <c r="EZB109" s="139"/>
      <c r="EZC109" s="139"/>
      <c r="EZD109" s="139"/>
      <c r="EZE109" s="139"/>
      <c r="EZF109" s="139"/>
      <c r="EZG109" s="139"/>
      <c r="EZH109" s="139"/>
      <c r="EZI109" s="139"/>
      <c r="EZJ109" s="139"/>
      <c r="EZK109" s="139"/>
      <c r="EZL109" s="139"/>
      <c r="EZM109" s="139"/>
      <c r="EZN109" s="139"/>
      <c r="EZO109" s="139"/>
      <c r="EZP109" s="139"/>
      <c r="EZQ109" s="139"/>
      <c r="EZR109" s="139"/>
      <c r="EZS109" s="139"/>
      <c r="EZT109" s="139"/>
      <c r="EZU109" s="139"/>
      <c r="EZV109" s="139"/>
      <c r="EZW109" s="139"/>
      <c r="EZX109" s="139"/>
      <c r="EZY109" s="139"/>
      <c r="EZZ109" s="139"/>
      <c r="FAA109" s="139"/>
      <c r="FAB109" s="139"/>
      <c r="FAC109" s="139"/>
      <c r="FAD109" s="139"/>
      <c r="FAE109" s="139"/>
      <c r="FAF109" s="139"/>
      <c r="FAG109" s="139"/>
      <c r="FAH109" s="139"/>
      <c r="FAI109" s="139"/>
      <c r="FAJ109" s="139"/>
      <c r="FAK109" s="139"/>
      <c r="FAL109" s="139"/>
      <c r="FAM109" s="139"/>
      <c r="FAN109" s="139"/>
      <c r="FAO109" s="139"/>
      <c r="FAP109" s="139"/>
      <c r="FAQ109" s="139"/>
      <c r="FAR109" s="139"/>
      <c r="FAS109" s="139"/>
      <c r="FAT109" s="139"/>
      <c r="FAU109" s="139"/>
      <c r="FAV109" s="139"/>
      <c r="FAW109" s="139"/>
      <c r="FAX109" s="139"/>
      <c r="FAY109" s="139"/>
      <c r="FAZ109" s="139"/>
      <c r="FBA109" s="139"/>
      <c r="FBB109" s="139"/>
      <c r="FBC109" s="139"/>
      <c r="FBD109" s="139"/>
      <c r="FBE109" s="139"/>
      <c r="FBF109" s="139"/>
      <c r="FBG109" s="139"/>
      <c r="FBH109" s="139"/>
      <c r="FBI109" s="139"/>
      <c r="FBJ109" s="139"/>
      <c r="FBK109" s="139"/>
      <c r="FBL109" s="139"/>
      <c r="FBM109" s="139"/>
      <c r="FBN109" s="139"/>
      <c r="FBO109" s="139"/>
      <c r="FBP109" s="139"/>
      <c r="FBQ109" s="139"/>
      <c r="FBR109" s="139"/>
      <c r="FBS109" s="139"/>
      <c r="FBT109" s="139"/>
      <c r="FBU109" s="139"/>
      <c r="FBV109" s="139"/>
      <c r="FBW109" s="139"/>
      <c r="FBX109" s="139"/>
      <c r="FBY109" s="139"/>
      <c r="FBZ109" s="139"/>
      <c r="FCA109" s="139"/>
      <c r="FCB109" s="139"/>
      <c r="FCC109" s="139"/>
      <c r="FCD109" s="139"/>
      <c r="FCE109" s="139"/>
      <c r="FCF109" s="139"/>
      <c r="FCG109" s="139"/>
      <c r="FCH109" s="139"/>
      <c r="FCI109" s="139"/>
      <c r="FCJ109" s="139"/>
      <c r="FCK109" s="139"/>
      <c r="FCL109" s="139"/>
      <c r="FCM109" s="139"/>
      <c r="FCN109" s="139"/>
      <c r="FCO109" s="139"/>
      <c r="FCP109" s="139"/>
      <c r="FCQ109" s="139"/>
      <c r="FCR109" s="139"/>
      <c r="FCS109" s="139"/>
      <c r="FCT109" s="139"/>
      <c r="FCU109" s="139"/>
      <c r="FCV109" s="139"/>
      <c r="FCW109" s="139"/>
      <c r="FCX109" s="139"/>
      <c r="FCY109" s="139"/>
      <c r="FCZ109" s="139"/>
      <c r="FDA109" s="139"/>
      <c r="FDB109" s="139"/>
      <c r="FDC109" s="139"/>
      <c r="FDD109" s="139"/>
      <c r="FDE109" s="139"/>
      <c r="FDF109" s="139"/>
      <c r="FDG109" s="139"/>
      <c r="FDH109" s="139"/>
      <c r="FDI109" s="139"/>
      <c r="FDJ109" s="139"/>
      <c r="FDK109" s="139"/>
      <c r="FDL109" s="139"/>
      <c r="FDM109" s="139"/>
      <c r="FDN109" s="139"/>
      <c r="FDO109" s="139"/>
      <c r="FDP109" s="139"/>
      <c r="FDQ109" s="139"/>
      <c r="FDR109" s="139"/>
      <c r="FDS109" s="139"/>
      <c r="FDT109" s="139"/>
      <c r="FDU109" s="139"/>
      <c r="FDV109" s="139"/>
      <c r="FDW109" s="139"/>
      <c r="FDX109" s="139"/>
      <c r="FDY109" s="139"/>
      <c r="FDZ109" s="139"/>
      <c r="FEA109" s="139"/>
      <c r="FEB109" s="139"/>
      <c r="FEC109" s="139"/>
      <c r="FED109" s="139"/>
      <c r="FEE109" s="139"/>
      <c r="FEF109" s="139"/>
      <c r="FEG109" s="139"/>
      <c r="FEH109" s="139"/>
      <c r="FEI109" s="139"/>
      <c r="FEJ109" s="139"/>
      <c r="FEK109" s="139"/>
      <c r="FEL109" s="139"/>
      <c r="FEM109" s="139"/>
      <c r="FEN109" s="139"/>
      <c r="FEO109" s="139"/>
      <c r="FEP109" s="139"/>
      <c r="FEQ109" s="139"/>
      <c r="FER109" s="139"/>
      <c r="FES109" s="139"/>
      <c r="FET109" s="139"/>
      <c r="FEU109" s="139"/>
      <c r="FEV109" s="139"/>
      <c r="FEW109" s="139"/>
      <c r="FEX109" s="139"/>
      <c r="FEY109" s="139"/>
      <c r="FEZ109" s="139"/>
      <c r="FFA109" s="139"/>
      <c r="FFB109" s="139"/>
      <c r="FFC109" s="139"/>
      <c r="FFD109" s="139"/>
      <c r="FFE109" s="139"/>
      <c r="FFF109" s="139"/>
      <c r="FFG109" s="139"/>
      <c r="FFH109" s="139"/>
      <c r="FFI109" s="139"/>
      <c r="FFJ109" s="139"/>
      <c r="FFK109" s="139"/>
      <c r="FFL109" s="139"/>
      <c r="FFM109" s="139"/>
      <c r="FFN109" s="139"/>
      <c r="FFO109" s="139"/>
      <c r="FFP109" s="139"/>
      <c r="FFQ109" s="139"/>
      <c r="FFR109" s="139"/>
      <c r="FFS109" s="139"/>
      <c r="FFT109" s="139"/>
      <c r="FFU109" s="139"/>
      <c r="FFV109" s="139"/>
      <c r="FFW109" s="139"/>
      <c r="FFX109" s="139"/>
      <c r="FFY109" s="139"/>
      <c r="FFZ109" s="139"/>
      <c r="FGA109" s="139"/>
      <c r="FGB109" s="139"/>
      <c r="FGC109" s="139"/>
      <c r="FGD109" s="139"/>
      <c r="FGE109" s="139"/>
      <c r="FGF109" s="139"/>
      <c r="FGG109" s="139"/>
      <c r="FGH109" s="139"/>
      <c r="FGI109" s="139"/>
      <c r="FGJ109" s="139"/>
      <c r="FGK109" s="139"/>
      <c r="FGL109" s="139"/>
      <c r="FGM109" s="139"/>
      <c r="FGN109" s="139"/>
      <c r="FGO109" s="139"/>
      <c r="FGP109" s="139"/>
      <c r="FGQ109" s="139"/>
      <c r="FGR109" s="139"/>
      <c r="FGS109" s="139"/>
      <c r="FGT109" s="139"/>
      <c r="FGU109" s="139"/>
      <c r="FGV109" s="139"/>
      <c r="FGW109" s="139"/>
      <c r="FGX109" s="139"/>
      <c r="FGY109" s="139"/>
      <c r="FGZ109" s="139"/>
      <c r="FHA109" s="139"/>
      <c r="FHB109" s="139"/>
      <c r="FHC109" s="139"/>
      <c r="FHD109" s="139"/>
      <c r="FHE109" s="139"/>
      <c r="FHF109" s="139"/>
      <c r="FHG109" s="139"/>
      <c r="FHH109" s="139"/>
      <c r="FHI109" s="139"/>
      <c r="FHJ109" s="139"/>
      <c r="FHK109" s="139"/>
      <c r="FHL109" s="139"/>
      <c r="FHM109" s="139"/>
      <c r="FHN109" s="139"/>
      <c r="FHO109" s="139"/>
      <c r="FHP109" s="139"/>
      <c r="FHQ109" s="139"/>
      <c r="FHR109" s="139"/>
      <c r="FHS109" s="139"/>
      <c r="FHT109" s="139"/>
      <c r="FHU109" s="139"/>
      <c r="FHV109" s="139"/>
      <c r="FHW109" s="139"/>
      <c r="FHX109" s="139"/>
      <c r="FHY109" s="139"/>
      <c r="FHZ109" s="139"/>
      <c r="FIA109" s="139"/>
      <c r="FIB109" s="139"/>
      <c r="FIC109" s="139"/>
      <c r="FID109" s="139"/>
      <c r="FIE109" s="139"/>
      <c r="FIF109" s="139"/>
      <c r="FIG109" s="139"/>
      <c r="FIH109" s="139"/>
      <c r="FII109" s="139"/>
      <c r="FIJ109" s="139"/>
      <c r="FIK109" s="139"/>
      <c r="FIL109" s="139"/>
      <c r="FIM109" s="139"/>
      <c r="FIN109" s="139"/>
      <c r="FIO109" s="139"/>
      <c r="FIP109" s="139"/>
      <c r="FIQ109" s="139"/>
      <c r="FIR109" s="139"/>
      <c r="FIS109" s="139"/>
      <c r="FIT109" s="139"/>
      <c r="FIU109" s="139"/>
      <c r="FIV109" s="139"/>
      <c r="FIW109" s="139"/>
      <c r="FIX109" s="139"/>
      <c r="FIY109" s="139"/>
      <c r="FIZ109" s="139"/>
      <c r="FJA109" s="139"/>
      <c r="FJB109" s="139"/>
      <c r="FJC109" s="139"/>
      <c r="FJD109" s="139"/>
      <c r="FJE109" s="139"/>
      <c r="FJF109" s="139"/>
      <c r="FJG109" s="139"/>
      <c r="FJH109" s="139"/>
      <c r="FJI109" s="139"/>
      <c r="FJJ109" s="139"/>
      <c r="FJK109" s="139"/>
      <c r="FJL109" s="139"/>
      <c r="FJM109" s="139"/>
      <c r="FJN109" s="139"/>
      <c r="FJO109" s="139"/>
      <c r="FJP109" s="139"/>
      <c r="FJQ109" s="139"/>
      <c r="FJR109" s="139"/>
      <c r="FJS109" s="139"/>
      <c r="FJT109" s="139"/>
      <c r="FJU109" s="139"/>
      <c r="FJV109" s="139"/>
      <c r="FJW109" s="139"/>
      <c r="FJX109" s="139"/>
      <c r="FJY109" s="139"/>
      <c r="FJZ109" s="139"/>
      <c r="FKA109" s="139"/>
      <c r="FKB109" s="139"/>
      <c r="FKC109" s="139"/>
      <c r="FKD109" s="139"/>
      <c r="FKE109" s="139"/>
      <c r="FKF109" s="139"/>
      <c r="FKG109" s="139"/>
      <c r="FKH109" s="139"/>
      <c r="FKI109" s="139"/>
      <c r="FKJ109" s="139"/>
      <c r="FKK109" s="139"/>
      <c r="FKL109" s="139"/>
      <c r="FKM109" s="139"/>
      <c r="FKN109" s="139"/>
      <c r="FKO109" s="139"/>
      <c r="FKP109" s="139"/>
      <c r="FKQ109" s="139"/>
      <c r="FKR109" s="139"/>
      <c r="FKS109" s="139"/>
      <c r="FKT109" s="139"/>
      <c r="FKU109" s="139"/>
      <c r="FKV109" s="139"/>
      <c r="FKW109" s="139"/>
      <c r="FKX109" s="139"/>
      <c r="FKY109" s="139"/>
      <c r="FKZ109" s="139"/>
      <c r="FLA109" s="139"/>
      <c r="FLB109" s="139"/>
      <c r="FLC109" s="139"/>
      <c r="FLD109" s="139"/>
      <c r="FLE109" s="139"/>
      <c r="FLF109" s="139"/>
      <c r="FLG109" s="139"/>
      <c r="FLH109" s="139"/>
      <c r="FLI109" s="139"/>
      <c r="FLJ109" s="139"/>
      <c r="FLK109" s="139"/>
      <c r="FLL109" s="139"/>
      <c r="FLM109" s="139"/>
      <c r="FLN109" s="139"/>
      <c r="FLO109" s="139"/>
      <c r="FLP109" s="139"/>
      <c r="FLQ109" s="139"/>
      <c r="FLR109" s="139"/>
      <c r="FLS109" s="139"/>
      <c r="FLT109" s="139"/>
      <c r="FLU109" s="139"/>
      <c r="FLV109" s="139"/>
      <c r="FLW109" s="139"/>
      <c r="FLX109" s="139"/>
      <c r="FLY109" s="139"/>
      <c r="FLZ109" s="139"/>
      <c r="FMA109" s="139"/>
      <c r="FMB109" s="139"/>
      <c r="FMC109" s="139"/>
      <c r="FMD109" s="139"/>
      <c r="FME109" s="139"/>
      <c r="FMF109" s="139"/>
      <c r="FMG109" s="139"/>
      <c r="FMH109" s="139"/>
      <c r="FMI109" s="139"/>
      <c r="FMJ109" s="139"/>
      <c r="FMK109" s="139"/>
      <c r="FML109" s="139"/>
      <c r="FMM109" s="139"/>
      <c r="FMN109" s="139"/>
      <c r="FMO109" s="139"/>
      <c r="FMP109" s="139"/>
      <c r="FMQ109" s="139"/>
      <c r="FMR109" s="139"/>
      <c r="FMS109" s="139"/>
      <c r="FMT109" s="139"/>
      <c r="FMU109" s="139"/>
      <c r="FMV109" s="139"/>
      <c r="FMW109" s="139"/>
      <c r="FMX109" s="139"/>
      <c r="FMY109" s="139"/>
      <c r="FMZ109" s="139"/>
      <c r="FNA109" s="139"/>
      <c r="FNB109" s="139"/>
      <c r="FNC109" s="139"/>
      <c r="FND109" s="139"/>
      <c r="FNE109" s="139"/>
      <c r="FNF109" s="139"/>
      <c r="FNG109" s="139"/>
      <c r="FNH109" s="139"/>
      <c r="FNI109" s="139"/>
      <c r="FNJ109" s="139"/>
      <c r="FNK109" s="139"/>
      <c r="FNL109" s="139"/>
      <c r="FNM109" s="139"/>
      <c r="FNN109" s="139"/>
      <c r="FNO109" s="139"/>
      <c r="FNP109" s="139"/>
      <c r="FNQ109" s="139"/>
      <c r="FNR109" s="139"/>
      <c r="FNS109" s="139"/>
      <c r="FNT109" s="139"/>
      <c r="FNU109" s="139"/>
      <c r="FNV109" s="139"/>
      <c r="FNW109" s="139"/>
      <c r="FNX109" s="139"/>
      <c r="FNY109" s="139"/>
      <c r="FNZ109" s="139"/>
      <c r="FOA109" s="139"/>
      <c r="FOB109" s="139"/>
      <c r="FOC109" s="139"/>
      <c r="FOD109" s="139"/>
      <c r="FOE109" s="139"/>
      <c r="FOF109" s="139"/>
      <c r="FOG109" s="139"/>
      <c r="FOH109" s="139"/>
      <c r="FOI109" s="139"/>
      <c r="FOJ109" s="139"/>
      <c r="FOK109" s="139"/>
      <c r="FOL109" s="139"/>
      <c r="FOM109" s="139"/>
      <c r="FON109" s="139"/>
      <c r="FOO109" s="139"/>
      <c r="FOP109" s="139"/>
      <c r="FOQ109" s="139"/>
      <c r="FOR109" s="139"/>
      <c r="FOS109" s="139"/>
      <c r="FOT109" s="139"/>
      <c r="FOU109" s="139"/>
      <c r="FOV109" s="139"/>
      <c r="FOW109" s="139"/>
      <c r="FOX109" s="139"/>
      <c r="FOY109" s="139"/>
      <c r="FOZ109" s="139"/>
      <c r="FPA109" s="139"/>
      <c r="FPB109" s="139"/>
      <c r="FPC109" s="139"/>
      <c r="FPD109" s="139"/>
      <c r="FPE109" s="139"/>
      <c r="FPF109" s="139"/>
      <c r="FPG109" s="139"/>
      <c r="FPH109" s="139"/>
      <c r="FPI109" s="139"/>
      <c r="FPJ109" s="139"/>
      <c r="FPK109" s="139"/>
      <c r="FPL109" s="139"/>
      <c r="FPM109" s="139"/>
      <c r="FPN109" s="139"/>
      <c r="FPO109" s="139"/>
      <c r="FPP109" s="139"/>
      <c r="FPQ109" s="139"/>
      <c r="FPR109" s="139"/>
      <c r="FPS109" s="139"/>
      <c r="FPT109" s="139"/>
      <c r="FPU109" s="139"/>
      <c r="FPV109" s="139"/>
      <c r="FPW109" s="139"/>
      <c r="FPX109" s="139"/>
      <c r="FPY109" s="139"/>
      <c r="FPZ109" s="139"/>
      <c r="FQA109" s="139"/>
      <c r="FQB109" s="139"/>
      <c r="FQC109" s="139"/>
      <c r="FQD109" s="139"/>
      <c r="FQE109" s="139"/>
      <c r="FQF109" s="139"/>
      <c r="FQG109" s="139"/>
      <c r="FQH109" s="139"/>
      <c r="FQI109" s="139"/>
      <c r="FQJ109" s="139"/>
      <c r="FQK109" s="139"/>
      <c r="FQL109" s="139"/>
      <c r="FQM109" s="139"/>
      <c r="FQN109" s="139"/>
      <c r="FQO109" s="139"/>
      <c r="FQP109" s="139"/>
      <c r="FQQ109" s="139"/>
      <c r="FQR109" s="139"/>
      <c r="FQS109" s="139"/>
      <c r="FQT109" s="139"/>
      <c r="FQU109" s="139"/>
      <c r="FQV109" s="139"/>
      <c r="FQW109" s="139"/>
      <c r="FQX109" s="139"/>
      <c r="FQY109" s="139"/>
      <c r="FQZ109" s="139"/>
      <c r="FRA109" s="139"/>
      <c r="FRB109" s="139"/>
      <c r="FRC109" s="139"/>
      <c r="FRD109" s="139"/>
      <c r="FRE109" s="139"/>
      <c r="FRF109" s="139"/>
      <c r="FRG109" s="139"/>
      <c r="FRH109" s="139"/>
      <c r="FRI109" s="139"/>
      <c r="FRJ109" s="139"/>
      <c r="FRK109" s="139"/>
      <c r="FRL109" s="139"/>
      <c r="FRM109" s="139"/>
      <c r="FRN109" s="139"/>
      <c r="FRO109" s="139"/>
      <c r="FRP109" s="139"/>
      <c r="FRQ109" s="139"/>
      <c r="FRR109" s="139"/>
      <c r="FRS109" s="139"/>
      <c r="FRT109" s="139"/>
      <c r="FRU109" s="139"/>
      <c r="FRV109" s="139"/>
      <c r="FRW109" s="139"/>
      <c r="FRX109" s="139"/>
      <c r="FRY109" s="139"/>
      <c r="FRZ109" s="139"/>
      <c r="FSA109" s="139"/>
      <c r="FSB109" s="139"/>
      <c r="FSC109" s="139"/>
      <c r="FSD109" s="139"/>
      <c r="FSE109" s="139"/>
      <c r="FSF109" s="139"/>
      <c r="FSG109" s="139"/>
      <c r="FSH109" s="139"/>
      <c r="FSI109" s="139"/>
      <c r="FSJ109" s="139"/>
      <c r="FSK109" s="139"/>
      <c r="FSL109" s="139"/>
      <c r="FSM109" s="139"/>
      <c r="FSN109" s="139"/>
      <c r="FSO109" s="139"/>
      <c r="FSP109" s="139"/>
      <c r="FSQ109" s="139"/>
      <c r="FSR109" s="139"/>
      <c r="FSS109" s="139"/>
      <c r="FST109" s="139"/>
      <c r="FSU109" s="139"/>
      <c r="FSV109" s="139"/>
      <c r="FSW109" s="139"/>
      <c r="FSX109" s="139"/>
      <c r="FSY109" s="139"/>
      <c r="FSZ109" s="139"/>
      <c r="FTA109" s="139"/>
      <c r="FTB109" s="139"/>
      <c r="FTC109" s="139"/>
      <c r="FTD109" s="139"/>
      <c r="FTE109" s="139"/>
      <c r="FTF109" s="139"/>
      <c r="FTG109" s="139"/>
      <c r="FTH109" s="139"/>
      <c r="FTI109" s="139"/>
      <c r="FTJ109" s="139"/>
      <c r="FTK109" s="139"/>
      <c r="FTL109" s="139"/>
      <c r="FTM109" s="139"/>
      <c r="FTN109" s="139"/>
      <c r="FTO109" s="139"/>
      <c r="FTP109" s="139"/>
      <c r="FTQ109" s="139"/>
      <c r="FTR109" s="139"/>
      <c r="FTS109" s="139"/>
      <c r="FTT109" s="139"/>
      <c r="FTU109" s="139"/>
      <c r="FTV109" s="139"/>
      <c r="FTW109" s="139"/>
      <c r="FTX109" s="139"/>
      <c r="FTY109" s="139"/>
      <c r="FTZ109" s="139"/>
      <c r="FUA109" s="139"/>
      <c r="FUB109" s="139"/>
      <c r="FUC109" s="139"/>
      <c r="FUD109" s="139"/>
      <c r="FUE109" s="139"/>
      <c r="FUF109" s="139"/>
      <c r="FUG109" s="139"/>
      <c r="FUH109" s="139"/>
      <c r="FUI109" s="139"/>
      <c r="FUJ109" s="139"/>
      <c r="FUK109" s="139"/>
      <c r="FUL109" s="139"/>
      <c r="FUM109" s="139"/>
      <c r="FUN109" s="139"/>
      <c r="FUO109" s="139"/>
      <c r="FUP109" s="139"/>
      <c r="FUQ109" s="139"/>
      <c r="FUR109" s="139"/>
      <c r="FUS109" s="139"/>
      <c r="FUT109" s="139"/>
      <c r="FUU109" s="139"/>
      <c r="FUV109" s="139"/>
      <c r="FUW109" s="139"/>
      <c r="FUX109" s="139"/>
      <c r="FUY109" s="139"/>
      <c r="FUZ109" s="139"/>
      <c r="FVA109" s="139"/>
      <c r="FVB109" s="139"/>
      <c r="FVC109" s="139"/>
      <c r="FVD109" s="139"/>
      <c r="FVE109" s="139"/>
      <c r="FVF109" s="139"/>
      <c r="FVG109" s="139"/>
      <c r="FVH109" s="139"/>
      <c r="FVI109" s="139"/>
      <c r="FVJ109" s="139"/>
      <c r="FVK109" s="139"/>
      <c r="FVL109" s="139"/>
      <c r="FVM109" s="139"/>
      <c r="FVN109" s="139"/>
      <c r="FVO109" s="139"/>
      <c r="FVP109" s="139"/>
      <c r="FVQ109" s="139"/>
      <c r="FVR109" s="139"/>
      <c r="FVS109" s="139"/>
      <c r="FVT109" s="139"/>
      <c r="FVU109" s="139"/>
      <c r="FVV109" s="139"/>
      <c r="FVW109" s="139"/>
      <c r="FVX109" s="139"/>
      <c r="FVY109" s="139"/>
      <c r="FVZ109" s="139"/>
      <c r="FWA109" s="139"/>
      <c r="FWB109" s="139"/>
      <c r="FWC109" s="139"/>
      <c r="FWD109" s="139"/>
      <c r="FWE109" s="139"/>
      <c r="FWF109" s="139"/>
      <c r="FWG109" s="139"/>
      <c r="FWH109" s="139"/>
      <c r="FWI109" s="139"/>
      <c r="FWJ109" s="139"/>
      <c r="FWK109" s="139"/>
      <c r="FWL109" s="139"/>
      <c r="FWM109" s="139"/>
      <c r="FWN109" s="139"/>
      <c r="FWO109" s="139"/>
      <c r="FWP109" s="139"/>
      <c r="FWQ109" s="139"/>
      <c r="FWR109" s="139"/>
      <c r="FWS109" s="139"/>
      <c r="FWT109" s="139"/>
      <c r="FWU109" s="139"/>
      <c r="FWV109" s="139"/>
      <c r="FWW109" s="139"/>
      <c r="FWX109" s="139"/>
      <c r="FWY109" s="139"/>
      <c r="FWZ109" s="139"/>
      <c r="FXA109" s="139"/>
      <c r="FXB109" s="139"/>
      <c r="FXC109" s="139"/>
      <c r="FXD109" s="139"/>
      <c r="FXE109" s="139"/>
      <c r="FXF109" s="139"/>
      <c r="FXG109" s="139"/>
      <c r="FXH109" s="139"/>
      <c r="FXI109" s="139"/>
      <c r="FXJ109" s="139"/>
      <c r="FXK109" s="139"/>
      <c r="FXL109" s="139"/>
      <c r="FXM109" s="139"/>
      <c r="FXN109" s="139"/>
      <c r="FXO109" s="139"/>
      <c r="FXP109" s="139"/>
      <c r="FXQ109" s="139"/>
      <c r="FXR109" s="139"/>
      <c r="FXS109" s="139"/>
      <c r="FXT109" s="139"/>
      <c r="FXU109" s="139"/>
      <c r="FXV109" s="139"/>
      <c r="FXW109" s="139"/>
      <c r="FXX109" s="139"/>
      <c r="FXY109" s="139"/>
      <c r="FXZ109" s="139"/>
      <c r="FYA109" s="139"/>
      <c r="FYB109" s="139"/>
      <c r="FYC109" s="139"/>
      <c r="FYD109" s="139"/>
      <c r="FYE109" s="139"/>
      <c r="FYF109" s="139"/>
      <c r="FYG109" s="139"/>
      <c r="FYH109" s="139"/>
      <c r="FYI109" s="139"/>
      <c r="FYJ109" s="139"/>
      <c r="FYK109" s="139"/>
      <c r="FYL109" s="139"/>
      <c r="FYM109" s="139"/>
      <c r="FYN109" s="139"/>
      <c r="FYO109" s="139"/>
      <c r="FYP109" s="139"/>
      <c r="FYQ109" s="139"/>
      <c r="FYR109" s="139"/>
      <c r="FYS109" s="139"/>
      <c r="FYT109" s="139"/>
      <c r="FYU109" s="139"/>
      <c r="FYV109" s="139"/>
      <c r="FYW109" s="139"/>
      <c r="FYX109" s="139"/>
      <c r="FYY109" s="139"/>
      <c r="FYZ109" s="139"/>
      <c r="FZA109" s="139"/>
      <c r="FZB109" s="139"/>
      <c r="FZC109" s="139"/>
      <c r="FZD109" s="139"/>
      <c r="FZE109" s="139"/>
      <c r="FZF109" s="139"/>
      <c r="FZG109" s="139"/>
      <c r="FZH109" s="139"/>
      <c r="FZI109" s="139"/>
      <c r="FZJ109" s="139"/>
      <c r="FZK109" s="139"/>
      <c r="FZL109" s="139"/>
      <c r="FZM109" s="139"/>
      <c r="FZN109" s="139"/>
      <c r="FZO109" s="139"/>
      <c r="FZP109" s="139"/>
      <c r="FZQ109" s="139"/>
      <c r="FZR109" s="139"/>
      <c r="FZS109" s="139"/>
      <c r="FZT109" s="139"/>
      <c r="FZU109" s="139"/>
      <c r="FZV109" s="139"/>
      <c r="FZW109" s="139"/>
      <c r="FZX109" s="139"/>
      <c r="FZY109" s="139"/>
      <c r="FZZ109" s="139"/>
      <c r="GAA109" s="139"/>
      <c r="GAB109" s="139"/>
      <c r="GAC109" s="139"/>
      <c r="GAD109" s="139"/>
      <c r="GAE109" s="139"/>
      <c r="GAF109" s="139"/>
      <c r="GAG109" s="139"/>
      <c r="GAH109" s="139"/>
      <c r="GAI109" s="139"/>
      <c r="GAJ109" s="139"/>
      <c r="GAK109" s="139"/>
      <c r="GAL109" s="139"/>
      <c r="GAM109" s="139"/>
      <c r="GAN109" s="139"/>
      <c r="GAO109" s="139"/>
      <c r="GAP109" s="139"/>
      <c r="GAQ109" s="139"/>
      <c r="GAR109" s="139"/>
      <c r="GAS109" s="139"/>
      <c r="GAT109" s="139"/>
      <c r="GAU109" s="139"/>
      <c r="GAV109" s="139"/>
      <c r="GAW109" s="139"/>
      <c r="GAX109" s="139"/>
      <c r="GAY109" s="139"/>
      <c r="GAZ109" s="139"/>
      <c r="GBA109" s="139"/>
      <c r="GBB109" s="139"/>
      <c r="GBC109" s="139"/>
      <c r="GBD109" s="139"/>
      <c r="GBE109" s="139"/>
      <c r="GBF109" s="139"/>
      <c r="GBG109" s="139"/>
      <c r="GBH109" s="139"/>
      <c r="GBI109" s="139"/>
      <c r="GBJ109" s="139"/>
      <c r="GBK109" s="139"/>
      <c r="GBL109" s="139"/>
      <c r="GBM109" s="139"/>
      <c r="GBN109" s="139"/>
      <c r="GBO109" s="139"/>
      <c r="GBP109" s="139"/>
      <c r="GBQ109" s="139"/>
      <c r="GBR109" s="139"/>
      <c r="GBS109" s="139"/>
      <c r="GBT109" s="139"/>
      <c r="GBU109" s="139"/>
      <c r="GBV109" s="139"/>
      <c r="GBW109" s="139"/>
      <c r="GBX109" s="139"/>
      <c r="GBY109" s="139"/>
      <c r="GBZ109" s="139"/>
      <c r="GCA109" s="139"/>
      <c r="GCB109" s="139"/>
      <c r="GCC109" s="139"/>
      <c r="GCD109" s="139"/>
      <c r="GCE109" s="139"/>
      <c r="GCF109" s="139"/>
      <c r="GCG109" s="139"/>
      <c r="GCH109" s="139"/>
      <c r="GCI109" s="139"/>
      <c r="GCJ109" s="139"/>
      <c r="GCK109" s="139"/>
      <c r="GCL109" s="139"/>
      <c r="GCM109" s="139"/>
      <c r="GCN109" s="139"/>
      <c r="GCO109" s="139"/>
      <c r="GCP109" s="139"/>
      <c r="GCQ109" s="139"/>
      <c r="GCR109" s="139"/>
      <c r="GCS109" s="139"/>
      <c r="GCT109" s="139"/>
      <c r="GCU109" s="139"/>
      <c r="GCV109" s="139"/>
      <c r="GCW109" s="139"/>
      <c r="GCX109" s="139"/>
      <c r="GCY109" s="139"/>
      <c r="GCZ109" s="139"/>
      <c r="GDA109" s="139"/>
      <c r="GDB109" s="139"/>
      <c r="GDC109" s="139"/>
      <c r="GDD109" s="139"/>
      <c r="GDE109" s="139"/>
      <c r="GDF109" s="139"/>
      <c r="GDG109" s="139"/>
      <c r="GDH109" s="139"/>
      <c r="GDI109" s="139"/>
      <c r="GDJ109" s="139"/>
      <c r="GDK109" s="139"/>
      <c r="GDL109" s="139"/>
      <c r="GDM109" s="139"/>
      <c r="GDN109" s="139"/>
      <c r="GDO109" s="139"/>
      <c r="GDP109" s="139"/>
      <c r="GDQ109" s="139"/>
      <c r="GDR109" s="139"/>
      <c r="GDS109" s="139"/>
      <c r="GDT109" s="139"/>
      <c r="GDU109" s="139"/>
      <c r="GDV109" s="139"/>
      <c r="GDW109" s="139"/>
      <c r="GDX109" s="139"/>
      <c r="GDY109" s="139"/>
      <c r="GDZ109" s="139"/>
      <c r="GEA109" s="139"/>
      <c r="GEB109" s="139"/>
      <c r="GEC109" s="139"/>
      <c r="GED109" s="139"/>
      <c r="GEE109" s="139"/>
      <c r="GEF109" s="139"/>
      <c r="GEG109" s="139"/>
      <c r="GEH109" s="139"/>
      <c r="GEI109" s="139"/>
      <c r="GEJ109" s="139"/>
      <c r="GEK109" s="139"/>
      <c r="GEL109" s="139"/>
      <c r="GEM109" s="139"/>
      <c r="GEN109" s="139"/>
      <c r="GEO109" s="139"/>
      <c r="GEP109" s="139"/>
      <c r="GEQ109" s="139"/>
      <c r="GER109" s="139"/>
      <c r="GES109" s="139"/>
      <c r="GET109" s="139"/>
      <c r="GEU109" s="139"/>
      <c r="GEV109" s="139"/>
      <c r="GEW109" s="139"/>
      <c r="GEX109" s="139"/>
      <c r="GEY109" s="139"/>
      <c r="GEZ109" s="139"/>
      <c r="GFA109" s="139"/>
      <c r="GFB109" s="139"/>
      <c r="GFC109" s="139"/>
      <c r="GFD109" s="139"/>
      <c r="GFE109" s="139"/>
      <c r="GFF109" s="139"/>
      <c r="GFG109" s="139"/>
      <c r="GFH109" s="139"/>
      <c r="GFI109" s="139"/>
      <c r="GFJ109" s="139"/>
      <c r="GFK109" s="139"/>
      <c r="GFL109" s="139"/>
      <c r="GFM109" s="139"/>
      <c r="GFN109" s="139"/>
      <c r="GFO109" s="139"/>
      <c r="GFP109" s="139"/>
      <c r="GFQ109" s="139"/>
      <c r="GFR109" s="139"/>
      <c r="GFS109" s="139"/>
      <c r="GFT109" s="139"/>
      <c r="GFU109" s="139"/>
      <c r="GFV109" s="139"/>
      <c r="GFW109" s="139"/>
      <c r="GFX109" s="139"/>
      <c r="GFY109" s="139"/>
      <c r="GFZ109" s="139"/>
      <c r="GGA109" s="139"/>
      <c r="GGB109" s="139"/>
      <c r="GGC109" s="139"/>
      <c r="GGD109" s="139"/>
      <c r="GGE109" s="139"/>
      <c r="GGF109" s="139"/>
      <c r="GGG109" s="139"/>
      <c r="GGH109" s="139"/>
      <c r="GGI109" s="139"/>
      <c r="GGJ109" s="139"/>
      <c r="GGK109" s="139"/>
      <c r="GGL109" s="139"/>
      <c r="GGM109" s="139"/>
      <c r="GGN109" s="139"/>
      <c r="GGO109" s="139"/>
      <c r="GGP109" s="139"/>
      <c r="GGQ109" s="139"/>
      <c r="GGR109" s="139"/>
      <c r="GGS109" s="139"/>
      <c r="GGT109" s="139"/>
      <c r="GGU109" s="139"/>
      <c r="GGV109" s="139"/>
      <c r="GGW109" s="139"/>
      <c r="GGX109" s="139"/>
      <c r="GGY109" s="139"/>
      <c r="GGZ109" s="139"/>
      <c r="GHA109" s="139"/>
      <c r="GHB109" s="139"/>
      <c r="GHC109" s="139"/>
      <c r="GHD109" s="139"/>
      <c r="GHE109" s="139"/>
      <c r="GHF109" s="139"/>
      <c r="GHG109" s="139"/>
      <c r="GHH109" s="139"/>
      <c r="GHI109" s="139"/>
      <c r="GHJ109" s="139"/>
      <c r="GHK109" s="139"/>
      <c r="GHL109" s="139"/>
      <c r="GHM109" s="139"/>
      <c r="GHN109" s="139"/>
      <c r="GHO109" s="139"/>
      <c r="GHP109" s="139"/>
      <c r="GHQ109" s="139"/>
      <c r="GHR109" s="139"/>
      <c r="GHS109" s="139"/>
      <c r="GHT109" s="139"/>
      <c r="GHU109" s="139"/>
      <c r="GHV109" s="139"/>
      <c r="GHW109" s="139"/>
      <c r="GHX109" s="139"/>
      <c r="GHY109" s="139"/>
      <c r="GHZ109" s="139"/>
      <c r="GIA109" s="139"/>
      <c r="GIB109" s="139"/>
      <c r="GIC109" s="139"/>
      <c r="GID109" s="139"/>
      <c r="GIE109" s="139"/>
      <c r="GIF109" s="139"/>
      <c r="GIG109" s="139"/>
      <c r="GIH109" s="139"/>
      <c r="GII109" s="139"/>
      <c r="GIJ109" s="139"/>
      <c r="GIK109" s="139"/>
      <c r="GIL109" s="139"/>
      <c r="GIM109" s="139"/>
      <c r="GIN109" s="139"/>
      <c r="GIO109" s="139"/>
      <c r="GIP109" s="139"/>
      <c r="GIQ109" s="139"/>
      <c r="GIR109" s="139"/>
      <c r="GIS109" s="139"/>
      <c r="GIT109" s="139"/>
      <c r="GIU109" s="139"/>
      <c r="GIV109" s="139"/>
      <c r="GIW109" s="139"/>
      <c r="GIX109" s="139"/>
      <c r="GIY109" s="139"/>
      <c r="GIZ109" s="139"/>
      <c r="GJA109" s="139"/>
      <c r="GJB109" s="139"/>
      <c r="GJC109" s="139"/>
      <c r="GJD109" s="139"/>
      <c r="GJE109" s="139"/>
      <c r="GJF109" s="139"/>
      <c r="GJG109" s="139"/>
      <c r="GJH109" s="139"/>
      <c r="GJI109" s="139"/>
      <c r="GJJ109" s="139"/>
      <c r="GJK109" s="139"/>
      <c r="GJL109" s="139"/>
      <c r="GJM109" s="139"/>
      <c r="GJN109" s="139"/>
      <c r="GJO109" s="139"/>
      <c r="GJP109" s="139"/>
      <c r="GJQ109" s="139"/>
      <c r="GJR109" s="139"/>
      <c r="GJS109" s="139"/>
      <c r="GJT109" s="139"/>
      <c r="GJU109" s="139"/>
      <c r="GJV109" s="139"/>
      <c r="GJW109" s="139"/>
      <c r="GJX109" s="139"/>
      <c r="GJY109" s="139"/>
      <c r="GJZ109" s="139"/>
      <c r="GKA109" s="139"/>
      <c r="GKB109" s="139"/>
      <c r="GKC109" s="139"/>
      <c r="GKD109" s="139"/>
      <c r="GKE109" s="139"/>
      <c r="GKF109" s="139"/>
      <c r="GKG109" s="139"/>
      <c r="GKH109" s="139"/>
      <c r="GKI109" s="139"/>
      <c r="GKJ109" s="139"/>
      <c r="GKK109" s="139"/>
      <c r="GKL109" s="139"/>
      <c r="GKM109" s="139"/>
      <c r="GKN109" s="139"/>
      <c r="GKO109" s="139"/>
      <c r="GKP109" s="139"/>
      <c r="GKQ109" s="139"/>
      <c r="GKR109" s="139"/>
      <c r="GKS109" s="139"/>
      <c r="GKT109" s="139"/>
      <c r="GKU109" s="139"/>
      <c r="GKV109" s="139"/>
      <c r="GKW109" s="139"/>
      <c r="GKX109" s="139"/>
      <c r="GKY109" s="139"/>
      <c r="GKZ109" s="139"/>
      <c r="GLA109" s="139"/>
      <c r="GLB109" s="139"/>
      <c r="GLC109" s="139"/>
      <c r="GLD109" s="139"/>
      <c r="GLE109" s="139"/>
      <c r="GLF109" s="139"/>
      <c r="GLG109" s="139"/>
      <c r="GLH109" s="139"/>
      <c r="GLI109" s="139"/>
      <c r="GLJ109" s="139"/>
      <c r="GLK109" s="139"/>
      <c r="GLL109" s="139"/>
      <c r="GLM109" s="139"/>
      <c r="GLN109" s="139"/>
      <c r="GLO109" s="139"/>
      <c r="GLP109" s="139"/>
      <c r="GLQ109" s="139"/>
      <c r="GLR109" s="139"/>
      <c r="GLS109" s="139"/>
      <c r="GLT109" s="139"/>
      <c r="GLU109" s="139"/>
      <c r="GLV109" s="139"/>
      <c r="GLW109" s="139"/>
      <c r="GLX109" s="139"/>
      <c r="GLY109" s="139"/>
      <c r="GLZ109" s="139"/>
      <c r="GMA109" s="139"/>
      <c r="GMB109" s="139"/>
      <c r="GMC109" s="139"/>
      <c r="GMD109" s="139"/>
      <c r="GME109" s="139"/>
      <c r="GMF109" s="139"/>
      <c r="GMG109" s="139"/>
      <c r="GMH109" s="139"/>
      <c r="GMI109" s="139"/>
      <c r="GMJ109" s="139"/>
      <c r="GMK109" s="139"/>
      <c r="GML109" s="139"/>
      <c r="GMM109" s="139"/>
      <c r="GMN109" s="139"/>
      <c r="GMO109" s="139"/>
      <c r="GMP109" s="139"/>
      <c r="GMQ109" s="139"/>
      <c r="GMR109" s="139"/>
      <c r="GMS109" s="139"/>
      <c r="GMT109" s="139"/>
      <c r="GMU109" s="139"/>
      <c r="GMV109" s="139"/>
      <c r="GMW109" s="139"/>
      <c r="GMX109" s="139"/>
      <c r="GMY109" s="139"/>
      <c r="GMZ109" s="139"/>
      <c r="GNA109" s="139"/>
      <c r="GNB109" s="139"/>
      <c r="GNC109" s="139"/>
      <c r="GND109" s="139"/>
      <c r="GNE109" s="139"/>
      <c r="GNF109" s="139"/>
      <c r="GNG109" s="139"/>
      <c r="GNH109" s="139"/>
      <c r="GNI109" s="139"/>
      <c r="GNJ109" s="139"/>
      <c r="GNK109" s="139"/>
      <c r="GNL109" s="139"/>
      <c r="GNM109" s="139"/>
      <c r="GNN109" s="139"/>
      <c r="GNO109" s="139"/>
      <c r="GNP109" s="139"/>
      <c r="GNQ109" s="139"/>
      <c r="GNR109" s="139"/>
      <c r="GNS109" s="139"/>
      <c r="GNT109" s="139"/>
      <c r="GNU109" s="139"/>
      <c r="GNV109" s="139"/>
      <c r="GNW109" s="139"/>
      <c r="GNX109" s="139"/>
      <c r="GNY109" s="139"/>
      <c r="GNZ109" s="139"/>
      <c r="GOA109" s="139"/>
      <c r="GOB109" s="139"/>
      <c r="GOC109" s="139"/>
      <c r="GOD109" s="139"/>
      <c r="GOE109" s="139"/>
      <c r="GOF109" s="139"/>
      <c r="GOG109" s="139"/>
      <c r="GOH109" s="139"/>
      <c r="GOI109" s="139"/>
      <c r="GOJ109" s="139"/>
      <c r="GOK109" s="139"/>
      <c r="GOL109" s="139"/>
      <c r="GOM109" s="139"/>
      <c r="GON109" s="139"/>
      <c r="GOO109" s="139"/>
      <c r="GOP109" s="139"/>
      <c r="GOQ109" s="139"/>
      <c r="GOR109" s="139"/>
      <c r="GOS109" s="139"/>
      <c r="GOT109" s="139"/>
      <c r="GOU109" s="139"/>
      <c r="GOV109" s="139"/>
      <c r="GOW109" s="139"/>
      <c r="GOX109" s="139"/>
      <c r="GOY109" s="139"/>
      <c r="GOZ109" s="139"/>
      <c r="GPA109" s="139"/>
      <c r="GPB109" s="139"/>
      <c r="GPC109" s="139"/>
      <c r="GPD109" s="139"/>
      <c r="GPE109" s="139"/>
      <c r="GPF109" s="139"/>
      <c r="GPG109" s="139"/>
      <c r="GPH109" s="139"/>
      <c r="GPI109" s="139"/>
      <c r="GPJ109" s="139"/>
      <c r="GPK109" s="139"/>
      <c r="GPL109" s="139"/>
      <c r="GPM109" s="139"/>
      <c r="GPN109" s="139"/>
      <c r="GPO109" s="139"/>
      <c r="GPP109" s="139"/>
      <c r="GPQ109" s="139"/>
      <c r="GPR109" s="139"/>
      <c r="GPS109" s="139"/>
      <c r="GPT109" s="139"/>
      <c r="GPU109" s="139"/>
      <c r="GPV109" s="139"/>
      <c r="GPW109" s="139"/>
      <c r="GPX109" s="139"/>
      <c r="GPY109" s="139"/>
      <c r="GPZ109" s="139"/>
      <c r="GQA109" s="139"/>
      <c r="GQB109" s="139"/>
      <c r="GQC109" s="139"/>
      <c r="GQD109" s="139"/>
      <c r="GQE109" s="139"/>
      <c r="GQF109" s="139"/>
      <c r="GQG109" s="139"/>
      <c r="GQH109" s="139"/>
      <c r="GQI109" s="139"/>
      <c r="GQJ109" s="139"/>
      <c r="GQK109" s="139"/>
      <c r="GQL109" s="139"/>
      <c r="GQM109" s="139"/>
      <c r="GQN109" s="139"/>
      <c r="GQO109" s="139"/>
      <c r="GQP109" s="139"/>
      <c r="GQQ109" s="139"/>
      <c r="GQR109" s="139"/>
      <c r="GQS109" s="139"/>
      <c r="GQT109" s="139"/>
      <c r="GQU109" s="139"/>
      <c r="GQV109" s="139"/>
      <c r="GQW109" s="139"/>
      <c r="GQX109" s="139"/>
      <c r="GQY109" s="139"/>
      <c r="GQZ109" s="139"/>
      <c r="GRA109" s="139"/>
      <c r="GRB109" s="139"/>
      <c r="GRC109" s="139"/>
      <c r="GRD109" s="139"/>
      <c r="GRE109" s="139"/>
      <c r="GRF109" s="139"/>
      <c r="GRG109" s="139"/>
      <c r="GRH109" s="139"/>
      <c r="GRI109" s="139"/>
      <c r="GRJ109" s="139"/>
      <c r="GRK109" s="139"/>
      <c r="GRL109" s="139"/>
      <c r="GRM109" s="139"/>
      <c r="GRN109" s="139"/>
      <c r="GRO109" s="139"/>
      <c r="GRP109" s="139"/>
      <c r="GRQ109" s="139"/>
      <c r="GRR109" s="139"/>
      <c r="GRS109" s="139"/>
      <c r="GRT109" s="139"/>
      <c r="GRU109" s="139"/>
      <c r="GRV109" s="139"/>
      <c r="GRW109" s="139"/>
      <c r="GRX109" s="139"/>
      <c r="GRY109" s="139"/>
      <c r="GRZ109" s="139"/>
      <c r="GSA109" s="139"/>
      <c r="GSB109" s="139"/>
      <c r="GSC109" s="139"/>
      <c r="GSD109" s="139"/>
      <c r="GSE109" s="139"/>
      <c r="GSF109" s="139"/>
      <c r="GSG109" s="139"/>
      <c r="GSH109" s="139"/>
      <c r="GSI109" s="139"/>
      <c r="GSJ109" s="139"/>
      <c r="GSK109" s="139"/>
      <c r="GSL109" s="139"/>
      <c r="GSM109" s="139"/>
      <c r="GSN109" s="139"/>
      <c r="GSO109" s="139"/>
      <c r="GSP109" s="139"/>
      <c r="GSQ109" s="139"/>
      <c r="GSR109" s="139"/>
      <c r="GSS109" s="139"/>
      <c r="GST109" s="139"/>
      <c r="GSU109" s="139"/>
      <c r="GSV109" s="139"/>
      <c r="GSW109" s="139"/>
      <c r="GSX109" s="139"/>
      <c r="GSY109" s="139"/>
      <c r="GSZ109" s="139"/>
      <c r="GTA109" s="139"/>
      <c r="GTB109" s="139"/>
      <c r="GTC109" s="139"/>
      <c r="GTD109" s="139"/>
      <c r="GTE109" s="139"/>
      <c r="GTF109" s="139"/>
      <c r="GTG109" s="139"/>
      <c r="GTH109" s="139"/>
      <c r="GTI109" s="139"/>
      <c r="GTJ109" s="139"/>
      <c r="GTK109" s="139"/>
      <c r="GTL109" s="139"/>
      <c r="GTM109" s="139"/>
      <c r="GTN109" s="139"/>
      <c r="GTO109" s="139"/>
      <c r="GTP109" s="139"/>
      <c r="GTQ109" s="139"/>
      <c r="GTR109" s="139"/>
      <c r="GTS109" s="139"/>
      <c r="GTT109" s="139"/>
      <c r="GTU109" s="139"/>
      <c r="GTV109" s="139"/>
      <c r="GTW109" s="139"/>
      <c r="GTX109" s="139"/>
      <c r="GTY109" s="139"/>
      <c r="GTZ109" s="139"/>
      <c r="GUA109" s="139"/>
      <c r="GUB109" s="139"/>
      <c r="GUC109" s="139"/>
      <c r="GUD109" s="139"/>
      <c r="GUE109" s="139"/>
      <c r="GUF109" s="139"/>
      <c r="GUG109" s="139"/>
      <c r="GUH109" s="139"/>
      <c r="GUI109" s="139"/>
      <c r="GUJ109" s="139"/>
      <c r="GUK109" s="139"/>
      <c r="GUL109" s="139"/>
      <c r="GUM109" s="139"/>
      <c r="GUN109" s="139"/>
      <c r="GUO109" s="139"/>
      <c r="GUP109" s="139"/>
      <c r="GUQ109" s="139"/>
      <c r="GUR109" s="139"/>
      <c r="GUS109" s="139"/>
      <c r="GUT109" s="139"/>
      <c r="GUU109" s="139"/>
      <c r="GUV109" s="139"/>
      <c r="GUW109" s="139"/>
      <c r="GUX109" s="139"/>
      <c r="GUY109" s="139"/>
      <c r="GUZ109" s="139"/>
      <c r="GVA109" s="139"/>
      <c r="GVB109" s="139"/>
      <c r="GVC109" s="139"/>
      <c r="GVD109" s="139"/>
      <c r="GVE109" s="139"/>
      <c r="GVF109" s="139"/>
      <c r="GVG109" s="139"/>
      <c r="GVH109" s="139"/>
      <c r="GVI109" s="139"/>
      <c r="GVJ109" s="139"/>
      <c r="GVK109" s="139"/>
      <c r="GVL109" s="139"/>
      <c r="GVM109" s="139"/>
      <c r="GVN109" s="139"/>
      <c r="GVO109" s="139"/>
      <c r="GVP109" s="139"/>
      <c r="GVQ109" s="139"/>
      <c r="GVR109" s="139"/>
      <c r="GVS109" s="139"/>
      <c r="GVT109" s="139"/>
      <c r="GVU109" s="139"/>
      <c r="GVV109" s="139"/>
      <c r="GVW109" s="139"/>
      <c r="GVX109" s="139"/>
      <c r="GVY109" s="139"/>
      <c r="GVZ109" s="139"/>
      <c r="GWA109" s="139"/>
      <c r="GWB109" s="139"/>
      <c r="GWC109" s="139"/>
      <c r="GWD109" s="139"/>
      <c r="GWE109" s="139"/>
      <c r="GWF109" s="139"/>
      <c r="GWG109" s="139"/>
      <c r="GWH109" s="139"/>
      <c r="GWI109" s="139"/>
      <c r="GWJ109" s="139"/>
      <c r="GWK109" s="139"/>
      <c r="GWL109" s="139"/>
      <c r="GWM109" s="139"/>
      <c r="GWN109" s="139"/>
      <c r="GWO109" s="139"/>
      <c r="GWP109" s="139"/>
      <c r="GWQ109" s="139"/>
      <c r="GWR109" s="139"/>
      <c r="GWS109" s="139"/>
      <c r="GWT109" s="139"/>
      <c r="GWU109" s="139"/>
      <c r="GWV109" s="139"/>
      <c r="GWW109" s="139"/>
      <c r="GWX109" s="139"/>
      <c r="GWY109" s="139"/>
      <c r="GWZ109" s="139"/>
      <c r="GXA109" s="139"/>
      <c r="GXB109" s="139"/>
      <c r="GXC109" s="139"/>
      <c r="GXD109" s="139"/>
      <c r="GXE109" s="139"/>
      <c r="GXF109" s="139"/>
      <c r="GXG109" s="139"/>
      <c r="GXH109" s="139"/>
      <c r="GXI109" s="139"/>
      <c r="GXJ109" s="139"/>
      <c r="GXK109" s="139"/>
      <c r="GXL109" s="139"/>
      <c r="GXM109" s="139"/>
      <c r="GXN109" s="139"/>
      <c r="GXO109" s="139"/>
      <c r="GXP109" s="139"/>
      <c r="GXQ109" s="139"/>
      <c r="GXR109" s="139"/>
      <c r="GXS109" s="139"/>
      <c r="GXT109" s="139"/>
      <c r="GXU109" s="139"/>
      <c r="GXV109" s="139"/>
      <c r="GXW109" s="139"/>
      <c r="GXX109" s="139"/>
      <c r="GXY109" s="139"/>
      <c r="GXZ109" s="139"/>
      <c r="GYA109" s="139"/>
      <c r="GYB109" s="139"/>
      <c r="GYC109" s="139"/>
      <c r="GYD109" s="139"/>
      <c r="GYE109" s="139"/>
      <c r="GYF109" s="139"/>
      <c r="GYG109" s="139"/>
      <c r="GYH109" s="139"/>
      <c r="GYI109" s="139"/>
      <c r="GYJ109" s="139"/>
      <c r="GYK109" s="139"/>
      <c r="GYL109" s="139"/>
      <c r="GYM109" s="139"/>
      <c r="GYN109" s="139"/>
      <c r="GYO109" s="139"/>
      <c r="GYP109" s="139"/>
      <c r="GYQ109" s="139"/>
      <c r="GYR109" s="139"/>
      <c r="GYS109" s="139"/>
      <c r="GYT109" s="139"/>
      <c r="GYU109" s="139"/>
      <c r="GYV109" s="139"/>
      <c r="GYW109" s="139"/>
      <c r="GYX109" s="139"/>
      <c r="GYY109" s="139"/>
      <c r="GYZ109" s="139"/>
      <c r="GZA109" s="139"/>
      <c r="GZB109" s="139"/>
      <c r="GZC109" s="139"/>
      <c r="GZD109" s="139"/>
      <c r="GZE109" s="139"/>
      <c r="GZF109" s="139"/>
      <c r="GZG109" s="139"/>
      <c r="GZH109" s="139"/>
      <c r="GZI109" s="139"/>
      <c r="GZJ109" s="139"/>
      <c r="GZK109" s="139"/>
      <c r="GZL109" s="139"/>
      <c r="GZM109" s="139"/>
      <c r="GZN109" s="139"/>
      <c r="GZO109" s="139"/>
      <c r="GZP109" s="139"/>
      <c r="GZQ109" s="139"/>
      <c r="GZR109" s="139"/>
      <c r="GZS109" s="139"/>
      <c r="GZT109" s="139"/>
      <c r="GZU109" s="139"/>
      <c r="GZV109" s="139"/>
      <c r="GZW109" s="139"/>
      <c r="GZX109" s="139"/>
      <c r="GZY109" s="139"/>
      <c r="GZZ109" s="139"/>
      <c r="HAA109" s="139"/>
      <c r="HAB109" s="139"/>
      <c r="HAC109" s="139"/>
      <c r="HAD109" s="139"/>
      <c r="HAE109" s="139"/>
      <c r="HAF109" s="139"/>
      <c r="HAG109" s="139"/>
      <c r="HAH109" s="139"/>
      <c r="HAI109" s="139"/>
      <c r="HAJ109" s="139"/>
      <c r="HAK109" s="139"/>
      <c r="HAL109" s="139"/>
      <c r="HAM109" s="139"/>
      <c r="HAN109" s="139"/>
      <c r="HAO109" s="139"/>
      <c r="HAP109" s="139"/>
      <c r="HAQ109" s="139"/>
      <c r="HAR109" s="139"/>
      <c r="HAS109" s="139"/>
      <c r="HAT109" s="139"/>
      <c r="HAU109" s="139"/>
      <c r="HAV109" s="139"/>
      <c r="HAW109" s="139"/>
      <c r="HAX109" s="139"/>
      <c r="HAY109" s="139"/>
      <c r="HAZ109" s="139"/>
      <c r="HBA109" s="139"/>
      <c r="HBB109" s="139"/>
      <c r="HBC109" s="139"/>
      <c r="HBD109" s="139"/>
      <c r="HBE109" s="139"/>
      <c r="HBF109" s="139"/>
      <c r="HBG109" s="139"/>
      <c r="HBH109" s="139"/>
      <c r="HBI109" s="139"/>
      <c r="HBJ109" s="139"/>
      <c r="HBK109" s="139"/>
      <c r="HBL109" s="139"/>
      <c r="HBM109" s="139"/>
      <c r="HBN109" s="139"/>
      <c r="HBO109" s="139"/>
      <c r="HBP109" s="139"/>
      <c r="HBQ109" s="139"/>
      <c r="HBR109" s="139"/>
      <c r="HBS109" s="139"/>
      <c r="HBT109" s="139"/>
      <c r="HBU109" s="139"/>
      <c r="HBV109" s="139"/>
      <c r="HBW109" s="139"/>
      <c r="HBX109" s="139"/>
      <c r="HBY109" s="139"/>
      <c r="HBZ109" s="139"/>
      <c r="HCA109" s="139"/>
      <c r="HCB109" s="139"/>
      <c r="HCC109" s="139"/>
      <c r="HCD109" s="139"/>
      <c r="HCE109" s="139"/>
      <c r="HCF109" s="139"/>
      <c r="HCG109" s="139"/>
      <c r="HCH109" s="139"/>
      <c r="HCI109" s="139"/>
      <c r="HCJ109" s="139"/>
      <c r="HCK109" s="139"/>
      <c r="HCL109" s="139"/>
      <c r="HCM109" s="139"/>
      <c r="HCN109" s="139"/>
      <c r="HCO109" s="139"/>
      <c r="HCP109" s="139"/>
      <c r="HCQ109" s="139"/>
      <c r="HCR109" s="139"/>
      <c r="HCS109" s="139"/>
      <c r="HCT109" s="139"/>
      <c r="HCU109" s="139"/>
      <c r="HCV109" s="139"/>
      <c r="HCW109" s="139"/>
      <c r="HCX109" s="139"/>
      <c r="HCY109" s="139"/>
      <c r="HCZ109" s="139"/>
      <c r="HDA109" s="139"/>
      <c r="HDB109" s="139"/>
      <c r="HDC109" s="139"/>
      <c r="HDD109" s="139"/>
      <c r="HDE109" s="139"/>
      <c r="HDF109" s="139"/>
      <c r="HDG109" s="139"/>
      <c r="HDH109" s="139"/>
      <c r="HDI109" s="139"/>
      <c r="HDJ109" s="139"/>
      <c r="HDK109" s="139"/>
      <c r="HDL109" s="139"/>
      <c r="HDM109" s="139"/>
      <c r="HDN109" s="139"/>
      <c r="HDO109" s="139"/>
      <c r="HDP109" s="139"/>
      <c r="HDQ109" s="139"/>
      <c r="HDR109" s="139"/>
      <c r="HDS109" s="139"/>
      <c r="HDT109" s="139"/>
      <c r="HDU109" s="139"/>
      <c r="HDV109" s="139"/>
      <c r="HDW109" s="139"/>
      <c r="HDX109" s="139"/>
      <c r="HDY109" s="139"/>
      <c r="HDZ109" s="139"/>
      <c r="HEA109" s="139"/>
      <c r="HEB109" s="139"/>
      <c r="HEC109" s="139"/>
      <c r="HED109" s="139"/>
      <c r="HEE109" s="139"/>
      <c r="HEF109" s="139"/>
      <c r="HEG109" s="139"/>
      <c r="HEH109" s="139"/>
      <c r="HEI109" s="139"/>
      <c r="HEJ109" s="139"/>
      <c r="HEK109" s="139"/>
      <c r="HEL109" s="139"/>
      <c r="HEM109" s="139"/>
      <c r="HEN109" s="139"/>
      <c r="HEO109" s="139"/>
      <c r="HEP109" s="139"/>
      <c r="HEQ109" s="139"/>
      <c r="HER109" s="139"/>
      <c r="HES109" s="139"/>
      <c r="HET109" s="139"/>
      <c r="HEU109" s="139"/>
      <c r="HEV109" s="139"/>
      <c r="HEW109" s="139"/>
      <c r="HEX109" s="139"/>
      <c r="HEY109" s="139"/>
      <c r="HEZ109" s="139"/>
      <c r="HFA109" s="139"/>
      <c r="HFB109" s="139"/>
      <c r="HFC109" s="139"/>
      <c r="HFD109" s="139"/>
      <c r="HFE109" s="139"/>
      <c r="HFF109" s="139"/>
      <c r="HFG109" s="139"/>
      <c r="HFH109" s="139"/>
      <c r="HFI109" s="139"/>
      <c r="HFJ109" s="139"/>
      <c r="HFK109" s="139"/>
      <c r="HFL109" s="139"/>
      <c r="HFM109" s="139"/>
      <c r="HFN109" s="139"/>
      <c r="HFO109" s="139"/>
      <c r="HFP109" s="139"/>
      <c r="HFQ109" s="139"/>
      <c r="HFR109" s="139"/>
      <c r="HFS109" s="139"/>
      <c r="HFT109" s="139"/>
      <c r="HFU109" s="139"/>
      <c r="HFV109" s="139"/>
      <c r="HFW109" s="139"/>
      <c r="HFX109" s="139"/>
      <c r="HFY109" s="139"/>
      <c r="HFZ109" s="139"/>
      <c r="HGA109" s="139"/>
      <c r="HGB109" s="139"/>
      <c r="HGC109" s="139"/>
      <c r="HGD109" s="139"/>
      <c r="HGE109" s="139"/>
      <c r="HGF109" s="139"/>
      <c r="HGG109" s="139"/>
      <c r="HGH109" s="139"/>
      <c r="HGI109" s="139"/>
      <c r="HGJ109" s="139"/>
      <c r="HGK109" s="139"/>
      <c r="HGL109" s="139"/>
      <c r="HGM109" s="139"/>
      <c r="HGN109" s="139"/>
      <c r="HGO109" s="139"/>
      <c r="HGP109" s="139"/>
      <c r="HGQ109" s="139"/>
      <c r="HGR109" s="139"/>
      <c r="HGS109" s="139"/>
      <c r="HGT109" s="139"/>
      <c r="HGU109" s="139"/>
      <c r="HGV109" s="139"/>
      <c r="HGW109" s="139"/>
      <c r="HGX109" s="139"/>
      <c r="HGY109" s="139"/>
      <c r="HGZ109" s="139"/>
      <c r="HHA109" s="139"/>
      <c r="HHB109" s="139"/>
      <c r="HHC109" s="139"/>
      <c r="HHD109" s="139"/>
      <c r="HHE109" s="139"/>
      <c r="HHF109" s="139"/>
      <c r="HHG109" s="139"/>
      <c r="HHH109" s="139"/>
      <c r="HHI109" s="139"/>
      <c r="HHJ109" s="139"/>
      <c r="HHK109" s="139"/>
      <c r="HHL109" s="139"/>
      <c r="HHM109" s="139"/>
      <c r="HHN109" s="139"/>
      <c r="HHO109" s="139"/>
      <c r="HHP109" s="139"/>
      <c r="HHQ109" s="139"/>
      <c r="HHR109" s="139"/>
      <c r="HHS109" s="139"/>
      <c r="HHT109" s="139"/>
      <c r="HHU109" s="139"/>
      <c r="HHV109" s="139"/>
      <c r="HHW109" s="139"/>
      <c r="HHX109" s="139"/>
      <c r="HHY109" s="139"/>
      <c r="HHZ109" s="139"/>
      <c r="HIA109" s="139"/>
      <c r="HIB109" s="139"/>
      <c r="HIC109" s="139"/>
      <c r="HID109" s="139"/>
      <c r="HIE109" s="139"/>
      <c r="HIF109" s="139"/>
      <c r="HIG109" s="139"/>
      <c r="HIH109" s="139"/>
      <c r="HII109" s="139"/>
      <c r="HIJ109" s="139"/>
      <c r="HIK109" s="139"/>
      <c r="HIL109" s="139"/>
      <c r="HIM109" s="139"/>
      <c r="HIN109" s="139"/>
      <c r="HIO109" s="139"/>
      <c r="HIP109" s="139"/>
      <c r="HIQ109" s="139"/>
      <c r="HIR109" s="139"/>
      <c r="HIS109" s="139"/>
      <c r="HIT109" s="139"/>
      <c r="HIU109" s="139"/>
      <c r="HIV109" s="139"/>
      <c r="HIW109" s="139"/>
      <c r="HIX109" s="139"/>
      <c r="HIY109" s="139"/>
      <c r="HIZ109" s="139"/>
      <c r="HJA109" s="139"/>
      <c r="HJB109" s="139"/>
      <c r="HJC109" s="139"/>
      <c r="HJD109" s="139"/>
      <c r="HJE109" s="139"/>
      <c r="HJF109" s="139"/>
      <c r="HJG109" s="139"/>
      <c r="HJH109" s="139"/>
      <c r="HJI109" s="139"/>
      <c r="HJJ109" s="139"/>
      <c r="HJK109" s="139"/>
      <c r="HJL109" s="139"/>
      <c r="HJM109" s="139"/>
      <c r="HJN109" s="139"/>
      <c r="HJO109" s="139"/>
      <c r="HJP109" s="139"/>
      <c r="HJQ109" s="139"/>
      <c r="HJR109" s="139"/>
      <c r="HJS109" s="139"/>
      <c r="HJT109" s="139"/>
      <c r="HJU109" s="139"/>
      <c r="HJV109" s="139"/>
      <c r="HJW109" s="139"/>
      <c r="HJX109" s="139"/>
      <c r="HJY109" s="139"/>
      <c r="HJZ109" s="139"/>
      <c r="HKA109" s="139"/>
      <c r="HKB109" s="139"/>
      <c r="HKC109" s="139"/>
      <c r="HKD109" s="139"/>
      <c r="HKE109" s="139"/>
      <c r="HKF109" s="139"/>
      <c r="HKG109" s="139"/>
      <c r="HKH109" s="139"/>
      <c r="HKI109" s="139"/>
      <c r="HKJ109" s="139"/>
      <c r="HKK109" s="139"/>
      <c r="HKL109" s="139"/>
      <c r="HKM109" s="139"/>
      <c r="HKN109" s="139"/>
      <c r="HKO109" s="139"/>
      <c r="HKP109" s="139"/>
      <c r="HKQ109" s="139"/>
      <c r="HKR109" s="139"/>
      <c r="HKS109" s="139"/>
      <c r="HKT109" s="139"/>
      <c r="HKU109" s="139"/>
      <c r="HKV109" s="139"/>
      <c r="HKW109" s="139"/>
      <c r="HKX109" s="139"/>
      <c r="HKY109" s="139"/>
      <c r="HKZ109" s="139"/>
      <c r="HLA109" s="139"/>
      <c r="HLB109" s="139"/>
      <c r="HLC109" s="139"/>
      <c r="HLD109" s="139"/>
      <c r="HLE109" s="139"/>
      <c r="HLF109" s="139"/>
      <c r="HLG109" s="139"/>
      <c r="HLH109" s="139"/>
      <c r="HLI109" s="139"/>
      <c r="HLJ109" s="139"/>
      <c r="HLK109" s="139"/>
      <c r="HLL109" s="139"/>
      <c r="HLM109" s="139"/>
      <c r="HLN109" s="139"/>
      <c r="HLO109" s="139"/>
      <c r="HLP109" s="139"/>
      <c r="HLQ109" s="139"/>
      <c r="HLR109" s="139"/>
      <c r="HLS109" s="139"/>
      <c r="HLT109" s="139"/>
      <c r="HLU109" s="139"/>
      <c r="HLV109" s="139"/>
      <c r="HLW109" s="139"/>
      <c r="HLX109" s="139"/>
      <c r="HLY109" s="139"/>
      <c r="HLZ109" s="139"/>
      <c r="HMA109" s="139"/>
      <c r="HMB109" s="139"/>
      <c r="HMC109" s="139"/>
      <c r="HMD109" s="139"/>
      <c r="HME109" s="139"/>
      <c r="HMF109" s="139"/>
      <c r="HMG109" s="139"/>
      <c r="HMH109" s="139"/>
      <c r="HMI109" s="139"/>
      <c r="HMJ109" s="139"/>
      <c r="HMK109" s="139"/>
      <c r="HML109" s="139"/>
      <c r="HMM109" s="139"/>
      <c r="HMN109" s="139"/>
      <c r="HMO109" s="139"/>
      <c r="HMP109" s="139"/>
      <c r="HMQ109" s="139"/>
      <c r="HMR109" s="139"/>
      <c r="HMS109" s="139"/>
      <c r="HMT109" s="139"/>
      <c r="HMU109" s="139"/>
      <c r="HMV109" s="139"/>
      <c r="HMW109" s="139"/>
      <c r="HMX109" s="139"/>
      <c r="HMY109" s="139"/>
      <c r="HMZ109" s="139"/>
      <c r="HNA109" s="139"/>
      <c r="HNB109" s="139"/>
      <c r="HNC109" s="139"/>
      <c r="HND109" s="139"/>
      <c r="HNE109" s="139"/>
      <c r="HNF109" s="139"/>
      <c r="HNG109" s="139"/>
      <c r="HNH109" s="139"/>
      <c r="HNI109" s="139"/>
      <c r="HNJ109" s="139"/>
      <c r="HNK109" s="139"/>
      <c r="HNL109" s="139"/>
      <c r="HNM109" s="139"/>
      <c r="HNN109" s="139"/>
      <c r="HNO109" s="139"/>
      <c r="HNP109" s="139"/>
      <c r="HNQ109" s="139"/>
      <c r="HNR109" s="139"/>
      <c r="HNS109" s="139"/>
      <c r="HNT109" s="139"/>
      <c r="HNU109" s="139"/>
      <c r="HNV109" s="139"/>
      <c r="HNW109" s="139"/>
      <c r="HNX109" s="139"/>
      <c r="HNY109" s="139"/>
      <c r="HNZ109" s="139"/>
      <c r="HOA109" s="139"/>
      <c r="HOB109" s="139"/>
      <c r="HOC109" s="139"/>
      <c r="HOD109" s="139"/>
      <c r="HOE109" s="139"/>
      <c r="HOF109" s="139"/>
      <c r="HOG109" s="139"/>
      <c r="HOH109" s="139"/>
      <c r="HOI109" s="139"/>
      <c r="HOJ109" s="139"/>
      <c r="HOK109" s="139"/>
      <c r="HOL109" s="139"/>
      <c r="HOM109" s="139"/>
      <c r="HON109" s="139"/>
      <c r="HOO109" s="139"/>
      <c r="HOP109" s="139"/>
      <c r="HOQ109" s="139"/>
      <c r="HOR109" s="139"/>
      <c r="HOS109" s="139"/>
      <c r="HOT109" s="139"/>
      <c r="HOU109" s="139"/>
      <c r="HOV109" s="139"/>
      <c r="HOW109" s="139"/>
      <c r="HOX109" s="139"/>
      <c r="HOY109" s="139"/>
      <c r="HOZ109" s="139"/>
      <c r="HPA109" s="139"/>
      <c r="HPB109" s="139"/>
      <c r="HPC109" s="139"/>
      <c r="HPD109" s="139"/>
      <c r="HPE109" s="139"/>
      <c r="HPF109" s="139"/>
      <c r="HPG109" s="139"/>
      <c r="HPH109" s="139"/>
      <c r="HPI109" s="139"/>
      <c r="HPJ109" s="139"/>
      <c r="HPK109" s="139"/>
      <c r="HPL109" s="139"/>
      <c r="HPM109" s="139"/>
      <c r="HPN109" s="139"/>
      <c r="HPO109" s="139"/>
      <c r="HPP109" s="139"/>
      <c r="HPQ109" s="139"/>
      <c r="HPR109" s="139"/>
      <c r="HPS109" s="139"/>
      <c r="HPT109" s="139"/>
      <c r="HPU109" s="139"/>
      <c r="HPV109" s="139"/>
      <c r="HPW109" s="139"/>
      <c r="HPX109" s="139"/>
      <c r="HPY109" s="139"/>
      <c r="HPZ109" s="139"/>
      <c r="HQA109" s="139"/>
      <c r="HQB109" s="139"/>
      <c r="HQC109" s="139"/>
      <c r="HQD109" s="139"/>
      <c r="HQE109" s="139"/>
      <c r="HQF109" s="139"/>
      <c r="HQG109" s="139"/>
      <c r="HQH109" s="139"/>
      <c r="HQI109" s="139"/>
      <c r="HQJ109" s="139"/>
      <c r="HQK109" s="139"/>
      <c r="HQL109" s="139"/>
      <c r="HQM109" s="139"/>
      <c r="HQN109" s="139"/>
      <c r="HQO109" s="139"/>
      <c r="HQP109" s="139"/>
      <c r="HQQ109" s="139"/>
      <c r="HQR109" s="139"/>
      <c r="HQS109" s="139"/>
      <c r="HQT109" s="139"/>
      <c r="HQU109" s="139"/>
      <c r="HQV109" s="139"/>
      <c r="HQW109" s="139"/>
      <c r="HQX109" s="139"/>
      <c r="HQY109" s="139"/>
      <c r="HQZ109" s="139"/>
      <c r="HRA109" s="139"/>
      <c r="HRB109" s="139"/>
      <c r="HRC109" s="139"/>
      <c r="HRD109" s="139"/>
      <c r="HRE109" s="139"/>
      <c r="HRF109" s="139"/>
      <c r="HRG109" s="139"/>
      <c r="HRH109" s="139"/>
      <c r="HRI109" s="139"/>
      <c r="HRJ109" s="139"/>
      <c r="HRK109" s="139"/>
      <c r="HRL109" s="139"/>
      <c r="HRM109" s="139"/>
      <c r="HRN109" s="139"/>
      <c r="HRO109" s="139"/>
      <c r="HRP109" s="139"/>
      <c r="HRQ109" s="139"/>
      <c r="HRR109" s="139"/>
      <c r="HRS109" s="139"/>
      <c r="HRT109" s="139"/>
      <c r="HRU109" s="139"/>
      <c r="HRV109" s="139"/>
      <c r="HRW109" s="139"/>
      <c r="HRX109" s="139"/>
      <c r="HRY109" s="139"/>
      <c r="HRZ109" s="139"/>
      <c r="HSA109" s="139"/>
      <c r="HSB109" s="139"/>
      <c r="HSC109" s="139"/>
      <c r="HSD109" s="139"/>
      <c r="HSE109" s="139"/>
      <c r="HSF109" s="139"/>
      <c r="HSG109" s="139"/>
      <c r="HSH109" s="139"/>
      <c r="HSI109" s="139"/>
      <c r="HSJ109" s="139"/>
      <c r="HSK109" s="139"/>
      <c r="HSL109" s="139"/>
      <c r="HSM109" s="139"/>
      <c r="HSN109" s="139"/>
      <c r="HSO109" s="139"/>
      <c r="HSP109" s="139"/>
      <c r="HSQ109" s="139"/>
      <c r="HSR109" s="139"/>
      <c r="HSS109" s="139"/>
      <c r="HST109" s="139"/>
      <c r="HSU109" s="139"/>
      <c r="HSV109" s="139"/>
      <c r="HSW109" s="139"/>
      <c r="HSX109" s="139"/>
      <c r="HSY109" s="139"/>
      <c r="HSZ109" s="139"/>
      <c r="HTA109" s="139"/>
      <c r="HTB109" s="139"/>
      <c r="HTC109" s="139"/>
      <c r="HTD109" s="139"/>
      <c r="HTE109" s="139"/>
      <c r="HTF109" s="139"/>
      <c r="HTG109" s="139"/>
      <c r="HTH109" s="139"/>
      <c r="HTI109" s="139"/>
      <c r="HTJ109" s="139"/>
      <c r="HTK109" s="139"/>
      <c r="HTL109" s="139"/>
      <c r="HTM109" s="139"/>
      <c r="HTN109" s="139"/>
      <c r="HTO109" s="139"/>
      <c r="HTP109" s="139"/>
      <c r="HTQ109" s="139"/>
      <c r="HTR109" s="139"/>
      <c r="HTS109" s="139"/>
      <c r="HTT109" s="139"/>
      <c r="HTU109" s="139"/>
      <c r="HTV109" s="139"/>
      <c r="HTW109" s="139"/>
      <c r="HTX109" s="139"/>
      <c r="HTY109" s="139"/>
      <c r="HTZ109" s="139"/>
      <c r="HUA109" s="139"/>
      <c r="HUB109" s="139"/>
      <c r="HUC109" s="139"/>
      <c r="HUD109" s="139"/>
      <c r="HUE109" s="139"/>
      <c r="HUF109" s="139"/>
      <c r="HUG109" s="139"/>
      <c r="HUH109" s="139"/>
      <c r="HUI109" s="139"/>
      <c r="HUJ109" s="139"/>
      <c r="HUK109" s="139"/>
      <c r="HUL109" s="139"/>
      <c r="HUM109" s="139"/>
      <c r="HUN109" s="139"/>
      <c r="HUO109" s="139"/>
      <c r="HUP109" s="139"/>
      <c r="HUQ109" s="139"/>
      <c r="HUR109" s="139"/>
      <c r="HUS109" s="139"/>
      <c r="HUT109" s="139"/>
      <c r="HUU109" s="139"/>
      <c r="HUV109" s="139"/>
      <c r="HUW109" s="139"/>
      <c r="HUX109" s="139"/>
      <c r="HUY109" s="139"/>
      <c r="HUZ109" s="139"/>
      <c r="HVA109" s="139"/>
      <c r="HVB109" s="139"/>
      <c r="HVC109" s="139"/>
      <c r="HVD109" s="139"/>
      <c r="HVE109" s="139"/>
      <c r="HVF109" s="139"/>
      <c r="HVG109" s="139"/>
      <c r="HVH109" s="139"/>
      <c r="HVI109" s="139"/>
      <c r="HVJ109" s="139"/>
      <c r="HVK109" s="139"/>
      <c r="HVL109" s="139"/>
      <c r="HVM109" s="139"/>
      <c r="HVN109" s="139"/>
      <c r="HVO109" s="139"/>
      <c r="HVP109" s="139"/>
      <c r="HVQ109" s="139"/>
      <c r="HVR109" s="139"/>
      <c r="HVS109" s="139"/>
      <c r="HVT109" s="139"/>
      <c r="HVU109" s="139"/>
      <c r="HVV109" s="139"/>
      <c r="HVW109" s="139"/>
      <c r="HVX109" s="139"/>
      <c r="HVY109" s="139"/>
      <c r="HVZ109" s="139"/>
      <c r="HWA109" s="139"/>
      <c r="HWB109" s="139"/>
      <c r="HWC109" s="139"/>
      <c r="HWD109" s="139"/>
      <c r="HWE109" s="139"/>
      <c r="HWF109" s="139"/>
      <c r="HWG109" s="139"/>
      <c r="HWH109" s="139"/>
      <c r="HWI109" s="139"/>
      <c r="HWJ109" s="139"/>
      <c r="HWK109" s="139"/>
      <c r="HWL109" s="139"/>
      <c r="HWM109" s="139"/>
      <c r="HWN109" s="139"/>
      <c r="HWO109" s="139"/>
      <c r="HWP109" s="139"/>
      <c r="HWQ109" s="139"/>
      <c r="HWR109" s="139"/>
      <c r="HWS109" s="139"/>
      <c r="HWT109" s="139"/>
      <c r="HWU109" s="139"/>
      <c r="HWV109" s="139"/>
      <c r="HWW109" s="139"/>
      <c r="HWX109" s="139"/>
      <c r="HWY109" s="139"/>
      <c r="HWZ109" s="139"/>
      <c r="HXA109" s="139"/>
      <c r="HXB109" s="139"/>
      <c r="HXC109" s="139"/>
      <c r="HXD109" s="139"/>
      <c r="HXE109" s="139"/>
      <c r="HXF109" s="139"/>
      <c r="HXG109" s="139"/>
      <c r="HXH109" s="139"/>
      <c r="HXI109" s="139"/>
      <c r="HXJ109" s="139"/>
      <c r="HXK109" s="139"/>
      <c r="HXL109" s="139"/>
      <c r="HXM109" s="139"/>
      <c r="HXN109" s="139"/>
      <c r="HXO109" s="139"/>
      <c r="HXP109" s="139"/>
      <c r="HXQ109" s="139"/>
      <c r="HXR109" s="139"/>
      <c r="HXS109" s="139"/>
      <c r="HXT109" s="139"/>
      <c r="HXU109" s="139"/>
      <c r="HXV109" s="139"/>
      <c r="HXW109" s="139"/>
      <c r="HXX109" s="139"/>
      <c r="HXY109" s="139"/>
      <c r="HXZ109" s="139"/>
      <c r="HYA109" s="139"/>
      <c r="HYB109" s="139"/>
      <c r="HYC109" s="139"/>
      <c r="HYD109" s="139"/>
      <c r="HYE109" s="139"/>
      <c r="HYF109" s="139"/>
      <c r="HYG109" s="139"/>
      <c r="HYH109" s="139"/>
      <c r="HYI109" s="139"/>
      <c r="HYJ109" s="139"/>
      <c r="HYK109" s="139"/>
      <c r="HYL109" s="139"/>
      <c r="HYM109" s="139"/>
      <c r="HYN109" s="139"/>
      <c r="HYO109" s="139"/>
      <c r="HYP109" s="139"/>
      <c r="HYQ109" s="139"/>
      <c r="HYR109" s="139"/>
      <c r="HYS109" s="139"/>
      <c r="HYT109" s="139"/>
      <c r="HYU109" s="139"/>
      <c r="HYV109" s="139"/>
      <c r="HYW109" s="139"/>
      <c r="HYX109" s="139"/>
      <c r="HYY109" s="139"/>
      <c r="HYZ109" s="139"/>
      <c r="HZA109" s="139"/>
      <c r="HZB109" s="139"/>
      <c r="HZC109" s="139"/>
      <c r="HZD109" s="139"/>
      <c r="HZE109" s="139"/>
      <c r="HZF109" s="139"/>
      <c r="HZG109" s="139"/>
      <c r="HZH109" s="139"/>
      <c r="HZI109" s="139"/>
      <c r="HZJ109" s="139"/>
      <c r="HZK109" s="139"/>
      <c r="HZL109" s="139"/>
      <c r="HZM109" s="139"/>
      <c r="HZN109" s="139"/>
      <c r="HZO109" s="139"/>
      <c r="HZP109" s="139"/>
      <c r="HZQ109" s="139"/>
      <c r="HZR109" s="139"/>
      <c r="HZS109" s="139"/>
      <c r="HZT109" s="139"/>
      <c r="HZU109" s="139"/>
      <c r="HZV109" s="139"/>
      <c r="HZW109" s="139"/>
      <c r="HZX109" s="139"/>
      <c r="HZY109" s="139"/>
      <c r="HZZ109" s="139"/>
      <c r="IAA109" s="139"/>
      <c r="IAB109" s="139"/>
      <c r="IAC109" s="139"/>
      <c r="IAD109" s="139"/>
      <c r="IAE109" s="139"/>
      <c r="IAF109" s="139"/>
      <c r="IAG109" s="139"/>
      <c r="IAH109" s="139"/>
      <c r="IAI109" s="139"/>
      <c r="IAJ109" s="139"/>
      <c r="IAK109" s="139"/>
      <c r="IAL109" s="139"/>
      <c r="IAM109" s="139"/>
      <c r="IAN109" s="139"/>
      <c r="IAO109" s="139"/>
      <c r="IAP109" s="139"/>
      <c r="IAQ109" s="139"/>
      <c r="IAR109" s="139"/>
      <c r="IAS109" s="139"/>
      <c r="IAT109" s="139"/>
      <c r="IAU109" s="139"/>
      <c r="IAV109" s="139"/>
      <c r="IAW109" s="139"/>
      <c r="IAX109" s="139"/>
      <c r="IAY109" s="139"/>
      <c r="IAZ109" s="139"/>
      <c r="IBA109" s="139"/>
      <c r="IBB109" s="139"/>
      <c r="IBC109" s="139"/>
      <c r="IBD109" s="139"/>
      <c r="IBE109" s="139"/>
      <c r="IBF109" s="139"/>
      <c r="IBG109" s="139"/>
      <c r="IBH109" s="139"/>
      <c r="IBI109" s="139"/>
      <c r="IBJ109" s="139"/>
      <c r="IBK109" s="139"/>
      <c r="IBL109" s="139"/>
      <c r="IBM109" s="139"/>
      <c r="IBN109" s="139"/>
      <c r="IBO109" s="139"/>
      <c r="IBP109" s="139"/>
      <c r="IBQ109" s="139"/>
      <c r="IBR109" s="139"/>
      <c r="IBS109" s="139"/>
      <c r="IBT109" s="139"/>
      <c r="IBU109" s="139"/>
      <c r="IBV109" s="139"/>
      <c r="IBW109" s="139"/>
      <c r="IBX109" s="139"/>
      <c r="IBY109" s="139"/>
      <c r="IBZ109" s="139"/>
      <c r="ICA109" s="139"/>
      <c r="ICB109" s="139"/>
      <c r="ICC109" s="139"/>
      <c r="ICD109" s="139"/>
      <c r="ICE109" s="139"/>
      <c r="ICF109" s="139"/>
      <c r="ICG109" s="139"/>
      <c r="ICH109" s="139"/>
      <c r="ICI109" s="139"/>
      <c r="ICJ109" s="139"/>
      <c r="ICK109" s="139"/>
      <c r="ICL109" s="139"/>
      <c r="ICM109" s="139"/>
      <c r="ICN109" s="139"/>
      <c r="ICO109" s="139"/>
      <c r="ICP109" s="139"/>
      <c r="ICQ109" s="139"/>
      <c r="ICR109" s="139"/>
      <c r="ICS109" s="139"/>
      <c r="ICT109" s="139"/>
      <c r="ICU109" s="139"/>
      <c r="ICV109" s="139"/>
      <c r="ICW109" s="139"/>
      <c r="ICX109" s="139"/>
      <c r="ICY109" s="139"/>
      <c r="ICZ109" s="139"/>
      <c r="IDA109" s="139"/>
      <c r="IDB109" s="139"/>
      <c r="IDC109" s="139"/>
      <c r="IDD109" s="139"/>
      <c r="IDE109" s="139"/>
      <c r="IDF109" s="139"/>
      <c r="IDG109" s="139"/>
      <c r="IDH109" s="139"/>
      <c r="IDI109" s="139"/>
      <c r="IDJ109" s="139"/>
      <c r="IDK109" s="139"/>
      <c r="IDL109" s="139"/>
      <c r="IDM109" s="139"/>
      <c r="IDN109" s="139"/>
      <c r="IDO109" s="139"/>
      <c r="IDP109" s="139"/>
      <c r="IDQ109" s="139"/>
      <c r="IDR109" s="139"/>
      <c r="IDS109" s="139"/>
      <c r="IDT109" s="139"/>
      <c r="IDU109" s="139"/>
      <c r="IDV109" s="139"/>
      <c r="IDW109" s="139"/>
      <c r="IDX109" s="139"/>
      <c r="IDY109" s="139"/>
      <c r="IDZ109" s="139"/>
      <c r="IEA109" s="139"/>
      <c r="IEB109" s="139"/>
      <c r="IEC109" s="139"/>
      <c r="IED109" s="139"/>
      <c r="IEE109" s="139"/>
      <c r="IEF109" s="139"/>
      <c r="IEG109" s="139"/>
      <c r="IEH109" s="139"/>
      <c r="IEI109" s="139"/>
      <c r="IEJ109" s="139"/>
      <c r="IEK109" s="139"/>
      <c r="IEL109" s="139"/>
      <c r="IEM109" s="139"/>
      <c r="IEN109" s="139"/>
      <c r="IEO109" s="139"/>
      <c r="IEP109" s="139"/>
      <c r="IEQ109" s="139"/>
      <c r="IER109" s="139"/>
      <c r="IES109" s="139"/>
      <c r="IET109" s="139"/>
      <c r="IEU109" s="139"/>
      <c r="IEV109" s="139"/>
      <c r="IEW109" s="139"/>
      <c r="IEX109" s="139"/>
      <c r="IEY109" s="139"/>
      <c r="IEZ109" s="139"/>
      <c r="IFA109" s="139"/>
      <c r="IFB109" s="139"/>
      <c r="IFC109" s="139"/>
      <c r="IFD109" s="139"/>
      <c r="IFE109" s="139"/>
      <c r="IFF109" s="139"/>
      <c r="IFG109" s="139"/>
      <c r="IFH109" s="139"/>
      <c r="IFI109" s="139"/>
      <c r="IFJ109" s="139"/>
      <c r="IFK109" s="139"/>
      <c r="IFL109" s="139"/>
      <c r="IFM109" s="139"/>
      <c r="IFN109" s="139"/>
      <c r="IFO109" s="139"/>
      <c r="IFP109" s="139"/>
      <c r="IFQ109" s="139"/>
      <c r="IFR109" s="139"/>
      <c r="IFS109" s="139"/>
      <c r="IFT109" s="139"/>
      <c r="IFU109" s="139"/>
      <c r="IFV109" s="139"/>
      <c r="IFW109" s="139"/>
      <c r="IFX109" s="139"/>
      <c r="IFY109" s="139"/>
      <c r="IFZ109" s="139"/>
      <c r="IGA109" s="139"/>
      <c r="IGB109" s="139"/>
      <c r="IGC109" s="139"/>
      <c r="IGD109" s="139"/>
      <c r="IGE109" s="139"/>
      <c r="IGF109" s="139"/>
      <c r="IGG109" s="139"/>
      <c r="IGH109" s="139"/>
      <c r="IGI109" s="139"/>
      <c r="IGJ109" s="139"/>
      <c r="IGK109" s="139"/>
      <c r="IGL109" s="139"/>
      <c r="IGM109" s="139"/>
      <c r="IGN109" s="139"/>
      <c r="IGO109" s="139"/>
      <c r="IGP109" s="139"/>
      <c r="IGQ109" s="139"/>
      <c r="IGR109" s="139"/>
      <c r="IGS109" s="139"/>
      <c r="IGT109" s="139"/>
      <c r="IGU109" s="139"/>
      <c r="IGV109" s="139"/>
      <c r="IGW109" s="139"/>
      <c r="IGX109" s="139"/>
      <c r="IGY109" s="139"/>
      <c r="IGZ109" s="139"/>
      <c r="IHA109" s="139"/>
      <c r="IHB109" s="139"/>
      <c r="IHC109" s="139"/>
      <c r="IHD109" s="139"/>
      <c r="IHE109" s="139"/>
      <c r="IHF109" s="139"/>
      <c r="IHG109" s="139"/>
      <c r="IHH109" s="139"/>
      <c r="IHI109" s="139"/>
      <c r="IHJ109" s="139"/>
      <c r="IHK109" s="139"/>
      <c r="IHL109" s="139"/>
      <c r="IHM109" s="139"/>
      <c r="IHN109" s="139"/>
      <c r="IHO109" s="139"/>
      <c r="IHP109" s="139"/>
      <c r="IHQ109" s="139"/>
      <c r="IHR109" s="139"/>
      <c r="IHS109" s="139"/>
      <c r="IHT109" s="139"/>
      <c r="IHU109" s="139"/>
      <c r="IHV109" s="139"/>
      <c r="IHW109" s="139"/>
      <c r="IHX109" s="139"/>
      <c r="IHY109" s="139"/>
      <c r="IHZ109" s="139"/>
      <c r="IIA109" s="139"/>
      <c r="IIB109" s="139"/>
      <c r="IIC109" s="139"/>
      <c r="IID109" s="139"/>
      <c r="IIE109" s="139"/>
      <c r="IIF109" s="139"/>
      <c r="IIG109" s="139"/>
      <c r="IIH109" s="139"/>
      <c r="III109" s="139"/>
      <c r="IIJ109" s="139"/>
      <c r="IIK109" s="139"/>
      <c r="IIL109" s="139"/>
      <c r="IIM109" s="139"/>
      <c r="IIN109" s="139"/>
      <c r="IIO109" s="139"/>
      <c r="IIP109" s="139"/>
      <c r="IIQ109" s="139"/>
      <c r="IIR109" s="139"/>
      <c r="IIS109" s="139"/>
      <c r="IIT109" s="139"/>
      <c r="IIU109" s="139"/>
      <c r="IIV109" s="139"/>
      <c r="IIW109" s="139"/>
      <c r="IIX109" s="139"/>
      <c r="IIY109" s="139"/>
      <c r="IIZ109" s="139"/>
      <c r="IJA109" s="139"/>
      <c r="IJB109" s="139"/>
      <c r="IJC109" s="139"/>
      <c r="IJD109" s="139"/>
      <c r="IJE109" s="139"/>
      <c r="IJF109" s="139"/>
      <c r="IJG109" s="139"/>
      <c r="IJH109" s="139"/>
      <c r="IJI109" s="139"/>
      <c r="IJJ109" s="139"/>
      <c r="IJK109" s="139"/>
      <c r="IJL109" s="139"/>
      <c r="IJM109" s="139"/>
      <c r="IJN109" s="139"/>
      <c r="IJO109" s="139"/>
      <c r="IJP109" s="139"/>
      <c r="IJQ109" s="139"/>
      <c r="IJR109" s="139"/>
      <c r="IJS109" s="139"/>
      <c r="IJT109" s="139"/>
      <c r="IJU109" s="139"/>
      <c r="IJV109" s="139"/>
      <c r="IJW109" s="139"/>
      <c r="IJX109" s="139"/>
      <c r="IJY109" s="139"/>
      <c r="IJZ109" s="139"/>
      <c r="IKA109" s="139"/>
      <c r="IKB109" s="139"/>
      <c r="IKC109" s="139"/>
      <c r="IKD109" s="139"/>
      <c r="IKE109" s="139"/>
      <c r="IKF109" s="139"/>
      <c r="IKG109" s="139"/>
      <c r="IKH109" s="139"/>
      <c r="IKI109" s="139"/>
      <c r="IKJ109" s="139"/>
      <c r="IKK109" s="139"/>
      <c r="IKL109" s="139"/>
      <c r="IKM109" s="139"/>
      <c r="IKN109" s="139"/>
      <c r="IKO109" s="139"/>
      <c r="IKP109" s="139"/>
      <c r="IKQ109" s="139"/>
      <c r="IKR109" s="139"/>
      <c r="IKS109" s="139"/>
      <c r="IKT109" s="139"/>
      <c r="IKU109" s="139"/>
      <c r="IKV109" s="139"/>
      <c r="IKW109" s="139"/>
      <c r="IKX109" s="139"/>
      <c r="IKY109" s="139"/>
      <c r="IKZ109" s="139"/>
      <c r="ILA109" s="139"/>
      <c r="ILB109" s="139"/>
      <c r="ILC109" s="139"/>
      <c r="ILD109" s="139"/>
      <c r="ILE109" s="139"/>
      <c r="ILF109" s="139"/>
      <c r="ILG109" s="139"/>
      <c r="ILH109" s="139"/>
      <c r="ILI109" s="139"/>
      <c r="ILJ109" s="139"/>
      <c r="ILK109" s="139"/>
      <c r="ILL109" s="139"/>
      <c r="ILM109" s="139"/>
      <c r="ILN109" s="139"/>
      <c r="ILO109" s="139"/>
      <c r="ILP109" s="139"/>
      <c r="ILQ109" s="139"/>
      <c r="ILR109" s="139"/>
      <c r="ILS109" s="139"/>
      <c r="ILT109" s="139"/>
      <c r="ILU109" s="139"/>
      <c r="ILV109" s="139"/>
      <c r="ILW109" s="139"/>
      <c r="ILX109" s="139"/>
      <c r="ILY109" s="139"/>
      <c r="ILZ109" s="139"/>
      <c r="IMA109" s="139"/>
      <c r="IMB109" s="139"/>
      <c r="IMC109" s="139"/>
      <c r="IMD109" s="139"/>
      <c r="IME109" s="139"/>
      <c r="IMF109" s="139"/>
      <c r="IMG109" s="139"/>
      <c r="IMH109" s="139"/>
      <c r="IMI109" s="139"/>
      <c r="IMJ109" s="139"/>
      <c r="IMK109" s="139"/>
      <c r="IML109" s="139"/>
      <c r="IMM109" s="139"/>
      <c r="IMN109" s="139"/>
      <c r="IMO109" s="139"/>
      <c r="IMP109" s="139"/>
      <c r="IMQ109" s="139"/>
      <c r="IMR109" s="139"/>
      <c r="IMS109" s="139"/>
      <c r="IMT109" s="139"/>
      <c r="IMU109" s="139"/>
      <c r="IMV109" s="139"/>
      <c r="IMW109" s="139"/>
      <c r="IMX109" s="139"/>
      <c r="IMY109" s="139"/>
      <c r="IMZ109" s="139"/>
      <c r="INA109" s="139"/>
      <c r="INB109" s="139"/>
      <c r="INC109" s="139"/>
      <c r="IND109" s="139"/>
      <c r="INE109" s="139"/>
      <c r="INF109" s="139"/>
      <c r="ING109" s="139"/>
      <c r="INH109" s="139"/>
      <c r="INI109" s="139"/>
      <c r="INJ109" s="139"/>
      <c r="INK109" s="139"/>
      <c r="INL109" s="139"/>
      <c r="INM109" s="139"/>
      <c r="INN109" s="139"/>
      <c r="INO109" s="139"/>
      <c r="INP109" s="139"/>
      <c r="INQ109" s="139"/>
      <c r="INR109" s="139"/>
      <c r="INS109" s="139"/>
      <c r="INT109" s="139"/>
      <c r="INU109" s="139"/>
      <c r="INV109" s="139"/>
      <c r="INW109" s="139"/>
      <c r="INX109" s="139"/>
      <c r="INY109" s="139"/>
      <c r="INZ109" s="139"/>
      <c r="IOA109" s="139"/>
      <c r="IOB109" s="139"/>
      <c r="IOC109" s="139"/>
      <c r="IOD109" s="139"/>
      <c r="IOE109" s="139"/>
      <c r="IOF109" s="139"/>
      <c r="IOG109" s="139"/>
      <c r="IOH109" s="139"/>
      <c r="IOI109" s="139"/>
      <c r="IOJ109" s="139"/>
      <c r="IOK109" s="139"/>
      <c r="IOL109" s="139"/>
      <c r="IOM109" s="139"/>
      <c r="ION109" s="139"/>
      <c r="IOO109" s="139"/>
      <c r="IOP109" s="139"/>
      <c r="IOQ109" s="139"/>
      <c r="IOR109" s="139"/>
      <c r="IOS109" s="139"/>
      <c r="IOT109" s="139"/>
      <c r="IOU109" s="139"/>
      <c r="IOV109" s="139"/>
      <c r="IOW109" s="139"/>
      <c r="IOX109" s="139"/>
      <c r="IOY109" s="139"/>
      <c r="IOZ109" s="139"/>
      <c r="IPA109" s="139"/>
      <c r="IPB109" s="139"/>
      <c r="IPC109" s="139"/>
      <c r="IPD109" s="139"/>
      <c r="IPE109" s="139"/>
      <c r="IPF109" s="139"/>
      <c r="IPG109" s="139"/>
      <c r="IPH109" s="139"/>
      <c r="IPI109" s="139"/>
      <c r="IPJ109" s="139"/>
      <c r="IPK109" s="139"/>
      <c r="IPL109" s="139"/>
      <c r="IPM109" s="139"/>
      <c r="IPN109" s="139"/>
      <c r="IPO109" s="139"/>
      <c r="IPP109" s="139"/>
      <c r="IPQ109" s="139"/>
      <c r="IPR109" s="139"/>
      <c r="IPS109" s="139"/>
      <c r="IPT109" s="139"/>
      <c r="IPU109" s="139"/>
      <c r="IPV109" s="139"/>
      <c r="IPW109" s="139"/>
      <c r="IPX109" s="139"/>
      <c r="IPY109" s="139"/>
      <c r="IPZ109" s="139"/>
      <c r="IQA109" s="139"/>
      <c r="IQB109" s="139"/>
      <c r="IQC109" s="139"/>
      <c r="IQD109" s="139"/>
      <c r="IQE109" s="139"/>
      <c r="IQF109" s="139"/>
      <c r="IQG109" s="139"/>
      <c r="IQH109" s="139"/>
      <c r="IQI109" s="139"/>
      <c r="IQJ109" s="139"/>
      <c r="IQK109" s="139"/>
      <c r="IQL109" s="139"/>
      <c r="IQM109" s="139"/>
      <c r="IQN109" s="139"/>
      <c r="IQO109" s="139"/>
      <c r="IQP109" s="139"/>
      <c r="IQQ109" s="139"/>
      <c r="IQR109" s="139"/>
      <c r="IQS109" s="139"/>
      <c r="IQT109" s="139"/>
      <c r="IQU109" s="139"/>
      <c r="IQV109" s="139"/>
      <c r="IQW109" s="139"/>
      <c r="IQX109" s="139"/>
      <c r="IQY109" s="139"/>
      <c r="IQZ109" s="139"/>
      <c r="IRA109" s="139"/>
      <c r="IRB109" s="139"/>
      <c r="IRC109" s="139"/>
      <c r="IRD109" s="139"/>
      <c r="IRE109" s="139"/>
      <c r="IRF109" s="139"/>
      <c r="IRG109" s="139"/>
      <c r="IRH109" s="139"/>
      <c r="IRI109" s="139"/>
      <c r="IRJ109" s="139"/>
      <c r="IRK109" s="139"/>
      <c r="IRL109" s="139"/>
      <c r="IRM109" s="139"/>
      <c r="IRN109" s="139"/>
      <c r="IRO109" s="139"/>
      <c r="IRP109" s="139"/>
      <c r="IRQ109" s="139"/>
      <c r="IRR109" s="139"/>
      <c r="IRS109" s="139"/>
      <c r="IRT109" s="139"/>
      <c r="IRU109" s="139"/>
      <c r="IRV109" s="139"/>
      <c r="IRW109" s="139"/>
      <c r="IRX109" s="139"/>
      <c r="IRY109" s="139"/>
      <c r="IRZ109" s="139"/>
      <c r="ISA109" s="139"/>
      <c r="ISB109" s="139"/>
      <c r="ISC109" s="139"/>
      <c r="ISD109" s="139"/>
      <c r="ISE109" s="139"/>
      <c r="ISF109" s="139"/>
      <c r="ISG109" s="139"/>
      <c r="ISH109" s="139"/>
      <c r="ISI109" s="139"/>
      <c r="ISJ109" s="139"/>
      <c r="ISK109" s="139"/>
      <c r="ISL109" s="139"/>
      <c r="ISM109" s="139"/>
      <c r="ISN109" s="139"/>
      <c r="ISO109" s="139"/>
      <c r="ISP109" s="139"/>
      <c r="ISQ109" s="139"/>
      <c r="ISR109" s="139"/>
      <c r="ISS109" s="139"/>
      <c r="IST109" s="139"/>
      <c r="ISU109" s="139"/>
      <c r="ISV109" s="139"/>
      <c r="ISW109" s="139"/>
      <c r="ISX109" s="139"/>
      <c r="ISY109" s="139"/>
      <c r="ISZ109" s="139"/>
      <c r="ITA109" s="139"/>
      <c r="ITB109" s="139"/>
      <c r="ITC109" s="139"/>
      <c r="ITD109" s="139"/>
      <c r="ITE109" s="139"/>
      <c r="ITF109" s="139"/>
      <c r="ITG109" s="139"/>
      <c r="ITH109" s="139"/>
      <c r="ITI109" s="139"/>
      <c r="ITJ109" s="139"/>
      <c r="ITK109" s="139"/>
      <c r="ITL109" s="139"/>
      <c r="ITM109" s="139"/>
      <c r="ITN109" s="139"/>
      <c r="ITO109" s="139"/>
      <c r="ITP109" s="139"/>
      <c r="ITQ109" s="139"/>
      <c r="ITR109" s="139"/>
      <c r="ITS109" s="139"/>
      <c r="ITT109" s="139"/>
      <c r="ITU109" s="139"/>
      <c r="ITV109" s="139"/>
      <c r="ITW109" s="139"/>
      <c r="ITX109" s="139"/>
      <c r="ITY109" s="139"/>
      <c r="ITZ109" s="139"/>
      <c r="IUA109" s="139"/>
      <c r="IUB109" s="139"/>
      <c r="IUC109" s="139"/>
      <c r="IUD109" s="139"/>
      <c r="IUE109" s="139"/>
      <c r="IUF109" s="139"/>
      <c r="IUG109" s="139"/>
      <c r="IUH109" s="139"/>
      <c r="IUI109" s="139"/>
      <c r="IUJ109" s="139"/>
      <c r="IUK109" s="139"/>
      <c r="IUL109" s="139"/>
      <c r="IUM109" s="139"/>
      <c r="IUN109" s="139"/>
      <c r="IUO109" s="139"/>
      <c r="IUP109" s="139"/>
      <c r="IUQ109" s="139"/>
      <c r="IUR109" s="139"/>
      <c r="IUS109" s="139"/>
      <c r="IUT109" s="139"/>
      <c r="IUU109" s="139"/>
      <c r="IUV109" s="139"/>
      <c r="IUW109" s="139"/>
      <c r="IUX109" s="139"/>
      <c r="IUY109" s="139"/>
      <c r="IUZ109" s="139"/>
      <c r="IVA109" s="139"/>
      <c r="IVB109" s="139"/>
      <c r="IVC109" s="139"/>
      <c r="IVD109" s="139"/>
      <c r="IVE109" s="139"/>
      <c r="IVF109" s="139"/>
      <c r="IVG109" s="139"/>
      <c r="IVH109" s="139"/>
      <c r="IVI109" s="139"/>
      <c r="IVJ109" s="139"/>
      <c r="IVK109" s="139"/>
      <c r="IVL109" s="139"/>
      <c r="IVM109" s="139"/>
      <c r="IVN109" s="139"/>
      <c r="IVO109" s="139"/>
      <c r="IVP109" s="139"/>
      <c r="IVQ109" s="139"/>
      <c r="IVR109" s="139"/>
      <c r="IVS109" s="139"/>
      <c r="IVT109" s="139"/>
      <c r="IVU109" s="139"/>
      <c r="IVV109" s="139"/>
      <c r="IVW109" s="139"/>
      <c r="IVX109" s="139"/>
      <c r="IVY109" s="139"/>
      <c r="IVZ109" s="139"/>
      <c r="IWA109" s="139"/>
      <c r="IWB109" s="139"/>
      <c r="IWC109" s="139"/>
      <c r="IWD109" s="139"/>
      <c r="IWE109" s="139"/>
      <c r="IWF109" s="139"/>
      <c r="IWG109" s="139"/>
      <c r="IWH109" s="139"/>
      <c r="IWI109" s="139"/>
      <c r="IWJ109" s="139"/>
      <c r="IWK109" s="139"/>
      <c r="IWL109" s="139"/>
      <c r="IWM109" s="139"/>
      <c r="IWN109" s="139"/>
      <c r="IWO109" s="139"/>
      <c r="IWP109" s="139"/>
      <c r="IWQ109" s="139"/>
      <c r="IWR109" s="139"/>
      <c r="IWS109" s="139"/>
      <c r="IWT109" s="139"/>
      <c r="IWU109" s="139"/>
      <c r="IWV109" s="139"/>
      <c r="IWW109" s="139"/>
      <c r="IWX109" s="139"/>
      <c r="IWY109" s="139"/>
      <c r="IWZ109" s="139"/>
      <c r="IXA109" s="139"/>
      <c r="IXB109" s="139"/>
      <c r="IXC109" s="139"/>
      <c r="IXD109" s="139"/>
      <c r="IXE109" s="139"/>
      <c r="IXF109" s="139"/>
      <c r="IXG109" s="139"/>
      <c r="IXH109" s="139"/>
      <c r="IXI109" s="139"/>
      <c r="IXJ109" s="139"/>
      <c r="IXK109" s="139"/>
      <c r="IXL109" s="139"/>
      <c r="IXM109" s="139"/>
      <c r="IXN109" s="139"/>
      <c r="IXO109" s="139"/>
      <c r="IXP109" s="139"/>
      <c r="IXQ109" s="139"/>
      <c r="IXR109" s="139"/>
      <c r="IXS109" s="139"/>
      <c r="IXT109" s="139"/>
      <c r="IXU109" s="139"/>
      <c r="IXV109" s="139"/>
      <c r="IXW109" s="139"/>
      <c r="IXX109" s="139"/>
      <c r="IXY109" s="139"/>
      <c r="IXZ109" s="139"/>
      <c r="IYA109" s="139"/>
      <c r="IYB109" s="139"/>
      <c r="IYC109" s="139"/>
      <c r="IYD109" s="139"/>
      <c r="IYE109" s="139"/>
      <c r="IYF109" s="139"/>
      <c r="IYG109" s="139"/>
      <c r="IYH109" s="139"/>
      <c r="IYI109" s="139"/>
      <c r="IYJ109" s="139"/>
      <c r="IYK109" s="139"/>
      <c r="IYL109" s="139"/>
      <c r="IYM109" s="139"/>
      <c r="IYN109" s="139"/>
      <c r="IYO109" s="139"/>
      <c r="IYP109" s="139"/>
      <c r="IYQ109" s="139"/>
      <c r="IYR109" s="139"/>
      <c r="IYS109" s="139"/>
      <c r="IYT109" s="139"/>
      <c r="IYU109" s="139"/>
      <c r="IYV109" s="139"/>
      <c r="IYW109" s="139"/>
      <c r="IYX109" s="139"/>
      <c r="IYY109" s="139"/>
      <c r="IYZ109" s="139"/>
      <c r="IZA109" s="139"/>
      <c r="IZB109" s="139"/>
      <c r="IZC109" s="139"/>
      <c r="IZD109" s="139"/>
      <c r="IZE109" s="139"/>
      <c r="IZF109" s="139"/>
      <c r="IZG109" s="139"/>
      <c r="IZH109" s="139"/>
      <c r="IZI109" s="139"/>
      <c r="IZJ109" s="139"/>
      <c r="IZK109" s="139"/>
      <c r="IZL109" s="139"/>
      <c r="IZM109" s="139"/>
      <c r="IZN109" s="139"/>
      <c r="IZO109" s="139"/>
      <c r="IZP109" s="139"/>
      <c r="IZQ109" s="139"/>
      <c r="IZR109" s="139"/>
      <c r="IZS109" s="139"/>
      <c r="IZT109" s="139"/>
      <c r="IZU109" s="139"/>
      <c r="IZV109" s="139"/>
      <c r="IZW109" s="139"/>
      <c r="IZX109" s="139"/>
      <c r="IZY109" s="139"/>
      <c r="IZZ109" s="139"/>
      <c r="JAA109" s="139"/>
      <c r="JAB109" s="139"/>
      <c r="JAC109" s="139"/>
      <c r="JAD109" s="139"/>
      <c r="JAE109" s="139"/>
      <c r="JAF109" s="139"/>
      <c r="JAG109" s="139"/>
      <c r="JAH109" s="139"/>
      <c r="JAI109" s="139"/>
      <c r="JAJ109" s="139"/>
      <c r="JAK109" s="139"/>
      <c r="JAL109" s="139"/>
      <c r="JAM109" s="139"/>
      <c r="JAN109" s="139"/>
      <c r="JAO109" s="139"/>
      <c r="JAP109" s="139"/>
      <c r="JAQ109" s="139"/>
      <c r="JAR109" s="139"/>
      <c r="JAS109" s="139"/>
      <c r="JAT109" s="139"/>
      <c r="JAU109" s="139"/>
      <c r="JAV109" s="139"/>
      <c r="JAW109" s="139"/>
      <c r="JAX109" s="139"/>
      <c r="JAY109" s="139"/>
      <c r="JAZ109" s="139"/>
      <c r="JBA109" s="139"/>
      <c r="JBB109" s="139"/>
      <c r="JBC109" s="139"/>
      <c r="JBD109" s="139"/>
      <c r="JBE109" s="139"/>
      <c r="JBF109" s="139"/>
      <c r="JBG109" s="139"/>
      <c r="JBH109" s="139"/>
      <c r="JBI109" s="139"/>
      <c r="JBJ109" s="139"/>
      <c r="JBK109" s="139"/>
      <c r="JBL109" s="139"/>
      <c r="JBM109" s="139"/>
      <c r="JBN109" s="139"/>
      <c r="JBO109" s="139"/>
      <c r="JBP109" s="139"/>
      <c r="JBQ109" s="139"/>
      <c r="JBR109" s="139"/>
      <c r="JBS109" s="139"/>
      <c r="JBT109" s="139"/>
      <c r="JBU109" s="139"/>
      <c r="JBV109" s="139"/>
      <c r="JBW109" s="139"/>
      <c r="JBX109" s="139"/>
      <c r="JBY109" s="139"/>
      <c r="JBZ109" s="139"/>
      <c r="JCA109" s="139"/>
      <c r="JCB109" s="139"/>
      <c r="JCC109" s="139"/>
      <c r="JCD109" s="139"/>
      <c r="JCE109" s="139"/>
      <c r="JCF109" s="139"/>
      <c r="JCG109" s="139"/>
      <c r="JCH109" s="139"/>
      <c r="JCI109" s="139"/>
      <c r="JCJ109" s="139"/>
      <c r="JCK109" s="139"/>
      <c r="JCL109" s="139"/>
      <c r="JCM109" s="139"/>
      <c r="JCN109" s="139"/>
      <c r="JCO109" s="139"/>
      <c r="JCP109" s="139"/>
      <c r="JCQ109" s="139"/>
      <c r="JCR109" s="139"/>
      <c r="JCS109" s="139"/>
      <c r="JCT109" s="139"/>
      <c r="JCU109" s="139"/>
      <c r="JCV109" s="139"/>
      <c r="JCW109" s="139"/>
      <c r="JCX109" s="139"/>
      <c r="JCY109" s="139"/>
      <c r="JCZ109" s="139"/>
      <c r="JDA109" s="139"/>
      <c r="JDB109" s="139"/>
      <c r="JDC109" s="139"/>
      <c r="JDD109" s="139"/>
      <c r="JDE109" s="139"/>
      <c r="JDF109" s="139"/>
      <c r="JDG109" s="139"/>
      <c r="JDH109" s="139"/>
      <c r="JDI109" s="139"/>
      <c r="JDJ109" s="139"/>
      <c r="JDK109" s="139"/>
      <c r="JDL109" s="139"/>
      <c r="JDM109" s="139"/>
      <c r="JDN109" s="139"/>
      <c r="JDO109" s="139"/>
      <c r="JDP109" s="139"/>
      <c r="JDQ109" s="139"/>
      <c r="JDR109" s="139"/>
      <c r="JDS109" s="139"/>
      <c r="JDT109" s="139"/>
      <c r="JDU109" s="139"/>
      <c r="JDV109" s="139"/>
      <c r="JDW109" s="139"/>
      <c r="JDX109" s="139"/>
      <c r="JDY109" s="139"/>
      <c r="JDZ109" s="139"/>
      <c r="JEA109" s="139"/>
      <c r="JEB109" s="139"/>
      <c r="JEC109" s="139"/>
      <c r="JED109" s="139"/>
      <c r="JEE109" s="139"/>
      <c r="JEF109" s="139"/>
      <c r="JEG109" s="139"/>
      <c r="JEH109" s="139"/>
      <c r="JEI109" s="139"/>
      <c r="JEJ109" s="139"/>
      <c r="JEK109" s="139"/>
      <c r="JEL109" s="139"/>
      <c r="JEM109" s="139"/>
      <c r="JEN109" s="139"/>
      <c r="JEO109" s="139"/>
      <c r="JEP109" s="139"/>
      <c r="JEQ109" s="139"/>
      <c r="JER109" s="139"/>
      <c r="JES109" s="139"/>
      <c r="JET109" s="139"/>
      <c r="JEU109" s="139"/>
      <c r="JEV109" s="139"/>
      <c r="JEW109" s="139"/>
      <c r="JEX109" s="139"/>
      <c r="JEY109" s="139"/>
      <c r="JEZ109" s="139"/>
      <c r="JFA109" s="139"/>
      <c r="JFB109" s="139"/>
      <c r="JFC109" s="139"/>
      <c r="JFD109" s="139"/>
      <c r="JFE109" s="139"/>
      <c r="JFF109" s="139"/>
      <c r="JFG109" s="139"/>
      <c r="JFH109" s="139"/>
      <c r="JFI109" s="139"/>
      <c r="JFJ109" s="139"/>
      <c r="JFK109" s="139"/>
      <c r="JFL109" s="139"/>
      <c r="JFM109" s="139"/>
      <c r="JFN109" s="139"/>
      <c r="JFO109" s="139"/>
      <c r="JFP109" s="139"/>
      <c r="JFQ109" s="139"/>
      <c r="JFR109" s="139"/>
      <c r="JFS109" s="139"/>
      <c r="JFT109" s="139"/>
      <c r="JFU109" s="139"/>
      <c r="JFV109" s="139"/>
      <c r="JFW109" s="139"/>
      <c r="JFX109" s="139"/>
      <c r="JFY109" s="139"/>
      <c r="JFZ109" s="139"/>
      <c r="JGA109" s="139"/>
      <c r="JGB109" s="139"/>
      <c r="JGC109" s="139"/>
      <c r="JGD109" s="139"/>
      <c r="JGE109" s="139"/>
      <c r="JGF109" s="139"/>
      <c r="JGG109" s="139"/>
      <c r="JGH109" s="139"/>
      <c r="JGI109" s="139"/>
      <c r="JGJ109" s="139"/>
      <c r="JGK109" s="139"/>
      <c r="JGL109" s="139"/>
      <c r="JGM109" s="139"/>
      <c r="JGN109" s="139"/>
      <c r="JGO109" s="139"/>
      <c r="JGP109" s="139"/>
      <c r="JGQ109" s="139"/>
      <c r="JGR109" s="139"/>
      <c r="JGS109" s="139"/>
      <c r="JGT109" s="139"/>
      <c r="JGU109" s="139"/>
      <c r="JGV109" s="139"/>
      <c r="JGW109" s="139"/>
      <c r="JGX109" s="139"/>
      <c r="JGY109" s="139"/>
      <c r="JGZ109" s="139"/>
      <c r="JHA109" s="139"/>
      <c r="JHB109" s="139"/>
      <c r="JHC109" s="139"/>
      <c r="JHD109" s="139"/>
      <c r="JHE109" s="139"/>
      <c r="JHF109" s="139"/>
      <c r="JHG109" s="139"/>
      <c r="JHH109" s="139"/>
      <c r="JHI109" s="139"/>
      <c r="JHJ109" s="139"/>
      <c r="JHK109" s="139"/>
      <c r="JHL109" s="139"/>
      <c r="JHM109" s="139"/>
      <c r="JHN109" s="139"/>
      <c r="JHO109" s="139"/>
      <c r="JHP109" s="139"/>
      <c r="JHQ109" s="139"/>
      <c r="JHR109" s="139"/>
      <c r="JHS109" s="139"/>
      <c r="JHT109" s="139"/>
      <c r="JHU109" s="139"/>
      <c r="JHV109" s="139"/>
      <c r="JHW109" s="139"/>
      <c r="JHX109" s="139"/>
      <c r="JHY109" s="139"/>
      <c r="JHZ109" s="139"/>
      <c r="JIA109" s="139"/>
      <c r="JIB109" s="139"/>
      <c r="JIC109" s="139"/>
      <c r="JID109" s="139"/>
      <c r="JIE109" s="139"/>
      <c r="JIF109" s="139"/>
      <c r="JIG109" s="139"/>
      <c r="JIH109" s="139"/>
      <c r="JII109" s="139"/>
      <c r="JIJ109" s="139"/>
      <c r="JIK109" s="139"/>
      <c r="JIL109" s="139"/>
      <c r="JIM109" s="139"/>
      <c r="JIN109" s="139"/>
      <c r="JIO109" s="139"/>
      <c r="JIP109" s="139"/>
      <c r="JIQ109" s="139"/>
      <c r="JIR109" s="139"/>
      <c r="JIS109" s="139"/>
      <c r="JIT109" s="139"/>
      <c r="JIU109" s="139"/>
      <c r="JIV109" s="139"/>
      <c r="JIW109" s="139"/>
      <c r="JIX109" s="139"/>
      <c r="JIY109" s="139"/>
      <c r="JIZ109" s="139"/>
      <c r="JJA109" s="139"/>
      <c r="JJB109" s="139"/>
      <c r="JJC109" s="139"/>
      <c r="JJD109" s="139"/>
      <c r="JJE109" s="139"/>
      <c r="JJF109" s="139"/>
      <c r="JJG109" s="139"/>
      <c r="JJH109" s="139"/>
      <c r="JJI109" s="139"/>
      <c r="JJJ109" s="139"/>
      <c r="JJK109" s="139"/>
      <c r="JJL109" s="139"/>
      <c r="JJM109" s="139"/>
      <c r="JJN109" s="139"/>
      <c r="JJO109" s="139"/>
      <c r="JJP109" s="139"/>
      <c r="JJQ109" s="139"/>
      <c r="JJR109" s="139"/>
      <c r="JJS109" s="139"/>
      <c r="JJT109" s="139"/>
      <c r="JJU109" s="139"/>
      <c r="JJV109" s="139"/>
      <c r="JJW109" s="139"/>
      <c r="JJX109" s="139"/>
      <c r="JJY109" s="139"/>
      <c r="JJZ109" s="139"/>
      <c r="JKA109" s="139"/>
      <c r="JKB109" s="139"/>
      <c r="JKC109" s="139"/>
      <c r="JKD109" s="139"/>
      <c r="JKE109" s="139"/>
      <c r="JKF109" s="139"/>
      <c r="JKG109" s="139"/>
      <c r="JKH109" s="139"/>
      <c r="JKI109" s="139"/>
      <c r="JKJ109" s="139"/>
      <c r="JKK109" s="139"/>
      <c r="JKL109" s="139"/>
      <c r="JKM109" s="139"/>
      <c r="JKN109" s="139"/>
      <c r="JKO109" s="139"/>
      <c r="JKP109" s="139"/>
      <c r="JKQ109" s="139"/>
      <c r="JKR109" s="139"/>
      <c r="JKS109" s="139"/>
      <c r="JKT109" s="139"/>
      <c r="JKU109" s="139"/>
      <c r="JKV109" s="139"/>
      <c r="JKW109" s="139"/>
      <c r="JKX109" s="139"/>
      <c r="JKY109" s="139"/>
      <c r="JKZ109" s="139"/>
      <c r="JLA109" s="139"/>
      <c r="JLB109" s="139"/>
      <c r="JLC109" s="139"/>
      <c r="JLD109" s="139"/>
      <c r="JLE109" s="139"/>
      <c r="JLF109" s="139"/>
      <c r="JLG109" s="139"/>
      <c r="JLH109" s="139"/>
      <c r="JLI109" s="139"/>
      <c r="JLJ109" s="139"/>
      <c r="JLK109" s="139"/>
      <c r="JLL109" s="139"/>
      <c r="JLM109" s="139"/>
      <c r="JLN109" s="139"/>
      <c r="JLO109" s="139"/>
      <c r="JLP109" s="139"/>
      <c r="JLQ109" s="139"/>
      <c r="JLR109" s="139"/>
      <c r="JLS109" s="139"/>
      <c r="JLT109" s="139"/>
      <c r="JLU109" s="139"/>
      <c r="JLV109" s="139"/>
      <c r="JLW109" s="139"/>
      <c r="JLX109" s="139"/>
      <c r="JLY109" s="139"/>
      <c r="JLZ109" s="139"/>
      <c r="JMA109" s="139"/>
      <c r="JMB109" s="139"/>
      <c r="JMC109" s="139"/>
      <c r="JMD109" s="139"/>
      <c r="JME109" s="139"/>
      <c r="JMF109" s="139"/>
      <c r="JMG109" s="139"/>
      <c r="JMH109" s="139"/>
      <c r="JMI109" s="139"/>
      <c r="JMJ109" s="139"/>
      <c r="JMK109" s="139"/>
      <c r="JML109" s="139"/>
      <c r="JMM109" s="139"/>
      <c r="JMN109" s="139"/>
      <c r="JMO109" s="139"/>
      <c r="JMP109" s="139"/>
      <c r="JMQ109" s="139"/>
      <c r="JMR109" s="139"/>
      <c r="JMS109" s="139"/>
      <c r="JMT109" s="139"/>
      <c r="JMU109" s="139"/>
      <c r="JMV109" s="139"/>
      <c r="JMW109" s="139"/>
      <c r="JMX109" s="139"/>
      <c r="JMY109" s="139"/>
      <c r="JMZ109" s="139"/>
      <c r="JNA109" s="139"/>
      <c r="JNB109" s="139"/>
      <c r="JNC109" s="139"/>
      <c r="JND109" s="139"/>
      <c r="JNE109" s="139"/>
      <c r="JNF109" s="139"/>
      <c r="JNG109" s="139"/>
      <c r="JNH109" s="139"/>
      <c r="JNI109" s="139"/>
      <c r="JNJ109" s="139"/>
      <c r="JNK109" s="139"/>
      <c r="JNL109" s="139"/>
      <c r="JNM109" s="139"/>
      <c r="JNN109" s="139"/>
      <c r="JNO109" s="139"/>
      <c r="JNP109" s="139"/>
      <c r="JNQ109" s="139"/>
      <c r="JNR109" s="139"/>
      <c r="JNS109" s="139"/>
      <c r="JNT109" s="139"/>
      <c r="JNU109" s="139"/>
      <c r="JNV109" s="139"/>
      <c r="JNW109" s="139"/>
      <c r="JNX109" s="139"/>
      <c r="JNY109" s="139"/>
      <c r="JNZ109" s="139"/>
      <c r="JOA109" s="139"/>
      <c r="JOB109" s="139"/>
      <c r="JOC109" s="139"/>
      <c r="JOD109" s="139"/>
      <c r="JOE109" s="139"/>
      <c r="JOF109" s="139"/>
      <c r="JOG109" s="139"/>
      <c r="JOH109" s="139"/>
      <c r="JOI109" s="139"/>
      <c r="JOJ109" s="139"/>
      <c r="JOK109" s="139"/>
      <c r="JOL109" s="139"/>
      <c r="JOM109" s="139"/>
      <c r="JON109" s="139"/>
      <c r="JOO109" s="139"/>
      <c r="JOP109" s="139"/>
      <c r="JOQ109" s="139"/>
      <c r="JOR109" s="139"/>
      <c r="JOS109" s="139"/>
      <c r="JOT109" s="139"/>
      <c r="JOU109" s="139"/>
      <c r="JOV109" s="139"/>
      <c r="JOW109" s="139"/>
      <c r="JOX109" s="139"/>
      <c r="JOY109" s="139"/>
      <c r="JOZ109" s="139"/>
      <c r="JPA109" s="139"/>
      <c r="JPB109" s="139"/>
      <c r="JPC109" s="139"/>
      <c r="JPD109" s="139"/>
      <c r="JPE109" s="139"/>
      <c r="JPF109" s="139"/>
      <c r="JPG109" s="139"/>
      <c r="JPH109" s="139"/>
      <c r="JPI109" s="139"/>
      <c r="JPJ109" s="139"/>
      <c r="JPK109" s="139"/>
      <c r="JPL109" s="139"/>
      <c r="JPM109" s="139"/>
      <c r="JPN109" s="139"/>
      <c r="JPO109" s="139"/>
      <c r="JPP109" s="139"/>
      <c r="JPQ109" s="139"/>
      <c r="JPR109" s="139"/>
      <c r="JPS109" s="139"/>
      <c r="JPT109" s="139"/>
      <c r="JPU109" s="139"/>
      <c r="JPV109" s="139"/>
      <c r="JPW109" s="139"/>
      <c r="JPX109" s="139"/>
      <c r="JPY109" s="139"/>
      <c r="JPZ109" s="139"/>
      <c r="JQA109" s="139"/>
      <c r="JQB109" s="139"/>
      <c r="JQC109" s="139"/>
      <c r="JQD109" s="139"/>
      <c r="JQE109" s="139"/>
      <c r="JQF109" s="139"/>
      <c r="JQG109" s="139"/>
      <c r="JQH109" s="139"/>
      <c r="JQI109" s="139"/>
      <c r="JQJ109" s="139"/>
      <c r="JQK109" s="139"/>
      <c r="JQL109" s="139"/>
      <c r="JQM109" s="139"/>
      <c r="JQN109" s="139"/>
      <c r="JQO109" s="139"/>
      <c r="JQP109" s="139"/>
      <c r="JQQ109" s="139"/>
      <c r="JQR109" s="139"/>
      <c r="JQS109" s="139"/>
      <c r="JQT109" s="139"/>
      <c r="JQU109" s="139"/>
      <c r="JQV109" s="139"/>
      <c r="JQW109" s="139"/>
      <c r="JQX109" s="139"/>
      <c r="JQY109" s="139"/>
      <c r="JQZ109" s="139"/>
      <c r="JRA109" s="139"/>
      <c r="JRB109" s="139"/>
      <c r="JRC109" s="139"/>
      <c r="JRD109" s="139"/>
      <c r="JRE109" s="139"/>
      <c r="JRF109" s="139"/>
      <c r="JRG109" s="139"/>
      <c r="JRH109" s="139"/>
      <c r="JRI109" s="139"/>
      <c r="JRJ109" s="139"/>
      <c r="JRK109" s="139"/>
      <c r="JRL109" s="139"/>
      <c r="JRM109" s="139"/>
      <c r="JRN109" s="139"/>
      <c r="JRO109" s="139"/>
      <c r="JRP109" s="139"/>
      <c r="JRQ109" s="139"/>
      <c r="JRR109" s="139"/>
      <c r="JRS109" s="139"/>
      <c r="JRT109" s="139"/>
      <c r="JRU109" s="139"/>
      <c r="JRV109" s="139"/>
      <c r="JRW109" s="139"/>
      <c r="JRX109" s="139"/>
      <c r="JRY109" s="139"/>
      <c r="JRZ109" s="139"/>
      <c r="JSA109" s="139"/>
      <c r="JSB109" s="139"/>
      <c r="JSC109" s="139"/>
      <c r="JSD109" s="139"/>
      <c r="JSE109" s="139"/>
      <c r="JSF109" s="139"/>
      <c r="JSG109" s="139"/>
      <c r="JSH109" s="139"/>
      <c r="JSI109" s="139"/>
      <c r="JSJ109" s="139"/>
      <c r="JSK109" s="139"/>
      <c r="JSL109" s="139"/>
      <c r="JSM109" s="139"/>
      <c r="JSN109" s="139"/>
      <c r="JSO109" s="139"/>
      <c r="JSP109" s="139"/>
      <c r="JSQ109" s="139"/>
      <c r="JSR109" s="139"/>
      <c r="JSS109" s="139"/>
      <c r="JST109" s="139"/>
      <c r="JSU109" s="139"/>
      <c r="JSV109" s="139"/>
      <c r="JSW109" s="139"/>
      <c r="JSX109" s="139"/>
      <c r="JSY109" s="139"/>
      <c r="JSZ109" s="139"/>
      <c r="JTA109" s="139"/>
      <c r="JTB109" s="139"/>
      <c r="JTC109" s="139"/>
      <c r="JTD109" s="139"/>
      <c r="JTE109" s="139"/>
      <c r="JTF109" s="139"/>
      <c r="JTG109" s="139"/>
      <c r="JTH109" s="139"/>
      <c r="JTI109" s="139"/>
      <c r="JTJ109" s="139"/>
      <c r="JTK109" s="139"/>
      <c r="JTL109" s="139"/>
      <c r="JTM109" s="139"/>
      <c r="JTN109" s="139"/>
      <c r="JTO109" s="139"/>
      <c r="JTP109" s="139"/>
      <c r="JTQ109" s="139"/>
      <c r="JTR109" s="139"/>
      <c r="JTS109" s="139"/>
      <c r="JTT109" s="139"/>
      <c r="JTU109" s="139"/>
      <c r="JTV109" s="139"/>
      <c r="JTW109" s="139"/>
      <c r="JTX109" s="139"/>
      <c r="JTY109" s="139"/>
      <c r="JTZ109" s="139"/>
      <c r="JUA109" s="139"/>
      <c r="JUB109" s="139"/>
      <c r="JUC109" s="139"/>
      <c r="JUD109" s="139"/>
      <c r="JUE109" s="139"/>
      <c r="JUF109" s="139"/>
      <c r="JUG109" s="139"/>
      <c r="JUH109" s="139"/>
      <c r="JUI109" s="139"/>
      <c r="JUJ109" s="139"/>
      <c r="JUK109" s="139"/>
      <c r="JUL109" s="139"/>
      <c r="JUM109" s="139"/>
      <c r="JUN109" s="139"/>
      <c r="JUO109" s="139"/>
      <c r="JUP109" s="139"/>
      <c r="JUQ109" s="139"/>
      <c r="JUR109" s="139"/>
      <c r="JUS109" s="139"/>
      <c r="JUT109" s="139"/>
      <c r="JUU109" s="139"/>
      <c r="JUV109" s="139"/>
      <c r="JUW109" s="139"/>
      <c r="JUX109" s="139"/>
      <c r="JUY109" s="139"/>
      <c r="JUZ109" s="139"/>
      <c r="JVA109" s="139"/>
      <c r="JVB109" s="139"/>
      <c r="JVC109" s="139"/>
      <c r="JVD109" s="139"/>
      <c r="JVE109" s="139"/>
      <c r="JVF109" s="139"/>
      <c r="JVG109" s="139"/>
      <c r="JVH109" s="139"/>
      <c r="JVI109" s="139"/>
      <c r="JVJ109" s="139"/>
      <c r="JVK109" s="139"/>
      <c r="JVL109" s="139"/>
      <c r="JVM109" s="139"/>
      <c r="JVN109" s="139"/>
      <c r="JVO109" s="139"/>
      <c r="JVP109" s="139"/>
      <c r="JVQ109" s="139"/>
      <c r="JVR109" s="139"/>
      <c r="JVS109" s="139"/>
      <c r="JVT109" s="139"/>
      <c r="JVU109" s="139"/>
      <c r="JVV109" s="139"/>
      <c r="JVW109" s="139"/>
      <c r="JVX109" s="139"/>
      <c r="JVY109" s="139"/>
      <c r="JVZ109" s="139"/>
      <c r="JWA109" s="139"/>
      <c r="JWB109" s="139"/>
      <c r="JWC109" s="139"/>
      <c r="JWD109" s="139"/>
      <c r="JWE109" s="139"/>
      <c r="JWF109" s="139"/>
      <c r="JWG109" s="139"/>
      <c r="JWH109" s="139"/>
      <c r="JWI109" s="139"/>
      <c r="JWJ109" s="139"/>
      <c r="JWK109" s="139"/>
      <c r="JWL109" s="139"/>
      <c r="JWM109" s="139"/>
      <c r="JWN109" s="139"/>
      <c r="JWO109" s="139"/>
      <c r="JWP109" s="139"/>
      <c r="JWQ109" s="139"/>
      <c r="JWR109" s="139"/>
      <c r="JWS109" s="139"/>
      <c r="JWT109" s="139"/>
      <c r="JWU109" s="139"/>
      <c r="JWV109" s="139"/>
      <c r="JWW109" s="139"/>
      <c r="JWX109" s="139"/>
      <c r="JWY109" s="139"/>
      <c r="JWZ109" s="139"/>
      <c r="JXA109" s="139"/>
      <c r="JXB109" s="139"/>
      <c r="JXC109" s="139"/>
      <c r="JXD109" s="139"/>
      <c r="JXE109" s="139"/>
      <c r="JXF109" s="139"/>
      <c r="JXG109" s="139"/>
      <c r="JXH109" s="139"/>
      <c r="JXI109" s="139"/>
      <c r="JXJ109" s="139"/>
      <c r="JXK109" s="139"/>
      <c r="JXL109" s="139"/>
      <c r="JXM109" s="139"/>
      <c r="JXN109" s="139"/>
      <c r="JXO109" s="139"/>
      <c r="JXP109" s="139"/>
      <c r="JXQ109" s="139"/>
      <c r="JXR109" s="139"/>
      <c r="JXS109" s="139"/>
      <c r="JXT109" s="139"/>
      <c r="JXU109" s="139"/>
      <c r="JXV109" s="139"/>
      <c r="JXW109" s="139"/>
      <c r="JXX109" s="139"/>
      <c r="JXY109" s="139"/>
      <c r="JXZ109" s="139"/>
      <c r="JYA109" s="139"/>
      <c r="JYB109" s="139"/>
      <c r="JYC109" s="139"/>
      <c r="JYD109" s="139"/>
      <c r="JYE109" s="139"/>
      <c r="JYF109" s="139"/>
      <c r="JYG109" s="139"/>
      <c r="JYH109" s="139"/>
      <c r="JYI109" s="139"/>
      <c r="JYJ109" s="139"/>
      <c r="JYK109" s="139"/>
      <c r="JYL109" s="139"/>
      <c r="JYM109" s="139"/>
      <c r="JYN109" s="139"/>
      <c r="JYO109" s="139"/>
      <c r="JYP109" s="139"/>
      <c r="JYQ109" s="139"/>
      <c r="JYR109" s="139"/>
      <c r="JYS109" s="139"/>
      <c r="JYT109" s="139"/>
      <c r="JYU109" s="139"/>
      <c r="JYV109" s="139"/>
      <c r="JYW109" s="139"/>
      <c r="JYX109" s="139"/>
      <c r="JYY109" s="139"/>
      <c r="JYZ109" s="139"/>
      <c r="JZA109" s="139"/>
      <c r="JZB109" s="139"/>
      <c r="JZC109" s="139"/>
      <c r="JZD109" s="139"/>
      <c r="JZE109" s="139"/>
      <c r="JZF109" s="139"/>
      <c r="JZG109" s="139"/>
      <c r="JZH109" s="139"/>
      <c r="JZI109" s="139"/>
      <c r="JZJ109" s="139"/>
      <c r="JZK109" s="139"/>
      <c r="JZL109" s="139"/>
      <c r="JZM109" s="139"/>
      <c r="JZN109" s="139"/>
      <c r="JZO109" s="139"/>
      <c r="JZP109" s="139"/>
      <c r="JZQ109" s="139"/>
      <c r="JZR109" s="139"/>
      <c r="JZS109" s="139"/>
      <c r="JZT109" s="139"/>
      <c r="JZU109" s="139"/>
      <c r="JZV109" s="139"/>
      <c r="JZW109" s="139"/>
      <c r="JZX109" s="139"/>
      <c r="JZY109" s="139"/>
      <c r="JZZ109" s="139"/>
      <c r="KAA109" s="139"/>
      <c r="KAB109" s="139"/>
      <c r="KAC109" s="139"/>
      <c r="KAD109" s="139"/>
      <c r="KAE109" s="139"/>
      <c r="KAF109" s="139"/>
      <c r="KAG109" s="139"/>
      <c r="KAH109" s="139"/>
      <c r="KAI109" s="139"/>
      <c r="KAJ109" s="139"/>
      <c r="KAK109" s="139"/>
      <c r="KAL109" s="139"/>
      <c r="KAM109" s="139"/>
      <c r="KAN109" s="139"/>
      <c r="KAO109" s="139"/>
      <c r="KAP109" s="139"/>
      <c r="KAQ109" s="139"/>
      <c r="KAR109" s="139"/>
      <c r="KAS109" s="139"/>
      <c r="KAT109" s="139"/>
      <c r="KAU109" s="139"/>
      <c r="KAV109" s="139"/>
      <c r="KAW109" s="139"/>
      <c r="KAX109" s="139"/>
      <c r="KAY109" s="139"/>
      <c r="KAZ109" s="139"/>
      <c r="KBA109" s="139"/>
      <c r="KBB109" s="139"/>
      <c r="KBC109" s="139"/>
      <c r="KBD109" s="139"/>
      <c r="KBE109" s="139"/>
      <c r="KBF109" s="139"/>
      <c r="KBG109" s="139"/>
      <c r="KBH109" s="139"/>
      <c r="KBI109" s="139"/>
      <c r="KBJ109" s="139"/>
      <c r="KBK109" s="139"/>
      <c r="KBL109" s="139"/>
      <c r="KBM109" s="139"/>
      <c r="KBN109" s="139"/>
      <c r="KBO109" s="139"/>
      <c r="KBP109" s="139"/>
      <c r="KBQ109" s="139"/>
      <c r="KBR109" s="139"/>
      <c r="KBS109" s="139"/>
      <c r="KBT109" s="139"/>
      <c r="KBU109" s="139"/>
      <c r="KBV109" s="139"/>
      <c r="KBW109" s="139"/>
      <c r="KBX109" s="139"/>
      <c r="KBY109" s="139"/>
      <c r="KBZ109" s="139"/>
      <c r="KCA109" s="139"/>
      <c r="KCB109" s="139"/>
      <c r="KCC109" s="139"/>
      <c r="KCD109" s="139"/>
      <c r="KCE109" s="139"/>
      <c r="KCF109" s="139"/>
      <c r="KCG109" s="139"/>
      <c r="KCH109" s="139"/>
      <c r="KCI109" s="139"/>
      <c r="KCJ109" s="139"/>
      <c r="KCK109" s="139"/>
      <c r="KCL109" s="139"/>
      <c r="KCM109" s="139"/>
      <c r="KCN109" s="139"/>
      <c r="KCO109" s="139"/>
      <c r="KCP109" s="139"/>
      <c r="KCQ109" s="139"/>
      <c r="KCR109" s="139"/>
      <c r="KCS109" s="139"/>
      <c r="KCT109" s="139"/>
      <c r="KCU109" s="139"/>
      <c r="KCV109" s="139"/>
      <c r="KCW109" s="139"/>
      <c r="KCX109" s="139"/>
      <c r="KCY109" s="139"/>
      <c r="KCZ109" s="139"/>
      <c r="KDA109" s="139"/>
      <c r="KDB109" s="139"/>
      <c r="KDC109" s="139"/>
      <c r="KDD109" s="139"/>
      <c r="KDE109" s="139"/>
      <c r="KDF109" s="139"/>
      <c r="KDG109" s="139"/>
      <c r="KDH109" s="139"/>
      <c r="KDI109" s="139"/>
      <c r="KDJ109" s="139"/>
      <c r="KDK109" s="139"/>
      <c r="KDL109" s="139"/>
      <c r="KDM109" s="139"/>
      <c r="KDN109" s="139"/>
      <c r="KDO109" s="139"/>
      <c r="KDP109" s="139"/>
      <c r="KDQ109" s="139"/>
      <c r="KDR109" s="139"/>
      <c r="KDS109" s="139"/>
      <c r="KDT109" s="139"/>
      <c r="KDU109" s="139"/>
      <c r="KDV109" s="139"/>
      <c r="KDW109" s="139"/>
      <c r="KDX109" s="139"/>
      <c r="KDY109" s="139"/>
      <c r="KDZ109" s="139"/>
      <c r="KEA109" s="139"/>
      <c r="KEB109" s="139"/>
      <c r="KEC109" s="139"/>
      <c r="KED109" s="139"/>
      <c r="KEE109" s="139"/>
      <c r="KEF109" s="139"/>
      <c r="KEG109" s="139"/>
      <c r="KEH109" s="139"/>
      <c r="KEI109" s="139"/>
      <c r="KEJ109" s="139"/>
      <c r="KEK109" s="139"/>
      <c r="KEL109" s="139"/>
      <c r="KEM109" s="139"/>
      <c r="KEN109" s="139"/>
      <c r="KEO109" s="139"/>
      <c r="KEP109" s="139"/>
      <c r="KEQ109" s="139"/>
      <c r="KER109" s="139"/>
      <c r="KES109" s="139"/>
      <c r="KET109" s="139"/>
      <c r="KEU109" s="139"/>
      <c r="KEV109" s="139"/>
      <c r="KEW109" s="139"/>
      <c r="KEX109" s="139"/>
      <c r="KEY109" s="139"/>
      <c r="KEZ109" s="139"/>
      <c r="KFA109" s="139"/>
      <c r="KFB109" s="139"/>
      <c r="KFC109" s="139"/>
      <c r="KFD109" s="139"/>
      <c r="KFE109" s="139"/>
      <c r="KFF109" s="139"/>
      <c r="KFG109" s="139"/>
      <c r="KFH109" s="139"/>
      <c r="KFI109" s="139"/>
      <c r="KFJ109" s="139"/>
      <c r="KFK109" s="139"/>
      <c r="KFL109" s="139"/>
      <c r="KFM109" s="139"/>
      <c r="KFN109" s="139"/>
      <c r="KFO109" s="139"/>
      <c r="KFP109" s="139"/>
      <c r="KFQ109" s="139"/>
      <c r="KFR109" s="139"/>
      <c r="KFS109" s="139"/>
      <c r="KFT109" s="139"/>
      <c r="KFU109" s="139"/>
      <c r="KFV109" s="139"/>
      <c r="KFW109" s="139"/>
      <c r="KFX109" s="139"/>
      <c r="KFY109" s="139"/>
      <c r="KFZ109" s="139"/>
      <c r="KGA109" s="139"/>
      <c r="KGB109" s="139"/>
      <c r="KGC109" s="139"/>
      <c r="KGD109" s="139"/>
      <c r="KGE109" s="139"/>
      <c r="KGF109" s="139"/>
      <c r="KGG109" s="139"/>
      <c r="KGH109" s="139"/>
      <c r="KGI109" s="139"/>
      <c r="KGJ109" s="139"/>
      <c r="KGK109" s="139"/>
      <c r="KGL109" s="139"/>
      <c r="KGM109" s="139"/>
      <c r="KGN109" s="139"/>
      <c r="KGO109" s="139"/>
      <c r="KGP109" s="139"/>
      <c r="KGQ109" s="139"/>
      <c r="KGR109" s="139"/>
      <c r="KGS109" s="139"/>
      <c r="KGT109" s="139"/>
      <c r="KGU109" s="139"/>
      <c r="KGV109" s="139"/>
      <c r="KGW109" s="139"/>
      <c r="KGX109" s="139"/>
      <c r="KGY109" s="139"/>
      <c r="KGZ109" s="139"/>
      <c r="KHA109" s="139"/>
      <c r="KHB109" s="139"/>
      <c r="KHC109" s="139"/>
      <c r="KHD109" s="139"/>
      <c r="KHE109" s="139"/>
      <c r="KHF109" s="139"/>
      <c r="KHG109" s="139"/>
      <c r="KHH109" s="139"/>
      <c r="KHI109" s="139"/>
      <c r="KHJ109" s="139"/>
      <c r="KHK109" s="139"/>
      <c r="KHL109" s="139"/>
      <c r="KHM109" s="139"/>
      <c r="KHN109" s="139"/>
      <c r="KHO109" s="139"/>
      <c r="KHP109" s="139"/>
      <c r="KHQ109" s="139"/>
      <c r="KHR109" s="139"/>
      <c r="KHS109" s="139"/>
      <c r="KHT109" s="139"/>
      <c r="KHU109" s="139"/>
      <c r="KHV109" s="139"/>
      <c r="KHW109" s="139"/>
      <c r="KHX109" s="139"/>
      <c r="KHY109" s="139"/>
      <c r="KHZ109" s="139"/>
      <c r="KIA109" s="139"/>
      <c r="KIB109" s="139"/>
      <c r="KIC109" s="139"/>
      <c r="KID109" s="139"/>
      <c r="KIE109" s="139"/>
      <c r="KIF109" s="139"/>
      <c r="KIG109" s="139"/>
      <c r="KIH109" s="139"/>
      <c r="KII109" s="139"/>
      <c r="KIJ109" s="139"/>
      <c r="KIK109" s="139"/>
      <c r="KIL109" s="139"/>
      <c r="KIM109" s="139"/>
      <c r="KIN109" s="139"/>
      <c r="KIO109" s="139"/>
      <c r="KIP109" s="139"/>
      <c r="KIQ109" s="139"/>
      <c r="KIR109" s="139"/>
      <c r="KIS109" s="139"/>
      <c r="KIT109" s="139"/>
      <c r="KIU109" s="139"/>
      <c r="KIV109" s="139"/>
      <c r="KIW109" s="139"/>
      <c r="KIX109" s="139"/>
      <c r="KIY109" s="139"/>
      <c r="KIZ109" s="139"/>
      <c r="KJA109" s="139"/>
      <c r="KJB109" s="139"/>
      <c r="KJC109" s="139"/>
      <c r="KJD109" s="139"/>
      <c r="KJE109" s="139"/>
      <c r="KJF109" s="139"/>
      <c r="KJG109" s="139"/>
      <c r="KJH109" s="139"/>
      <c r="KJI109" s="139"/>
      <c r="KJJ109" s="139"/>
      <c r="KJK109" s="139"/>
      <c r="KJL109" s="139"/>
      <c r="KJM109" s="139"/>
      <c r="KJN109" s="139"/>
      <c r="KJO109" s="139"/>
      <c r="KJP109" s="139"/>
      <c r="KJQ109" s="139"/>
      <c r="KJR109" s="139"/>
      <c r="KJS109" s="139"/>
      <c r="KJT109" s="139"/>
      <c r="KJU109" s="139"/>
      <c r="KJV109" s="139"/>
      <c r="KJW109" s="139"/>
      <c r="KJX109" s="139"/>
      <c r="KJY109" s="139"/>
      <c r="KJZ109" s="139"/>
      <c r="KKA109" s="139"/>
      <c r="KKB109" s="139"/>
      <c r="KKC109" s="139"/>
      <c r="KKD109" s="139"/>
      <c r="KKE109" s="139"/>
      <c r="KKF109" s="139"/>
      <c r="KKG109" s="139"/>
      <c r="KKH109" s="139"/>
      <c r="KKI109" s="139"/>
      <c r="KKJ109" s="139"/>
      <c r="KKK109" s="139"/>
      <c r="KKL109" s="139"/>
      <c r="KKM109" s="139"/>
      <c r="KKN109" s="139"/>
      <c r="KKO109" s="139"/>
      <c r="KKP109" s="139"/>
      <c r="KKQ109" s="139"/>
      <c r="KKR109" s="139"/>
      <c r="KKS109" s="139"/>
      <c r="KKT109" s="139"/>
      <c r="KKU109" s="139"/>
      <c r="KKV109" s="139"/>
      <c r="KKW109" s="139"/>
      <c r="KKX109" s="139"/>
      <c r="KKY109" s="139"/>
      <c r="KKZ109" s="139"/>
      <c r="KLA109" s="139"/>
      <c r="KLB109" s="139"/>
      <c r="KLC109" s="139"/>
      <c r="KLD109" s="139"/>
      <c r="KLE109" s="139"/>
      <c r="KLF109" s="139"/>
      <c r="KLG109" s="139"/>
      <c r="KLH109" s="139"/>
      <c r="KLI109" s="139"/>
      <c r="KLJ109" s="139"/>
      <c r="KLK109" s="139"/>
      <c r="KLL109" s="139"/>
      <c r="KLM109" s="139"/>
      <c r="KLN109" s="139"/>
      <c r="KLO109" s="139"/>
      <c r="KLP109" s="139"/>
      <c r="KLQ109" s="139"/>
      <c r="KLR109" s="139"/>
      <c r="KLS109" s="139"/>
      <c r="KLT109" s="139"/>
      <c r="KLU109" s="139"/>
      <c r="KLV109" s="139"/>
      <c r="KLW109" s="139"/>
      <c r="KLX109" s="139"/>
      <c r="KLY109" s="139"/>
      <c r="KLZ109" s="139"/>
      <c r="KMA109" s="139"/>
      <c r="KMB109" s="139"/>
      <c r="KMC109" s="139"/>
      <c r="KMD109" s="139"/>
      <c r="KME109" s="139"/>
      <c r="KMF109" s="139"/>
      <c r="KMG109" s="139"/>
      <c r="KMH109" s="139"/>
      <c r="KMI109" s="139"/>
      <c r="KMJ109" s="139"/>
      <c r="KMK109" s="139"/>
      <c r="KML109" s="139"/>
      <c r="KMM109" s="139"/>
      <c r="KMN109" s="139"/>
      <c r="KMO109" s="139"/>
      <c r="KMP109" s="139"/>
      <c r="KMQ109" s="139"/>
      <c r="KMR109" s="139"/>
      <c r="KMS109" s="139"/>
      <c r="KMT109" s="139"/>
      <c r="KMU109" s="139"/>
      <c r="KMV109" s="139"/>
      <c r="KMW109" s="139"/>
      <c r="KMX109" s="139"/>
      <c r="KMY109" s="139"/>
      <c r="KMZ109" s="139"/>
      <c r="KNA109" s="139"/>
      <c r="KNB109" s="139"/>
      <c r="KNC109" s="139"/>
      <c r="KND109" s="139"/>
      <c r="KNE109" s="139"/>
      <c r="KNF109" s="139"/>
      <c r="KNG109" s="139"/>
      <c r="KNH109" s="139"/>
      <c r="KNI109" s="139"/>
      <c r="KNJ109" s="139"/>
      <c r="KNK109" s="139"/>
      <c r="KNL109" s="139"/>
      <c r="KNM109" s="139"/>
      <c r="KNN109" s="139"/>
      <c r="KNO109" s="139"/>
      <c r="KNP109" s="139"/>
      <c r="KNQ109" s="139"/>
      <c r="KNR109" s="139"/>
      <c r="KNS109" s="139"/>
      <c r="KNT109" s="139"/>
      <c r="KNU109" s="139"/>
      <c r="KNV109" s="139"/>
      <c r="KNW109" s="139"/>
      <c r="KNX109" s="139"/>
      <c r="KNY109" s="139"/>
      <c r="KNZ109" s="139"/>
      <c r="KOA109" s="139"/>
      <c r="KOB109" s="139"/>
      <c r="KOC109" s="139"/>
      <c r="KOD109" s="139"/>
      <c r="KOE109" s="139"/>
      <c r="KOF109" s="139"/>
      <c r="KOG109" s="139"/>
      <c r="KOH109" s="139"/>
      <c r="KOI109" s="139"/>
      <c r="KOJ109" s="139"/>
      <c r="KOK109" s="139"/>
      <c r="KOL109" s="139"/>
      <c r="KOM109" s="139"/>
      <c r="KON109" s="139"/>
      <c r="KOO109" s="139"/>
      <c r="KOP109" s="139"/>
      <c r="KOQ109" s="139"/>
      <c r="KOR109" s="139"/>
      <c r="KOS109" s="139"/>
      <c r="KOT109" s="139"/>
      <c r="KOU109" s="139"/>
      <c r="KOV109" s="139"/>
      <c r="KOW109" s="139"/>
      <c r="KOX109" s="139"/>
      <c r="KOY109" s="139"/>
      <c r="KOZ109" s="139"/>
      <c r="KPA109" s="139"/>
      <c r="KPB109" s="139"/>
      <c r="KPC109" s="139"/>
      <c r="KPD109" s="139"/>
      <c r="KPE109" s="139"/>
      <c r="KPF109" s="139"/>
      <c r="KPG109" s="139"/>
      <c r="KPH109" s="139"/>
      <c r="KPI109" s="139"/>
      <c r="KPJ109" s="139"/>
      <c r="KPK109" s="139"/>
      <c r="KPL109" s="139"/>
      <c r="KPM109" s="139"/>
      <c r="KPN109" s="139"/>
      <c r="KPO109" s="139"/>
      <c r="KPP109" s="139"/>
      <c r="KPQ109" s="139"/>
      <c r="KPR109" s="139"/>
      <c r="KPS109" s="139"/>
      <c r="KPT109" s="139"/>
      <c r="KPU109" s="139"/>
      <c r="KPV109" s="139"/>
      <c r="KPW109" s="139"/>
      <c r="KPX109" s="139"/>
      <c r="KPY109" s="139"/>
      <c r="KPZ109" s="139"/>
      <c r="KQA109" s="139"/>
      <c r="KQB109" s="139"/>
      <c r="KQC109" s="139"/>
      <c r="KQD109" s="139"/>
      <c r="KQE109" s="139"/>
      <c r="KQF109" s="139"/>
      <c r="KQG109" s="139"/>
      <c r="KQH109" s="139"/>
      <c r="KQI109" s="139"/>
      <c r="KQJ109" s="139"/>
      <c r="KQK109" s="139"/>
      <c r="KQL109" s="139"/>
      <c r="KQM109" s="139"/>
      <c r="KQN109" s="139"/>
      <c r="KQO109" s="139"/>
      <c r="KQP109" s="139"/>
      <c r="KQQ109" s="139"/>
      <c r="KQR109" s="139"/>
      <c r="KQS109" s="139"/>
      <c r="KQT109" s="139"/>
      <c r="KQU109" s="139"/>
      <c r="KQV109" s="139"/>
      <c r="KQW109" s="139"/>
      <c r="KQX109" s="139"/>
      <c r="KQY109" s="139"/>
      <c r="KQZ109" s="139"/>
      <c r="KRA109" s="139"/>
      <c r="KRB109" s="139"/>
      <c r="KRC109" s="139"/>
      <c r="KRD109" s="139"/>
      <c r="KRE109" s="139"/>
      <c r="KRF109" s="139"/>
      <c r="KRG109" s="139"/>
      <c r="KRH109" s="139"/>
      <c r="KRI109" s="139"/>
      <c r="KRJ109" s="139"/>
      <c r="KRK109" s="139"/>
      <c r="KRL109" s="139"/>
      <c r="KRM109" s="139"/>
      <c r="KRN109" s="139"/>
      <c r="KRO109" s="139"/>
      <c r="KRP109" s="139"/>
      <c r="KRQ109" s="139"/>
      <c r="KRR109" s="139"/>
      <c r="KRS109" s="139"/>
      <c r="KRT109" s="139"/>
      <c r="KRU109" s="139"/>
      <c r="KRV109" s="139"/>
      <c r="KRW109" s="139"/>
      <c r="KRX109" s="139"/>
      <c r="KRY109" s="139"/>
      <c r="KRZ109" s="139"/>
      <c r="KSA109" s="139"/>
      <c r="KSB109" s="139"/>
      <c r="KSC109" s="139"/>
      <c r="KSD109" s="139"/>
      <c r="KSE109" s="139"/>
      <c r="KSF109" s="139"/>
      <c r="KSG109" s="139"/>
      <c r="KSH109" s="139"/>
      <c r="KSI109" s="139"/>
      <c r="KSJ109" s="139"/>
      <c r="KSK109" s="139"/>
      <c r="KSL109" s="139"/>
      <c r="KSM109" s="139"/>
      <c r="KSN109" s="139"/>
      <c r="KSO109" s="139"/>
      <c r="KSP109" s="139"/>
      <c r="KSQ109" s="139"/>
      <c r="KSR109" s="139"/>
      <c r="KSS109" s="139"/>
      <c r="KST109" s="139"/>
      <c r="KSU109" s="139"/>
      <c r="KSV109" s="139"/>
      <c r="KSW109" s="139"/>
      <c r="KSX109" s="139"/>
      <c r="KSY109" s="139"/>
      <c r="KSZ109" s="139"/>
      <c r="KTA109" s="139"/>
      <c r="KTB109" s="139"/>
      <c r="KTC109" s="139"/>
      <c r="KTD109" s="139"/>
      <c r="KTE109" s="139"/>
      <c r="KTF109" s="139"/>
      <c r="KTG109" s="139"/>
      <c r="KTH109" s="139"/>
      <c r="KTI109" s="139"/>
      <c r="KTJ109" s="139"/>
      <c r="KTK109" s="139"/>
      <c r="KTL109" s="139"/>
      <c r="KTM109" s="139"/>
      <c r="KTN109" s="139"/>
      <c r="KTO109" s="139"/>
      <c r="KTP109" s="139"/>
      <c r="KTQ109" s="139"/>
      <c r="KTR109" s="139"/>
      <c r="KTS109" s="139"/>
      <c r="KTT109" s="139"/>
      <c r="KTU109" s="139"/>
      <c r="KTV109" s="139"/>
      <c r="KTW109" s="139"/>
      <c r="KTX109" s="139"/>
      <c r="KTY109" s="139"/>
      <c r="KTZ109" s="139"/>
      <c r="KUA109" s="139"/>
      <c r="KUB109" s="139"/>
      <c r="KUC109" s="139"/>
      <c r="KUD109" s="139"/>
      <c r="KUE109" s="139"/>
      <c r="KUF109" s="139"/>
      <c r="KUG109" s="139"/>
      <c r="KUH109" s="139"/>
      <c r="KUI109" s="139"/>
      <c r="KUJ109" s="139"/>
      <c r="KUK109" s="139"/>
      <c r="KUL109" s="139"/>
      <c r="KUM109" s="139"/>
      <c r="KUN109" s="139"/>
      <c r="KUO109" s="139"/>
      <c r="KUP109" s="139"/>
      <c r="KUQ109" s="139"/>
      <c r="KUR109" s="139"/>
      <c r="KUS109" s="139"/>
      <c r="KUT109" s="139"/>
      <c r="KUU109" s="139"/>
      <c r="KUV109" s="139"/>
      <c r="KUW109" s="139"/>
      <c r="KUX109" s="139"/>
      <c r="KUY109" s="139"/>
      <c r="KUZ109" s="139"/>
      <c r="KVA109" s="139"/>
      <c r="KVB109" s="139"/>
      <c r="KVC109" s="139"/>
      <c r="KVD109" s="139"/>
      <c r="KVE109" s="139"/>
      <c r="KVF109" s="139"/>
      <c r="KVG109" s="139"/>
      <c r="KVH109" s="139"/>
      <c r="KVI109" s="139"/>
      <c r="KVJ109" s="139"/>
      <c r="KVK109" s="139"/>
      <c r="KVL109" s="139"/>
      <c r="KVM109" s="139"/>
      <c r="KVN109" s="139"/>
      <c r="KVO109" s="139"/>
      <c r="KVP109" s="139"/>
      <c r="KVQ109" s="139"/>
      <c r="KVR109" s="139"/>
      <c r="KVS109" s="139"/>
      <c r="KVT109" s="139"/>
      <c r="KVU109" s="139"/>
      <c r="KVV109" s="139"/>
      <c r="KVW109" s="139"/>
      <c r="KVX109" s="139"/>
      <c r="KVY109" s="139"/>
      <c r="KVZ109" s="139"/>
      <c r="KWA109" s="139"/>
      <c r="KWB109" s="139"/>
      <c r="KWC109" s="139"/>
      <c r="KWD109" s="139"/>
      <c r="KWE109" s="139"/>
      <c r="KWF109" s="139"/>
      <c r="KWG109" s="139"/>
      <c r="KWH109" s="139"/>
      <c r="KWI109" s="139"/>
      <c r="KWJ109" s="139"/>
      <c r="KWK109" s="139"/>
      <c r="KWL109" s="139"/>
      <c r="KWM109" s="139"/>
      <c r="KWN109" s="139"/>
      <c r="KWO109" s="139"/>
      <c r="KWP109" s="139"/>
      <c r="KWQ109" s="139"/>
      <c r="KWR109" s="139"/>
      <c r="KWS109" s="139"/>
      <c r="KWT109" s="139"/>
      <c r="KWU109" s="139"/>
      <c r="KWV109" s="139"/>
      <c r="KWW109" s="139"/>
      <c r="KWX109" s="139"/>
      <c r="KWY109" s="139"/>
      <c r="KWZ109" s="139"/>
      <c r="KXA109" s="139"/>
      <c r="KXB109" s="139"/>
      <c r="KXC109" s="139"/>
      <c r="KXD109" s="139"/>
      <c r="KXE109" s="139"/>
      <c r="KXF109" s="139"/>
      <c r="KXG109" s="139"/>
      <c r="KXH109" s="139"/>
      <c r="KXI109" s="139"/>
      <c r="KXJ109" s="139"/>
      <c r="KXK109" s="139"/>
      <c r="KXL109" s="139"/>
      <c r="KXM109" s="139"/>
      <c r="KXN109" s="139"/>
      <c r="KXO109" s="139"/>
      <c r="KXP109" s="139"/>
      <c r="KXQ109" s="139"/>
      <c r="KXR109" s="139"/>
      <c r="KXS109" s="139"/>
      <c r="KXT109" s="139"/>
      <c r="KXU109" s="139"/>
      <c r="KXV109" s="139"/>
      <c r="KXW109" s="139"/>
      <c r="KXX109" s="139"/>
      <c r="KXY109" s="139"/>
      <c r="KXZ109" s="139"/>
      <c r="KYA109" s="139"/>
      <c r="KYB109" s="139"/>
      <c r="KYC109" s="139"/>
      <c r="KYD109" s="139"/>
      <c r="KYE109" s="139"/>
      <c r="KYF109" s="139"/>
      <c r="KYG109" s="139"/>
      <c r="KYH109" s="139"/>
      <c r="KYI109" s="139"/>
      <c r="KYJ109" s="139"/>
      <c r="KYK109" s="139"/>
      <c r="KYL109" s="139"/>
      <c r="KYM109" s="139"/>
      <c r="KYN109" s="139"/>
      <c r="KYO109" s="139"/>
      <c r="KYP109" s="139"/>
      <c r="KYQ109" s="139"/>
      <c r="KYR109" s="139"/>
      <c r="KYS109" s="139"/>
      <c r="KYT109" s="139"/>
      <c r="KYU109" s="139"/>
      <c r="KYV109" s="139"/>
      <c r="KYW109" s="139"/>
      <c r="KYX109" s="139"/>
      <c r="KYY109" s="139"/>
      <c r="KYZ109" s="139"/>
      <c r="KZA109" s="139"/>
      <c r="KZB109" s="139"/>
      <c r="KZC109" s="139"/>
      <c r="KZD109" s="139"/>
      <c r="KZE109" s="139"/>
      <c r="KZF109" s="139"/>
      <c r="KZG109" s="139"/>
      <c r="KZH109" s="139"/>
      <c r="KZI109" s="139"/>
      <c r="KZJ109" s="139"/>
      <c r="KZK109" s="139"/>
      <c r="KZL109" s="139"/>
      <c r="KZM109" s="139"/>
      <c r="KZN109" s="139"/>
      <c r="KZO109" s="139"/>
      <c r="KZP109" s="139"/>
      <c r="KZQ109" s="139"/>
      <c r="KZR109" s="139"/>
      <c r="KZS109" s="139"/>
      <c r="KZT109" s="139"/>
      <c r="KZU109" s="139"/>
      <c r="KZV109" s="139"/>
      <c r="KZW109" s="139"/>
      <c r="KZX109" s="139"/>
      <c r="KZY109" s="139"/>
      <c r="KZZ109" s="139"/>
      <c r="LAA109" s="139"/>
      <c r="LAB109" s="139"/>
      <c r="LAC109" s="139"/>
      <c r="LAD109" s="139"/>
      <c r="LAE109" s="139"/>
      <c r="LAF109" s="139"/>
      <c r="LAG109" s="139"/>
      <c r="LAH109" s="139"/>
      <c r="LAI109" s="139"/>
      <c r="LAJ109" s="139"/>
      <c r="LAK109" s="139"/>
      <c r="LAL109" s="139"/>
      <c r="LAM109" s="139"/>
      <c r="LAN109" s="139"/>
      <c r="LAO109" s="139"/>
      <c r="LAP109" s="139"/>
      <c r="LAQ109" s="139"/>
      <c r="LAR109" s="139"/>
      <c r="LAS109" s="139"/>
      <c r="LAT109" s="139"/>
      <c r="LAU109" s="139"/>
      <c r="LAV109" s="139"/>
      <c r="LAW109" s="139"/>
      <c r="LAX109" s="139"/>
      <c r="LAY109" s="139"/>
      <c r="LAZ109" s="139"/>
      <c r="LBA109" s="139"/>
      <c r="LBB109" s="139"/>
      <c r="LBC109" s="139"/>
      <c r="LBD109" s="139"/>
      <c r="LBE109" s="139"/>
      <c r="LBF109" s="139"/>
      <c r="LBG109" s="139"/>
      <c r="LBH109" s="139"/>
      <c r="LBI109" s="139"/>
      <c r="LBJ109" s="139"/>
      <c r="LBK109" s="139"/>
      <c r="LBL109" s="139"/>
      <c r="LBM109" s="139"/>
      <c r="LBN109" s="139"/>
      <c r="LBO109" s="139"/>
      <c r="LBP109" s="139"/>
      <c r="LBQ109" s="139"/>
      <c r="LBR109" s="139"/>
      <c r="LBS109" s="139"/>
      <c r="LBT109" s="139"/>
      <c r="LBU109" s="139"/>
      <c r="LBV109" s="139"/>
      <c r="LBW109" s="139"/>
      <c r="LBX109" s="139"/>
      <c r="LBY109" s="139"/>
      <c r="LBZ109" s="139"/>
      <c r="LCA109" s="139"/>
      <c r="LCB109" s="139"/>
      <c r="LCC109" s="139"/>
      <c r="LCD109" s="139"/>
      <c r="LCE109" s="139"/>
      <c r="LCF109" s="139"/>
      <c r="LCG109" s="139"/>
      <c r="LCH109" s="139"/>
      <c r="LCI109" s="139"/>
      <c r="LCJ109" s="139"/>
      <c r="LCK109" s="139"/>
      <c r="LCL109" s="139"/>
      <c r="LCM109" s="139"/>
      <c r="LCN109" s="139"/>
      <c r="LCO109" s="139"/>
      <c r="LCP109" s="139"/>
      <c r="LCQ109" s="139"/>
      <c r="LCR109" s="139"/>
      <c r="LCS109" s="139"/>
      <c r="LCT109" s="139"/>
      <c r="LCU109" s="139"/>
      <c r="LCV109" s="139"/>
      <c r="LCW109" s="139"/>
      <c r="LCX109" s="139"/>
      <c r="LCY109" s="139"/>
      <c r="LCZ109" s="139"/>
      <c r="LDA109" s="139"/>
      <c r="LDB109" s="139"/>
      <c r="LDC109" s="139"/>
      <c r="LDD109" s="139"/>
      <c r="LDE109" s="139"/>
      <c r="LDF109" s="139"/>
      <c r="LDG109" s="139"/>
      <c r="LDH109" s="139"/>
      <c r="LDI109" s="139"/>
      <c r="LDJ109" s="139"/>
      <c r="LDK109" s="139"/>
      <c r="LDL109" s="139"/>
      <c r="LDM109" s="139"/>
      <c r="LDN109" s="139"/>
      <c r="LDO109" s="139"/>
      <c r="LDP109" s="139"/>
      <c r="LDQ109" s="139"/>
      <c r="LDR109" s="139"/>
      <c r="LDS109" s="139"/>
      <c r="LDT109" s="139"/>
      <c r="LDU109" s="139"/>
      <c r="LDV109" s="139"/>
      <c r="LDW109" s="139"/>
      <c r="LDX109" s="139"/>
      <c r="LDY109" s="139"/>
      <c r="LDZ109" s="139"/>
      <c r="LEA109" s="139"/>
      <c r="LEB109" s="139"/>
      <c r="LEC109" s="139"/>
      <c r="LED109" s="139"/>
      <c r="LEE109" s="139"/>
      <c r="LEF109" s="139"/>
      <c r="LEG109" s="139"/>
      <c r="LEH109" s="139"/>
      <c r="LEI109" s="139"/>
      <c r="LEJ109" s="139"/>
      <c r="LEK109" s="139"/>
      <c r="LEL109" s="139"/>
      <c r="LEM109" s="139"/>
      <c r="LEN109" s="139"/>
      <c r="LEO109" s="139"/>
      <c r="LEP109" s="139"/>
      <c r="LEQ109" s="139"/>
      <c r="LER109" s="139"/>
      <c r="LES109" s="139"/>
      <c r="LET109" s="139"/>
      <c r="LEU109" s="139"/>
      <c r="LEV109" s="139"/>
      <c r="LEW109" s="139"/>
      <c r="LEX109" s="139"/>
      <c r="LEY109" s="139"/>
      <c r="LEZ109" s="139"/>
      <c r="LFA109" s="139"/>
      <c r="LFB109" s="139"/>
      <c r="LFC109" s="139"/>
      <c r="LFD109" s="139"/>
      <c r="LFE109" s="139"/>
      <c r="LFF109" s="139"/>
      <c r="LFG109" s="139"/>
      <c r="LFH109" s="139"/>
      <c r="LFI109" s="139"/>
      <c r="LFJ109" s="139"/>
      <c r="LFK109" s="139"/>
      <c r="LFL109" s="139"/>
      <c r="LFM109" s="139"/>
      <c r="LFN109" s="139"/>
      <c r="LFO109" s="139"/>
      <c r="LFP109" s="139"/>
      <c r="LFQ109" s="139"/>
      <c r="LFR109" s="139"/>
      <c r="LFS109" s="139"/>
      <c r="LFT109" s="139"/>
      <c r="LFU109" s="139"/>
      <c r="LFV109" s="139"/>
      <c r="LFW109" s="139"/>
      <c r="LFX109" s="139"/>
      <c r="LFY109" s="139"/>
      <c r="LFZ109" s="139"/>
      <c r="LGA109" s="139"/>
      <c r="LGB109" s="139"/>
      <c r="LGC109" s="139"/>
      <c r="LGD109" s="139"/>
      <c r="LGE109" s="139"/>
      <c r="LGF109" s="139"/>
      <c r="LGG109" s="139"/>
      <c r="LGH109" s="139"/>
      <c r="LGI109" s="139"/>
      <c r="LGJ109" s="139"/>
      <c r="LGK109" s="139"/>
      <c r="LGL109" s="139"/>
      <c r="LGM109" s="139"/>
      <c r="LGN109" s="139"/>
      <c r="LGO109" s="139"/>
      <c r="LGP109" s="139"/>
      <c r="LGQ109" s="139"/>
      <c r="LGR109" s="139"/>
      <c r="LGS109" s="139"/>
      <c r="LGT109" s="139"/>
      <c r="LGU109" s="139"/>
      <c r="LGV109" s="139"/>
      <c r="LGW109" s="139"/>
      <c r="LGX109" s="139"/>
      <c r="LGY109" s="139"/>
      <c r="LGZ109" s="139"/>
      <c r="LHA109" s="139"/>
      <c r="LHB109" s="139"/>
      <c r="LHC109" s="139"/>
      <c r="LHD109" s="139"/>
      <c r="LHE109" s="139"/>
      <c r="LHF109" s="139"/>
      <c r="LHG109" s="139"/>
      <c r="LHH109" s="139"/>
      <c r="LHI109" s="139"/>
      <c r="LHJ109" s="139"/>
      <c r="LHK109" s="139"/>
      <c r="LHL109" s="139"/>
      <c r="LHM109" s="139"/>
      <c r="LHN109" s="139"/>
      <c r="LHO109" s="139"/>
      <c r="LHP109" s="139"/>
      <c r="LHQ109" s="139"/>
      <c r="LHR109" s="139"/>
      <c r="LHS109" s="139"/>
      <c r="LHT109" s="139"/>
      <c r="LHU109" s="139"/>
      <c r="LHV109" s="139"/>
      <c r="LHW109" s="139"/>
      <c r="LHX109" s="139"/>
      <c r="LHY109" s="139"/>
      <c r="LHZ109" s="139"/>
      <c r="LIA109" s="139"/>
      <c r="LIB109" s="139"/>
      <c r="LIC109" s="139"/>
      <c r="LID109" s="139"/>
      <c r="LIE109" s="139"/>
      <c r="LIF109" s="139"/>
      <c r="LIG109" s="139"/>
      <c r="LIH109" s="139"/>
      <c r="LII109" s="139"/>
      <c r="LIJ109" s="139"/>
      <c r="LIK109" s="139"/>
      <c r="LIL109" s="139"/>
      <c r="LIM109" s="139"/>
      <c r="LIN109" s="139"/>
      <c r="LIO109" s="139"/>
      <c r="LIP109" s="139"/>
      <c r="LIQ109" s="139"/>
      <c r="LIR109" s="139"/>
      <c r="LIS109" s="139"/>
      <c r="LIT109" s="139"/>
      <c r="LIU109" s="139"/>
      <c r="LIV109" s="139"/>
      <c r="LIW109" s="139"/>
      <c r="LIX109" s="139"/>
      <c r="LIY109" s="139"/>
      <c r="LIZ109" s="139"/>
      <c r="LJA109" s="139"/>
      <c r="LJB109" s="139"/>
      <c r="LJC109" s="139"/>
      <c r="LJD109" s="139"/>
      <c r="LJE109" s="139"/>
      <c r="LJF109" s="139"/>
      <c r="LJG109" s="139"/>
      <c r="LJH109" s="139"/>
      <c r="LJI109" s="139"/>
      <c r="LJJ109" s="139"/>
      <c r="LJK109" s="139"/>
      <c r="LJL109" s="139"/>
      <c r="LJM109" s="139"/>
      <c r="LJN109" s="139"/>
      <c r="LJO109" s="139"/>
      <c r="LJP109" s="139"/>
      <c r="LJQ109" s="139"/>
      <c r="LJR109" s="139"/>
      <c r="LJS109" s="139"/>
      <c r="LJT109" s="139"/>
      <c r="LJU109" s="139"/>
      <c r="LJV109" s="139"/>
      <c r="LJW109" s="139"/>
      <c r="LJX109" s="139"/>
      <c r="LJY109" s="139"/>
      <c r="LJZ109" s="139"/>
      <c r="LKA109" s="139"/>
      <c r="LKB109" s="139"/>
      <c r="LKC109" s="139"/>
      <c r="LKD109" s="139"/>
      <c r="LKE109" s="139"/>
      <c r="LKF109" s="139"/>
      <c r="LKG109" s="139"/>
      <c r="LKH109" s="139"/>
      <c r="LKI109" s="139"/>
      <c r="LKJ109" s="139"/>
      <c r="LKK109" s="139"/>
      <c r="LKL109" s="139"/>
      <c r="LKM109" s="139"/>
      <c r="LKN109" s="139"/>
      <c r="LKO109" s="139"/>
      <c r="LKP109" s="139"/>
      <c r="LKQ109" s="139"/>
      <c r="LKR109" s="139"/>
      <c r="LKS109" s="139"/>
      <c r="LKT109" s="139"/>
      <c r="LKU109" s="139"/>
      <c r="LKV109" s="139"/>
      <c r="LKW109" s="139"/>
      <c r="LKX109" s="139"/>
      <c r="LKY109" s="139"/>
      <c r="LKZ109" s="139"/>
      <c r="LLA109" s="139"/>
      <c r="LLB109" s="139"/>
      <c r="LLC109" s="139"/>
      <c r="LLD109" s="139"/>
      <c r="LLE109" s="139"/>
      <c r="LLF109" s="139"/>
      <c r="LLG109" s="139"/>
      <c r="LLH109" s="139"/>
      <c r="LLI109" s="139"/>
      <c r="LLJ109" s="139"/>
      <c r="LLK109" s="139"/>
      <c r="LLL109" s="139"/>
      <c r="LLM109" s="139"/>
      <c r="LLN109" s="139"/>
      <c r="LLO109" s="139"/>
      <c r="LLP109" s="139"/>
      <c r="LLQ109" s="139"/>
      <c r="LLR109" s="139"/>
      <c r="LLS109" s="139"/>
      <c r="LLT109" s="139"/>
      <c r="LLU109" s="139"/>
      <c r="LLV109" s="139"/>
      <c r="LLW109" s="139"/>
      <c r="LLX109" s="139"/>
      <c r="LLY109" s="139"/>
      <c r="LLZ109" s="139"/>
      <c r="LMA109" s="139"/>
      <c r="LMB109" s="139"/>
      <c r="LMC109" s="139"/>
      <c r="LMD109" s="139"/>
      <c r="LME109" s="139"/>
      <c r="LMF109" s="139"/>
      <c r="LMG109" s="139"/>
      <c r="LMH109" s="139"/>
      <c r="LMI109" s="139"/>
      <c r="LMJ109" s="139"/>
      <c r="LMK109" s="139"/>
      <c r="LML109" s="139"/>
      <c r="LMM109" s="139"/>
      <c r="LMN109" s="139"/>
      <c r="LMO109" s="139"/>
      <c r="LMP109" s="139"/>
      <c r="LMQ109" s="139"/>
      <c r="LMR109" s="139"/>
      <c r="LMS109" s="139"/>
      <c r="LMT109" s="139"/>
      <c r="LMU109" s="139"/>
      <c r="LMV109" s="139"/>
      <c r="LMW109" s="139"/>
      <c r="LMX109" s="139"/>
      <c r="LMY109" s="139"/>
      <c r="LMZ109" s="139"/>
      <c r="LNA109" s="139"/>
      <c r="LNB109" s="139"/>
      <c r="LNC109" s="139"/>
      <c r="LND109" s="139"/>
      <c r="LNE109" s="139"/>
      <c r="LNF109" s="139"/>
      <c r="LNG109" s="139"/>
      <c r="LNH109" s="139"/>
      <c r="LNI109" s="139"/>
      <c r="LNJ109" s="139"/>
      <c r="LNK109" s="139"/>
      <c r="LNL109" s="139"/>
      <c r="LNM109" s="139"/>
      <c r="LNN109" s="139"/>
      <c r="LNO109" s="139"/>
      <c r="LNP109" s="139"/>
      <c r="LNQ109" s="139"/>
      <c r="LNR109" s="139"/>
      <c r="LNS109" s="139"/>
      <c r="LNT109" s="139"/>
      <c r="LNU109" s="139"/>
      <c r="LNV109" s="139"/>
      <c r="LNW109" s="139"/>
      <c r="LNX109" s="139"/>
      <c r="LNY109" s="139"/>
      <c r="LNZ109" s="139"/>
      <c r="LOA109" s="139"/>
      <c r="LOB109" s="139"/>
      <c r="LOC109" s="139"/>
      <c r="LOD109" s="139"/>
      <c r="LOE109" s="139"/>
      <c r="LOF109" s="139"/>
      <c r="LOG109" s="139"/>
      <c r="LOH109" s="139"/>
      <c r="LOI109" s="139"/>
      <c r="LOJ109" s="139"/>
      <c r="LOK109" s="139"/>
      <c r="LOL109" s="139"/>
      <c r="LOM109" s="139"/>
      <c r="LON109" s="139"/>
      <c r="LOO109" s="139"/>
      <c r="LOP109" s="139"/>
      <c r="LOQ109" s="139"/>
      <c r="LOR109" s="139"/>
      <c r="LOS109" s="139"/>
      <c r="LOT109" s="139"/>
      <c r="LOU109" s="139"/>
      <c r="LOV109" s="139"/>
      <c r="LOW109" s="139"/>
      <c r="LOX109" s="139"/>
      <c r="LOY109" s="139"/>
      <c r="LOZ109" s="139"/>
      <c r="LPA109" s="139"/>
      <c r="LPB109" s="139"/>
      <c r="LPC109" s="139"/>
      <c r="LPD109" s="139"/>
      <c r="LPE109" s="139"/>
      <c r="LPF109" s="139"/>
      <c r="LPG109" s="139"/>
      <c r="LPH109" s="139"/>
      <c r="LPI109" s="139"/>
      <c r="LPJ109" s="139"/>
      <c r="LPK109" s="139"/>
      <c r="LPL109" s="139"/>
      <c r="LPM109" s="139"/>
      <c r="LPN109" s="139"/>
      <c r="LPO109" s="139"/>
      <c r="LPP109" s="139"/>
      <c r="LPQ109" s="139"/>
      <c r="LPR109" s="139"/>
      <c r="LPS109" s="139"/>
      <c r="LPT109" s="139"/>
      <c r="LPU109" s="139"/>
      <c r="LPV109" s="139"/>
      <c r="LPW109" s="139"/>
      <c r="LPX109" s="139"/>
      <c r="LPY109" s="139"/>
      <c r="LPZ109" s="139"/>
      <c r="LQA109" s="139"/>
      <c r="LQB109" s="139"/>
      <c r="LQC109" s="139"/>
      <c r="LQD109" s="139"/>
      <c r="LQE109" s="139"/>
      <c r="LQF109" s="139"/>
      <c r="LQG109" s="139"/>
      <c r="LQH109" s="139"/>
      <c r="LQI109" s="139"/>
      <c r="LQJ109" s="139"/>
      <c r="LQK109" s="139"/>
      <c r="LQL109" s="139"/>
      <c r="LQM109" s="139"/>
      <c r="LQN109" s="139"/>
      <c r="LQO109" s="139"/>
      <c r="LQP109" s="139"/>
      <c r="LQQ109" s="139"/>
      <c r="LQR109" s="139"/>
      <c r="LQS109" s="139"/>
      <c r="LQT109" s="139"/>
      <c r="LQU109" s="139"/>
      <c r="LQV109" s="139"/>
      <c r="LQW109" s="139"/>
      <c r="LQX109" s="139"/>
      <c r="LQY109" s="139"/>
      <c r="LQZ109" s="139"/>
      <c r="LRA109" s="139"/>
      <c r="LRB109" s="139"/>
      <c r="LRC109" s="139"/>
      <c r="LRD109" s="139"/>
      <c r="LRE109" s="139"/>
      <c r="LRF109" s="139"/>
      <c r="LRG109" s="139"/>
      <c r="LRH109" s="139"/>
      <c r="LRI109" s="139"/>
      <c r="LRJ109" s="139"/>
      <c r="LRK109" s="139"/>
      <c r="LRL109" s="139"/>
      <c r="LRM109" s="139"/>
      <c r="LRN109" s="139"/>
      <c r="LRO109" s="139"/>
      <c r="LRP109" s="139"/>
      <c r="LRQ109" s="139"/>
      <c r="LRR109" s="139"/>
      <c r="LRS109" s="139"/>
      <c r="LRT109" s="139"/>
      <c r="LRU109" s="139"/>
      <c r="LRV109" s="139"/>
      <c r="LRW109" s="139"/>
      <c r="LRX109" s="139"/>
      <c r="LRY109" s="139"/>
      <c r="LRZ109" s="139"/>
      <c r="LSA109" s="139"/>
      <c r="LSB109" s="139"/>
      <c r="LSC109" s="139"/>
      <c r="LSD109" s="139"/>
      <c r="LSE109" s="139"/>
      <c r="LSF109" s="139"/>
      <c r="LSG109" s="139"/>
      <c r="LSH109" s="139"/>
      <c r="LSI109" s="139"/>
      <c r="LSJ109" s="139"/>
      <c r="LSK109" s="139"/>
      <c r="LSL109" s="139"/>
      <c r="LSM109" s="139"/>
      <c r="LSN109" s="139"/>
      <c r="LSO109" s="139"/>
      <c r="LSP109" s="139"/>
      <c r="LSQ109" s="139"/>
      <c r="LSR109" s="139"/>
      <c r="LSS109" s="139"/>
      <c r="LST109" s="139"/>
      <c r="LSU109" s="139"/>
      <c r="LSV109" s="139"/>
      <c r="LSW109" s="139"/>
      <c r="LSX109" s="139"/>
      <c r="LSY109" s="139"/>
      <c r="LSZ109" s="139"/>
      <c r="LTA109" s="139"/>
      <c r="LTB109" s="139"/>
      <c r="LTC109" s="139"/>
      <c r="LTD109" s="139"/>
      <c r="LTE109" s="139"/>
      <c r="LTF109" s="139"/>
      <c r="LTG109" s="139"/>
      <c r="LTH109" s="139"/>
      <c r="LTI109" s="139"/>
      <c r="LTJ109" s="139"/>
      <c r="LTK109" s="139"/>
      <c r="LTL109" s="139"/>
      <c r="LTM109" s="139"/>
      <c r="LTN109" s="139"/>
      <c r="LTO109" s="139"/>
      <c r="LTP109" s="139"/>
      <c r="LTQ109" s="139"/>
      <c r="LTR109" s="139"/>
      <c r="LTS109" s="139"/>
      <c r="LTT109" s="139"/>
      <c r="LTU109" s="139"/>
      <c r="LTV109" s="139"/>
      <c r="LTW109" s="139"/>
      <c r="LTX109" s="139"/>
      <c r="LTY109" s="139"/>
      <c r="LTZ109" s="139"/>
      <c r="LUA109" s="139"/>
      <c r="LUB109" s="139"/>
      <c r="LUC109" s="139"/>
      <c r="LUD109" s="139"/>
      <c r="LUE109" s="139"/>
      <c r="LUF109" s="139"/>
      <c r="LUG109" s="139"/>
      <c r="LUH109" s="139"/>
      <c r="LUI109" s="139"/>
      <c r="LUJ109" s="139"/>
      <c r="LUK109" s="139"/>
      <c r="LUL109" s="139"/>
      <c r="LUM109" s="139"/>
      <c r="LUN109" s="139"/>
      <c r="LUO109" s="139"/>
      <c r="LUP109" s="139"/>
      <c r="LUQ109" s="139"/>
      <c r="LUR109" s="139"/>
      <c r="LUS109" s="139"/>
      <c r="LUT109" s="139"/>
      <c r="LUU109" s="139"/>
      <c r="LUV109" s="139"/>
      <c r="LUW109" s="139"/>
      <c r="LUX109" s="139"/>
      <c r="LUY109" s="139"/>
      <c r="LUZ109" s="139"/>
      <c r="LVA109" s="139"/>
      <c r="LVB109" s="139"/>
      <c r="LVC109" s="139"/>
      <c r="LVD109" s="139"/>
      <c r="LVE109" s="139"/>
      <c r="LVF109" s="139"/>
      <c r="LVG109" s="139"/>
      <c r="LVH109" s="139"/>
      <c r="LVI109" s="139"/>
      <c r="LVJ109" s="139"/>
      <c r="LVK109" s="139"/>
      <c r="LVL109" s="139"/>
      <c r="LVM109" s="139"/>
      <c r="LVN109" s="139"/>
      <c r="LVO109" s="139"/>
      <c r="LVP109" s="139"/>
      <c r="LVQ109" s="139"/>
      <c r="LVR109" s="139"/>
      <c r="LVS109" s="139"/>
      <c r="LVT109" s="139"/>
      <c r="LVU109" s="139"/>
      <c r="LVV109" s="139"/>
      <c r="LVW109" s="139"/>
      <c r="LVX109" s="139"/>
      <c r="LVY109" s="139"/>
      <c r="LVZ109" s="139"/>
      <c r="LWA109" s="139"/>
      <c r="LWB109" s="139"/>
      <c r="LWC109" s="139"/>
      <c r="LWD109" s="139"/>
      <c r="LWE109" s="139"/>
      <c r="LWF109" s="139"/>
      <c r="LWG109" s="139"/>
      <c r="LWH109" s="139"/>
      <c r="LWI109" s="139"/>
      <c r="LWJ109" s="139"/>
      <c r="LWK109" s="139"/>
      <c r="LWL109" s="139"/>
      <c r="LWM109" s="139"/>
      <c r="LWN109" s="139"/>
      <c r="LWO109" s="139"/>
      <c r="LWP109" s="139"/>
      <c r="LWQ109" s="139"/>
      <c r="LWR109" s="139"/>
      <c r="LWS109" s="139"/>
      <c r="LWT109" s="139"/>
      <c r="LWU109" s="139"/>
      <c r="LWV109" s="139"/>
      <c r="LWW109" s="139"/>
      <c r="LWX109" s="139"/>
      <c r="LWY109" s="139"/>
      <c r="LWZ109" s="139"/>
      <c r="LXA109" s="139"/>
      <c r="LXB109" s="139"/>
      <c r="LXC109" s="139"/>
      <c r="LXD109" s="139"/>
      <c r="LXE109" s="139"/>
      <c r="LXF109" s="139"/>
      <c r="LXG109" s="139"/>
      <c r="LXH109" s="139"/>
      <c r="LXI109" s="139"/>
      <c r="LXJ109" s="139"/>
      <c r="LXK109" s="139"/>
      <c r="LXL109" s="139"/>
      <c r="LXM109" s="139"/>
      <c r="LXN109" s="139"/>
      <c r="LXO109" s="139"/>
      <c r="LXP109" s="139"/>
      <c r="LXQ109" s="139"/>
      <c r="LXR109" s="139"/>
      <c r="LXS109" s="139"/>
      <c r="LXT109" s="139"/>
      <c r="LXU109" s="139"/>
      <c r="LXV109" s="139"/>
      <c r="LXW109" s="139"/>
      <c r="LXX109" s="139"/>
      <c r="LXY109" s="139"/>
      <c r="LXZ109" s="139"/>
      <c r="LYA109" s="139"/>
      <c r="LYB109" s="139"/>
      <c r="LYC109" s="139"/>
      <c r="LYD109" s="139"/>
      <c r="LYE109" s="139"/>
      <c r="LYF109" s="139"/>
      <c r="LYG109" s="139"/>
      <c r="LYH109" s="139"/>
      <c r="LYI109" s="139"/>
      <c r="LYJ109" s="139"/>
      <c r="LYK109" s="139"/>
      <c r="LYL109" s="139"/>
      <c r="LYM109" s="139"/>
      <c r="LYN109" s="139"/>
      <c r="LYO109" s="139"/>
      <c r="LYP109" s="139"/>
      <c r="LYQ109" s="139"/>
      <c r="LYR109" s="139"/>
      <c r="LYS109" s="139"/>
      <c r="LYT109" s="139"/>
      <c r="LYU109" s="139"/>
      <c r="LYV109" s="139"/>
      <c r="LYW109" s="139"/>
      <c r="LYX109" s="139"/>
      <c r="LYY109" s="139"/>
      <c r="LYZ109" s="139"/>
      <c r="LZA109" s="139"/>
      <c r="LZB109" s="139"/>
      <c r="LZC109" s="139"/>
      <c r="LZD109" s="139"/>
      <c r="LZE109" s="139"/>
      <c r="LZF109" s="139"/>
      <c r="LZG109" s="139"/>
      <c r="LZH109" s="139"/>
      <c r="LZI109" s="139"/>
      <c r="LZJ109" s="139"/>
      <c r="LZK109" s="139"/>
      <c r="LZL109" s="139"/>
      <c r="LZM109" s="139"/>
      <c r="LZN109" s="139"/>
      <c r="LZO109" s="139"/>
      <c r="LZP109" s="139"/>
      <c r="LZQ109" s="139"/>
      <c r="LZR109" s="139"/>
      <c r="LZS109" s="139"/>
      <c r="LZT109" s="139"/>
      <c r="LZU109" s="139"/>
      <c r="LZV109" s="139"/>
      <c r="LZW109" s="139"/>
      <c r="LZX109" s="139"/>
      <c r="LZY109" s="139"/>
      <c r="LZZ109" s="139"/>
      <c r="MAA109" s="139"/>
      <c r="MAB109" s="139"/>
      <c r="MAC109" s="139"/>
      <c r="MAD109" s="139"/>
      <c r="MAE109" s="139"/>
      <c r="MAF109" s="139"/>
      <c r="MAG109" s="139"/>
      <c r="MAH109" s="139"/>
      <c r="MAI109" s="139"/>
      <c r="MAJ109" s="139"/>
      <c r="MAK109" s="139"/>
      <c r="MAL109" s="139"/>
      <c r="MAM109" s="139"/>
      <c r="MAN109" s="139"/>
      <c r="MAO109" s="139"/>
      <c r="MAP109" s="139"/>
      <c r="MAQ109" s="139"/>
      <c r="MAR109" s="139"/>
      <c r="MAS109" s="139"/>
      <c r="MAT109" s="139"/>
      <c r="MAU109" s="139"/>
      <c r="MAV109" s="139"/>
      <c r="MAW109" s="139"/>
      <c r="MAX109" s="139"/>
      <c r="MAY109" s="139"/>
      <c r="MAZ109" s="139"/>
      <c r="MBA109" s="139"/>
      <c r="MBB109" s="139"/>
      <c r="MBC109" s="139"/>
      <c r="MBD109" s="139"/>
      <c r="MBE109" s="139"/>
      <c r="MBF109" s="139"/>
      <c r="MBG109" s="139"/>
      <c r="MBH109" s="139"/>
      <c r="MBI109" s="139"/>
      <c r="MBJ109" s="139"/>
      <c r="MBK109" s="139"/>
      <c r="MBL109" s="139"/>
      <c r="MBM109" s="139"/>
      <c r="MBN109" s="139"/>
      <c r="MBO109" s="139"/>
      <c r="MBP109" s="139"/>
      <c r="MBQ109" s="139"/>
      <c r="MBR109" s="139"/>
      <c r="MBS109" s="139"/>
      <c r="MBT109" s="139"/>
      <c r="MBU109" s="139"/>
      <c r="MBV109" s="139"/>
      <c r="MBW109" s="139"/>
      <c r="MBX109" s="139"/>
      <c r="MBY109" s="139"/>
      <c r="MBZ109" s="139"/>
      <c r="MCA109" s="139"/>
      <c r="MCB109" s="139"/>
      <c r="MCC109" s="139"/>
      <c r="MCD109" s="139"/>
      <c r="MCE109" s="139"/>
      <c r="MCF109" s="139"/>
      <c r="MCG109" s="139"/>
      <c r="MCH109" s="139"/>
      <c r="MCI109" s="139"/>
      <c r="MCJ109" s="139"/>
      <c r="MCK109" s="139"/>
      <c r="MCL109" s="139"/>
      <c r="MCM109" s="139"/>
      <c r="MCN109" s="139"/>
      <c r="MCO109" s="139"/>
      <c r="MCP109" s="139"/>
      <c r="MCQ109" s="139"/>
      <c r="MCR109" s="139"/>
      <c r="MCS109" s="139"/>
      <c r="MCT109" s="139"/>
      <c r="MCU109" s="139"/>
      <c r="MCV109" s="139"/>
      <c r="MCW109" s="139"/>
      <c r="MCX109" s="139"/>
      <c r="MCY109" s="139"/>
      <c r="MCZ109" s="139"/>
      <c r="MDA109" s="139"/>
      <c r="MDB109" s="139"/>
      <c r="MDC109" s="139"/>
      <c r="MDD109" s="139"/>
      <c r="MDE109" s="139"/>
      <c r="MDF109" s="139"/>
      <c r="MDG109" s="139"/>
      <c r="MDH109" s="139"/>
      <c r="MDI109" s="139"/>
      <c r="MDJ109" s="139"/>
      <c r="MDK109" s="139"/>
      <c r="MDL109" s="139"/>
      <c r="MDM109" s="139"/>
      <c r="MDN109" s="139"/>
      <c r="MDO109" s="139"/>
      <c r="MDP109" s="139"/>
      <c r="MDQ109" s="139"/>
      <c r="MDR109" s="139"/>
      <c r="MDS109" s="139"/>
      <c r="MDT109" s="139"/>
      <c r="MDU109" s="139"/>
      <c r="MDV109" s="139"/>
      <c r="MDW109" s="139"/>
      <c r="MDX109" s="139"/>
      <c r="MDY109" s="139"/>
      <c r="MDZ109" s="139"/>
      <c r="MEA109" s="139"/>
      <c r="MEB109" s="139"/>
      <c r="MEC109" s="139"/>
      <c r="MED109" s="139"/>
      <c r="MEE109" s="139"/>
      <c r="MEF109" s="139"/>
      <c r="MEG109" s="139"/>
      <c r="MEH109" s="139"/>
      <c r="MEI109" s="139"/>
      <c r="MEJ109" s="139"/>
      <c r="MEK109" s="139"/>
      <c r="MEL109" s="139"/>
      <c r="MEM109" s="139"/>
      <c r="MEN109" s="139"/>
      <c r="MEO109" s="139"/>
      <c r="MEP109" s="139"/>
      <c r="MEQ109" s="139"/>
      <c r="MER109" s="139"/>
      <c r="MES109" s="139"/>
      <c r="MET109" s="139"/>
      <c r="MEU109" s="139"/>
      <c r="MEV109" s="139"/>
      <c r="MEW109" s="139"/>
      <c r="MEX109" s="139"/>
      <c r="MEY109" s="139"/>
      <c r="MEZ109" s="139"/>
      <c r="MFA109" s="139"/>
      <c r="MFB109" s="139"/>
      <c r="MFC109" s="139"/>
      <c r="MFD109" s="139"/>
      <c r="MFE109" s="139"/>
      <c r="MFF109" s="139"/>
      <c r="MFG109" s="139"/>
      <c r="MFH109" s="139"/>
      <c r="MFI109" s="139"/>
      <c r="MFJ109" s="139"/>
      <c r="MFK109" s="139"/>
      <c r="MFL109" s="139"/>
      <c r="MFM109" s="139"/>
      <c r="MFN109" s="139"/>
      <c r="MFO109" s="139"/>
      <c r="MFP109" s="139"/>
      <c r="MFQ109" s="139"/>
      <c r="MFR109" s="139"/>
      <c r="MFS109" s="139"/>
      <c r="MFT109" s="139"/>
      <c r="MFU109" s="139"/>
      <c r="MFV109" s="139"/>
      <c r="MFW109" s="139"/>
      <c r="MFX109" s="139"/>
      <c r="MFY109" s="139"/>
      <c r="MFZ109" s="139"/>
      <c r="MGA109" s="139"/>
      <c r="MGB109" s="139"/>
      <c r="MGC109" s="139"/>
      <c r="MGD109" s="139"/>
      <c r="MGE109" s="139"/>
      <c r="MGF109" s="139"/>
      <c r="MGG109" s="139"/>
      <c r="MGH109" s="139"/>
      <c r="MGI109" s="139"/>
      <c r="MGJ109" s="139"/>
      <c r="MGK109" s="139"/>
      <c r="MGL109" s="139"/>
      <c r="MGM109" s="139"/>
      <c r="MGN109" s="139"/>
      <c r="MGO109" s="139"/>
      <c r="MGP109" s="139"/>
      <c r="MGQ109" s="139"/>
      <c r="MGR109" s="139"/>
      <c r="MGS109" s="139"/>
      <c r="MGT109" s="139"/>
      <c r="MGU109" s="139"/>
      <c r="MGV109" s="139"/>
      <c r="MGW109" s="139"/>
      <c r="MGX109" s="139"/>
      <c r="MGY109" s="139"/>
      <c r="MGZ109" s="139"/>
      <c r="MHA109" s="139"/>
      <c r="MHB109" s="139"/>
      <c r="MHC109" s="139"/>
      <c r="MHD109" s="139"/>
      <c r="MHE109" s="139"/>
      <c r="MHF109" s="139"/>
      <c r="MHG109" s="139"/>
      <c r="MHH109" s="139"/>
      <c r="MHI109" s="139"/>
      <c r="MHJ109" s="139"/>
      <c r="MHK109" s="139"/>
      <c r="MHL109" s="139"/>
      <c r="MHM109" s="139"/>
      <c r="MHN109" s="139"/>
      <c r="MHO109" s="139"/>
      <c r="MHP109" s="139"/>
      <c r="MHQ109" s="139"/>
      <c r="MHR109" s="139"/>
      <c r="MHS109" s="139"/>
      <c r="MHT109" s="139"/>
      <c r="MHU109" s="139"/>
      <c r="MHV109" s="139"/>
      <c r="MHW109" s="139"/>
      <c r="MHX109" s="139"/>
      <c r="MHY109" s="139"/>
      <c r="MHZ109" s="139"/>
      <c r="MIA109" s="139"/>
      <c r="MIB109" s="139"/>
      <c r="MIC109" s="139"/>
      <c r="MID109" s="139"/>
      <c r="MIE109" s="139"/>
      <c r="MIF109" s="139"/>
      <c r="MIG109" s="139"/>
      <c r="MIH109" s="139"/>
      <c r="MII109" s="139"/>
      <c r="MIJ109" s="139"/>
      <c r="MIK109" s="139"/>
      <c r="MIL109" s="139"/>
      <c r="MIM109" s="139"/>
      <c r="MIN109" s="139"/>
      <c r="MIO109" s="139"/>
      <c r="MIP109" s="139"/>
      <c r="MIQ109" s="139"/>
      <c r="MIR109" s="139"/>
      <c r="MIS109" s="139"/>
      <c r="MIT109" s="139"/>
      <c r="MIU109" s="139"/>
      <c r="MIV109" s="139"/>
      <c r="MIW109" s="139"/>
      <c r="MIX109" s="139"/>
      <c r="MIY109" s="139"/>
      <c r="MIZ109" s="139"/>
      <c r="MJA109" s="139"/>
      <c r="MJB109" s="139"/>
      <c r="MJC109" s="139"/>
      <c r="MJD109" s="139"/>
      <c r="MJE109" s="139"/>
      <c r="MJF109" s="139"/>
      <c r="MJG109" s="139"/>
      <c r="MJH109" s="139"/>
      <c r="MJI109" s="139"/>
      <c r="MJJ109" s="139"/>
      <c r="MJK109" s="139"/>
      <c r="MJL109" s="139"/>
      <c r="MJM109" s="139"/>
      <c r="MJN109" s="139"/>
      <c r="MJO109" s="139"/>
      <c r="MJP109" s="139"/>
      <c r="MJQ109" s="139"/>
      <c r="MJR109" s="139"/>
      <c r="MJS109" s="139"/>
      <c r="MJT109" s="139"/>
      <c r="MJU109" s="139"/>
      <c r="MJV109" s="139"/>
      <c r="MJW109" s="139"/>
      <c r="MJX109" s="139"/>
      <c r="MJY109" s="139"/>
      <c r="MJZ109" s="139"/>
      <c r="MKA109" s="139"/>
      <c r="MKB109" s="139"/>
      <c r="MKC109" s="139"/>
      <c r="MKD109" s="139"/>
      <c r="MKE109" s="139"/>
      <c r="MKF109" s="139"/>
      <c r="MKG109" s="139"/>
      <c r="MKH109" s="139"/>
      <c r="MKI109" s="139"/>
      <c r="MKJ109" s="139"/>
      <c r="MKK109" s="139"/>
      <c r="MKL109" s="139"/>
      <c r="MKM109" s="139"/>
      <c r="MKN109" s="139"/>
      <c r="MKO109" s="139"/>
      <c r="MKP109" s="139"/>
      <c r="MKQ109" s="139"/>
      <c r="MKR109" s="139"/>
      <c r="MKS109" s="139"/>
      <c r="MKT109" s="139"/>
      <c r="MKU109" s="139"/>
      <c r="MKV109" s="139"/>
      <c r="MKW109" s="139"/>
      <c r="MKX109" s="139"/>
      <c r="MKY109" s="139"/>
      <c r="MKZ109" s="139"/>
      <c r="MLA109" s="139"/>
      <c r="MLB109" s="139"/>
      <c r="MLC109" s="139"/>
      <c r="MLD109" s="139"/>
      <c r="MLE109" s="139"/>
      <c r="MLF109" s="139"/>
      <c r="MLG109" s="139"/>
      <c r="MLH109" s="139"/>
      <c r="MLI109" s="139"/>
      <c r="MLJ109" s="139"/>
      <c r="MLK109" s="139"/>
      <c r="MLL109" s="139"/>
      <c r="MLM109" s="139"/>
      <c r="MLN109" s="139"/>
      <c r="MLO109" s="139"/>
      <c r="MLP109" s="139"/>
      <c r="MLQ109" s="139"/>
      <c r="MLR109" s="139"/>
      <c r="MLS109" s="139"/>
      <c r="MLT109" s="139"/>
      <c r="MLU109" s="139"/>
      <c r="MLV109" s="139"/>
      <c r="MLW109" s="139"/>
      <c r="MLX109" s="139"/>
      <c r="MLY109" s="139"/>
      <c r="MLZ109" s="139"/>
      <c r="MMA109" s="139"/>
      <c r="MMB109" s="139"/>
      <c r="MMC109" s="139"/>
      <c r="MMD109" s="139"/>
      <c r="MME109" s="139"/>
      <c r="MMF109" s="139"/>
      <c r="MMG109" s="139"/>
      <c r="MMH109" s="139"/>
      <c r="MMI109" s="139"/>
      <c r="MMJ109" s="139"/>
      <c r="MMK109" s="139"/>
      <c r="MML109" s="139"/>
      <c r="MMM109" s="139"/>
      <c r="MMN109" s="139"/>
      <c r="MMO109" s="139"/>
      <c r="MMP109" s="139"/>
      <c r="MMQ109" s="139"/>
      <c r="MMR109" s="139"/>
      <c r="MMS109" s="139"/>
      <c r="MMT109" s="139"/>
      <c r="MMU109" s="139"/>
      <c r="MMV109" s="139"/>
      <c r="MMW109" s="139"/>
      <c r="MMX109" s="139"/>
      <c r="MMY109" s="139"/>
      <c r="MMZ109" s="139"/>
      <c r="MNA109" s="139"/>
      <c r="MNB109" s="139"/>
      <c r="MNC109" s="139"/>
      <c r="MND109" s="139"/>
      <c r="MNE109" s="139"/>
      <c r="MNF109" s="139"/>
      <c r="MNG109" s="139"/>
      <c r="MNH109" s="139"/>
      <c r="MNI109" s="139"/>
      <c r="MNJ109" s="139"/>
      <c r="MNK109" s="139"/>
      <c r="MNL109" s="139"/>
      <c r="MNM109" s="139"/>
      <c r="MNN109" s="139"/>
      <c r="MNO109" s="139"/>
      <c r="MNP109" s="139"/>
      <c r="MNQ109" s="139"/>
      <c r="MNR109" s="139"/>
      <c r="MNS109" s="139"/>
      <c r="MNT109" s="139"/>
      <c r="MNU109" s="139"/>
      <c r="MNV109" s="139"/>
      <c r="MNW109" s="139"/>
      <c r="MNX109" s="139"/>
      <c r="MNY109" s="139"/>
      <c r="MNZ109" s="139"/>
      <c r="MOA109" s="139"/>
      <c r="MOB109" s="139"/>
      <c r="MOC109" s="139"/>
      <c r="MOD109" s="139"/>
      <c r="MOE109" s="139"/>
      <c r="MOF109" s="139"/>
      <c r="MOG109" s="139"/>
      <c r="MOH109" s="139"/>
      <c r="MOI109" s="139"/>
      <c r="MOJ109" s="139"/>
      <c r="MOK109" s="139"/>
      <c r="MOL109" s="139"/>
      <c r="MOM109" s="139"/>
      <c r="MON109" s="139"/>
      <c r="MOO109" s="139"/>
      <c r="MOP109" s="139"/>
      <c r="MOQ109" s="139"/>
      <c r="MOR109" s="139"/>
      <c r="MOS109" s="139"/>
      <c r="MOT109" s="139"/>
      <c r="MOU109" s="139"/>
      <c r="MOV109" s="139"/>
      <c r="MOW109" s="139"/>
      <c r="MOX109" s="139"/>
      <c r="MOY109" s="139"/>
      <c r="MOZ109" s="139"/>
      <c r="MPA109" s="139"/>
      <c r="MPB109" s="139"/>
      <c r="MPC109" s="139"/>
      <c r="MPD109" s="139"/>
      <c r="MPE109" s="139"/>
      <c r="MPF109" s="139"/>
      <c r="MPG109" s="139"/>
      <c r="MPH109" s="139"/>
      <c r="MPI109" s="139"/>
      <c r="MPJ109" s="139"/>
      <c r="MPK109" s="139"/>
      <c r="MPL109" s="139"/>
      <c r="MPM109" s="139"/>
      <c r="MPN109" s="139"/>
      <c r="MPO109" s="139"/>
      <c r="MPP109" s="139"/>
      <c r="MPQ109" s="139"/>
      <c r="MPR109" s="139"/>
      <c r="MPS109" s="139"/>
      <c r="MPT109" s="139"/>
      <c r="MPU109" s="139"/>
      <c r="MPV109" s="139"/>
      <c r="MPW109" s="139"/>
      <c r="MPX109" s="139"/>
      <c r="MPY109" s="139"/>
      <c r="MPZ109" s="139"/>
      <c r="MQA109" s="139"/>
      <c r="MQB109" s="139"/>
      <c r="MQC109" s="139"/>
      <c r="MQD109" s="139"/>
      <c r="MQE109" s="139"/>
      <c r="MQF109" s="139"/>
      <c r="MQG109" s="139"/>
      <c r="MQH109" s="139"/>
      <c r="MQI109" s="139"/>
      <c r="MQJ109" s="139"/>
      <c r="MQK109" s="139"/>
      <c r="MQL109" s="139"/>
      <c r="MQM109" s="139"/>
      <c r="MQN109" s="139"/>
      <c r="MQO109" s="139"/>
      <c r="MQP109" s="139"/>
      <c r="MQQ109" s="139"/>
      <c r="MQR109" s="139"/>
      <c r="MQS109" s="139"/>
      <c r="MQT109" s="139"/>
      <c r="MQU109" s="139"/>
      <c r="MQV109" s="139"/>
      <c r="MQW109" s="139"/>
      <c r="MQX109" s="139"/>
      <c r="MQY109" s="139"/>
      <c r="MQZ109" s="139"/>
      <c r="MRA109" s="139"/>
      <c r="MRB109" s="139"/>
      <c r="MRC109" s="139"/>
      <c r="MRD109" s="139"/>
      <c r="MRE109" s="139"/>
      <c r="MRF109" s="139"/>
      <c r="MRG109" s="139"/>
      <c r="MRH109" s="139"/>
      <c r="MRI109" s="139"/>
      <c r="MRJ109" s="139"/>
      <c r="MRK109" s="139"/>
      <c r="MRL109" s="139"/>
      <c r="MRM109" s="139"/>
      <c r="MRN109" s="139"/>
      <c r="MRO109" s="139"/>
      <c r="MRP109" s="139"/>
      <c r="MRQ109" s="139"/>
      <c r="MRR109" s="139"/>
      <c r="MRS109" s="139"/>
      <c r="MRT109" s="139"/>
      <c r="MRU109" s="139"/>
      <c r="MRV109" s="139"/>
      <c r="MRW109" s="139"/>
      <c r="MRX109" s="139"/>
      <c r="MRY109" s="139"/>
      <c r="MRZ109" s="139"/>
      <c r="MSA109" s="139"/>
      <c r="MSB109" s="139"/>
      <c r="MSC109" s="139"/>
      <c r="MSD109" s="139"/>
      <c r="MSE109" s="139"/>
      <c r="MSF109" s="139"/>
      <c r="MSG109" s="139"/>
      <c r="MSH109" s="139"/>
      <c r="MSI109" s="139"/>
      <c r="MSJ109" s="139"/>
      <c r="MSK109" s="139"/>
      <c r="MSL109" s="139"/>
      <c r="MSM109" s="139"/>
      <c r="MSN109" s="139"/>
      <c r="MSO109" s="139"/>
      <c r="MSP109" s="139"/>
      <c r="MSQ109" s="139"/>
      <c r="MSR109" s="139"/>
      <c r="MSS109" s="139"/>
      <c r="MST109" s="139"/>
      <c r="MSU109" s="139"/>
      <c r="MSV109" s="139"/>
      <c r="MSW109" s="139"/>
      <c r="MSX109" s="139"/>
      <c r="MSY109" s="139"/>
      <c r="MSZ109" s="139"/>
      <c r="MTA109" s="139"/>
      <c r="MTB109" s="139"/>
      <c r="MTC109" s="139"/>
      <c r="MTD109" s="139"/>
      <c r="MTE109" s="139"/>
      <c r="MTF109" s="139"/>
      <c r="MTG109" s="139"/>
      <c r="MTH109" s="139"/>
      <c r="MTI109" s="139"/>
      <c r="MTJ109" s="139"/>
      <c r="MTK109" s="139"/>
      <c r="MTL109" s="139"/>
      <c r="MTM109" s="139"/>
      <c r="MTN109" s="139"/>
      <c r="MTO109" s="139"/>
      <c r="MTP109" s="139"/>
      <c r="MTQ109" s="139"/>
      <c r="MTR109" s="139"/>
      <c r="MTS109" s="139"/>
      <c r="MTT109" s="139"/>
      <c r="MTU109" s="139"/>
      <c r="MTV109" s="139"/>
      <c r="MTW109" s="139"/>
      <c r="MTX109" s="139"/>
      <c r="MTY109" s="139"/>
      <c r="MTZ109" s="139"/>
      <c r="MUA109" s="139"/>
      <c r="MUB109" s="139"/>
      <c r="MUC109" s="139"/>
      <c r="MUD109" s="139"/>
      <c r="MUE109" s="139"/>
      <c r="MUF109" s="139"/>
      <c r="MUG109" s="139"/>
      <c r="MUH109" s="139"/>
      <c r="MUI109" s="139"/>
      <c r="MUJ109" s="139"/>
      <c r="MUK109" s="139"/>
      <c r="MUL109" s="139"/>
      <c r="MUM109" s="139"/>
      <c r="MUN109" s="139"/>
      <c r="MUO109" s="139"/>
      <c r="MUP109" s="139"/>
      <c r="MUQ109" s="139"/>
      <c r="MUR109" s="139"/>
      <c r="MUS109" s="139"/>
      <c r="MUT109" s="139"/>
      <c r="MUU109" s="139"/>
      <c r="MUV109" s="139"/>
      <c r="MUW109" s="139"/>
      <c r="MUX109" s="139"/>
      <c r="MUY109" s="139"/>
      <c r="MUZ109" s="139"/>
      <c r="MVA109" s="139"/>
      <c r="MVB109" s="139"/>
      <c r="MVC109" s="139"/>
      <c r="MVD109" s="139"/>
      <c r="MVE109" s="139"/>
      <c r="MVF109" s="139"/>
      <c r="MVG109" s="139"/>
      <c r="MVH109" s="139"/>
      <c r="MVI109" s="139"/>
      <c r="MVJ109" s="139"/>
      <c r="MVK109" s="139"/>
      <c r="MVL109" s="139"/>
      <c r="MVM109" s="139"/>
      <c r="MVN109" s="139"/>
      <c r="MVO109" s="139"/>
      <c r="MVP109" s="139"/>
      <c r="MVQ109" s="139"/>
      <c r="MVR109" s="139"/>
      <c r="MVS109" s="139"/>
      <c r="MVT109" s="139"/>
      <c r="MVU109" s="139"/>
      <c r="MVV109" s="139"/>
      <c r="MVW109" s="139"/>
      <c r="MVX109" s="139"/>
      <c r="MVY109" s="139"/>
      <c r="MVZ109" s="139"/>
      <c r="MWA109" s="139"/>
      <c r="MWB109" s="139"/>
      <c r="MWC109" s="139"/>
      <c r="MWD109" s="139"/>
      <c r="MWE109" s="139"/>
      <c r="MWF109" s="139"/>
      <c r="MWG109" s="139"/>
      <c r="MWH109" s="139"/>
      <c r="MWI109" s="139"/>
      <c r="MWJ109" s="139"/>
      <c r="MWK109" s="139"/>
      <c r="MWL109" s="139"/>
      <c r="MWM109" s="139"/>
      <c r="MWN109" s="139"/>
      <c r="MWO109" s="139"/>
      <c r="MWP109" s="139"/>
      <c r="MWQ109" s="139"/>
      <c r="MWR109" s="139"/>
      <c r="MWS109" s="139"/>
      <c r="MWT109" s="139"/>
      <c r="MWU109" s="139"/>
      <c r="MWV109" s="139"/>
      <c r="MWW109" s="139"/>
      <c r="MWX109" s="139"/>
      <c r="MWY109" s="139"/>
      <c r="MWZ109" s="139"/>
      <c r="MXA109" s="139"/>
      <c r="MXB109" s="139"/>
      <c r="MXC109" s="139"/>
      <c r="MXD109" s="139"/>
      <c r="MXE109" s="139"/>
      <c r="MXF109" s="139"/>
      <c r="MXG109" s="139"/>
      <c r="MXH109" s="139"/>
      <c r="MXI109" s="139"/>
      <c r="MXJ109" s="139"/>
      <c r="MXK109" s="139"/>
      <c r="MXL109" s="139"/>
      <c r="MXM109" s="139"/>
      <c r="MXN109" s="139"/>
      <c r="MXO109" s="139"/>
      <c r="MXP109" s="139"/>
      <c r="MXQ109" s="139"/>
      <c r="MXR109" s="139"/>
      <c r="MXS109" s="139"/>
      <c r="MXT109" s="139"/>
      <c r="MXU109" s="139"/>
      <c r="MXV109" s="139"/>
      <c r="MXW109" s="139"/>
      <c r="MXX109" s="139"/>
      <c r="MXY109" s="139"/>
      <c r="MXZ109" s="139"/>
      <c r="MYA109" s="139"/>
      <c r="MYB109" s="139"/>
      <c r="MYC109" s="139"/>
      <c r="MYD109" s="139"/>
      <c r="MYE109" s="139"/>
      <c r="MYF109" s="139"/>
      <c r="MYG109" s="139"/>
      <c r="MYH109" s="139"/>
      <c r="MYI109" s="139"/>
      <c r="MYJ109" s="139"/>
      <c r="MYK109" s="139"/>
      <c r="MYL109" s="139"/>
      <c r="MYM109" s="139"/>
      <c r="MYN109" s="139"/>
      <c r="MYO109" s="139"/>
      <c r="MYP109" s="139"/>
      <c r="MYQ109" s="139"/>
      <c r="MYR109" s="139"/>
      <c r="MYS109" s="139"/>
      <c r="MYT109" s="139"/>
      <c r="MYU109" s="139"/>
      <c r="MYV109" s="139"/>
      <c r="MYW109" s="139"/>
      <c r="MYX109" s="139"/>
      <c r="MYY109" s="139"/>
      <c r="MYZ109" s="139"/>
      <c r="MZA109" s="139"/>
      <c r="MZB109" s="139"/>
      <c r="MZC109" s="139"/>
      <c r="MZD109" s="139"/>
      <c r="MZE109" s="139"/>
      <c r="MZF109" s="139"/>
      <c r="MZG109" s="139"/>
      <c r="MZH109" s="139"/>
      <c r="MZI109" s="139"/>
      <c r="MZJ109" s="139"/>
      <c r="MZK109" s="139"/>
      <c r="MZL109" s="139"/>
      <c r="MZM109" s="139"/>
      <c r="MZN109" s="139"/>
      <c r="MZO109" s="139"/>
      <c r="MZP109" s="139"/>
      <c r="MZQ109" s="139"/>
      <c r="MZR109" s="139"/>
      <c r="MZS109" s="139"/>
      <c r="MZT109" s="139"/>
      <c r="MZU109" s="139"/>
      <c r="MZV109" s="139"/>
      <c r="MZW109" s="139"/>
      <c r="MZX109" s="139"/>
      <c r="MZY109" s="139"/>
      <c r="MZZ109" s="139"/>
      <c r="NAA109" s="139"/>
      <c r="NAB109" s="139"/>
      <c r="NAC109" s="139"/>
      <c r="NAD109" s="139"/>
      <c r="NAE109" s="139"/>
      <c r="NAF109" s="139"/>
      <c r="NAG109" s="139"/>
      <c r="NAH109" s="139"/>
      <c r="NAI109" s="139"/>
      <c r="NAJ109" s="139"/>
      <c r="NAK109" s="139"/>
      <c r="NAL109" s="139"/>
      <c r="NAM109" s="139"/>
      <c r="NAN109" s="139"/>
      <c r="NAO109" s="139"/>
      <c r="NAP109" s="139"/>
      <c r="NAQ109" s="139"/>
      <c r="NAR109" s="139"/>
      <c r="NAS109" s="139"/>
      <c r="NAT109" s="139"/>
      <c r="NAU109" s="139"/>
      <c r="NAV109" s="139"/>
      <c r="NAW109" s="139"/>
      <c r="NAX109" s="139"/>
      <c r="NAY109" s="139"/>
      <c r="NAZ109" s="139"/>
      <c r="NBA109" s="139"/>
      <c r="NBB109" s="139"/>
      <c r="NBC109" s="139"/>
      <c r="NBD109" s="139"/>
      <c r="NBE109" s="139"/>
      <c r="NBF109" s="139"/>
      <c r="NBG109" s="139"/>
      <c r="NBH109" s="139"/>
      <c r="NBI109" s="139"/>
      <c r="NBJ109" s="139"/>
      <c r="NBK109" s="139"/>
      <c r="NBL109" s="139"/>
      <c r="NBM109" s="139"/>
      <c r="NBN109" s="139"/>
      <c r="NBO109" s="139"/>
      <c r="NBP109" s="139"/>
      <c r="NBQ109" s="139"/>
      <c r="NBR109" s="139"/>
      <c r="NBS109" s="139"/>
      <c r="NBT109" s="139"/>
      <c r="NBU109" s="139"/>
      <c r="NBV109" s="139"/>
      <c r="NBW109" s="139"/>
      <c r="NBX109" s="139"/>
      <c r="NBY109" s="139"/>
      <c r="NBZ109" s="139"/>
      <c r="NCA109" s="139"/>
      <c r="NCB109" s="139"/>
      <c r="NCC109" s="139"/>
      <c r="NCD109" s="139"/>
      <c r="NCE109" s="139"/>
      <c r="NCF109" s="139"/>
      <c r="NCG109" s="139"/>
      <c r="NCH109" s="139"/>
      <c r="NCI109" s="139"/>
      <c r="NCJ109" s="139"/>
      <c r="NCK109" s="139"/>
      <c r="NCL109" s="139"/>
      <c r="NCM109" s="139"/>
      <c r="NCN109" s="139"/>
      <c r="NCO109" s="139"/>
      <c r="NCP109" s="139"/>
      <c r="NCQ109" s="139"/>
      <c r="NCR109" s="139"/>
      <c r="NCS109" s="139"/>
      <c r="NCT109" s="139"/>
      <c r="NCU109" s="139"/>
      <c r="NCV109" s="139"/>
      <c r="NCW109" s="139"/>
      <c r="NCX109" s="139"/>
      <c r="NCY109" s="139"/>
      <c r="NCZ109" s="139"/>
      <c r="NDA109" s="139"/>
      <c r="NDB109" s="139"/>
      <c r="NDC109" s="139"/>
      <c r="NDD109" s="139"/>
      <c r="NDE109" s="139"/>
      <c r="NDF109" s="139"/>
      <c r="NDG109" s="139"/>
      <c r="NDH109" s="139"/>
      <c r="NDI109" s="139"/>
      <c r="NDJ109" s="139"/>
      <c r="NDK109" s="139"/>
      <c r="NDL109" s="139"/>
      <c r="NDM109" s="139"/>
      <c r="NDN109" s="139"/>
      <c r="NDO109" s="139"/>
      <c r="NDP109" s="139"/>
      <c r="NDQ109" s="139"/>
      <c r="NDR109" s="139"/>
      <c r="NDS109" s="139"/>
      <c r="NDT109" s="139"/>
      <c r="NDU109" s="139"/>
      <c r="NDV109" s="139"/>
      <c r="NDW109" s="139"/>
      <c r="NDX109" s="139"/>
      <c r="NDY109" s="139"/>
      <c r="NDZ109" s="139"/>
      <c r="NEA109" s="139"/>
      <c r="NEB109" s="139"/>
      <c r="NEC109" s="139"/>
      <c r="NED109" s="139"/>
      <c r="NEE109" s="139"/>
      <c r="NEF109" s="139"/>
      <c r="NEG109" s="139"/>
      <c r="NEH109" s="139"/>
      <c r="NEI109" s="139"/>
      <c r="NEJ109" s="139"/>
      <c r="NEK109" s="139"/>
      <c r="NEL109" s="139"/>
      <c r="NEM109" s="139"/>
      <c r="NEN109" s="139"/>
      <c r="NEO109" s="139"/>
      <c r="NEP109" s="139"/>
      <c r="NEQ109" s="139"/>
      <c r="NER109" s="139"/>
      <c r="NES109" s="139"/>
      <c r="NET109" s="139"/>
      <c r="NEU109" s="139"/>
      <c r="NEV109" s="139"/>
      <c r="NEW109" s="139"/>
      <c r="NEX109" s="139"/>
      <c r="NEY109" s="139"/>
      <c r="NEZ109" s="139"/>
      <c r="NFA109" s="139"/>
      <c r="NFB109" s="139"/>
      <c r="NFC109" s="139"/>
      <c r="NFD109" s="139"/>
      <c r="NFE109" s="139"/>
      <c r="NFF109" s="139"/>
      <c r="NFG109" s="139"/>
      <c r="NFH109" s="139"/>
      <c r="NFI109" s="139"/>
      <c r="NFJ109" s="139"/>
      <c r="NFK109" s="139"/>
      <c r="NFL109" s="139"/>
      <c r="NFM109" s="139"/>
      <c r="NFN109" s="139"/>
      <c r="NFO109" s="139"/>
      <c r="NFP109" s="139"/>
      <c r="NFQ109" s="139"/>
      <c r="NFR109" s="139"/>
      <c r="NFS109" s="139"/>
      <c r="NFT109" s="139"/>
      <c r="NFU109" s="139"/>
      <c r="NFV109" s="139"/>
      <c r="NFW109" s="139"/>
      <c r="NFX109" s="139"/>
      <c r="NFY109" s="139"/>
      <c r="NFZ109" s="139"/>
      <c r="NGA109" s="139"/>
      <c r="NGB109" s="139"/>
      <c r="NGC109" s="139"/>
      <c r="NGD109" s="139"/>
      <c r="NGE109" s="139"/>
      <c r="NGF109" s="139"/>
      <c r="NGG109" s="139"/>
      <c r="NGH109" s="139"/>
      <c r="NGI109" s="139"/>
      <c r="NGJ109" s="139"/>
      <c r="NGK109" s="139"/>
      <c r="NGL109" s="139"/>
      <c r="NGM109" s="139"/>
      <c r="NGN109" s="139"/>
      <c r="NGO109" s="139"/>
      <c r="NGP109" s="139"/>
      <c r="NGQ109" s="139"/>
      <c r="NGR109" s="139"/>
      <c r="NGS109" s="139"/>
      <c r="NGT109" s="139"/>
      <c r="NGU109" s="139"/>
      <c r="NGV109" s="139"/>
      <c r="NGW109" s="139"/>
      <c r="NGX109" s="139"/>
      <c r="NGY109" s="139"/>
      <c r="NGZ109" s="139"/>
      <c r="NHA109" s="139"/>
      <c r="NHB109" s="139"/>
      <c r="NHC109" s="139"/>
      <c r="NHD109" s="139"/>
      <c r="NHE109" s="139"/>
      <c r="NHF109" s="139"/>
      <c r="NHG109" s="139"/>
      <c r="NHH109" s="139"/>
      <c r="NHI109" s="139"/>
      <c r="NHJ109" s="139"/>
      <c r="NHK109" s="139"/>
      <c r="NHL109" s="139"/>
      <c r="NHM109" s="139"/>
      <c r="NHN109" s="139"/>
      <c r="NHO109" s="139"/>
      <c r="NHP109" s="139"/>
      <c r="NHQ109" s="139"/>
      <c r="NHR109" s="139"/>
      <c r="NHS109" s="139"/>
      <c r="NHT109" s="139"/>
      <c r="NHU109" s="139"/>
      <c r="NHV109" s="139"/>
      <c r="NHW109" s="139"/>
      <c r="NHX109" s="139"/>
      <c r="NHY109" s="139"/>
      <c r="NHZ109" s="139"/>
      <c r="NIA109" s="139"/>
      <c r="NIB109" s="139"/>
      <c r="NIC109" s="139"/>
      <c r="NID109" s="139"/>
      <c r="NIE109" s="139"/>
      <c r="NIF109" s="139"/>
      <c r="NIG109" s="139"/>
      <c r="NIH109" s="139"/>
      <c r="NII109" s="139"/>
      <c r="NIJ109" s="139"/>
      <c r="NIK109" s="139"/>
      <c r="NIL109" s="139"/>
      <c r="NIM109" s="139"/>
      <c r="NIN109" s="139"/>
      <c r="NIO109" s="139"/>
      <c r="NIP109" s="139"/>
      <c r="NIQ109" s="139"/>
      <c r="NIR109" s="139"/>
      <c r="NIS109" s="139"/>
      <c r="NIT109" s="139"/>
      <c r="NIU109" s="139"/>
      <c r="NIV109" s="139"/>
      <c r="NIW109" s="139"/>
      <c r="NIX109" s="139"/>
      <c r="NIY109" s="139"/>
      <c r="NIZ109" s="139"/>
      <c r="NJA109" s="139"/>
      <c r="NJB109" s="139"/>
      <c r="NJC109" s="139"/>
      <c r="NJD109" s="139"/>
      <c r="NJE109" s="139"/>
      <c r="NJF109" s="139"/>
      <c r="NJG109" s="139"/>
      <c r="NJH109" s="139"/>
      <c r="NJI109" s="139"/>
      <c r="NJJ109" s="139"/>
      <c r="NJK109" s="139"/>
      <c r="NJL109" s="139"/>
      <c r="NJM109" s="139"/>
      <c r="NJN109" s="139"/>
      <c r="NJO109" s="139"/>
      <c r="NJP109" s="139"/>
      <c r="NJQ109" s="139"/>
      <c r="NJR109" s="139"/>
      <c r="NJS109" s="139"/>
      <c r="NJT109" s="139"/>
      <c r="NJU109" s="139"/>
      <c r="NJV109" s="139"/>
      <c r="NJW109" s="139"/>
      <c r="NJX109" s="139"/>
      <c r="NJY109" s="139"/>
      <c r="NJZ109" s="139"/>
      <c r="NKA109" s="139"/>
      <c r="NKB109" s="139"/>
      <c r="NKC109" s="139"/>
      <c r="NKD109" s="139"/>
      <c r="NKE109" s="139"/>
      <c r="NKF109" s="139"/>
      <c r="NKG109" s="139"/>
      <c r="NKH109" s="139"/>
      <c r="NKI109" s="139"/>
      <c r="NKJ109" s="139"/>
      <c r="NKK109" s="139"/>
      <c r="NKL109" s="139"/>
      <c r="NKM109" s="139"/>
      <c r="NKN109" s="139"/>
      <c r="NKO109" s="139"/>
      <c r="NKP109" s="139"/>
      <c r="NKQ109" s="139"/>
      <c r="NKR109" s="139"/>
      <c r="NKS109" s="139"/>
      <c r="NKT109" s="139"/>
      <c r="NKU109" s="139"/>
      <c r="NKV109" s="139"/>
      <c r="NKW109" s="139"/>
      <c r="NKX109" s="139"/>
      <c r="NKY109" s="139"/>
      <c r="NKZ109" s="139"/>
      <c r="NLA109" s="139"/>
      <c r="NLB109" s="139"/>
      <c r="NLC109" s="139"/>
      <c r="NLD109" s="139"/>
      <c r="NLE109" s="139"/>
      <c r="NLF109" s="139"/>
      <c r="NLG109" s="139"/>
      <c r="NLH109" s="139"/>
      <c r="NLI109" s="139"/>
      <c r="NLJ109" s="139"/>
      <c r="NLK109" s="139"/>
      <c r="NLL109" s="139"/>
      <c r="NLM109" s="139"/>
      <c r="NLN109" s="139"/>
      <c r="NLO109" s="139"/>
      <c r="NLP109" s="139"/>
      <c r="NLQ109" s="139"/>
      <c r="NLR109" s="139"/>
      <c r="NLS109" s="139"/>
      <c r="NLT109" s="139"/>
      <c r="NLU109" s="139"/>
      <c r="NLV109" s="139"/>
      <c r="NLW109" s="139"/>
      <c r="NLX109" s="139"/>
      <c r="NLY109" s="139"/>
      <c r="NLZ109" s="139"/>
      <c r="NMA109" s="139"/>
      <c r="NMB109" s="139"/>
      <c r="NMC109" s="139"/>
      <c r="NMD109" s="139"/>
      <c r="NME109" s="139"/>
      <c r="NMF109" s="139"/>
      <c r="NMG109" s="139"/>
      <c r="NMH109" s="139"/>
      <c r="NMI109" s="139"/>
      <c r="NMJ109" s="139"/>
      <c r="NMK109" s="139"/>
      <c r="NML109" s="139"/>
      <c r="NMM109" s="139"/>
      <c r="NMN109" s="139"/>
      <c r="NMO109" s="139"/>
      <c r="NMP109" s="139"/>
      <c r="NMQ109" s="139"/>
      <c r="NMR109" s="139"/>
      <c r="NMS109" s="139"/>
      <c r="NMT109" s="139"/>
      <c r="NMU109" s="139"/>
      <c r="NMV109" s="139"/>
      <c r="NMW109" s="139"/>
      <c r="NMX109" s="139"/>
      <c r="NMY109" s="139"/>
      <c r="NMZ109" s="139"/>
      <c r="NNA109" s="139"/>
      <c r="NNB109" s="139"/>
      <c r="NNC109" s="139"/>
      <c r="NND109" s="139"/>
      <c r="NNE109" s="139"/>
      <c r="NNF109" s="139"/>
      <c r="NNG109" s="139"/>
      <c r="NNH109" s="139"/>
      <c r="NNI109" s="139"/>
      <c r="NNJ109" s="139"/>
      <c r="NNK109" s="139"/>
      <c r="NNL109" s="139"/>
      <c r="NNM109" s="139"/>
      <c r="NNN109" s="139"/>
      <c r="NNO109" s="139"/>
      <c r="NNP109" s="139"/>
      <c r="NNQ109" s="139"/>
      <c r="NNR109" s="139"/>
      <c r="NNS109" s="139"/>
      <c r="NNT109" s="139"/>
      <c r="NNU109" s="139"/>
      <c r="NNV109" s="139"/>
      <c r="NNW109" s="139"/>
      <c r="NNX109" s="139"/>
      <c r="NNY109" s="139"/>
      <c r="NNZ109" s="139"/>
      <c r="NOA109" s="139"/>
      <c r="NOB109" s="139"/>
      <c r="NOC109" s="139"/>
      <c r="NOD109" s="139"/>
      <c r="NOE109" s="139"/>
      <c r="NOF109" s="139"/>
      <c r="NOG109" s="139"/>
      <c r="NOH109" s="139"/>
      <c r="NOI109" s="139"/>
      <c r="NOJ109" s="139"/>
      <c r="NOK109" s="139"/>
      <c r="NOL109" s="139"/>
      <c r="NOM109" s="139"/>
      <c r="NON109" s="139"/>
      <c r="NOO109" s="139"/>
      <c r="NOP109" s="139"/>
      <c r="NOQ109" s="139"/>
      <c r="NOR109" s="139"/>
      <c r="NOS109" s="139"/>
      <c r="NOT109" s="139"/>
      <c r="NOU109" s="139"/>
      <c r="NOV109" s="139"/>
      <c r="NOW109" s="139"/>
      <c r="NOX109" s="139"/>
      <c r="NOY109" s="139"/>
      <c r="NOZ109" s="139"/>
      <c r="NPA109" s="139"/>
      <c r="NPB109" s="139"/>
      <c r="NPC109" s="139"/>
      <c r="NPD109" s="139"/>
      <c r="NPE109" s="139"/>
      <c r="NPF109" s="139"/>
      <c r="NPG109" s="139"/>
      <c r="NPH109" s="139"/>
      <c r="NPI109" s="139"/>
      <c r="NPJ109" s="139"/>
      <c r="NPK109" s="139"/>
      <c r="NPL109" s="139"/>
      <c r="NPM109" s="139"/>
      <c r="NPN109" s="139"/>
      <c r="NPO109" s="139"/>
      <c r="NPP109" s="139"/>
      <c r="NPQ109" s="139"/>
      <c r="NPR109" s="139"/>
      <c r="NPS109" s="139"/>
      <c r="NPT109" s="139"/>
      <c r="NPU109" s="139"/>
      <c r="NPV109" s="139"/>
      <c r="NPW109" s="139"/>
      <c r="NPX109" s="139"/>
      <c r="NPY109" s="139"/>
      <c r="NPZ109" s="139"/>
      <c r="NQA109" s="139"/>
      <c r="NQB109" s="139"/>
      <c r="NQC109" s="139"/>
      <c r="NQD109" s="139"/>
      <c r="NQE109" s="139"/>
      <c r="NQF109" s="139"/>
      <c r="NQG109" s="139"/>
      <c r="NQH109" s="139"/>
      <c r="NQI109" s="139"/>
      <c r="NQJ109" s="139"/>
      <c r="NQK109" s="139"/>
      <c r="NQL109" s="139"/>
      <c r="NQM109" s="139"/>
      <c r="NQN109" s="139"/>
      <c r="NQO109" s="139"/>
      <c r="NQP109" s="139"/>
      <c r="NQQ109" s="139"/>
      <c r="NQR109" s="139"/>
      <c r="NQS109" s="139"/>
      <c r="NQT109" s="139"/>
      <c r="NQU109" s="139"/>
      <c r="NQV109" s="139"/>
      <c r="NQW109" s="139"/>
      <c r="NQX109" s="139"/>
      <c r="NQY109" s="139"/>
      <c r="NQZ109" s="139"/>
      <c r="NRA109" s="139"/>
      <c r="NRB109" s="139"/>
      <c r="NRC109" s="139"/>
      <c r="NRD109" s="139"/>
      <c r="NRE109" s="139"/>
      <c r="NRF109" s="139"/>
      <c r="NRG109" s="139"/>
      <c r="NRH109" s="139"/>
      <c r="NRI109" s="139"/>
      <c r="NRJ109" s="139"/>
      <c r="NRK109" s="139"/>
      <c r="NRL109" s="139"/>
      <c r="NRM109" s="139"/>
      <c r="NRN109" s="139"/>
      <c r="NRO109" s="139"/>
      <c r="NRP109" s="139"/>
      <c r="NRQ109" s="139"/>
      <c r="NRR109" s="139"/>
      <c r="NRS109" s="139"/>
      <c r="NRT109" s="139"/>
      <c r="NRU109" s="139"/>
      <c r="NRV109" s="139"/>
      <c r="NRW109" s="139"/>
      <c r="NRX109" s="139"/>
      <c r="NRY109" s="139"/>
      <c r="NRZ109" s="139"/>
      <c r="NSA109" s="139"/>
      <c r="NSB109" s="139"/>
      <c r="NSC109" s="139"/>
      <c r="NSD109" s="139"/>
      <c r="NSE109" s="139"/>
      <c r="NSF109" s="139"/>
      <c r="NSG109" s="139"/>
      <c r="NSH109" s="139"/>
      <c r="NSI109" s="139"/>
      <c r="NSJ109" s="139"/>
      <c r="NSK109" s="139"/>
      <c r="NSL109" s="139"/>
      <c r="NSM109" s="139"/>
      <c r="NSN109" s="139"/>
      <c r="NSO109" s="139"/>
      <c r="NSP109" s="139"/>
      <c r="NSQ109" s="139"/>
      <c r="NSR109" s="139"/>
      <c r="NSS109" s="139"/>
      <c r="NST109" s="139"/>
      <c r="NSU109" s="139"/>
      <c r="NSV109" s="139"/>
      <c r="NSW109" s="139"/>
      <c r="NSX109" s="139"/>
      <c r="NSY109" s="139"/>
      <c r="NSZ109" s="139"/>
      <c r="NTA109" s="139"/>
      <c r="NTB109" s="139"/>
      <c r="NTC109" s="139"/>
      <c r="NTD109" s="139"/>
      <c r="NTE109" s="139"/>
      <c r="NTF109" s="139"/>
      <c r="NTG109" s="139"/>
      <c r="NTH109" s="139"/>
      <c r="NTI109" s="139"/>
      <c r="NTJ109" s="139"/>
      <c r="NTK109" s="139"/>
      <c r="NTL109" s="139"/>
      <c r="NTM109" s="139"/>
      <c r="NTN109" s="139"/>
      <c r="NTO109" s="139"/>
      <c r="NTP109" s="139"/>
      <c r="NTQ109" s="139"/>
      <c r="NTR109" s="139"/>
      <c r="NTS109" s="139"/>
      <c r="NTT109" s="139"/>
      <c r="NTU109" s="139"/>
      <c r="NTV109" s="139"/>
      <c r="NTW109" s="139"/>
      <c r="NTX109" s="139"/>
      <c r="NTY109" s="139"/>
      <c r="NTZ109" s="139"/>
      <c r="NUA109" s="139"/>
      <c r="NUB109" s="139"/>
      <c r="NUC109" s="139"/>
      <c r="NUD109" s="139"/>
      <c r="NUE109" s="139"/>
      <c r="NUF109" s="139"/>
      <c r="NUG109" s="139"/>
      <c r="NUH109" s="139"/>
      <c r="NUI109" s="139"/>
      <c r="NUJ109" s="139"/>
      <c r="NUK109" s="139"/>
      <c r="NUL109" s="139"/>
      <c r="NUM109" s="139"/>
      <c r="NUN109" s="139"/>
      <c r="NUO109" s="139"/>
      <c r="NUP109" s="139"/>
      <c r="NUQ109" s="139"/>
      <c r="NUR109" s="139"/>
      <c r="NUS109" s="139"/>
      <c r="NUT109" s="139"/>
      <c r="NUU109" s="139"/>
      <c r="NUV109" s="139"/>
      <c r="NUW109" s="139"/>
      <c r="NUX109" s="139"/>
      <c r="NUY109" s="139"/>
      <c r="NUZ109" s="139"/>
      <c r="NVA109" s="139"/>
      <c r="NVB109" s="139"/>
      <c r="NVC109" s="139"/>
      <c r="NVD109" s="139"/>
      <c r="NVE109" s="139"/>
      <c r="NVF109" s="139"/>
      <c r="NVG109" s="139"/>
      <c r="NVH109" s="139"/>
      <c r="NVI109" s="139"/>
      <c r="NVJ109" s="139"/>
      <c r="NVK109" s="139"/>
      <c r="NVL109" s="139"/>
      <c r="NVM109" s="139"/>
      <c r="NVN109" s="139"/>
      <c r="NVO109" s="139"/>
      <c r="NVP109" s="139"/>
      <c r="NVQ109" s="139"/>
      <c r="NVR109" s="139"/>
      <c r="NVS109" s="139"/>
      <c r="NVT109" s="139"/>
      <c r="NVU109" s="139"/>
      <c r="NVV109" s="139"/>
      <c r="NVW109" s="139"/>
      <c r="NVX109" s="139"/>
      <c r="NVY109" s="139"/>
      <c r="NVZ109" s="139"/>
      <c r="NWA109" s="139"/>
      <c r="NWB109" s="139"/>
      <c r="NWC109" s="139"/>
      <c r="NWD109" s="139"/>
      <c r="NWE109" s="139"/>
      <c r="NWF109" s="139"/>
      <c r="NWG109" s="139"/>
      <c r="NWH109" s="139"/>
      <c r="NWI109" s="139"/>
      <c r="NWJ109" s="139"/>
      <c r="NWK109" s="139"/>
      <c r="NWL109" s="139"/>
      <c r="NWM109" s="139"/>
      <c r="NWN109" s="139"/>
      <c r="NWO109" s="139"/>
      <c r="NWP109" s="139"/>
      <c r="NWQ109" s="139"/>
      <c r="NWR109" s="139"/>
      <c r="NWS109" s="139"/>
      <c r="NWT109" s="139"/>
      <c r="NWU109" s="139"/>
      <c r="NWV109" s="139"/>
      <c r="NWW109" s="139"/>
      <c r="NWX109" s="139"/>
      <c r="NWY109" s="139"/>
      <c r="NWZ109" s="139"/>
      <c r="NXA109" s="139"/>
      <c r="NXB109" s="139"/>
      <c r="NXC109" s="139"/>
      <c r="NXD109" s="139"/>
      <c r="NXE109" s="139"/>
      <c r="NXF109" s="139"/>
      <c r="NXG109" s="139"/>
      <c r="NXH109" s="139"/>
      <c r="NXI109" s="139"/>
      <c r="NXJ109" s="139"/>
      <c r="NXK109" s="139"/>
      <c r="NXL109" s="139"/>
      <c r="NXM109" s="139"/>
      <c r="NXN109" s="139"/>
      <c r="NXO109" s="139"/>
      <c r="NXP109" s="139"/>
      <c r="NXQ109" s="139"/>
      <c r="NXR109" s="139"/>
      <c r="NXS109" s="139"/>
      <c r="NXT109" s="139"/>
      <c r="NXU109" s="139"/>
      <c r="NXV109" s="139"/>
      <c r="NXW109" s="139"/>
      <c r="NXX109" s="139"/>
      <c r="NXY109" s="139"/>
      <c r="NXZ109" s="139"/>
      <c r="NYA109" s="139"/>
      <c r="NYB109" s="139"/>
      <c r="NYC109" s="139"/>
      <c r="NYD109" s="139"/>
      <c r="NYE109" s="139"/>
      <c r="NYF109" s="139"/>
      <c r="NYG109" s="139"/>
      <c r="NYH109" s="139"/>
      <c r="NYI109" s="139"/>
      <c r="NYJ109" s="139"/>
      <c r="NYK109" s="139"/>
      <c r="NYL109" s="139"/>
      <c r="NYM109" s="139"/>
      <c r="NYN109" s="139"/>
      <c r="NYO109" s="139"/>
      <c r="NYP109" s="139"/>
      <c r="NYQ109" s="139"/>
      <c r="NYR109" s="139"/>
      <c r="NYS109" s="139"/>
      <c r="NYT109" s="139"/>
      <c r="NYU109" s="139"/>
      <c r="NYV109" s="139"/>
      <c r="NYW109" s="139"/>
      <c r="NYX109" s="139"/>
      <c r="NYY109" s="139"/>
      <c r="NYZ109" s="139"/>
      <c r="NZA109" s="139"/>
      <c r="NZB109" s="139"/>
      <c r="NZC109" s="139"/>
      <c r="NZD109" s="139"/>
      <c r="NZE109" s="139"/>
      <c r="NZF109" s="139"/>
      <c r="NZG109" s="139"/>
      <c r="NZH109" s="139"/>
      <c r="NZI109" s="139"/>
      <c r="NZJ109" s="139"/>
      <c r="NZK109" s="139"/>
      <c r="NZL109" s="139"/>
      <c r="NZM109" s="139"/>
      <c r="NZN109" s="139"/>
      <c r="NZO109" s="139"/>
      <c r="NZP109" s="139"/>
      <c r="NZQ109" s="139"/>
      <c r="NZR109" s="139"/>
      <c r="NZS109" s="139"/>
      <c r="NZT109" s="139"/>
      <c r="NZU109" s="139"/>
      <c r="NZV109" s="139"/>
      <c r="NZW109" s="139"/>
      <c r="NZX109" s="139"/>
      <c r="NZY109" s="139"/>
      <c r="NZZ109" s="139"/>
      <c r="OAA109" s="139"/>
      <c r="OAB109" s="139"/>
      <c r="OAC109" s="139"/>
      <c r="OAD109" s="139"/>
      <c r="OAE109" s="139"/>
      <c r="OAF109" s="139"/>
      <c r="OAG109" s="139"/>
      <c r="OAH109" s="139"/>
      <c r="OAI109" s="139"/>
      <c r="OAJ109" s="139"/>
      <c r="OAK109" s="139"/>
      <c r="OAL109" s="139"/>
      <c r="OAM109" s="139"/>
      <c r="OAN109" s="139"/>
      <c r="OAO109" s="139"/>
      <c r="OAP109" s="139"/>
      <c r="OAQ109" s="139"/>
      <c r="OAR109" s="139"/>
      <c r="OAS109" s="139"/>
      <c r="OAT109" s="139"/>
      <c r="OAU109" s="139"/>
      <c r="OAV109" s="139"/>
      <c r="OAW109" s="139"/>
      <c r="OAX109" s="139"/>
      <c r="OAY109" s="139"/>
      <c r="OAZ109" s="139"/>
      <c r="OBA109" s="139"/>
      <c r="OBB109" s="139"/>
      <c r="OBC109" s="139"/>
      <c r="OBD109" s="139"/>
      <c r="OBE109" s="139"/>
      <c r="OBF109" s="139"/>
      <c r="OBG109" s="139"/>
      <c r="OBH109" s="139"/>
      <c r="OBI109" s="139"/>
      <c r="OBJ109" s="139"/>
      <c r="OBK109" s="139"/>
      <c r="OBL109" s="139"/>
      <c r="OBM109" s="139"/>
      <c r="OBN109" s="139"/>
      <c r="OBO109" s="139"/>
      <c r="OBP109" s="139"/>
      <c r="OBQ109" s="139"/>
      <c r="OBR109" s="139"/>
      <c r="OBS109" s="139"/>
      <c r="OBT109" s="139"/>
      <c r="OBU109" s="139"/>
      <c r="OBV109" s="139"/>
      <c r="OBW109" s="139"/>
      <c r="OBX109" s="139"/>
      <c r="OBY109" s="139"/>
      <c r="OBZ109" s="139"/>
      <c r="OCA109" s="139"/>
      <c r="OCB109" s="139"/>
      <c r="OCC109" s="139"/>
      <c r="OCD109" s="139"/>
      <c r="OCE109" s="139"/>
      <c r="OCF109" s="139"/>
      <c r="OCG109" s="139"/>
      <c r="OCH109" s="139"/>
      <c r="OCI109" s="139"/>
      <c r="OCJ109" s="139"/>
      <c r="OCK109" s="139"/>
      <c r="OCL109" s="139"/>
      <c r="OCM109" s="139"/>
      <c r="OCN109" s="139"/>
      <c r="OCO109" s="139"/>
      <c r="OCP109" s="139"/>
      <c r="OCQ109" s="139"/>
      <c r="OCR109" s="139"/>
      <c r="OCS109" s="139"/>
      <c r="OCT109" s="139"/>
      <c r="OCU109" s="139"/>
      <c r="OCV109" s="139"/>
      <c r="OCW109" s="139"/>
      <c r="OCX109" s="139"/>
      <c r="OCY109" s="139"/>
      <c r="OCZ109" s="139"/>
      <c r="ODA109" s="139"/>
      <c r="ODB109" s="139"/>
      <c r="ODC109" s="139"/>
      <c r="ODD109" s="139"/>
      <c r="ODE109" s="139"/>
      <c r="ODF109" s="139"/>
      <c r="ODG109" s="139"/>
      <c r="ODH109" s="139"/>
      <c r="ODI109" s="139"/>
      <c r="ODJ109" s="139"/>
      <c r="ODK109" s="139"/>
      <c r="ODL109" s="139"/>
      <c r="ODM109" s="139"/>
      <c r="ODN109" s="139"/>
      <c r="ODO109" s="139"/>
      <c r="ODP109" s="139"/>
      <c r="ODQ109" s="139"/>
      <c r="ODR109" s="139"/>
      <c r="ODS109" s="139"/>
      <c r="ODT109" s="139"/>
      <c r="ODU109" s="139"/>
      <c r="ODV109" s="139"/>
      <c r="ODW109" s="139"/>
      <c r="ODX109" s="139"/>
      <c r="ODY109" s="139"/>
      <c r="ODZ109" s="139"/>
      <c r="OEA109" s="139"/>
      <c r="OEB109" s="139"/>
      <c r="OEC109" s="139"/>
      <c r="OED109" s="139"/>
      <c r="OEE109" s="139"/>
      <c r="OEF109" s="139"/>
      <c r="OEG109" s="139"/>
      <c r="OEH109" s="139"/>
      <c r="OEI109" s="139"/>
      <c r="OEJ109" s="139"/>
      <c r="OEK109" s="139"/>
      <c r="OEL109" s="139"/>
      <c r="OEM109" s="139"/>
      <c r="OEN109" s="139"/>
      <c r="OEO109" s="139"/>
      <c r="OEP109" s="139"/>
      <c r="OEQ109" s="139"/>
      <c r="OER109" s="139"/>
      <c r="OES109" s="139"/>
      <c r="OET109" s="139"/>
      <c r="OEU109" s="139"/>
      <c r="OEV109" s="139"/>
      <c r="OEW109" s="139"/>
      <c r="OEX109" s="139"/>
      <c r="OEY109" s="139"/>
      <c r="OEZ109" s="139"/>
      <c r="OFA109" s="139"/>
      <c r="OFB109" s="139"/>
      <c r="OFC109" s="139"/>
      <c r="OFD109" s="139"/>
      <c r="OFE109" s="139"/>
      <c r="OFF109" s="139"/>
      <c r="OFG109" s="139"/>
      <c r="OFH109" s="139"/>
      <c r="OFI109" s="139"/>
      <c r="OFJ109" s="139"/>
      <c r="OFK109" s="139"/>
      <c r="OFL109" s="139"/>
      <c r="OFM109" s="139"/>
      <c r="OFN109" s="139"/>
      <c r="OFO109" s="139"/>
      <c r="OFP109" s="139"/>
      <c r="OFQ109" s="139"/>
      <c r="OFR109" s="139"/>
      <c r="OFS109" s="139"/>
      <c r="OFT109" s="139"/>
      <c r="OFU109" s="139"/>
      <c r="OFV109" s="139"/>
      <c r="OFW109" s="139"/>
      <c r="OFX109" s="139"/>
      <c r="OFY109" s="139"/>
      <c r="OFZ109" s="139"/>
      <c r="OGA109" s="139"/>
      <c r="OGB109" s="139"/>
      <c r="OGC109" s="139"/>
      <c r="OGD109" s="139"/>
      <c r="OGE109" s="139"/>
      <c r="OGF109" s="139"/>
      <c r="OGG109" s="139"/>
      <c r="OGH109" s="139"/>
      <c r="OGI109" s="139"/>
      <c r="OGJ109" s="139"/>
      <c r="OGK109" s="139"/>
      <c r="OGL109" s="139"/>
      <c r="OGM109" s="139"/>
      <c r="OGN109" s="139"/>
      <c r="OGO109" s="139"/>
      <c r="OGP109" s="139"/>
      <c r="OGQ109" s="139"/>
      <c r="OGR109" s="139"/>
      <c r="OGS109" s="139"/>
      <c r="OGT109" s="139"/>
      <c r="OGU109" s="139"/>
      <c r="OGV109" s="139"/>
      <c r="OGW109" s="139"/>
      <c r="OGX109" s="139"/>
      <c r="OGY109" s="139"/>
      <c r="OGZ109" s="139"/>
      <c r="OHA109" s="139"/>
      <c r="OHB109" s="139"/>
      <c r="OHC109" s="139"/>
      <c r="OHD109" s="139"/>
      <c r="OHE109" s="139"/>
      <c r="OHF109" s="139"/>
      <c r="OHG109" s="139"/>
      <c r="OHH109" s="139"/>
      <c r="OHI109" s="139"/>
      <c r="OHJ109" s="139"/>
      <c r="OHK109" s="139"/>
      <c r="OHL109" s="139"/>
      <c r="OHM109" s="139"/>
      <c r="OHN109" s="139"/>
      <c r="OHO109" s="139"/>
      <c r="OHP109" s="139"/>
      <c r="OHQ109" s="139"/>
      <c r="OHR109" s="139"/>
      <c r="OHS109" s="139"/>
      <c r="OHT109" s="139"/>
      <c r="OHU109" s="139"/>
      <c r="OHV109" s="139"/>
      <c r="OHW109" s="139"/>
      <c r="OHX109" s="139"/>
      <c r="OHY109" s="139"/>
      <c r="OHZ109" s="139"/>
      <c r="OIA109" s="139"/>
      <c r="OIB109" s="139"/>
      <c r="OIC109" s="139"/>
      <c r="OID109" s="139"/>
      <c r="OIE109" s="139"/>
      <c r="OIF109" s="139"/>
      <c r="OIG109" s="139"/>
      <c r="OIH109" s="139"/>
      <c r="OII109" s="139"/>
      <c r="OIJ109" s="139"/>
      <c r="OIK109" s="139"/>
      <c r="OIL109" s="139"/>
      <c r="OIM109" s="139"/>
      <c r="OIN109" s="139"/>
      <c r="OIO109" s="139"/>
      <c r="OIP109" s="139"/>
      <c r="OIQ109" s="139"/>
      <c r="OIR109" s="139"/>
      <c r="OIS109" s="139"/>
      <c r="OIT109" s="139"/>
      <c r="OIU109" s="139"/>
      <c r="OIV109" s="139"/>
      <c r="OIW109" s="139"/>
      <c r="OIX109" s="139"/>
      <c r="OIY109" s="139"/>
      <c r="OIZ109" s="139"/>
      <c r="OJA109" s="139"/>
      <c r="OJB109" s="139"/>
      <c r="OJC109" s="139"/>
      <c r="OJD109" s="139"/>
      <c r="OJE109" s="139"/>
      <c r="OJF109" s="139"/>
      <c r="OJG109" s="139"/>
      <c r="OJH109" s="139"/>
      <c r="OJI109" s="139"/>
      <c r="OJJ109" s="139"/>
      <c r="OJK109" s="139"/>
      <c r="OJL109" s="139"/>
      <c r="OJM109" s="139"/>
      <c r="OJN109" s="139"/>
      <c r="OJO109" s="139"/>
      <c r="OJP109" s="139"/>
      <c r="OJQ109" s="139"/>
      <c r="OJR109" s="139"/>
      <c r="OJS109" s="139"/>
      <c r="OJT109" s="139"/>
      <c r="OJU109" s="139"/>
      <c r="OJV109" s="139"/>
      <c r="OJW109" s="139"/>
      <c r="OJX109" s="139"/>
      <c r="OJY109" s="139"/>
      <c r="OJZ109" s="139"/>
      <c r="OKA109" s="139"/>
      <c r="OKB109" s="139"/>
      <c r="OKC109" s="139"/>
      <c r="OKD109" s="139"/>
      <c r="OKE109" s="139"/>
      <c r="OKF109" s="139"/>
      <c r="OKG109" s="139"/>
      <c r="OKH109" s="139"/>
      <c r="OKI109" s="139"/>
      <c r="OKJ109" s="139"/>
      <c r="OKK109" s="139"/>
      <c r="OKL109" s="139"/>
      <c r="OKM109" s="139"/>
      <c r="OKN109" s="139"/>
      <c r="OKO109" s="139"/>
      <c r="OKP109" s="139"/>
      <c r="OKQ109" s="139"/>
      <c r="OKR109" s="139"/>
      <c r="OKS109" s="139"/>
      <c r="OKT109" s="139"/>
      <c r="OKU109" s="139"/>
      <c r="OKV109" s="139"/>
      <c r="OKW109" s="139"/>
      <c r="OKX109" s="139"/>
      <c r="OKY109" s="139"/>
      <c r="OKZ109" s="139"/>
      <c r="OLA109" s="139"/>
      <c r="OLB109" s="139"/>
      <c r="OLC109" s="139"/>
      <c r="OLD109" s="139"/>
      <c r="OLE109" s="139"/>
      <c r="OLF109" s="139"/>
      <c r="OLG109" s="139"/>
      <c r="OLH109" s="139"/>
      <c r="OLI109" s="139"/>
      <c r="OLJ109" s="139"/>
      <c r="OLK109" s="139"/>
      <c r="OLL109" s="139"/>
      <c r="OLM109" s="139"/>
      <c r="OLN109" s="139"/>
      <c r="OLO109" s="139"/>
      <c r="OLP109" s="139"/>
      <c r="OLQ109" s="139"/>
      <c r="OLR109" s="139"/>
      <c r="OLS109" s="139"/>
      <c r="OLT109" s="139"/>
      <c r="OLU109" s="139"/>
      <c r="OLV109" s="139"/>
      <c r="OLW109" s="139"/>
      <c r="OLX109" s="139"/>
      <c r="OLY109" s="139"/>
      <c r="OLZ109" s="139"/>
      <c r="OMA109" s="139"/>
      <c r="OMB109" s="139"/>
      <c r="OMC109" s="139"/>
      <c r="OMD109" s="139"/>
      <c r="OME109" s="139"/>
      <c r="OMF109" s="139"/>
      <c r="OMG109" s="139"/>
      <c r="OMH109" s="139"/>
      <c r="OMI109" s="139"/>
      <c r="OMJ109" s="139"/>
      <c r="OMK109" s="139"/>
      <c r="OML109" s="139"/>
      <c r="OMM109" s="139"/>
      <c r="OMN109" s="139"/>
      <c r="OMO109" s="139"/>
      <c r="OMP109" s="139"/>
      <c r="OMQ109" s="139"/>
      <c r="OMR109" s="139"/>
      <c r="OMS109" s="139"/>
      <c r="OMT109" s="139"/>
      <c r="OMU109" s="139"/>
      <c r="OMV109" s="139"/>
      <c r="OMW109" s="139"/>
      <c r="OMX109" s="139"/>
      <c r="OMY109" s="139"/>
      <c r="OMZ109" s="139"/>
      <c r="ONA109" s="139"/>
      <c r="ONB109" s="139"/>
      <c r="ONC109" s="139"/>
      <c r="OND109" s="139"/>
      <c r="ONE109" s="139"/>
      <c r="ONF109" s="139"/>
      <c r="ONG109" s="139"/>
      <c r="ONH109" s="139"/>
      <c r="ONI109" s="139"/>
      <c r="ONJ109" s="139"/>
      <c r="ONK109" s="139"/>
      <c r="ONL109" s="139"/>
      <c r="ONM109" s="139"/>
      <c r="ONN109" s="139"/>
      <c r="ONO109" s="139"/>
      <c r="ONP109" s="139"/>
      <c r="ONQ109" s="139"/>
      <c r="ONR109" s="139"/>
      <c r="ONS109" s="139"/>
      <c r="ONT109" s="139"/>
      <c r="ONU109" s="139"/>
      <c r="ONV109" s="139"/>
      <c r="ONW109" s="139"/>
      <c r="ONX109" s="139"/>
      <c r="ONY109" s="139"/>
      <c r="ONZ109" s="139"/>
      <c r="OOA109" s="139"/>
      <c r="OOB109" s="139"/>
      <c r="OOC109" s="139"/>
      <c r="OOD109" s="139"/>
      <c r="OOE109" s="139"/>
      <c r="OOF109" s="139"/>
      <c r="OOG109" s="139"/>
      <c r="OOH109" s="139"/>
      <c r="OOI109" s="139"/>
      <c r="OOJ109" s="139"/>
      <c r="OOK109" s="139"/>
      <c r="OOL109" s="139"/>
      <c r="OOM109" s="139"/>
      <c r="OON109" s="139"/>
      <c r="OOO109" s="139"/>
      <c r="OOP109" s="139"/>
      <c r="OOQ109" s="139"/>
      <c r="OOR109" s="139"/>
      <c r="OOS109" s="139"/>
      <c r="OOT109" s="139"/>
      <c r="OOU109" s="139"/>
      <c r="OOV109" s="139"/>
      <c r="OOW109" s="139"/>
      <c r="OOX109" s="139"/>
      <c r="OOY109" s="139"/>
      <c r="OOZ109" s="139"/>
      <c r="OPA109" s="139"/>
      <c r="OPB109" s="139"/>
      <c r="OPC109" s="139"/>
      <c r="OPD109" s="139"/>
      <c r="OPE109" s="139"/>
      <c r="OPF109" s="139"/>
      <c r="OPG109" s="139"/>
      <c r="OPH109" s="139"/>
      <c r="OPI109" s="139"/>
      <c r="OPJ109" s="139"/>
      <c r="OPK109" s="139"/>
      <c r="OPL109" s="139"/>
      <c r="OPM109" s="139"/>
      <c r="OPN109" s="139"/>
      <c r="OPO109" s="139"/>
      <c r="OPP109" s="139"/>
      <c r="OPQ109" s="139"/>
      <c r="OPR109" s="139"/>
      <c r="OPS109" s="139"/>
      <c r="OPT109" s="139"/>
      <c r="OPU109" s="139"/>
      <c r="OPV109" s="139"/>
      <c r="OPW109" s="139"/>
      <c r="OPX109" s="139"/>
      <c r="OPY109" s="139"/>
      <c r="OPZ109" s="139"/>
      <c r="OQA109" s="139"/>
      <c r="OQB109" s="139"/>
      <c r="OQC109" s="139"/>
      <c r="OQD109" s="139"/>
      <c r="OQE109" s="139"/>
      <c r="OQF109" s="139"/>
      <c r="OQG109" s="139"/>
      <c r="OQH109" s="139"/>
      <c r="OQI109" s="139"/>
      <c r="OQJ109" s="139"/>
      <c r="OQK109" s="139"/>
      <c r="OQL109" s="139"/>
      <c r="OQM109" s="139"/>
      <c r="OQN109" s="139"/>
      <c r="OQO109" s="139"/>
      <c r="OQP109" s="139"/>
      <c r="OQQ109" s="139"/>
      <c r="OQR109" s="139"/>
      <c r="OQS109" s="139"/>
      <c r="OQT109" s="139"/>
      <c r="OQU109" s="139"/>
      <c r="OQV109" s="139"/>
      <c r="OQW109" s="139"/>
      <c r="OQX109" s="139"/>
      <c r="OQY109" s="139"/>
      <c r="OQZ109" s="139"/>
      <c r="ORA109" s="139"/>
      <c r="ORB109" s="139"/>
      <c r="ORC109" s="139"/>
      <c r="ORD109" s="139"/>
      <c r="ORE109" s="139"/>
      <c r="ORF109" s="139"/>
      <c r="ORG109" s="139"/>
      <c r="ORH109" s="139"/>
      <c r="ORI109" s="139"/>
      <c r="ORJ109" s="139"/>
      <c r="ORK109" s="139"/>
      <c r="ORL109" s="139"/>
      <c r="ORM109" s="139"/>
      <c r="ORN109" s="139"/>
      <c r="ORO109" s="139"/>
      <c r="ORP109" s="139"/>
      <c r="ORQ109" s="139"/>
      <c r="ORR109" s="139"/>
      <c r="ORS109" s="139"/>
      <c r="ORT109" s="139"/>
      <c r="ORU109" s="139"/>
      <c r="ORV109" s="139"/>
      <c r="ORW109" s="139"/>
      <c r="ORX109" s="139"/>
      <c r="ORY109" s="139"/>
      <c r="ORZ109" s="139"/>
      <c r="OSA109" s="139"/>
      <c r="OSB109" s="139"/>
      <c r="OSC109" s="139"/>
      <c r="OSD109" s="139"/>
      <c r="OSE109" s="139"/>
      <c r="OSF109" s="139"/>
      <c r="OSG109" s="139"/>
      <c r="OSH109" s="139"/>
      <c r="OSI109" s="139"/>
      <c r="OSJ109" s="139"/>
      <c r="OSK109" s="139"/>
      <c r="OSL109" s="139"/>
      <c r="OSM109" s="139"/>
      <c r="OSN109" s="139"/>
      <c r="OSO109" s="139"/>
      <c r="OSP109" s="139"/>
      <c r="OSQ109" s="139"/>
      <c r="OSR109" s="139"/>
      <c r="OSS109" s="139"/>
      <c r="OST109" s="139"/>
      <c r="OSU109" s="139"/>
      <c r="OSV109" s="139"/>
      <c r="OSW109" s="139"/>
      <c r="OSX109" s="139"/>
      <c r="OSY109" s="139"/>
      <c r="OSZ109" s="139"/>
      <c r="OTA109" s="139"/>
      <c r="OTB109" s="139"/>
      <c r="OTC109" s="139"/>
      <c r="OTD109" s="139"/>
      <c r="OTE109" s="139"/>
      <c r="OTF109" s="139"/>
      <c r="OTG109" s="139"/>
      <c r="OTH109" s="139"/>
      <c r="OTI109" s="139"/>
      <c r="OTJ109" s="139"/>
      <c r="OTK109" s="139"/>
      <c r="OTL109" s="139"/>
      <c r="OTM109" s="139"/>
      <c r="OTN109" s="139"/>
      <c r="OTO109" s="139"/>
      <c r="OTP109" s="139"/>
      <c r="OTQ109" s="139"/>
      <c r="OTR109" s="139"/>
      <c r="OTS109" s="139"/>
      <c r="OTT109" s="139"/>
      <c r="OTU109" s="139"/>
      <c r="OTV109" s="139"/>
      <c r="OTW109" s="139"/>
      <c r="OTX109" s="139"/>
      <c r="OTY109" s="139"/>
      <c r="OTZ109" s="139"/>
      <c r="OUA109" s="139"/>
      <c r="OUB109" s="139"/>
      <c r="OUC109" s="139"/>
      <c r="OUD109" s="139"/>
      <c r="OUE109" s="139"/>
      <c r="OUF109" s="139"/>
      <c r="OUG109" s="139"/>
      <c r="OUH109" s="139"/>
      <c r="OUI109" s="139"/>
      <c r="OUJ109" s="139"/>
      <c r="OUK109" s="139"/>
      <c r="OUL109" s="139"/>
      <c r="OUM109" s="139"/>
      <c r="OUN109" s="139"/>
      <c r="OUO109" s="139"/>
      <c r="OUP109" s="139"/>
      <c r="OUQ109" s="139"/>
      <c r="OUR109" s="139"/>
      <c r="OUS109" s="139"/>
      <c r="OUT109" s="139"/>
      <c r="OUU109" s="139"/>
      <c r="OUV109" s="139"/>
      <c r="OUW109" s="139"/>
      <c r="OUX109" s="139"/>
      <c r="OUY109" s="139"/>
      <c r="OUZ109" s="139"/>
      <c r="OVA109" s="139"/>
      <c r="OVB109" s="139"/>
      <c r="OVC109" s="139"/>
      <c r="OVD109" s="139"/>
      <c r="OVE109" s="139"/>
      <c r="OVF109" s="139"/>
      <c r="OVG109" s="139"/>
      <c r="OVH109" s="139"/>
      <c r="OVI109" s="139"/>
      <c r="OVJ109" s="139"/>
      <c r="OVK109" s="139"/>
      <c r="OVL109" s="139"/>
      <c r="OVM109" s="139"/>
      <c r="OVN109" s="139"/>
      <c r="OVO109" s="139"/>
      <c r="OVP109" s="139"/>
      <c r="OVQ109" s="139"/>
      <c r="OVR109" s="139"/>
      <c r="OVS109" s="139"/>
      <c r="OVT109" s="139"/>
      <c r="OVU109" s="139"/>
      <c r="OVV109" s="139"/>
      <c r="OVW109" s="139"/>
      <c r="OVX109" s="139"/>
      <c r="OVY109" s="139"/>
      <c r="OVZ109" s="139"/>
      <c r="OWA109" s="139"/>
      <c r="OWB109" s="139"/>
      <c r="OWC109" s="139"/>
      <c r="OWD109" s="139"/>
      <c r="OWE109" s="139"/>
      <c r="OWF109" s="139"/>
      <c r="OWG109" s="139"/>
      <c r="OWH109" s="139"/>
      <c r="OWI109" s="139"/>
      <c r="OWJ109" s="139"/>
      <c r="OWK109" s="139"/>
      <c r="OWL109" s="139"/>
      <c r="OWM109" s="139"/>
      <c r="OWN109" s="139"/>
      <c r="OWO109" s="139"/>
      <c r="OWP109" s="139"/>
      <c r="OWQ109" s="139"/>
      <c r="OWR109" s="139"/>
      <c r="OWS109" s="139"/>
      <c r="OWT109" s="139"/>
      <c r="OWU109" s="139"/>
      <c r="OWV109" s="139"/>
      <c r="OWW109" s="139"/>
      <c r="OWX109" s="139"/>
      <c r="OWY109" s="139"/>
      <c r="OWZ109" s="139"/>
      <c r="OXA109" s="139"/>
      <c r="OXB109" s="139"/>
      <c r="OXC109" s="139"/>
      <c r="OXD109" s="139"/>
      <c r="OXE109" s="139"/>
      <c r="OXF109" s="139"/>
      <c r="OXG109" s="139"/>
      <c r="OXH109" s="139"/>
      <c r="OXI109" s="139"/>
      <c r="OXJ109" s="139"/>
      <c r="OXK109" s="139"/>
      <c r="OXL109" s="139"/>
      <c r="OXM109" s="139"/>
      <c r="OXN109" s="139"/>
      <c r="OXO109" s="139"/>
      <c r="OXP109" s="139"/>
      <c r="OXQ109" s="139"/>
      <c r="OXR109" s="139"/>
      <c r="OXS109" s="139"/>
      <c r="OXT109" s="139"/>
      <c r="OXU109" s="139"/>
      <c r="OXV109" s="139"/>
      <c r="OXW109" s="139"/>
      <c r="OXX109" s="139"/>
      <c r="OXY109" s="139"/>
      <c r="OXZ109" s="139"/>
      <c r="OYA109" s="139"/>
      <c r="OYB109" s="139"/>
      <c r="OYC109" s="139"/>
      <c r="OYD109" s="139"/>
      <c r="OYE109" s="139"/>
      <c r="OYF109" s="139"/>
      <c r="OYG109" s="139"/>
      <c r="OYH109" s="139"/>
      <c r="OYI109" s="139"/>
      <c r="OYJ109" s="139"/>
      <c r="OYK109" s="139"/>
      <c r="OYL109" s="139"/>
      <c r="OYM109" s="139"/>
      <c r="OYN109" s="139"/>
      <c r="OYO109" s="139"/>
      <c r="OYP109" s="139"/>
      <c r="OYQ109" s="139"/>
      <c r="OYR109" s="139"/>
      <c r="OYS109" s="139"/>
      <c r="OYT109" s="139"/>
      <c r="OYU109" s="139"/>
      <c r="OYV109" s="139"/>
      <c r="OYW109" s="139"/>
      <c r="OYX109" s="139"/>
      <c r="OYY109" s="139"/>
      <c r="OYZ109" s="139"/>
      <c r="OZA109" s="139"/>
      <c r="OZB109" s="139"/>
      <c r="OZC109" s="139"/>
      <c r="OZD109" s="139"/>
      <c r="OZE109" s="139"/>
      <c r="OZF109" s="139"/>
      <c r="OZG109" s="139"/>
      <c r="OZH109" s="139"/>
      <c r="OZI109" s="139"/>
      <c r="OZJ109" s="139"/>
      <c r="OZK109" s="139"/>
      <c r="OZL109" s="139"/>
      <c r="OZM109" s="139"/>
      <c r="OZN109" s="139"/>
      <c r="OZO109" s="139"/>
      <c r="OZP109" s="139"/>
      <c r="OZQ109" s="139"/>
      <c r="OZR109" s="139"/>
      <c r="OZS109" s="139"/>
      <c r="OZT109" s="139"/>
      <c r="OZU109" s="139"/>
      <c r="OZV109" s="139"/>
      <c r="OZW109" s="139"/>
      <c r="OZX109" s="139"/>
      <c r="OZY109" s="139"/>
      <c r="OZZ109" s="139"/>
      <c r="PAA109" s="139"/>
      <c r="PAB109" s="139"/>
      <c r="PAC109" s="139"/>
      <c r="PAD109" s="139"/>
      <c r="PAE109" s="139"/>
      <c r="PAF109" s="139"/>
      <c r="PAG109" s="139"/>
      <c r="PAH109" s="139"/>
      <c r="PAI109" s="139"/>
      <c r="PAJ109" s="139"/>
      <c r="PAK109" s="139"/>
      <c r="PAL109" s="139"/>
      <c r="PAM109" s="139"/>
      <c r="PAN109" s="139"/>
      <c r="PAO109" s="139"/>
      <c r="PAP109" s="139"/>
      <c r="PAQ109" s="139"/>
      <c r="PAR109" s="139"/>
      <c r="PAS109" s="139"/>
      <c r="PAT109" s="139"/>
      <c r="PAU109" s="139"/>
      <c r="PAV109" s="139"/>
      <c r="PAW109" s="139"/>
      <c r="PAX109" s="139"/>
      <c r="PAY109" s="139"/>
      <c r="PAZ109" s="139"/>
      <c r="PBA109" s="139"/>
      <c r="PBB109" s="139"/>
      <c r="PBC109" s="139"/>
      <c r="PBD109" s="139"/>
      <c r="PBE109" s="139"/>
      <c r="PBF109" s="139"/>
      <c r="PBG109" s="139"/>
      <c r="PBH109" s="139"/>
      <c r="PBI109" s="139"/>
      <c r="PBJ109" s="139"/>
      <c r="PBK109" s="139"/>
      <c r="PBL109" s="139"/>
      <c r="PBM109" s="139"/>
      <c r="PBN109" s="139"/>
      <c r="PBO109" s="139"/>
      <c r="PBP109" s="139"/>
      <c r="PBQ109" s="139"/>
      <c r="PBR109" s="139"/>
      <c r="PBS109" s="139"/>
      <c r="PBT109" s="139"/>
      <c r="PBU109" s="139"/>
      <c r="PBV109" s="139"/>
      <c r="PBW109" s="139"/>
      <c r="PBX109" s="139"/>
      <c r="PBY109" s="139"/>
      <c r="PBZ109" s="139"/>
      <c r="PCA109" s="139"/>
      <c r="PCB109" s="139"/>
      <c r="PCC109" s="139"/>
      <c r="PCD109" s="139"/>
      <c r="PCE109" s="139"/>
      <c r="PCF109" s="139"/>
      <c r="PCG109" s="139"/>
      <c r="PCH109" s="139"/>
      <c r="PCI109" s="139"/>
      <c r="PCJ109" s="139"/>
      <c r="PCK109" s="139"/>
      <c r="PCL109" s="139"/>
      <c r="PCM109" s="139"/>
      <c r="PCN109" s="139"/>
      <c r="PCO109" s="139"/>
      <c r="PCP109" s="139"/>
      <c r="PCQ109" s="139"/>
      <c r="PCR109" s="139"/>
      <c r="PCS109" s="139"/>
      <c r="PCT109" s="139"/>
      <c r="PCU109" s="139"/>
      <c r="PCV109" s="139"/>
      <c r="PCW109" s="139"/>
      <c r="PCX109" s="139"/>
      <c r="PCY109" s="139"/>
      <c r="PCZ109" s="139"/>
      <c r="PDA109" s="139"/>
      <c r="PDB109" s="139"/>
      <c r="PDC109" s="139"/>
      <c r="PDD109" s="139"/>
      <c r="PDE109" s="139"/>
      <c r="PDF109" s="139"/>
      <c r="PDG109" s="139"/>
      <c r="PDH109" s="139"/>
      <c r="PDI109" s="139"/>
      <c r="PDJ109" s="139"/>
      <c r="PDK109" s="139"/>
      <c r="PDL109" s="139"/>
      <c r="PDM109" s="139"/>
      <c r="PDN109" s="139"/>
      <c r="PDO109" s="139"/>
      <c r="PDP109" s="139"/>
      <c r="PDQ109" s="139"/>
      <c r="PDR109" s="139"/>
      <c r="PDS109" s="139"/>
      <c r="PDT109" s="139"/>
      <c r="PDU109" s="139"/>
      <c r="PDV109" s="139"/>
      <c r="PDW109" s="139"/>
      <c r="PDX109" s="139"/>
      <c r="PDY109" s="139"/>
      <c r="PDZ109" s="139"/>
      <c r="PEA109" s="139"/>
      <c r="PEB109" s="139"/>
      <c r="PEC109" s="139"/>
      <c r="PED109" s="139"/>
      <c r="PEE109" s="139"/>
      <c r="PEF109" s="139"/>
      <c r="PEG109" s="139"/>
      <c r="PEH109" s="139"/>
      <c r="PEI109" s="139"/>
      <c r="PEJ109" s="139"/>
      <c r="PEK109" s="139"/>
      <c r="PEL109" s="139"/>
      <c r="PEM109" s="139"/>
      <c r="PEN109" s="139"/>
      <c r="PEO109" s="139"/>
      <c r="PEP109" s="139"/>
      <c r="PEQ109" s="139"/>
      <c r="PER109" s="139"/>
      <c r="PES109" s="139"/>
      <c r="PET109" s="139"/>
      <c r="PEU109" s="139"/>
      <c r="PEV109" s="139"/>
      <c r="PEW109" s="139"/>
      <c r="PEX109" s="139"/>
      <c r="PEY109" s="139"/>
      <c r="PEZ109" s="139"/>
      <c r="PFA109" s="139"/>
      <c r="PFB109" s="139"/>
      <c r="PFC109" s="139"/>
      <c r="PFD109" s="139"/>
      <c r="PFE109" s="139"/>
      <c r="PFF109" s="139"/>
      <c r="PFG109" s="139"/>
      <c r="PFH109" s="139"/>
      <c r="PFI109" s="139"/>
      <c r="PFJ109" s="139"/>
      <c r="PFK109" s="139"/>
      <c r="PFL109" s="139"/>
      <c r="PFM109" s="139"/>
      <c r="PFN109" s="139"/>
      <c r="PFO109" s="139"/>
      <c r="PFP109" s="139"/>
      <c r="PFQ109" s="139"/>
      <c r="PFR109" s="139"/>
      <c r="PFS109" s="139"/>
      <c r="PFT109" s="139"/>
      <c r="PFU109" s="139"/>
      <c r="PFV109" s="139"/>
      <c r="PFW109" s="139"/>
      <c r="PFX109" s="139"/>
      <c r="PFY109" s="139"/>
      <c r="PFZ109" s="139"/>
      <c r="PGA109" s="139"/>
      <c r="PGB109" s="139"/>
      <c r="PGC109" s="139"/>
      <c r="PGD109" s="139"/>
      <c r="PGE109" s="139"/>
      <c r="PGF109" s="139"/>
      <c r="PGG109" s="139"/>
      <c r="PGH109" s="139"/>
      <c r="PGI109" s="139"/>
      <c r="PGJ109" s="139"/>
      <c r="PGK109" s="139"/>
      <c r="PGL109" s="139"/>
      <c r="PGM109" s="139"/>
      <c r="PGN109" s="139"/>
      <c r="PGO109" s="139"/>
      <c r="PGP109" s="139"/>
      <c r="PGQ109" s="139"/>
      <c r="PGR109" s="139"/>
      <c r="PGS109" s="139"/>
      <c r="PGT109" s="139"/>
      <c r="PGU109" s="139"/>
      <c r="PGV109" s="139"/>
      <c r="PGW109" s="139"/>
      <c r="PGX109" s="139"/>
      <c r="PGY109" s="139"/>
      <c r="PGZ109" s="139"/>
      <c r="PHA109" s="139"/>
      <c r="PHB109" s="139"/>
      <c r="PHC109" s="139"/>
      <c r="PHD109" s="139"/>
      <c r="PHE109" s="139"/>
      <c r="PHF109" s="139"/>
      <c r="PHG109" s="139"/>
      <c r="PHH109" s="139"/>
      <c r="PHI109" s="139"/>
      <c r="PHJ109" s="139"/>
      <c r="PHK109" s="139"/>
      <c r="PHL109" s="139"/>
      <c r="PHM109" s="139"/>
      <c r="PHN109" s="139"/>
      <c r="PHO109" s="139"/>
      <c r="PHP109" s="139"/>
      <c r="PHQ109" s="139"/>
      <c r="PHR109" s="139"/>
      <c r="PHS109" s="139"/>
      <c r="PHT109" s="139"/>
      <c r="PHU109" s="139"/>
      <c r="PHV109" s="139"/>
      <c r="PHW109" s="139"/>
      <c r="PHX109" s="139"/>
      <c r="PHY109" s="139"/>
      <c r="PHZ109" s="139"/>
      <c r="PIA109" s="139"/>
      <c r="PIB109" s="139"/>
      <c r="PIC109" s="139"/>
      <c r="PID109" s="139"/>
      <c r="PIE109" s="139"/>
      <c r="PIF109" s="139"/>
      <c r="PIG109" s="139"/>
      <c r="PIH109" s="139"/>
      <c r="PII109" s="139"/>
      <c r="PIJ109" s="139"/>
      <c r="PIK109" s="139"/>
      <c r="PIL109" s="139"/>
      <c r="PIM109" s="139"/>
      <c r="PIN109" s="139"/>
      <c r="PIO109" s="139"/>
      <c r="PIP109" s="139"/>
      <c r="PIQ109" s="139"/>
      <c r="PIR109" s="139"/>
      <c r="PIS109" s="139"/>
      <c r="PIT109" s="139"/>
      <c r="PIU109" s="139"/>
      <c r="PIV109" s="139"/>
      <c r="PIW109" s="139"/>
      <c r="PIX109" s="139"/>
      <c r="PIY109" s="139"/>
      <c r="PIZ109" s="139"/>
      <c r="PJA109" s="139"/>
      <c r="PJB109" s="139"/>
      <c r="PJC109" s="139"/>
      <c r="PJD109" s="139"/>
      <c r="PJE109" s="139"/>
      <c r="PJF109" s="139"/>
      <c r="PJG109" s="139"/>
      <c r="PJH109" s="139"/>
      <c r="PJI109" s="139"/>
      <c r="PJJ109" s="139"/>
      <c r="PJK109" s="139"/>
      <c r="PJL109" s="139"/>
      <c r="PJM109" s="139"/>
      <c r="PJN109" s="139"/>
      <c r="PJO109" s="139"/>
      <c r="PJP109" s="139"/>
      <c r="PJQ109" s="139"/>
      <c r="PJR109" s="139"/>
      <c r="PJS109" s="139"/>
      <c r="PJT109" s="139"/>
      <c r="PJU109" s="139"/>
      <c r="PJV109" s="139"/>
      <c r="PJW109" s="139"/>
      <c r="PJX109" s="139"/>
      <c r="PJY109" s="139"/>
      <c r="PJZ109" s="139"/>
      <c r="PKA109" s="139"/>
      <c r="PKB109" s="139"/>
      <c r="PKC109" s="139"/>
      <c r="PKD109" s="139"/>
      <c r="PKE109" s="139"/>
      <c r="PKF109" s="139"/>
      <c r="PKG109" s="139"/>
      <c r="PKH109" s="139"/>
      <c r="PKI109" s="139"/>
      <c r="PKJ109" s="139"/>
      <c r="PKK109" s="139"/>
      <c r="PKL109" s="139"/>
      <c r="PKM109" s="139"/>
      <c r="PKN109" s="139"/>
      <c r="PKO109" s="139"/>
      <c r="PKP109" s="139"/>
      <c r="PKQ109" s="139"/>
      <c r="PKR109" s="139"/>
      <c r="PKS109" s="139"/>
      <c r="PKT109" s="139"/>
      <c r="PKU109" s="139"/>
      <c r="PKV109" s="139"/>
      <c r="PKW109" s="139"/>
      <c r="PKX109" s="139"/>
      <c r="PKY109" s="139"/>
      <c r="PKZ109" s="139"/>
      <c r="PLA109" s="139"/>
      <c r="PLB109" s="139"/>
      <c r="PLC109" s="139"/>
      <c r="PLD109" s="139"/>
      <c r="PLE109" s="139"/>
      <c r="PLF109" s="139"/>
      <c r="PLG109" s="139"/>
      <c r="PLH109" s="139"/>
      <c r="PLI109" s="139"/>
      <c r="PLJ109" s="139"/>
      <c r="PLK109" s="139"/>
      <c r="PLL109" s="139"/>
      <c r="PLM109" s="139"/>
      <c r="PLN109" s="139"/>
      <c r="PLO109" s="139"/>
      <c r="PLP109" s="139"/>
      <c r="PLQ109" s="139"/>
      <c r="PLR109" s="139"/>
      <c r="PLS109" s="139"/>
      <c r="PLT109" s="139"/>
      <c r="PLU109" s="139"/>
      <c r="PLV109" s="139"/>
      <c r="PLW109" s="139"/>
      <c r="PLX109" s="139"/>
      <c r="PLY109" s="139"/>
      <c r="PLZ109" s="139"/>
      <c r="PMA109" s="139"/>
      <c r="PMB109" s="139"/>
      <c r="PMC109" s="139"/>
      <c r="PMD109" s="139"/>
      <c r="PME109" s="139"/>
      <c r="PMF109" s="139"/>
      <c r="PMG109" s="139"/>
      <c r="PMH109" s="139"/>
      <c r="PMI109" s="139"/>
      <c r="PMJ109" s="139"/>
      <c r="PMK109" s="139"/>
      <c r="PML109" s="139"/>
      <c r="PMM109" s="139"/>
      <c r="PMN109" s="139"/>
      <c r="PMO109" s="139"/>
      <c r="PMP109" s="139"/>
      <c r="PMQ109" s="139"/>
      <c r="PMR109" s="139"/>
      <c r="PMS109" s="139"/>
      <c r="PMT109" s="139"/>
      <c r="PMU109" s="139"/>
      <c r="PMV109" s="139"/>
      <c r="PMW109" s="139"/>
      <c r="PMX109" s="139"/>
      <c r="PMY109" s="139"/>
      <c r="PMZ109" s="139"/>
      <c r="PNA109" s="139"/>
      <c r="PNB109" s="139"/>
      <c r="PNC109" s="139"/>
      <c r="PND109" s="139"/>
      <c r="PNE109" s="139"/>
      <c r="PNF109" s="139"/>
      <c r="PNG109" s="139"/>
      <c r="PNH109" s="139"/>
      <c r="PNI109" s="139"/>
      <c r="PNJ109" s="139"/>
      <c r="PNK109" s="139"/>
      <c r="PNL109" s="139"/>
      <c r="PNM109" s="139"/>
      <c r="PNN109" s="139"/>
      <c r="PNO109" s="139"/>
      <c r="PNP109" s="139"/>
      <c r="PNQ109" s="139"/>
      <c r="PNR109" s="139"/>
      <c r="PNS109" s="139"/>
      <c r="PNT109" s="139"/>
      <c r="PNU109" s="139"/>
      <c r="PNV109" s="139"/>
      <c r="PNW109" s="139"/>
      <c r="PNX109" s="139"/>
      <c r="PNY109" s="139"/>
      <c r="PNZ109" s="139"/>
      <c r="POA109" s="139"/>
      <c r="POB109" s="139"/>
      <c r="POC109" s="139"/>
      <c r="POD109" s="139"/>
      <c r="POE109" s="139"/>
      <c r="POF109" s="139"/>
      <c r="POG109" s="139"/>
      <c r="POH109" s="139"/>
      <c r="POI109" s="139"/>
      <c r="POJ109" s="139"/>
      <c r="POK109" s="139"/>
      <c r="POL109" s="139"/>
      <c r="POM109" s="139"/>
      <c r="PON109" s="139"/>
      <c r="POO109" s="139"/>
      <c r="POP109" s="139"/>
      <c r="POQ109" s="139"/>
      <c r="POR109" s="139"/>
      <c r="POS109" s="139"/>
      <c r="POT109" s="139"/>
      <c r="POU109" s="139"/>
      <c r="POV109" s="139"/>
      <c r="POW109" s="139"/>
      <c r="POX109" s="139"/>
      <c r="POY109" s="139"/>
      <c r="POZ109" s="139"/>
      <c r="PPA109" s="139"/>
      <c r="PPB109" s="139"/>
      <c r="PPC109" s="139"/>
      <c r="PPD109" s="139"/>
      <c r="PPE109" s="139"/>
      <c r="PPF109" s="139"/>
      <c r="PPG109" s="139"/>
      <c r="PPH109" s="139"/>
      <c r="PPI109" s="139"/>
      <c r="PPJ109" s="139"/>
      <c r="PPK109" s="139"/>
      <c r="PPL109" s="139"/>
      <c r="PPM109" s="139"/>
      <c r="PPN109" s="139"/>
      <c r="PPO109" s="139"/>
      <c r="PPP109" s="139"/>
      <c r="PPQ109" s="139"/>
      <c r="PPR109" s="139"/>
      <c r="PPS109" s="139"/>
      <c r="PPT109" s="139"/>
      <c r="PPU109" s="139"/>
      <c r="PPV109" s="139"/>
      <c r="PPW109" s="139"/>
      <c r="PPX109" s="139"/>
      <c r="PPY109" s="139"/>
      <c r="PPZ109" s="139"/>
      <c r="PQA109" s="139"/>
      <c r="PQB109" s="139"/>
      <c r="PQC109" s="139"/>
      <c r="PQD109" s="139"/>
      <c r="PQE109" s="139"/>
      <c r="PQF109" s="139"/>
      <c r="PQG109" s="139"/>
      <c r="PQH109" s="139"/>
      <c r="PQI109" s="139"/>
      <c r="PQJ109" s="139"/>
      <c r="PQK109" s="139"/>
      <c r="PQL109" s="139"/>
      <c r="PQM109" s="139"/>
      <c r="PQN109" s="139"/>
      <c r="PQO109" s="139"/>
      <c r="PQP109" s="139"/>
      <c r="PQQ109" s="139"/>
      <c r="PQR109" s="139"/>
      <c r="PQS109" s="139"/>
      <c r="PQT109" s="139"/>
      <c r="PQU109" s="139"/>
      <c r="PQV109" s="139"/>
      <c r="PQW109" s="139"/>
      <c r="PQX109" s="139"/>
      <c r="PQY109" s="139"/>
      <c r="PQZ109" s="139"/>
      <c r="PRA109" s="139"/>
      <c r="PRB109" s="139"/>
      <c r="PRC109" s="139"/>
      <c r="PRD109" s="139"/>
      <c r="PRE109" s="139"/>
      <c r="PRF109" s="139"/>
      <c r="PRG109" s="139"/>
      <c r="PRH109" s="139"/>
      <c r="PRI109" s="139"/>
      <c r="PRJ109" s="139"/>
      <c r="PRK109" s="139"/>
      <c r="PRL109" s="139"/>
      <c r="PRM109" s="139"/>
      <c r="PRN109" s="139"/>
      <c r="PRO109" s="139"/>
      <c r="PRP109" s="139"/>
      <c r="PRQ109" s="139"/>
      <c r="PRR109" s="139"/>
      <c r="PRS109" s="139"/>
      <c r="PRT109" s="139"/>
      <c r="PRU109" s="139"/>
      <c r="PRV109" s="139"/>
      <c r="PRW109" s="139"/>
      <c r="PRX109" s="139"/>
      <c r="PRY109" s="139"/>
      <c r="PRZ109" s="139"/>
      <c r="PSA109" s="139"/>
      <c r="PSB109" s="139"/>
      <c r="PSC109" s="139"/>
      <c r="PSD109" s="139"/>
      <c r="PSE109" s="139"/>
      <c r="PSF109" s="139"/>
      <c r="PSG109" s="139"/>
      <c r="PSH109" s="139"/>
      <c r="PSI109" s="139"/>
      <c r="PSJ109" s="139"/>
      <c r="PSK109" s="139"/>
      <c r="PSL109" s="139"/>
      <c r="PSM109" s="139"/>
      <c r="PSN109" s="139"/>
      <c r="PSO109" s="139"/>
      <c r="PSP109" s="139"/>
      <c r="PSQ109" s="139"/>
      <c r="PSR109" s="139"/>
      <c r="PSS109" s="139"/>
      <c r="PST109" s="139"/>
      <c r="PSU109" s="139"/>
      <c r="PSV109" s="139"/>
      <c r="PSW109" s="139"/>
      <c r="PSX109" s="139"/>
      <c r="PSY109" s="139"/>
      <c r="PSZ109" s="139"/>
      <c r="PTA109" s="139"/>
      <c r="PTB109" s="139"/>
      <c r="PTC109" s="139"/>
      <c r="PTD109" s="139"/>
      <c r="PTE109" s="139"/>
      <c r="PTF109" s="139"/>
      <c r="PTG109" s="139"/>
      <c r="PTH109" s="139"/>
      <c r="PTI109" s="139"/>
      <c r="PTJ109" s="139"/>
      <c r="PTK109" s="139"/>
      <c r="PTL109" s="139"/>
      <c r="PTM109" s="139"/>
      <c r="PTN109" s="139"/>
      <c r="PTO109" s="139"/>
      <c r="PTP109" s="139"/>
      <c r="PTQ109" s="139"/>
      <c r="PTR109" s="139"/>
      <c r="PTS109" s="139"/>
      <c r="PTT109" s="139"/>
      <c r="PTU109" s="139"/>
      <c r="PTV109" s="139"/>
      <c r="PTW109" s="139"/>
      <c r="PTX109" s="139"/>
      <c r="PTY109" s="139"/>
      <c r="PTZ109" s="139"/>
      <c r="PUA109" s="139"/>
      <c r="PUB109" s="139"/>
      <c r="PUC109" s="139"/>
      <c r="PUD109" s="139"/>
      <c r="PUE109" s="139"/>
      <c r="PUF109" s="139"/>
      <c r="PUG109" s="139"/>
      <c r="PUH109" s="139"/>
      <c r="PUI109" s="139"/>
      <c r="PUJ109" s="139"/>
      <c r="PUK109" s="139"/>
      <c r="PUL109" s="139"/>
      <c r="PUM109" s="139"/>
      <c r="PUN109" s="139"/>
      <c r="PUO109" s="139"/>
      <c r="PUP109" s="139"/>
      <c r="PUQ109" s="139"/>
      <c r="PUR109" s="139"/>
      <c r="PUS109" s="139"/>
      <c r="PUT109" s="139"/>
      <c r="PUU109" s="139"/>
      <c r="PUV109" s="139"/>
      <c r="PUW109" s="139"/>
      <c r="PUX109" s="139"/>
      <c r="PUY109" s="139"/>
      <c r="PUZ109" s="139"/>
      <c r="PVA109" s="139"/>
      <c r="PVB109" s="139"/>
      <c r="PVC109" s="139"/>
      <c r="PVD109" s="139"/>
      <c r="PVE109" s="139"/>
      <c r="PVF109" s="139"/>
      <c r="PVG109" s="139"/>
      <c r="PVH109" s="139"/>
      <c r="PVI109" s="139"/>
      <c r="PVJ109" s="139"/>
      <c r="PVK109" s="139"/>
      <c r="PVL109" s="139"/>
      <c r="PVM109" s="139"/>
      <c r="PVN109" s="139"/>
      <c r="PVO109" s="139"/>
      <c r="PVP109" s="139"/>
      <c r="PVQ109" s="139"/>
      <c r="PVR109" s="139"/>
      <c r="PVS109" s="139"/>
      <c r="PVT109" s="139"/>
      <c r="PVU109" s="139"/>
      <c r="PVV109" s="139"/>
      <c r="PVW109" s="139"/>
      <c r="PVX109" s="139"/>
      <c r="PVY109" s="139"/>
      <c r="PVZ109" s="139"/>
      <c r="PWA109" s="139"/>
      <c r="PWB109" s="139"/>
      <c r="PWC109" s="139"/>
      <c r="PWD109" s="139"/>
      <c r="PWE109" s="139"/>
      <c r="PWF109" s="139"/>
      <c r="PWG109" s="139"/>
      <c r="PWH109" s="139"/>
      <c r="PWI109" s="139"/>
      <c r="PWJ109" s="139"/>
      <c r="PWK109" s="139"/>
      <c r="PWL109" s="139"/>
      <c r="PWM109" s="139"/>
      <c r="PWN109" s="139"/>
      <c r="PWO109" s="139"/>
      <c r="PWP109" s="139"/>
      <c r="PWQ109" s="139"/>
      <c r="PWR109" s="139"/>
      <c r="PWS109" s="139"/>
      <c r="PWT109" s="139"/>
      <c r="PWU109" s="139"/>
      <c r="PWV109" s="139"/>
      <c r="PWW109" s="139"/>
      <c r="PWX109" s="139"/>
      <c r="PWY109" s="139"/>
      <c r="PWZ109" s="139"/>
      <c r="PXA109" s="139"/>
      <c r="PXB109" s="139"/>
      <c r="PXC109" s="139"/>
      <c r="PXD109" s="139"/>
      <c r="PXE109" s="139"/>
      <c r="PXF109" s="139"/>
      <c r="PXG109" s="139"/>
      <c r="PXH109" s="139"/>
      <c r="PXI109" s="139"/>
      <c r="PXJ109" s="139"/>
      <c r="PXK109" s="139"/>
      <c r="PXL109" s="139"/>
      <c r="PXM109" s="139"/>
      <c r="PXN109" s="139"/>
      <c r="PXO109" s="139"/>
      <c r="PXP109" s="139"/>
      <c r="PXQ109" s="139"/>
      <c r="PXR109" s="139"/>
      <c r="PXS109" s="139"/>
      <c r="PXT109" s="139"/>
      <c r="PXU109" s="139"/>
      <c r="PXV109" s="139"/>
      <c r="PXW109" s="139"/>
      <c r="PXX109" s="139"/>
      <c r="PXY109" s="139"/>
      <c r="PXZ109" s="139"/>
      <c r="PYA109" s="139"/>
      <c r="PYB109" s="139"/>
      <c r="PYC109" s="139"/>
      <c r="PYD109" s="139"/>
      <c r="PYE109" s="139"/>
      <c r="PYF109" s="139"/>
      <c r="PYG109" s="139"/>
      <c r="PYH109" s="139"/>
      <c r="PYI109" s="139"/>
      <c r="PYJ109" s="139"/>
      <c r="PYK109" s="139"/>
      <c r="PYL109" s="139"/>
      <c r="PYM109" s="139"/>
      <c r="PYN109" s="139"/>
      <c r="PYO109" s="139"/>
      <c r="PYP109" s="139"/>
      <c r="PYQ109" s="139"/>
      <c r="PYR109" s="139"/>
      <c r="PYS109" s="139"/>
      <c r="PYT109" s="139"/>
      <c r="PYU109" s="139"/>
      <c r="PYV109" s="139"/>
      <c r="PYW109" s="139"/>
      <c r="PYX109" s="139"/>
      <c r="PYY109" s="139"/>
      <c r="PYZ109" s="139"/>
      <c r="PZA109" s="139"/>
      <c r="PZB109" s="139"/>
      <c r="PZC109" s="139"/>
      <c r="PZD109" s="139"/>
      <c r="PZE109" s="139"/>
      <c r="PZF109" s="139"/>
      <c r="PZG109" s="139"/>
      <c r="PZH109" s="139"/>
      <c r="PZI109" s="139"/>
      <c r="PZJ109" s="139"/>
      <c r="PZK109" s="139"/>
      <c r="PZL109" s="139"/>
      <c r="PZM109" s="139"/>
      <c r="PZN109" s="139"/>
      <c r="PZO109" s="139"/>
      <c r="PZP109" s="139"/>
      <c r="PZQ109" s="139"/>
      <c r="PZR109" s="139"/>
      <c r="PZS109" s="139"/>
      <c r="PZT109" s="139"/>
      <c r="PZU109" s="139"/>
      <c r="PZV109" s="139"/>
      <c r="PZW109" s="139"/>
      <c r="PZX109" s="139"/>
      <c r="PZY109" s="139"/>
      <c r="PZZ109" s="139"/>
      <c r="QAA109" s="139"/>
      <c r="QAB109" s="139"/>
      <c r="QAC109" s="139"/>
      <c r="QAD109" s="139"/>
      <c r="QAE109" s="139"/>
      <c r="QAF109" s="139"/>
      <c r="QAG109" s="139"/>
      <c r="QAH109" s="139"/>
      <c r="QAI109" s="139"/>
      <c r="QAJ109" s="139"/>
      <c r="QAK109" s="139"/>
      <c r="QAL109" s="139"/>
      <c r="QAM109" s="139"/>
      <c r="QAN109" s="139"/>
      <c r="QAO109" s="139"/>
      <c r="QAP109" s="139"/>
      <c r="QAQ109" s="139"/>
      <c r="QAR109" s="139"/>
      <c r="QAS109" s="139"/>
      <c r="QAT109" s="139"/>
      <c r="QAU109" s="139"/>
      <c r="QAV109" s="139"/>
      <c r="QAW109" s="139"/>
      <c r="QAX109" s="139"/>
      <c r="QAY109" s="139"/>
      <c r="QAZ109" s="139"/>
      <c r="QBA109" s="139"/>
      <c r="QBB109" s="139"/>
      <c r="QBC109" s="139"/>
      <c r="QBD109" s="139"/>
      <c r="QBE109" s="139"/>
      <c r="QBF109" s="139"/>
      <c r="QBG109" s="139"/>
      <c r="QBH109" s="139"/>
      <c r="QBI109" s="139"/>
      <c r="QBJ109" s="139"/>
      <c r="QBK109" s="139"/>
      <c r="QBL109" s="139"/>
      <c r="QBM109" s="139"/>
      <c r="QBN109" s="139"/>
      <c r="QBO109" s="139"/>
      <c r="QBP109" s="139"/>
      <c r="QBQ109" s="139"/>
      <c r="QBR109" s="139"/>
      <c r="QBS109" s="139"/>
      <c r="QBT109" s="139"/>
      <c r="QBU109" s="139"/>
      <c r="QBV109" s="139"/>
      <c r="QBW109" s="139"/>
      <c r="QBX109" s="139"/>
      <c r="QBY109" s="139"/>
      <c r="QBZ109" s="139"/>
      <c r="QCA109" s="139"/>
      <c r="QCB109" s="139"/>
      <c r="QCC109" s="139"/>
      <c r="QCD109" s="139"/>
      <c r="QCE109" s="139"/>
      <c r="QCF109" s="139"/>
      <c r="QCG109" s="139"/>
      <c r="QCH109" s="139"/>
      <c r="QCI109" s="139"/>
      <c r="QCJ109" s="139"/>
      <c r="QCK109" s="139"/>
      <c r="QCL109" s="139"/>
      <c r="QCM109" s="139"/>
      <c r="QCN109" s="139"/>
      <c r="QCO109" s="139"/>
      <c r="QCP109" s="139"/>
      <c r="QCQ109" s="139"/>
      <c r="QCR109" s="139"/>
      <c r="QCS109" s="139"/>
      <c r="QCT109" s="139"/>
      <c r="QCU109" s="139"/>
      <c r="QCV109" s="139"/>
      <c r="QCW109" s="139"/>
      <c r="QCX109" s="139"/>
      <c r="QCY109" s="139"/>
      <c r="QCZ109" s="139"/>
      <c r="QDA109" s="139"/>
      <c r="QDB109" s="139"/>
      <c r="QDC109" s="139"/>
      <c r="QDD109" s="139"/>
      <c r="QDE109" s="139"/>
      <c r="QDF109" s="139"/>
      <c r="QDG109" s="139"/>
      <c r="QDH109" s="139"/>
      <c r="QDI109" s="139"/>
      <c r="QDJ109" s="139"/>
      <c r="QDK109" s="139"/>
      <c r="QDL109" s="139"/>
      <c r="QDM109" s="139"/>
      <c r="QDN109" s="139"/>
      <c r="QDO109" s="139"/>
      <c r="QDP109" s="139"/>
      <c r="QDQ109" s="139"/>
      <c r="QDR109" s="139"/>
      <c r="QDS109" s="139"/>
      <c r="QDT109" s="139"/>
      <c r="QDU109" s="139"/>
      <c r="QDV109" s="139"/>
      <c r="QDW109" s="139"/>
      <c r="QDX109" s="139"/>
      <c r="QDY109" s="139"/>
      <c r="QDZ109" s="139"/>
      <c r="QEA109" s="139"/>
      <c r="QEB109" s="139"/>
      <c r="QEC109" s="139"/>
      <c r="QED109" s="139"/>
      <c r="QEE109" s="139"/>
      <c r="QEF109" s="139"/>
      <c r="QEG109" s="139"/>
      <c r="QEH109" s="139"/>
      <c r="QEI109" s="139"/>
      <c r="QEJ109" s="139"/>
      <c r="QEK109" s="139"/>
      <c r="QEL109" s="139"/>
      <c r="QEM109" s="139"/>
      <c r="QEN109" s="139"/>
      <c r="QEO109" s="139"/>
      <c r="QEP109" s="139"/>
      <c r="QEQ109" s="139"/>
      <c r="QER109" s="139"/>
      <c r="QES109" s="139"/>
      <c r="QET109" s="139"/>
      <c r="QEU109" s="139"/>
      <c r="QEV109" s="139"/>
      <c r="QEW109" s="139"/>
      <c r="QEX109" s="139"/>
      <c r="QEY109" s="139"/>
      <c r="QEZ109" s="139"/>
      <c r="QFA109" s="139"/>
      <c r="QFB109" s="139"/>
      <c r="QFC109" s="139"/>
      <c r="QFD109" s="139"/>
      <c r="QFE109" s="139"/>
      <c r="QFF109" s="139"/>
      <c r="QFG109" s="139"/>
      <c r="QFH109" s="139"/>
      <c r="QFI109" s="139"/>
      <c r="QFJ109" s="139"/>
      <c r="QFK109" s="139"/>
      <c r="QFL109" s="139"/>
      <c r="QFM109" s="139"/>
      <c r="QFN109" s="139"/>
      <c r="QFO109" s="139"/>
      <c r="QFP109" s="139"/>
      <c r="QFQ109" s="139"/>
      <c r="QFR109" s="139"/>
      <c r="QFS109" s="139"/>
      <c r="QFT109" s="139"/>
      <c r="QFU109" s="139"/>
      <c r="QFV109" s="139"/>
      <c r="QFW109" s="139"/>
      <c r="QFX109" s="139"/>
      <c r="QFY109" s="139"/>
      <c r="QFZ109" s="139"/>
      <c r="QGA109" s="139"/>
      <c r="QGB109" s="139"/>
      <c r="QGC109" s="139"/>
      <c r="QGD109" s="139"/>
      <c r="QGE109" s="139"/>
      <c r="QGF109" s="139"/>
      <c r="QGG109" s="139"/>
      <c r="QGH109" s="139"/>
      <c r="QGI109" s="139"/>
      <c r="QGJ109" s="139"/>
      <c r="QGK109" s="139"/>
      <c r="QGL109" s="139"/>
      <c r="QGM109" s="139"/>
      <c r="QGN109" s="139"/>
      <c r="QGO109" s="139"/>
      <c r="QGP109" s="139"/>
      <c r="QGQ109" s="139"/>
      <c r="QGR109" s="139"/>
      <c r="QGS109" s="139"/>
      <c r="QGT109" s="139"/>
      <c r="QGU109" s="139"/>
      <c r="QGV109" s="139"/>
      <c r="QGW109" s="139"/>
      <c r="QGX109" s="139"/>
      <c r="QGY109" s="139"/>
      <c r="QGZ109" s="139"/>
      <c r="QHA109" s="139"/>
      <c r="QHB109" s="139"/>
      <c r="QHC109" s="139"/>
      <c r="QHD109" s="139"/>
      <c r="QHE109" s="139"/>
      <c r="QHF109" s="139"/>
      <c r="QHG109" s="139"/>
      <c r="QHH109" s="139"/>
      <c r="QHI109" s="139"/>
      <c r="QHJ109" s="139"/>
      <c r="QHK109" s="139"/>
      <c r="QHL109" s="139"/>
      <c r="QHM109" s="139"/>
      <c r="QHN109" s="139"/>
      <c r="QHO109" s="139"/>
      <c r="QHP109" s="139"/>
      <c r="QHQ109" s="139"/>
      <c r="QHR109" s="139"/>
      <c r="QHS109" s="139"/>
      <c r="QHT109" s="139"/>
      <c r="QHU109" s="139"/>
      <c r="QHV109" s="139"/>
      <c r="QHW109" s="139"/>
      <c r="QHX109" s="139"/>
      <c r="QHY109" s="139"/>
      <c r="QHZ109" s="139"/>
      <c r="QIA109" s="139"/>
      <c r="QIB109" s="139"/>
      <c r="QIC109" s="139"/>
      <c r="QID109" s="139"/>
      <c r="QIE109" s="139"/>
      <c r="QIF109" s="139"/>
      <c r="QIG109" s="139"/>
      <c r="QIH109" s="139"/>
      <c r="QII109" s="139"/>
      <c r="QIJ109" s="139"/>
      <c r="QIK109" s="139"/>
      <c r="QIL109" s="139"/>
      <c r="QIM109" s="139"/>
      <c r="QIN109" s="139"/>
      <c r="QIO109" s="139"/>
      <c r="QIP109" s="139"/>
      <c r="QIQ109" s="139"/>
      <c r="QIR109" s="139"/>
      <c r="QIS109" s="139"/>
      <c r="QIT109" s="139"/>
      <c r="QIU109" s="139"/>
      <c r="QIV109" s="139"/>
      <c r="QIW109" s="139"/>
      <c r="QIX109" s="139"/>
      <c r="QIY109" s="139"/>
      <c r="QIZ109" s="139"/>
      <c r="QJA109" s="139"/>
      <c r="QJB109" s="139"/>
      <c r="QJC109" s="139"/>
      <c r="QJD109" s="139"/>
      <c r="QJE109" s="139"/>
      <c r="QJF109" s="139"/>
      <c r="QJG109" s="139"/>
      <c r="QJH109" s="139"/>
      <c r="QJI109" s="139"/>
      <c r="QJJ109" s="139"/>
      <c r="QJK109" s="139"/>
      <c r="QJL109" s="139"/>
      <c r="QJM109" s="139"/>
      <c r="QJN109" s="139"/>
      <c r="QJO109" s="139"/>
      <c r="QJP109" s="139"/>
      <c r="QJQ109" s="139"/>
      <c r="QJR109" s="139"/>
      <c r="QJS109" s="139"/>
      <c r="QJT109" s="139"/>
      <c r="QJU109" s="139"/>
      <c r="QJV109" s="139"/>
      <c r="QJW109" s="139"/>
      <c r="QJX109" s="139"/>
      <c r="QJY109" s="139"/>
      <c r="QJZ109" s="139"/>
      <c r="QKA109" s="139"/>
      <c r="QKB109" s="139"/>
      <c r="QKC109" s="139"/>
      <c r="QKD109" s="139"/>
      <c r="QKE109" s="139"/>
      <c r="QKF109" s="139"/>
      <c r="QKG109" s="139"/>
      <c r="QKH109" s="139"/>
      <c r="QKI109" s="139"/>
      <c r="QKJ109" s="139"/>
      <c r="QKK109" s="139"/>
      <c r="QKL109" s="139"/>
      <c r="QKM109" s="139"/>
      <c r="QKN109" s="139"/>
      <c r="QKO109" s="139"/>
      <c r="QKP109" s="139"/>
      <c r="QKQ109" s="139"/>
      <c r="QKR109" s="139"/>
      <c r="QKS109" s="139"/>
      <c r="QKT109" s="139"/>
      <c r="QKU109" s="139"/>
      <c r="QKV109" s="139"/>
      <c r="QKW109" s="139"/>
      <c r="QKX109" s="139"/>
      <c r="QKY109" s="139"/>
      <c r="QKZ109" s="139"/>
      <c r="QLA109" s="139"/>
      <c r="QLB109" s="139"/>
      <c r="QLC109" s="139"/>
      <c r="QLD109" s="139"/>
      <c r="QLE109" s="139"/>
      <c r="QLF109" s="139"/>
      <c r="QLG109" s="139"/>
      <c r="QLH109" s="139"/>
      <c r="QLI109" s="139"/>
      <c r="QLJ109" s="139"/>
      <c r="QLK109" s="139"/>
      <c r="QLL109" s="139"/>
      <c r="QLM109" s="139"/>
      <c r="QLN109" s="139"/>
      <c r="QLO109" s="139"/>
      <c r="QLP109" s="139"/>
      <c r="QLQ109" s="139"/>
      <c r="QLR109" s="139"/>
      <c r="QLS109" s="139"/>
      <c r="QLT109" s="139"/>
      <c r="QLU109" s="139"/>
      <c r="QLV109" s="139"/>
      <c r="QLW109" s="139"/>
      <c r="QLX109" s="139"/>
      <c r="QLY109" s="139"/>
      <c r="QLZ109" s="139"/>
      <c r="QMA109" s="139"/>
      <c r="QMB109" s="139"/>
      <c r="QMC109" s="139"/>
      <c r="QMD109" s="139"/>
      <c r="QME109" s="139"/>
      <c r="QMF109" s="139"/>
      <c r="QMG109" s="139"/>
      <c r="QMH109" s="139"/>
      <c r="QMI109" s="139"/>
      <c r="QMJ109" s="139"/>
      <c r="QMK109" s="139"/>
      <c r="QML109" s="139"/>
      <c r="QMM109" s="139"/>
      <c r="QMN109" s="139"/>
      <c r="QMO109" s="139"/>
      <c r="QMP109" s="139"/>
      <c r="QMQ109" s="139"/>
      <c r="QMR109" s="139"/>
      <c r="QMS109" s="139"/>
      <c r="QMT109" s="139"/>
      <c r="QMU109" s="139"/>
      <c r="QMV109" s="139"/>
      <c r="QMW109" s="139"/>
      <c r="QMX109" s="139"/>
      <c r="QMY109" s="139"/>
      <c r="QMZ109" s="139"/>
      <c r="QNA109" s="139"/>
      <c r="QNB109" s="139"/>
      <c r="QNC109" s="139"/>
      <c r="QND109" s="139"/>
      <c r="QNE109" s="139"/>
      <c r="QNF109" s="139"/>
      <c r="QNG109" s="139"/>
      <c r="QNH109" s="139"/>
      <c r="QNI109" s="139"/>
      <c r="QNJ109" s="139"/>
      <c r="QNK109" s="139"/>
      <c r="QNL109" s="139"/>
      <c r="QNM109" s="139"/>
      <c r="QNN109" s="139"/>
      <c r="QNO109" s="139"/>
      <c r="QNP109" s="139"/>
      <c r="QNQ109" s="139"/>
      <c r="QNR109" s="139"/>
      <c r="QNS109" s="139"/>
      <c r="QNT109" s="139"/>
      <c r="QNU109" s="139"/>
      <c r="QNV109" s="139"/>
      <c r="QNW109" s="139"/>
      <c r="QNX109" s="139"/>
      <c r="QNY109" s="139"/>
      <c r="QNZ109" s="139"/>
      <c r="QOA109" s="139"/>
      <c r="QOB109" s="139"/>
      <c r="QOC109" s="139"/>
      <c r="QOD109" s="139"/>
      <c r="QOE109" s="139"/>
      <c r="QOF109" s="139"/>
      <c r="QOG109" s="139"/>
      <c r="QOH109" s="139"/>
      <c r="QOI109" s="139"/>
      <c r="QOJ109" s="139"/>
      <c r="QOK109" s="139"/>
      <c r="QOL109" s="139"/>
      <c r="QOM109" s="139"/>
      <c r="QON109" s="139"/>
      <c r="QOO109" s="139"/>
      <c r="QOP109" s="139"/>
      <c r="QOQ109" s="139"/>
      <c r="QOR109" s="139"/>
      <c r="QOS109" s="139"/>
      <c r="QOT109" s="139"/>
      <c r="QOU109" s="139"/>
      <c r="QOV109" s="139"/>
      <c r="QOW109" s="139"/>
      <c r="QOX109" s="139"/>
      <c r="QOY109" s="139"/>
      <c r="QOZ109" s="139"/>
      <c r="QPA109" s="139"/>
      <c r="QPB109" s="139"/>
      <c r="QPC109" s="139"/>
      <c r="QPD109" s="139"/>
      <c r="QPE109" s="139"/>
      <c r="QPF109" s="139"/>
      <c r="QPG109" s="139"/>
      <c r="QPH109" s="139"/>
      <c r="QPI109" s="139"/>
      <c r="QPJ109" s="139"/>
      <c r="QPK109" s="139"/>
      <c r="QPL109" s="139"/>
      <c r="QPM109" s="139"/>
      <c r="QPN109" s="139"/>
      <c r="QPO109" s="139"/>
      <c r="QPP109" s="139"/>
      <c r="QPQ109" s="139"/>
      <c r="QPR109" s="139"/>
      <c r="QPS109" s="139"/>
      <c r="QPT109" s="139"/>
      <c r="QPU109" s="139"/>
      <c r="QPV109" s="139"/>
      <c r="QPW109" s="139"/>
      <c r="QPX109" s="139"/>
      <c r="QPY109" s="139"/>
      <c r="QPZ109" s="139"/>
      <c r="QQA109" s="139"/>
      <c r="QQB109" s="139"/>
      <c r="QQC109" s="139"/>
      <c r="QQD109" s="139"/>
      <c r="QQE109" s="139"/>
      <c r="QQF109" s="139"/>
      <c r="QQG109" s="139"/>
      <c r="QQH109" s="139"/>
      <c r="QQI109" s="139"/>
      <c r="QQJ109" s="139"/>
      <c r="QQK109" s="139"/>
      <c r="QQL109" s="139"/>
      <c r="QQM109" s="139"/>
      <c r="QQN109" s="139"/>
      <c r="QQO109" s="139"/>
      <c r="QQP109" s="139"/>
      <c r="QQQ109" s="139"/>
      <c r="QQR109" s="139"/>
      <c r="QQS109" s="139"/>
      <c r="QQT109" s="139"/>
      <c r="QQU109" s="139"/>
      <c r="QQV109" s="139"/>
      <c r="QQW109" s="139"/>
      <c r="QQX109" s="139"/>
      <c r="QQY109" s="139"/>
      <c r="QQZ109" s="139"/>
      <c r="QRA109" s="139"/>
      <c r="QRB109" s="139"/>
      <c r="QRC109" s="139"/>
      <c r="QRD109" s="139"/>
      <c r="QRE109" s="139"/>
      <c r="QRF109" s="139"/>
      <c r="QRG109" s="139"/>
      <c r="QRH109" s="139"/>
      <c r="QRI109" s="139"/>
      <c r="QRJ109" s="139"/>
      <c r="QRK109" s="139"/>
      <c r="QRL109" s="139"/>
      <c r="QRM109" s="139"/>
      <c r="QRN109" s="139"/>
      <c r="QRO109" s="139"/>
      <c r="QRP109" s="139"/>
      <c r="QRQ109" s="139"/>
      <c r="QRR109" s="139"/>
      <c r="QRS109" s="139"/>
      <c r="QRT109" s="139"/>
      <c r="QRU109" s="139"/>
      <c r="QRV109" s="139"/>
      <c r="QRW109" s="139"/>
      <c r="QRX109" s="139"/>
      <c r="QRY109" s="139"/>
      <c r="QRZ109" s="139"/>
      <c r="QSA109" s="139"/>
      <c r="QSB109" s="139"/>
      <c r="QSC109" s="139"/>
      <c r="QSD109" s="139"/>
      <c r="QSE109" s="139"/>
      <c r="QSF109" s="139"/>
      <c r="QSG109" s="139"/>
      <c r="QSH109" s="139"/>
      <c r="QSI109" s="139"/>
      <c r="QSJ109" s="139"/>
      <c r="QSK109" s="139"/>
      <c r="QSL109" s="139"/>
      <c r="QSM109" s="139"/>
      <c r="QSN109" s="139"/>
      <c r="QSO109" s="139"/>
      <c r="QSP109" s="139"/>
      <c r="QSQ109" s="139"/>
      <c r="QSR109" s="139"/>
      <c r="QSS109" s="139"/>
      <c r="QST109" s="139"/>
      <c r="QSU109" s="139"/>
      <c r="QSV109" s="139"/>
      <c r="QSW109" s="139"/>
      <c r="QSX109" s="139"/>
      <c r="QSY109" s="139"/>
      <c r="QSZ109" s="139"/>
      <c r="QTA109" s="139"/>
      <c r="QTB109" s="139"/>
      <c r="QTC109" s="139"/>
      <c r="QTD109" s="139"/>
      <c r="QTE109" s="139"/>
      <c r="QTF109" s="139"/>
      <c r="QTG109" s="139"/>
      <c r="QTH109" s="139"/>
      <c r="QTI109" s="139"/>
      <c r="QTJ109" s="139"/>
      <c r="QTK109" s="139"/>
      <c r="QTL109" s="139"/>
      <c r="QTM109" s="139"/>
      <c r="QTN109" s="139"/>
      <c r="QTO109" s="139"/>
      <c r="QTP109" s="139"/>
      <c r="QTQ109" s="139"/>
      <c r="QTR109" s="139"/>
      <c r="QTS109" s="139"/>
      <c r="QTT109" s="139"/>
      <c r="QTU109" s="139"/>
      <c r="QTV109" s="139"/>
      <c r="QTW109" s="139"/>
      <c r="QTX109" s="139"/>
      <c r="QTY109" s="139"/>
      <c r="QTZ109" s="139"/>
      <c r="QUA109" s="139"/>
      <c r="QUB109" s="139"/>
      <c r="QUC109" s="139"/>
      <c r="QUD109" s="139"/>
      <c r="QUE109" s="139"/>
      <c r="QUF109" s="139"/>
      <c r="QUG109" s="139"/>
      <c r="QUH109" s="139"/>
      <c r="QUI109" s="139"/>
      <c r="QUJ109" s="139"/>
      <c r="QUK109" s="139"/>
      <c r="QUL109" s="139"/>
      <c r="QUM109" s="139"/>
      <c r="QUN109" s="139"/>
      <c r="QUO109" s="139"/>
      <c r="QUP109" s="139"/>
      <c r="QUQ109" s="139"/>
      <c r="QUR109" s="139"/>
      <c r="QUS109" s="139"/>
      <c r="QUT109" s="139"/>
      <c r="QUU109" s="139"/>
      <c r="QUV109" s="139"/>
      <c r="QUW109" s="139"/>
      <c r="QUX109" s="139"/>
      <c r="QUY109" s="139"/>
      <c r="QUZ109" s="139"/>
      <c r="QVA109" s="139"/>
      <c r="QVB109" s="139"/>
      <c r="QVC109" s="139"/>
      <c r="QVD109" s="139"/>
      <c r="QVE109" s="139"/>
      <c r="QVF109" s="139"/>
      <c r="QVG109" s="139"/>
      <c r="QVH109" s="139"/>
      <c r="QVI109" s="139"/>
      <c r="QVJ109" s="139"/>
      <c r="QVK109" s="139"/>
      <c r="QVL109" s="139"/>
      <c r="QVM109" s="139"/>
      <c r="QVN109" s="139"/>
      <c r="QVO109" s="139"/>
      <c r="QVP109" s="139"/>
      <c r="QVQ109" s="139"/>
      <c r="QVR109" s="139"/>
      <c r="QVS109" s="139"/>
      <c r="QVT109" s="139"/>
      <c r="QVU109" s="139"/>
      <c r="QVV109" s="139"/>
      <c r="QVW109" s="139"/>
      <c r="QVX109" s="139"/>
      <c r="QVY109" s="139"/>
      <c r="QVZ109" s="139"/>
      <c r="QWA109" s="139"/>
      <c r="QWB109" s="139"/>
      <c r="QWC109" s="139"/>
      <c r="QWD109" s="139"/>
      <c r="QWE109" s="139"/>
      <c r="QWF109" s="139"/>
      <c r="QWG109" s="139"/>
      <c r="QWH109" s="139"/>
      <c r="QWI109" s="139"/>
      <c r="QWJ109" s="139"/>
      <c r="QWK109" s="139"/>
      <c r="QWL109" s="139"/>
      <c r="QWM109" s="139"/>
      <c r="QWN109" s="139"/>
      <c r="QWO109" s="139"/>
      <c r="QWP109" s="139"/>
      <c r="QWQ109" s="139"/>
      <c r="QWR109" s="139"/>
      <c r="QWS109" s="139"/>
      <c r="QWT109" s="139"/>
      <c r="QWU109" s="139"/>
      <c r="QWV109" s="139"/>
      <c r="QWW109" s="139"/>
      <c r="QWX109" s="139"/>
      <c r="QWY109" s="139"/>
      <c r="QWZ109" s="139"/>
      <c r="QXA109" s="139"/>
      <c r="QXB109" s="139"/>
      <c r="QXC109" s="139"/>
      <c r="QXD109" s="139"/>
      <c r="QXE109" s="139"/>
      <c r="QXF109" s="139"/>
      <c r="QXG109" s="139"/>
      <c r="QXH109" s="139"/>
      <c r="QXI109" s="139"/>
      <c r="QXJ109" s="139"/>
      <c r="QXK109" s="139"/>
      <c r="QXL109" s="139"/>
      <c r="QXM109" s="139"/>
      <c r="QXN109" s="139"/>
      <c r="QXO109" s="139"/>
      <c r="QXP109" s="139"/>
      <c r="QXQ109" s="139"/>
      <c r="QXR109" s="139"/>
      <c r="QXS109" s="139"/>
      <c r="QXT109" s="139"/>
      <c r="QXU109" s="139"/>
      <c r="QXV109" s="139"/>
      <c r="QXW109" s="139"/>
      <c r="QXX109" s="139"/>
      <c r="QXY109" s="139"/>
      <c r="QXZ109" s="139"/>
      <c r="QYA109" s="139"/>
      <c r="QYB109" s="139"/>
      <c r="QYC109" s="139"/>
      <c r="QYD109" s="139"/>
      <c r="QYE109" s="139"/>
      <c r="QYF109" s="139"/>
      <c r="QYG109" s="139"/>
      <c r="QYH109" s="139"/>
      <c r="QYI109" s="139"/>
      <c r="QYJ109" s="139"/>
      <c r="QYK109" s="139"/>
      <c r="QYL109" s="139"/>
      <c r="QYM109" s="139"/>
      <c r="QYN109" s="139"/>
      <c r="QYO109" s="139"/>
      <c r="QYP109" s="139"/>
      <c r="QYQ109" s="139"/>
      <c r="QYR109" s="139"/>
      <c r="QYS109" s="139"/>
      <c r="QYT109" s="139"/>
      <c r="QYU109" s="139"/>
      <c r="QYV109" s="139"/>
      <c r="QYW109" s="139"/>
      <c r="QYX109" s="139"/>
      <c r="QYY109" s="139"/>
      <c r="QYZ109" s="139"/>
      <c r="QZA109" s="139"/>
      <c r="QZB109" s="139"/>
      <c r="QZC109" s="139"/>
      <c r="QZD109" s="139"/>
      <c r="QZE109" s="139"/>
      <c r="QZF109" s="139"/>
      <c r="QZG109" s="139"/>
      <c r="QZH109" s="139"/>
      <c r="QZI109" s="139"/>
      <c r="QZJ109" s="139"/>
      <c r="QZK109" s="139"/>
      <c r="QZL109" s="139"/>
      <c r="QZM109" s="139"/>
      <c r="QZN109" s="139"/>
      <c r="QZO109" s="139"/>
      <c r="QZP109" s="139"/>
      <c r="QZQ109" s="139"/>
      <c r="QZR109" s="139"/>
      <c r="QZS109" s="139"/>
      <c r="QZT109" s="139"/>
      <c r="QZU109" s="139"/>
      <c r="QZV109" s="139"/>
      <c r="QZW109" s="139"/>
      <c r="QZX109" s="139"/>
      <c r="QZY109" s="139"/>
      <c r="QZZ109" s="139"/>
      <c r="RAA109" s="139"/>
      <c r="RAB109" s="139"/>
      <c r="RAC109" s="139"/>
      <c r="RAD109" s="139"/>
      <c r="RAE109" s="139"/>
      <c r="RAF109" s="139"/>
      <c r="RAG109" s="139"/>
      <c r="RAH109" s="139"/>
      <c r="RAI109" s="139"/>
      <c r="RAJ109" s="139"/>
      <c r="RAK109" s="139"/>
      <c r="RAL109" s="139"/>
      <c r="RAM109" s="139"/>
      <c r="RAN109" s="139"/>
      <c r="RAO109" s="139"/>
      <c r="RAP109" s="139"/>
      <c r="RAQ109" s="139"/>
      <c r="RAR109" s="139"/>
      <c r="RAS109" s="139"/>
      <c r="RAT109" s="139"/>
      <c r="RAU109" s="139"/>
      <c r="RAV109" s="139"/>
      <c r="RAW109" s="139"/>
      <c r="RAX109" s="139"/>
      <c r="RAY109" s="139"/>
      <c r="RAZ109" s="139"/>
      <c r="RBA109" s="139"/>
      <c r="RBB109" s="139"/>
      <c r="RBC109" s="139"/>
      <c r="RBD109" s="139"/>
      <c r="RBE109" s="139"/>
      <c r="RBF109" s="139"/>
      <c r="RBG109" s="139"/>
      <c r="RBH109" s="139"/>
      <c r="RBI109" s="139"/>
      <c r="RBJ109" s="139"/>
      <c r="RBK109" s="139"/>
      <c r="RBL109" s="139"/>
      <c r="RBM109" s="139"/>
      <c r="RBN109" s="139"/>
      <c r="RBO109" s="139"/>
      <c r="RBP109" s="139"/>
      <c r="RBQ109" s="139"/>
      <c r="RBR109" s="139"/>
      <c r="RBS109" s="139"/>
      <c r="RBT109" s="139"/>
      <c r="RBU109" s="139"/>
      <c r="RBV109" s="139"/>
      <c r="RBW109" s="139"/>
      <c r="RBX109" s="139"/>
      <c r="RBY109" s="139"/>
      <c r="RBZ109" s="139"/>
      <c r="RCA109" s="139"/>
      <c r="RCB109" s="139"/>
      <c r="RCC109" s="139"/>
      <c r="RCD109" s="139"/>
      <c r="RCE109" s="139"/>
      <c r="RCF109" s="139"/>
      <c r="RCG109" s="139"/>
      <c r="RCH109" s="139"/>
      <c r="RCI109" s="139"/>
      <c r="RCJ109" s="139"/>
      <c r="RCK109" s="139"/>
      <c r="RCL109" s="139"/>
      <c r="RCM109" s="139"/>
      <c r="RCN109" s="139"/>
      <c r="RCO109" s="139"/>
      <c r="RCP109" s="139"/>
      <c r="RCQ109" s="139"/>
      <c r="RCR109" s="139"/>
      <c r="RCS109" s="139"/>
      <c r="RCT109" s="139"/>
      <c r="RCU109" s="139"/>
      <c r="RCV109" s="139"/>
      <c r="RCW109" s="139"/>
      <c r="RCX109" s="139"/>
      <c r="RCY109" s="139"/>
      <c r="RCZ109" s="139"/>
      <c r="RDA109" s="139"/>
      <c r="RDB109" s="139"/>
      <c r="RDC109" s="139"/>
      <c r="RDD109" s="139"/>
      <c r="RDE109" s="139"/>
      <c r="RDF109" s="139"/>
      <c r="RDG109" s="139"/>
      <c r="RDH109" s="139"/>
      <c r="RDI109" s="139"/>
      <c r="RDJ109" s="139"/>
      <c r="RDK109" s="139"/>
      <c r="RDL109" s="139"/>
      <c r="RDM109" s="139"/>
      <c r="RDN109" s="139"/>
      <c r="RDO109" s="139"/>
      <c r="RDP109" s="139"/>
      <c r="RDQ109" s="139"/>
      <c r="RDR109" s="139"/>
      <c r="RDS109" s="139"/>
      <c r="RDT109" s="139"/>
      <c r="RDU109" s="139"/>
      <c r="RDV109" s="139"/>
      <c r="RDW109" s="139"/>
      <c r="RDX109" s="139"/>
      <c r="RDY109" s="139"/>
      <c r="RDZ109" s="139"/>
      <c r="REA109" s="139"/>
      <c r="REB109" s="139"/>
      <c r="REC109" s="139"/>
      <c r="RED109" s="139"/>
      <c r="REE109" s="139"/>
      <c r="REF109" s="139"/>
      <c r="REG109" s="139"/>
      <c r="REH109" s="139"/>
      <c r="REI109" s="139"/>
      <c r="REJ109" s="139"/>
      <c r="REK109" s="139"/>
      <c r="REL109" s="139"/>
      <c r="REM109" s="139"/>
      <c r="REN109" s="139"/>
      <c r="REO109" s="139"/>
      <c r="REP109" s="139"/>
      <c r="REQ109" s="139"/>
      <c r="RER109" s="139"/>
      <c r="RES109" s="139"/>
      <c r="RET109" s="139"/>
      <c r="REU109" s="139"/>
      <c r="REV109" s="139"/>
      <c r="REW109" s="139"/>
      <c r="REX109" s="139"/>
      <c r="REY109" s="139"/>
      <c r="REZ109" s="139"/>
      <c r="RFA109" s="139"/>
      <c r="RFB109" s="139"/>
      <c r="RFC109" s="139"/>
      <c r="RFD109" s="139"/>
      <c r="RFE109" s="139"/>
      <c r="RFF109" s="139"/>
      <c r="RFG109" s="139"/>
      <c r="RFH109" s="139"/>
      <c r="RFI109" s="139"/>
      <c r="RFJ109" s="139"/>
      <c r="RFK109" s="139"/>
      <c r="RFL109" s="139"/>
      <c r="RFM109" s="139"/>
      <c r="RFN109" s="139"/>
      <c r="RFO109" s="139"/>
      <c r="RFP109" s="139"/>
      <c r="RFQ109" s="139"/>
      <c r="RFR109" s="139"/>
      <c r="RFS109" s="139"/>
      <c r="RFT109" s="139"/>
      <c r="RFU109" s="139"/>
      <c r="RFV109" s="139"/>
      <c r="RFW109" s="139"/>
      <c r="RFX109" s="139"/>
      <c r="RFY109" s="139"/>
      <c r="RFZ109" s="139"/>
      <c r="RGA109" s="139"/>
      <c r="RGB109" s="139"/>
      <c r="RGC109" s="139"/>
      <c r="RGD109" s="139"/>
      <c r="RGE109" s="139"/>
      <c r="RGF109" s="139"/>
      <c r="RGG109" s="139"/>
      <c r="RGH109" s="139"/>
      <c r="RGI109" s="139"/>
      <c r="RGJ109" s="139"/>
      <c r="RGK109" s="139"/>
      <c r="RGL109" s="139"/>
      <c r="RGM109" s="139"/>
      <c r="RGN109" s="139"/>
      <c r="RGO109" s="139"/>
      <c r="RGP109" s="139"/>
      <c r="RGQ109" s="139"/>
      <c r="RGR109" s="139"/>
      <c r="RGS109" s="139"/>
      <c r="RGT109" s="139"/>
      <c r="RGU109" s="139"/>
      <c r="RGV109" s="139"/>
      <c r="RGW109" s="139"/>
      <c r="RGX109" s="139"/>
      <c r="RGY109" s="139"/>
      <c r="RGZ109" s="139"/>
      <c r="RHA109" s="139"/>
      <c r="RHB109" s="139"/>
      <c r="RHC109" s="139"/>
      <c r="RHD109" s="139"/>
      <c r="RHE109" s="139"/>
      <c r="RHF109" s="139"/>
      <c r="RHG109" s="139"/>
      <c r="RHH109" s="139"/>
      <c r="RHI109" s="139"/>
      <c r="RHJ109" s="139"/>
      <c r="RHK109" s="139"/>
      <c r="RHL109" s="139"/>
      <c r="RHM109" s="139"/>
      <c r="RHN109" s="139"/>
      <c r="RHO109" s="139"/>
      <c r="RHP109" s="139"/>
      <c r="RHQ109" s="139"/>
      <c r="RHR109" s="139"/>
      <c r="RHS109" s="139"/>
      <c r="RHT109" s="139"/>
      <c r="RHU109" s="139"/>
      <c r="RHV109" s="139"/>
      <c r="RHW109" s="139"/>
      <c r="RHX109" s="139"/>
      <c r="RHY109" s="139"/>
      <c r="RHZ109" s="139"/>
      <c r="RIA109" s="139"/>
      <c r="RIB109" s="139"/>
      <c r="RIC109" s="139"/>
      <c r="RID109" s="139"/>
      <c r="RIE109" s="139"/>
      <c r="RIF109" s="139"/>
      <c r="RIG109" s="139"/>
      <c r="RIH109" s="139"/>
      <c r="RII109" s="139"/>
      <c r="RIJ109" s="139"/>
      <c r="RIK109" s="139"/>
      <c r="RIL109" s="139"/>
      <c r="RIM109" s="139"/>
      <c r="RIN109" s="139"/>
      <c r="RIO109" s="139"/>
      <c r="RIP109" s="139"/>
      <c r="RIQ109" s="139"/>
      <c r="RIR109" s="139"/>
      <c r="RIS109" s="139"/>
      <c r="RIT109" s="139"/>
      <c r="RIU109" s="139"/>
      <c r="RIV109" s="139"/>
      <c r="RIW109" s="139"/>
      <c r="RIX109" s="139"/>
      <c r="RIY109" s="139"/>
      <c r="RIZ109" s="139"/>
      <c r="RJA109" s="139"/>
      <c r="RJB109" s="139"/>
      <c r="RJC109" s="139"/>
      <c r="RJD109" s="139"/>
      <c r="RJE109" s="139"/>
      <c r="RJF109" s="139"/>
      <c r="RJG109" s="139"/>
      <c r="RJH109" s="139"/>
      <c r="RJI109" s="139"/>
      <c r="RJJ109" s="139"/>
      <c r="RJK109" s="139"/>
      <c r="RJL109" s="139"/>
      <c r="RJM109" s="139"/>
      <c r="RJN109" s="139"/>
      <c r="RJO109" s="139"/>
      <c r="RJP109" s="139"/>
      <c r="RJQ109" s="139"/>
      <c r="RJR109" s="139"/>
      <c r="RJS109" s="139"/>
      <c r="RJT109" s="139"/>
      <c r="RJU109" s="139"/>
      <c r="RJV109" s="139"/>
      <c r="RJW109" s="139"/>
      <c r="RJX109" s="139"/>
      <c r="RJY109" s="139"/>
      <c r="RJZ109" s="139"/>
      <c r="RKA109" s="139"/>
      <c r="RKB109" s="139"/>
      <c r="RKC109" s="139"/>
      <c r="RKD109" s="139"/>
      <c r="RKE109" s="139"/>
      <c r="RKF109" s="139"/>
      <c r="RKG109" s="139"/>
      <c r="RKH109" s="139"/>
      <c r="RKI109" s="139"/>
      <c r="RKJ109" s="139"/>
      <c r="RKK109" s="139"/>
      <c r="RKL109" s="139"/>
      <c r="RKM109" s="139"/>
      <c r="RKN109" s="139"/>
      <c r="RKO109" s="139"/>
      <c r="RKP109" s="139"/>
      <c r="RKQ109" s="139"/>
      <c r="RKR109" s="139"/>
      <c r="RKS109" s="139"/>
      <c r="RKT109" s="139"/>
      <c r="RKU109" s="139"/>
      <c r="RKV109" s="139"/>
      <c r="RKW109" s="139"/>
      <c r="RKX109" s="139"/>
      <c r="RKY109" s="139"/>
      <c r="RKZ109" s="139"/>
      <c r="RLA109" s="139"/>
      <c r="RLB109" s="139"/>
      <c r="RLC109" s="139"/>
      <c r="RLD109" s="139"/>
      <c r="RLE109" s="139"/>
      <c r="RLF109" s="139"/>
      <c r="RLG109" s="139"/>
      <c r="RLH109" s="139"/>
      <c r="RLI109" s="139"/>
      <c r="RLJ109" s="139"/>
      <c r="RLK109" s="139"/>
      <c r="RLL109" s="139"/>
      <c r="RLM109" s="139"/>
      <c r="RLN109" s="139"/>
      <c r="RLO109" s="139"/>
      <c r="RLP109" s="139"/>
      <c r="RLQ109" s="139"/>
      <c r="RLR109" s="139"/>
      <c r="RLS109" s="139"/>
      <c r="RLT109" s="139"/>
      <c r="RLU109" s="139"/>
      <c r="RLV109" s="139"/>
      <c r="RLW109" s="139"/>
      <c r="RLX109" s="139"/>
      <c r="RLY109" s="139"/>
      <c r="RLZ109" s="139"/>
      <c r="RMA109" s="139"/>
      <c r="RMB109" s="139"/>
      <c r="RMC109" s="139"/>
      <c r="RMD109" s="139"/>
      <c r="RME109" s="139"/>
      <c r="RMF109" s="139"/>
      <c r="RMG109" s="139"/>
      <c r="RMH109" s="139"/>
      <c r="RMI109" s="139"/>
      <c r="RMJ109" s="139"/>
      <c r="RMK109" s="139"/>
      <c r="RML109" s="139"/>
      <c r="RMM109" s="139"/>
      <c r="RMN109" s="139"/>
      <c r="RMO109" s="139"/>
      <c r="RMP109" s="139"/>
      <c r="RMQ109" s="139"/>
      <c r="RMR109" s="139"/>
      <c r="RMS109" s="139"/>
      <c r="RMT109" s="139"/>
      <c r="RMU109" s="139"/>
      <c r="RMV109" s="139"/>
      <c r="RMW109" s="139"/>
      <c r="RMX109" s="139"/>
      <c r="RMY109" s="139"/>
      <c r="RMZ109" s="139"/>
      <c r="RNA109" s="139"/>
      <c r="RNB109" s="139"/>
      <c r="RNC109" s="139"/>
      <c r="RND109" s="139"/>
      <c r="RNE109" s="139"/>
      <c r="RNF109" s="139"/>
      <c r="RNG109" s="139"/>
      <c r="RNH109" s="139"/>
      <c r="RNI109" s="139"/>
      <c r="RNJ109" s="139"/>
      <c r="RNK109" s="139"/>
      <c r="RNL109" s="139"/>
      <c r="RNM109" s="139"/>
      <c r="RNN109" s="139"/>
      <c r="RNO109" s="139"/>
      <c r="RNP109" s="139"/>
      <c r="RNQ109" s="139"/>
      <c r="RNR109" s="139"/>
      <c r="RNS109" s="139"/>
      <c r="RNT109" s="139"/>
      <c r="RNU109" s="139"/>
      <c r="RNV109" s="139"/>
      <c r="RNW109" s="139"/>
      <c r="RNX109" s="139"/>
      <c r="RNY109" s="139"/>
      <c r="RNZ109" s="139"/>
      <c r="ROA109" s="139"/>
      <c r="ROB109" s="139"/>
      <c r="ROC109" s="139"/>
      <c r="ROD109" s="139"/>
      <c r="ROE109" s="139"/>
      <c r="ROF109" s="139"/>
      <c r="ROG109" s="139"/>
      <c r="ROH109" s="139"/>
      <c r="ROI109" s="139"/>
      <c r="ROJ109" s="139"/>
      <c r="ROK109" s="139"/>
      <c r="ROL109" s="139"/>
      <c r="ROM109" s="139"/>
      <c r="RON109" s="139"/>
      <c r="ROO109" s="139"/>
      <c r="ROP109" s="139"/>
      <c r="ROQ109" s="139"/>
      <c r="ROR109" s="139"/>
      <c r="ROS109" s="139"/>
      <c r="ROT109" s="139"/>
      <c r="ROU109" s="139"/>
      <c r="ROV109" s="139"/>
      <c r="ROW109" s="139"/>
      <c r="ROX109" s="139"/>
      <c r="ROY109" s="139"/>
      <c r="ROZ109" s="139"/>
      <c r="RPA109" s="139"/>
      <c r="RPB109" s="139"/>
      <c r="RPC109" s="139"/>
      <c r="RPD109" s="139"/>
      <c r="RPE109" s="139"/>
      <c r="RPF109" s="139"/>
      <c r="RPG109" s="139"/>
      <c r="RPH109" s="139"/>
      <c r="RPI109" s="139"/>
      <c r="RPJ109" s="139"/>
      <c r="RPK109" s="139"/>
      <c r="RPL109" s="139"/>
      <c r="RPM109" s="139"/>
      <c r="RPN109" s="139"/>
      <c r="RPO109" s="139"/>
      <c r="RPP109" s="139"/>
      <c r="RPQ109" s="139"/>
      <c r="RPR109" s="139"/>
      <c r="RPS109" s="139"/>
      <c r="RPT109" s="139"/>
      <c r="RPU109" s="139"/>
      <c r="RPV109" s="139"/>
      <c r="RPW109" s="139"/>
      <c r="RPX109" s="139"/>
      <c r="RPY109" s="139"/>
      <c r="RPZ109" s="139"/>
      <c r="RQA109" s="139"/>
      <c r="RQB109" s="139"/>
      <c r="RQC109" s="139"/>
      <c r="RQD109" s="139"/>
      <c r="RQE109" s="139"/>
      <c r="RQF109" s="139"/>
      <c r="RQG109" s="139"/>
      <c r="RQH109" s="139"/>
      <c r="RQI109" s="139"/>
      <c r="RQJ109" s="139"/>
      <c r="RQK109" s="139"/>
      <c r="RQL109" s="139"/>
      <c r="RQM109" s="139"/>
      <c r="RQN109" s="139"/>
      <c r="RQO109" s="139"/>
      <c r="RQP109" s="139"/>
      <c r="RQQ109" s="139"/>
      <c r="RQR109" s="139"/>
      <c r="RQS109" s="139"/>
      <c r="RQT109" s="139"/>
      <c r="RQU109" s="139"/>
      <c r="RQV109" s="139"/>
      <c r="RQW109" s="139"/>
      <c r="RQX109" s="139"/>
      <c r="RQY109" s="139"/>
      <c r="RQZ109" s="139"/>
      <c r="RRA109" s="139"/>
      <c r="RRB109" s="139"/>
      <c r="RRC109" s="139"/>
      <c r="RRD109" s="139"/>
      <c r="RRE109" s="139"/>
      <c r="RRF109" s="139"/>
      <c r="RRG109" s="139"/>
      <c r="RRH109" s="139"/>
      <c r="RRI109" s="139"/>
      <c r="RRJ109" s="139"/>
      <c r="RRK109" s="139"/>
      <c r="RRL109" s="139"/>
      <c r="RRM109" s="139"/>
      <c r="RRN109" s="139"/>
      <c r="RRO109" s="139"/>
      <c r="RRP109" s="139"/>
      <c r="RRQ109" s="139"/>
      <c r="RRR109" s="139"/>
      <c r="RRS109" s="139"/>
      <c r="RRT109" s="139"/>
      <c r="RRU109" s="139"/>
      <c r="RRV109" s="139"/>
      <c r="RRW109" s="139"/>
      <c r="RRX109" s="139"/>
      <c r="RRY109" s="139"/>
      <c r="RRZ109" s="139"/>
      <c r="RSA109" s="139"/>
      <c r="RSB109" s="139"/>
      <c r="RSC109" s="139"/>
      <c r="RSD109" s="139"/>
      <c r="RSE109" s="139"/>
      <c r="RSF109" s="139"/>
      <c r="RSG109" s="139"/>
      <c r="RSH109" s="139"/>
      <c r="RSI109" s="139"/>
      <c r="RSJ109" s="139"/>
      <c r="RSK109" s="139"/>
      <c r="RSL109" s="139"/>
      <c r="RSM109" s="139"/>
      <c r="RSN109" s="139"/>
      <c r="RSO109" s="139"/>
      <c r="RSP109" s="139"/>
      <c r="RSQ109" s="139"/>
      <c r="RSR109" s="139"/>
      <c r="RSS109" s="139"/>
      <c r="RST109" s="139"/>
      <c r="RSU109" s="139"/>
      <c r="RSV109" s="139"/>
      <c r="RSW109" s="139"/>
      <c r="RSX109" s="139"/>
      <c r="RSY109" s="139"/>
      <c r="RSZ109" s="139"/>
      <c r="RTA109" s="139"/>
      <c r="RTB109" s="139"/>
      <c r="RTC109" s="139"/>
      <c r="RTD109" s="139"/>
      <c r="RTE109" s="139"/>
      <c r="RTF109" s="139"/>
      <c r="RTG109" s="139"/>
      <c r="RTH109" s="139"/>
      <c r="RTI109" s="139"/>
      <c r="RTJ109" s="139"/>
      <c r="RTK109" s="139"/>
      <c r="RTL109" s="139"/>
      <c r="RTM109" s="139"/>
      <c r="RTN109" s="139"/>
      <c r="RTO109" s="139"/>
      <c r="RTP109" s="139"/>
      <c r="RTQ109" s="139"/>
      <c r="RTR109" s="139"/>
      <c r="RTS109" s="139"/>
      <c r="RTT109" s="139"/>
      <c r="RTU109" s="139"/>
      <c r="RTV109" s="139"/>
      <c r="RTW109" s="139"/>
      <c r="RTX109" s="139"/>
      <c r="RTY109" s="139"/>
      <c r="RTZ109" s="139"/>
      <c r="RUA109" s="139"/>
      <c r="RUB109" s="139"/>
      <c r="RUC109" s="139"/>
      <c r="RUD109" s="139"/>
      <c r="RUE109" s="139"/>
      <c r="RUF109" s="139"/>
      <c r="RUG109" s="139"/>
      <c r="RUH109" s="139"/>
      <c r="RUI109" s="139"/>
      <c r="RUJ109" s="139"/>
      <c r="RUK109" s="139"/>
      <c r="RUL109" s="139"/>
      <c r="RUM109" s="139"/>
      <c r="RUN109" s="139"/>
      <c r="RUO109" s="139"/>
      <c r="RUP109" s="139"/>
      <c r="RUQ109" s="139"/>
      <c r="RUR109" s="139"/>
      <c r="RUS109" s="139"/>
      <c r="RUT109" s="139"/>
      <c r="RUU109" s="139"/>
      <c r="RUV109" s="139"/>
      <c r="RUW109" s="139"/>
      <c r="RUX109" s="139"/>
      <c r="RUY109" s="139"/>
      <c r="RUZ109" s="139"/>
      <c r="RVA109" s="139"/>
      <c r="RVB109" s="139"/>
      <c r="RVC109" s="139"/>
      <c r="RVD109" s="139"/>
      <c r="RVE109" s="139"/>
      <c r="RVF109" s="139"/>
      <c r="RVG109" s="139"/>
      <c r="RVH109" s="139"/>
      <c r="RVI109" s="139"/>
      <c r="RVJ109" s="139"/>
      <c r="RVK109" s="139"/>
      <c r="RVL109" s="139"/>
      <c r="RVM109" s="139"/>
      <c r="RVN109" s="139"/>
      <c r="RVO109" s="139"/>
      <c r="RVP109" s="139"/>
      <c r="RVQ109" s="139"/>
      <c r="RVR109" s="139"/>
      <c r="RVS109" s="139"/>
      <c r="RVT109" s="139"/>
      <c r="RVU109" s="139"/>
      <c r="RVV109" s="139"/>
      <c r="RVW109" s="139"/>
      <c r="RVX109" s="139"/>
      <c r="RVY109" s="139"/>
      <c r="RVZ109" s="139"/>
      <c r="RWA109" s="139"/>
      <c r="RWB109" s="139"/>
      <c r="RWC109" s="139"/>
      <c r="RWD109" s="139"/>
      <c r="RWE109" s="139"/>
      <c r="RWF109" s="139"/>
      <c r="RWG109" s="139"/>
      <c r="RWH109" s="139"/>
      <c r="RWI109" s="139"/>
      <c r="RWJ109" s="139"/>
      <c r="RWK109" s="139"/>
      <c r="RWL109" s="139"/>
      <c r="RWM109" s="139"/>
      <c r="RWN109" s="139"/>
      <c r="RWO109" s="139"/>
      <c r="RWP109" s="139"/>
      <c r="RWQ109" s="139"/>
      <c r="RWR109" s="139"/>
      <c r="RWS109" s="139"/>
      <c r="RWT109" s="139"/>
      <c r="RWU109" s="139"/>
      <c r="RWV109" s="139"/>
      <c r="RWW109" s="139"/>
      <c r="RWX109" s="139"/>
      <c r="RWY109" s="139"/>
      <c r="RWZ109" s="139"/>
      <c r="RXA109" s="139"/>
      <c r="RXB109" s="139"/>
      <c r="RXC109" s="139"/>
      <c r="RXD109" s="139"/>
      <c r="RXE109" s="139"/>
      <c r="RXF109" s="139"/>
      <c r="RXG109" s="139"/>
      <c r="RXH109" s="139"/>
      <c r="RXI109" s="139"/>
      <c r="RXJ109" s="139"/>
      <c r="RXK109" s="139"/>
      <c r="RXL109" s="139"/>
      <c r="RXM109" s="139"/>
      <c r="RXN109" s="139"/>
      <c r="RXO109" s="139"/>
      <c r="RXP109" s="139"/>
      <c r="RXQ109" s="139"/>
      <c r="RXR109" s="139"/>
      <c r="RXS109" s="139"/>
      <c r="RXT109" s="139"/>
      <c r="RXU109" s="139"/>
      <c r="RXV109" s="139"/>
      <c r="RXW109" s="139"/>
      <c r="RXX109" s="139"/>
      <c r="RXY109" s="139"/>
      <c r="RXZ109" s="139"/>
      <c r="RYA109" s="139"/>
      <c r="RYB109" s="139"/>
      <c r="RYC109" s="139"/>
      <c r="RYD109" s="139"/>
      <c r="RYE109" s="139"/>
      <c r="RYF109" s="139"/>
      <c r="RYG109" s="139"/>
      <c r="RYH109" s="139"/>
      <c r="RYI109" s="139"/>
      <c r="RYJ109" s="139"/>
      <c r="RYK109" s="139"/>
      <c r="RYL109" s="139"/>
      <c r="RYM109" s="139"/>
      <c r="RYN109" s="139"/>
      <c r="RYO109" s="139"/>
      <c r="RYP109" s="139"/>
      <c r="RYQ109" s="139"/>
      <c r="RYR109" s="139"/>
      <c r="RYS109" s="139"/>
      <c r="RYT109" s="139"/>
      <c r="RYU109" s="139"/>
      <c r="RYV109" s="139"/>
      <c r="RYW109" s="139"/>
      <c r="RYX109" s="139"/>
      <c r="RYY109" s="139"/>
      <c r="RYZ109" s="139"/>
      <c r="RZA109" s="139"/>
      <c r="RZB109" s="139"/>
      <c r="RZC109" s="139"/>
      <c r="RZD109" s="139"/>
      <c r="RZE109" s="139"/>
      <c r="RZF109" s="139"/>
      <c r="RZG109" s="139"/>
      <c r="RZH109" s="139"/>
      <c r="RZI109" s="139"/>
      <c r="RZJ109" s="139"/>
      <c r="RZK109" s="139"/>
      <c r="RZL109" s="139"/>
      <c r="RZM109" s="139"/>
      <c r="RZN109" s="139"/>
      <c r="RZO109" s="139"/>
      <c r="RZP109" s="139"/>
      <c r="RZQ109" s="139"/>
      <c r="RZR109" s="139"/>
      <c r="RZS109" s="139"/>
      <c r="RZT109" s="139"/>
      <c r="RZU109" s="139"/>
      <c r="RZV109" s="139"/>
      <c r="RZW109" s="139"/>
      <c r="RZX109" s="139"/>
      <c r="RZY109" s="139"/>
      <c r="RZZ109" s="139"/>
      <c r="SAA109" s="139"/>
      <c r="SAB109" s="139"/>
      <c r="SAC109" s="139"/>
      <c r="SAD109" s="139"/>
      <c r="SAE109" s="139"/>
      <c r="SAF109" s="139"/>
      <c r="SAG109" s="139"/>
      <c r="SAH109" s="139"/>
      <c r="SAI109" s="139"/>
      <c r="SAJ109" s="139"/>
      <c r="SAK109" s="139"/>
      <c r="SAL109" s="139"/>
      <c r="SAM109" s="139"/>
      <c r="SAN109" s="139"/>
      <c r="SAO109" s="139"/>
      <c r="SAP109" s="139"/>
      <c r="SAQ109" s="139"/>
      <c r="SAR109" s="139"/>
      <c r="SAS109" s="139"/>
      <c r="SAT109" s="139"/>
      <c r="SAU109" s="139"/>
      <c r="SAV109" s="139"/>
      <c r="SAW109" s="139"/>
      <c r="SAX109" s="139"/>
      <c r="SAY109" s="139"/>
      <c r="SAZ109" s="139"/>
      <c r="SBA109" s="139"/>
      <c r="SBB109" s="139"/>
      <c r="SBC109" s="139"/>
      <c r="SBD109" s="139"/>
      <c r="SBE109" s="139"/>
      <c r="SBF109" s="139"/>
      <c r="SBG109" s="139"/>
      <c r="SBH109" s="139"/>
      <c r="SBI109" s="139"/>
      <c r="SBJ109" s="139"/>
      <c r="SBK109" s="139"/>
      <c r="SBL109" s="139"/>
      <c r="SBM109" s="139"/>
      <c r="SBN109" s="139"/>
      <c r="SBO109" s="139"/>
      <c r="SBP109" s="139"/>
      <c r="SBQ109" s="139"/>
      <c r="SBR109" s="139"/>
      <c r="SBS109" s="139"/>
      <c r="SBT109" s="139"/>
      <c r="SBU109" s="139"/>
      <c r="SBV109" s="139"/>
      <c r="SBW109" s="139"/>
      <c r="SBX109" s="139"/>
      <c r="SBY109" s="139"/>
      <c r="SBZ109" s="139"/>
      <c r="SCA109" s="139"/>
      <c r="SCB109" s="139"/>
      <c r="SCC109" s="139"/>
      <c r="SCD109" s="139"/>
      <c r="SCE109" s="139"/>
      <c r="SCF109" s="139"/>
      <c r="SCG109" s="139"/>
      <c r="SCH109" s="139"/>
      <c r="SCI109" s="139"/>
      <c r="SCJ109" s="139"/>
      <c r="SCK109" s="139"/>
      <c r="SCL109" s="139"/>
      <c r="SCM109" s="139"/>
      <c r="SCN109" s="139"/>
      <c r="SCO109" s="139"/>
      <c r="SCP109" s="139"/>
      <c r="SCQ109" s="139"/>
      <c r="SCR109" s="139"/>
      <c r="SCS109" s="139"/>
      <c r="SCT109" s="139"/>
      <c r="SCU109" s="139"/>
      <c r="SCV109" s="139"/>
      <c r="SCW109" s="139"/>
      <c r="SCX109" s="139"/>
      <c r="SCY109" s="139"/>
      <c r="SCZ109" s="139"/>
      <c r="SDA109" s="139"/>
      <c r="SDB109" s="139"/>
      <c r="SDC109" s="139"/>
      <c r="SDD109" s="139"/>
      <c r="SDE109" s="139"/>
      <c r="SDF109" s="139"/>
      <c r="SDG109" s="139"/>
      <c r="SDH109" s="139"/>
      <c r="SDI109" s="139"/>
      <c r="SDJ109" s="139"/>
      <c r="SDK109" s="139"/>
      <c r="SDL109" s="139"/>
      <c r="SDM109" s="139"/>
      <c r="SDN109" s="139"/>
      <c r="SDO109" s="139"/>
      <c r="SDP109" s="139"/>
      <c r="SDQ109" s="139"/>
      <c r="SDR109" s="139"/>
      <c r="SDS109" s="139"/>
      <c r="SDT109" s="139"/>
      <c r="SDU109" s="139"/>
      <c r="SDV109" s="139"/>
      <c r="SDW109" s="139"/>
      <c r="SDX109" s="139"/>
      <c r="SDY109" s="139"/>
      <c r="SDZ109" s="139"/>
      <c r="SEA109" s="139"/>
      <c r="SEB109" s="139"/>
      <c r="SEC109" s="139"/>
      <c r="SED109" s="139"/>
      <c r="SEE109" s="139"/>
      <c r="SEF109" s="139"/>
      <c r="SEG109" s="139"/>
      <c r="SEH109" s="139"/>
      <c r="SEI109" s="139"/>
      <c r="SEJ109" s="139"/>
      <c r="SEK109" s="139"/>
      <c r="SEL109" s="139"/>
      <c r="SEM109" s="139"/>
      <c r="SEN109" s="139"/>
      <c r="SEO109" s="139"/>
      <c r="SEP109" s="139"/>
      <c r="SEQ109" s="139"/>
      <c r="SER109" s="139"/>
      <c r="SES109" s="139"/>
      <c r="SET109" s="139"/>
      <c r="SEU109" s="139"/>
      <c r="SEV109" s="139"/>
      <c r="SEW109" s="139"/>
      <c r="SEX109" s="139"/>
      <c r="SEY109" s="139"/>
      <c r="SEZ109" s="139"/>
      <c r="SFA109" s="139"/>
      <c r="SFB109" s="139"/>
      <c r="SFC109" s="139"/>
      <c r="SFD109" s="139"/>
      <c r="SFE109" s="139"/>
      <c r="SFF109" s="139"/>
      <c r="SFG109" s="139"/>
      <c r="SFH109" s="139"/>
      <c r="SFI109" s="139"/>
      <c r="SFJ109" s="139"/>
      <c r="SFK109" s="139"/>
      <c r="SFL109" s="139"/>
      <c r="SFM109" s="139"/>
      <c r="SFN109" s="139"/>
      <c r="SFO109" s="139"/>
      <c r="SFP109" s="139"/>
      <c r="SFQ109" s="139"/>
      <c r="SFR109" s="139"/>
      <c r="SFS109" s="139"/>
      <c r="SFT109" s="139"/>
      <c r="SFU109" s="139"/>
      <c r="SFV109" s="139"/>
      <c r="SFW109" s="139"/>
      <c r="SFX109" s="139"/>
      <c r="SFY109" s="139"/>
      <c r="SFZ109" s="139"/>
      <c r="SGA109" s="139"/>
      <c r="SGB109" s="139"/>
      <c r="SGC109" s="139"/>
      <c r="SGD109" s="139"/>
      <c r="SGE109" s="139"/>
      <c r="SGF109" s="139"/>
      <c r="SGG109" s="139"/>
      <c r="SGH109" s="139"/>
      <c r="SGI109" s="139"/>
      <c r="SGJ109" s="139"/>
      <c r="SGK109" s="139"/>
      <c r="SGL109" s="139"/>
      <c r="SGM109" s="139"/>
      <c r="SGN109" s="139"/>
      <c r="SGO109" s="139"/>
      <c r="SGP109" s="139"/>
      <c r="SGQ109" s="139"/>
      <c r="SGR109" s="139"/>
      <c r="SGS109" s="139"/>
      <c r="SGT109" s="139"/>
      <c r="SGU109" s="139"/>
      <c r="SGV109" s="139"/>
      <c r="SGW109" s="139"/>
      <c r="SGX109" s="139"/>
      <c r="SGY109" s="139"/>
      <c r="SGZ109" s="139"/>
      <c r="SHA109" s="139"/>
      <c r="SHB109" s="139"/>
      <c r="SHC109" s="139"/>
      <c r="SHD109" s="139"/>
      <c r="SHE109" s="139"/>
      <c r="SHF109" s="139"/>
      <c r="SHG109" s="139"/>
      <c r="SHH109" s="139"/>
      <c r="SHI109" s="139"/>
      <c r="SHJ109" s="139"/>
      <c r="SHK109" s="139"/>
      <c r="SHL109" s="139"/>
      <c r="SHM109" s="139"/>
      <c r="SHN109" s="139"/>
      <c r="SHO109" s="139"/>
      <c r="SHP109" s="139"/>
      <c r="SHQ109" s="139"/>
      <c r="SHR109" s="139"/>
      <c r="SHS109" s="139"/>
      <c r="SHT109" s="139"/>
      <c r="SHU109" s="139"/>
      <c r="SHV109" s="139"/>
      <c r="SHW109" s="139"/>
      <c r="SHX109" s="139"/>
      <c r="SHY109" s="139"/>
      <c r="SHZ109" s="139"/>
      <c r="SIA109" s="139"/>
      <c r="SIB109" s="139"/>
      <c r="SIC109" s="139"/>
      <c r="SID109" s="139"/>
      <c r="SIE109" s="139"/>
      <c r="SIF109" s="139"/>
      <c r="SIG109" s="139"/>
      <c r="SIH109" s="139"/>
      <c r="SII109" s="139"/>
      <c r="SIJ109" s="139"/>
      <c r="SIK109" s="139"/>
      <c r="SIL109" s="139"/>
      <c r="SIM109" s="139"/>
      <c r="SIN109" s="139"/>
      <c r="SIO109" s="139"/>
      <c r="SIP109" s="139"/>
      <c r="SIQ109" s="139"/>
      <c r="SIR109" s="139"/>
      <c r="SIS109" s="139"/>
      <c r="SIT109" s="139"/>
      <c r="SIU109" s="139"/>
      <c r="SIV109" s="139"/>
      <c r="SIW109" s="139"/>
      <c r="SIX109" s="139"/>
      <c r="SIY109" s="139"/>
      <c r="SIZ109" s="139"/>
      <c r="SJA109" s="139"/>
      <c r="SJB109" s="139"/>
      <c r="SJC109" s="139"/>
      <c r="SJD109" s="139"/>
      <c r="SJE109" s="139"/>
      <c r="SJF109" s="139"/>
      <c r="SJG109" s="139"/>
      <c r="SJH109" s="139"/>
      <c r="SJI109" s="139"/>
      <c r="SJJ109" s="139"/>
      <c r="SJK109" s="139"/>
      <c r="SJL109" s="139"/>
      <c r="SJM109" s="139"/>
      <c r="SJN109" s="139"/>
      <c r="SJO109" s="139"/>
      <c r="SJP109" s="139"/>
      <c r="SJQ109" s="139"/>
      <c r="SJR109" s="139"/>
      <c r="SJS109" s="139"/>
      <c r="SJT109" s="139"/>
      <c r="SJU109" s="139"/>
      <c r="SJV109" s="139"/>
      <c r="SJW109" s="139"/>
      <c r="SJX109" s="139"/>
      <c r="SJY109" s="139"/>
      <c r="SJZ109" s="139"/>
      <c r="SKA109" s="139"/>
      <c r="SKB109" s="139"/>
      <c r="SKC109" s="139"/>
      <c r="SKD109" s="139"/>
      <c r="SKE109" s="139"/>
      <c r="SKF109" s="139"/>
      <c r="SKG109" s="139"/>
      <c r="SKH109" s="139"/>
      <c r="SKI109" s="139"/>
      <c r="SKJ109" s="139"/>
      <c r="SKK109" s="139"/>
      <c r="SKL109" s="139"/>
      <c r="SKM109" s="139"/>
      <c r="SKN109" s="139"/>
      <c r="SKO109" s="139"/>
      <c r="SKP109" s="139"/>
      <c r="SKQ109" s="139"/>
      <c r="SKR109" s="139"/>
      <c r="SKS109" s="139"/>
      <c r="SKT109" s="139"/>
      <c r="SKU109" s="139"/>
      <c r="SKV109" s="139"/>
      <c r="SKW109" s="139"/>
      <c r="SKX109" s="139"/>
      <c r="SKY109" s="139"/>
      <c r="SKZ109" s="139"/>
      <c r="SLA109" s="139"/>
      <c r="SLB109" s="139"/>
      <c r="SLC109" s="139"/>
      <c r="SLD109" s="139"/>
      <c r="SLE109" s="139"/>
      <c r="SLF109" s="139"/>
      <c r="SLG109" s="139"/>
      <c r="SLH109" s="139"/>
      <c r="SLI109" s="139"/>
      <c r="SLJ109" s="139"/>
      <c r="SLK109" s="139"/>
      <c r="SLL109" s="139"/>
      <c r="SLM109" s="139"/>
      <c r="SLN109" s="139"/>
      <c r="SLO109" s="139"/>
      <c r="SLP109" s="139"/>
      <c r="SLQ109" s="139"/>
      <c r="SLR109" s="139"/>
      <c r="SLS109" s="139"/>
      <c r="SLT109" s="139"/>
      <c r="SLU109" s="139"/>
      <c r="SLV109" s="139"/>
      <c r="SLW109" s="139"/>
      <c r="SLX109" s="139"/>
      <c r="SLY109" s="139"/>
      <c r="SLZ109" s="139"/>
      <c r="SMA109" s="139"/>
      <c r="SMB109" s="139"/>
      <c r="SMC109" s="139"/>
      <c r="SMD109" s="139"/>
      <c r="SME109" s="139"/>
      <c r="SMF109" s="139"/>
      <c r="SMG109" s="139"/>
      <c r="SMH109" s="139"/>
      <c r="SMI109" s="139"/>
      <c r="SMJ109" s="139"/>
      <c r="SMK109" s="139"/>
      <c r="SML109" s="139"/>
      <c r="SMM109" s="139"/>
      <c r="SMN109" s="139"/>
      <c r="SMO109" s="139"/>
      <c r="SMP109" s="139"/>
      <c r="SMQ109" s="139"/>
      <c r="SMR109" s="139"/>
      <c r="SMS109" s="139"/>
      <c r="SMT109" s="139"/>
      <c r="SMU109" s="139"/>
      <c r="SMV109" s="139"/>
      <c r="SMW109" s="139"/>
      <c r="SMX109" s="139"/>
      <c r="SMY109" s="139"/>
      <c r="SMZ109" s="139"/>
      <c r="SNA109" s="139"/>
      <c r="SNB109" s="139"/>
      <c r="SNC109" s="139"/>
      <c r="SND109" s="139"/>
      <c r="SNE109" s="139"/>
      <c r="SNF109" s="139"/>
      <c r="SNG109" s="139"/>
      <c r="SNH109" s="139"/>
      <c r="SNI109" s="139"/>
      <c r="SNJ109" s="139"/>
      <c r="SNK109" s="139"/>
      <c r="SNL109" s="139"/>
      <c r="SNM109" s="139"/>
      <c r="SNN109" s="139"/>
      <c r="SNO109" s="139"/>
      <c r="SNP109" s="139"/>
      <c r="SNQ109" s="139"/>
      <c r="SNR109" s="139"/>
      <c r="SNS109" s="139"/>
      <c r="SNT109" s="139"/>
      <c r="SNU109" s="139"/>
      <c r="SNV109" s="139"/>
      <c r="SNW109" s="139"/>
      <c r="SNX109" s="139"/>
      <c r="SNY109" s="139"/>
      <c r="SNZ109" s="139"/>
      <c r="SOA109" s="139"/>
      <c r="SOB109" s="139"/>
      <c r="SOC109" s="139"/>
      <c r="SOD109" s="139"/>
      <c r="SOE109" s="139"/>
      <c r="SOF109" s="139"/>
      <c r="SOG109" s="139"/>
      <c r="SOH109" s="139"/>
      <c r="SOI109" s="139"/>
      <c r="SOJ109" s="139"/>
      <c r="SOK109" s="139"/>
      <c r="SOL109" s="139"/>
      <c r="SOM109" s="139"/>
      <c r="SON109" s="139"/>
      <c r="SOO109" s="139"/>
      <c r="SOP109" s="139"/>
      <c r="SOQ109" s="139"/>
      <c r="SOR109" s="139"/>
      <c r="SOS109" s="139"/>
      <c r="SOT109" s="139"/>
      <c r="SOU109" s="139"/>
      <c r="SOV109" s="139"/>
      <c r="SOW109" s="139"/>
      <c r="SOX109" s="139"/>
      <c r="SOY109" s="139"/>
      <c r="SOZ109" s="139"/>
      <c r="SPA109" s="139"/>
      <c r="SPB109" s="139"/>
      <c r="SPC109" s="139"/>
      <c r="SPD109" s="139"/>
      <c r="SPE109" s="139"/>
      <c r="SPF109" s="139"/>
      <c r="SPG109" s="139"/>
      <c r="SPH109" s="139"/>
      <c r="SPI109" s="139"/>
      <c r="SPJ109" s="139"/>
      <c r="SPK109" s="139"/>
      <c r="SPL109" s="139"/>
      <c r="SPM109" s="139"/>
      <c r="SPN109" s="139"/>
      <c r="SPO109" s="139"/>
      <c r="SPP109" s="139"/>
      <c r="SPQ109" s="139"/>
      <c r="SPR109" s="139"/>
      <c r="SPS109" s="139"/>
      <c r="SPT109" s="139"/>
      <c r="SPU109" s="139"/>
      <c r="SPV109" s="139"/>
      <c r="SPW109" s="139"/>
      <c r="SPX109" s="139"/>
      <c r="SPY109" s="139"/>
      <c r="SPZ109" s="139"/>
      <c r="SQA109" s="139"/>
      <c r="SQB109" s="139"/>
      <c r="SQC109" s="139"/>
      <c r="SQD109" s="139"/>
      <c r="SQE109" s="139"/>
      <c r="SQF109" s="139"/>
      <c r="SQG109" s="139"/>
      <c r="SQH109" s="139"/>
      <c r="SQI109" s="139"/>
      <c r="SQJ109" s="139"/>
      <c r="SQK109" s="139"/>
      <c r="SQL109" s="139"/>
      <c r="SQM109" s="139"/>
      <c r="SQN109" s="139"/>
      <c r="SQO109" s="139"/>
      <c r="SQP109" s="139"/>
      <c r="SQQ109" s="139"/>
      <c r="SQR109" s="139"/>
      <c r="SQS109" s="139"/>
      <c r="SQT109" s="139"/>
      <c r="SQU109" s="139"/>
      <c r="SQV109" s="139"/>
      <c r="SQW109" s="139"/>
      <c r="SQX109" s="139"/>
      <c r="SQY109" s="139"/>
      <c r="SQZ109" s="139"/>
      <c r="SRA109" s="139"/>
      <c r="SRB109" s="139"/>
      <c r="SRC109" s="139"/>
      <c r="SRD109" s="139"/>
      <c r="SRE109" s="139"/>
      <c r="SRF109" s="139"/>
      <c r="SRG109" s="139"/>
      <c r="SRH109" s="139"/>
      <c r="SRI109" s="139"/>
      <c r="SRJ109" s="139"/>
      <c r="SRK109" s="139"/>
      <c r="SRL109" s="139"/>
      <c r="SRM109" s="139"/>
      <c r="SRN109" s="139"/>
      <c r="SRO109" s="139"/>
      <c r="SRP109" s="139"/>
      <c r="SRQ109" s="139"/>
      <c r="SRR109" s="139"/>
      <c r="SRS109" s="139"/>
      <c r="SRT109" s="139"/>
      <c r="SRU109" s="139"/>
      <c r="SRV109" s="139"/>
      <c r="SRW109" s="139"/>
      <c r="SRX109" s="139"/>
      <c r="SRY109" s="139"/>
      <c r="SRZ109" s="139"/>
      <c r="SSA109" s="139"/>
      <c r="SSB109" s="139"/>
      <c r="SSC109" s="139"/>
      <c r="SSD109" s="139"/>
      <c r="SSE109" s="139"/>
      <c r="SSF109" s="139"/>
      <c r="SSG109" s="139"/>
      <c r="SSH109" s="139"/>
      <c r="SSI109" s="139"/>
      <c r="SSJ109" s="139"/>
      <c r="SSK109" s="139"/>
      <c r="SSL109" s="139"/>
      <c r="SSM109" s="139"/>
      <c r="SSN109" s="139"/>
      <c r="SSO109" s="139"/>
      <c r="SSP109" s="139"/>
      <c r="SSQ109" s="139"/>
      <c r="SSR109" s="139"/>
      <c r="SSS109" s="139"/>
      <c r="SST109" s="139"/>
      <c r="SSU109" s="139"/>
      <c r="SSV109" s="139"/>
      <c r="SSW109" s="139"/>
      <c r="SSX109" s="139"/>
      <c r="SSY109" s="139"/>
      <c r="SSZ109" s="139"/>
      <c r="STA109" s="139"/>
      <c r="STB109" s="139"/>
      <c r="STC109" s="139"/>
      <c r="STD109" s="139"/>
      <c r="STE109" s="139"/>
      <c r="STF109" s="139"/>
      <c r="STG109" s="139"/>
      <c r="STH109" s="139"/>
      <c r="STI109" s="139"/>
      <c r="STJ109" s="139"/>
      <c r="STK109" s="139"/>
      <c r="STL109" s="139"/>
      <c r="STM109" s="139"/>
      <c r="STN109" s="139"/>
      <c r="STO109" s="139"/>
      <c r="STP109" s="139"/>
      <c r="STQ109" s="139"/>
      <c r="STR109" s="139"/>
      <c r="STS109" s="139"/>
      <c r="STT109" s="139"/>
      <c r="STU109" s="139"/>
      <c r="STV109" s="139"/>
      <c r="STW109" s="139"/>
      <c r="STX109" s="139"/>
      <c r="STY109" s="139"/>
      <c r="STZ109" s="139"/>
      <c r="SUA109" s="139"/>
      <c r="SUB109" s="139"/>
      <c r="SUC109" s="139"/>
      <c r="SUD109" s="139"/>
      <c r="SUE109" s="139"/>
      <c r="SUF109" s="139"/>
      <c r="SUG109" s="139"/>
      <c r="SUH109" s="139"/>
      <c r="SUI109" s="139"/>
      <c r="SUJ109" s="139"/>
      <c r="SUK109" s="139"/>
      <c r="SUL109" s="139"/>
      <c r="SUM109" s="139"/>
      <c r="SUN109" s="139"/>
      <c r="SUO109" s="139"/>
      <c r="SUP109" s="139"/>
      <c r="SUQ109" s="139"/>
      <c r="SUR109" s="139"/>
      <c r="SUS109" s="139"/>
      <c r="SUT109" s="139"/>
      <c r="SUU109" s="139"/>
      <c r="SUV109" s="139"/>
      <c r="SUW109" s="139"/>
      <c r="SUX109" s="139"/>
      <c r="SUY109" s="139"/>
      <c r="SUZ109" s="139"/>
      <c r="SVA109" s="139"/>
      <c r="SVB109" s="139"/>
      <c r="SVC109" s="139"/>
      <c r="SVD109" s="139"/>
      <c r="SVE109" s="139"/>
      <c r="SVF109" s="139"/>
      <c r="SVG109" s="139"/>
      <c r="SVH109" s="139"/>
      <c r="SVI109" s="139"/>
      <c r="SVJ109" s="139"/>
      <c r="SVK109" s="139"/>
      <c r="SVL109" s="139"/>
      <c r="SVM109" s="139"/>
      <c r="SVN109" s="139"/>
      <c r="SVO109" s="139"/>
      <c r="SVP109" s="139"/>
      <c r="SVQ109" s="139"/>
      <c r="SVR109" s="139"/>
      <c r="SVS109" s="139"/>
      <c r="SVT109" s="139"/>
      <c r="SVU109" s="139"/>
      <c r="SVV109" s="139"/>
      <c r="SVW109" s="139"/>
      <c r="SVX109" s="139"/>
      <c r="SVY109" s="139"/>
      <c r="SVZ109" s="139"/>
      <c r="SWA109" s="139"/>
      <c r="SWB109" s="139"/>
      <c r="SWC109" s="139"/>
      <c r="SWD109" s="139"/>
      <c r="SWE109" s="139"/>
      <c r="SWF109" s="139"/>
      <c r="SWG109" s="139"/>
      <c r="SWH109" s="139"/>
      <c r="SWI109" s="139"/>
      <c r="SWJ109" s="139"/>
      <c r="SWK109" s="139"/>
      <c r="SWL109" s="139"/>
      <c r="SWM109" s="139"/>
      <c r="SWN109" s="139"/>
      <c r="SWO109" s="139"/>
      <c r="SWP109" s="139"/>
      <c r="SWQ109" s="139"/>
      <c r="SWR109" s="139"/>
      <c r="SWS109" s="139"/>
      <c r="SWT109" s="139"/>
      <c r="SWU109" s="139"/>
      <c r="SWV109" s="139"/>
      <c r="SWW109" s="139"/>
      <c r="SWX109" s="139"/>
      <c r="SWY109" s="139"/>
      <c r="SWZ109" s="139"/>
      <c r="SXA109" s="139"/>
      <c r="SXB109" s="139"/>
      <c r="SXC109" s="139"/>
      <c r="SXD109" s="139"/>
      <c r="SXE109" s="139"/>
      <c r="SXF109" s="139"/>
      <c r="SXG109" s="139"/>
      <c r="SXH109" s="139"/>
      <c r="SXI109" s="139"/>
      <c r="SXJ109" s="139"/>
      <c r="SXK109" s="139"/>
      <c r="SXL109" s="139"/>
      <c r="SXM109" s="139"/>
      <c r="SXN109" s="139"/>
      <c r="SXO109" s="139"/>
      <c r="SXP109" s="139"/>
      <c r="SXQ109" s="139"/>
      <c r="SXR109" s="139"/>
      <c r="SXS109" s="139"/>
      <c r="SXT109" s="139"/>
      <c r="SXU109" s="139"/>
      <c r="SXV109" s="139"/>
      <c r="SXW109" s="139"/>
      <c r="SXX109" s="139"/>
      <c r="SXY109" s="139"/>
      <c r="SXZ109" s="139"/>
      <c r="SYA109" s="139"/>
      <c r="SYB109" s="139"/>
      <c r="SYC109" s="139"/>
      <c r="SYD109" s="139"/>
      <c r="SYE109" s="139"/>
      <c r="SYF109" s="139"/>
      <c r="SYG109" s="139"/>
      <c r="SYH109" s="139"/>
      <c r="SYI109" s="139"/>
      <c r="SYJ109" s="139"/>
      <c r="SYK109" s="139"/>
      <c r="SYL109" s="139"/>
      <c r="SYM109" s="139"/>
      <c r="SYN109" s="139"/>
      <c r="SYO109" s="139"/>
      <c r="SYP109" s="139"/>
      <c r="SYQ109" s="139"/>
      <c r="SYR109" s="139"/>
      <c r="SYS109" s="139"/>
      <c r="SYT109" s="139"/>
      <c r="SYU109" s="139"/>
      <c r="SYV109" s="139"/>
      <c r="SYW109" s="139"/>
      <c r="SYX109" s="139"/>
      <c r="SYY109" s="139"/>
      <c r="SYZ109" s="139"/>
      <c r="SZA109" s="139"/>
      <c r="SZB109" s="139"/>
      <c r="SZC109" s="139"/>
      <c r="SZD109" s="139"/>
      <c r="SZE109" s="139"/>
      <c r="SZF109" s="139"/>
      <c r="SZG109" s="139"/>
      <c r="SZH109" s="139"/>
      <c r="SZI109" s="139"/>
      <c r="SZJ109" s="139"/>
      <c r="SZK109" s="139"/>
      <c r="SZL109" s="139"/>
      <c r="SZM109" s="139"/>
      <c r="SZN109" s="139"/>
      <c r="SZO109" s="139"/>
      <c r="SZP109" s="139"/>
      <c r="SZQ109" s="139"/>
      <c r="SZR109" s="139"/>
      <c r="SZS109" s="139"/>
      <c r="SZT109" s="139"/>
      <c r="SZU109" s="139"/>
      <c r="SZV109" s="139"/>
      <c r="SZW109" s="139"/>
      <c r="SZX109" s="139"/>
      <c r="SZY109" s="139"/>
      <c r="SZZ109" s="139"/>
      <c r="TAA109" s="139"/>
      <c r="TAB109" s="139"/>
      <c r="TAC109" s="139"/>
      <c r="TAD109" s="139"/>
      <c r="TAE109" s="139"/>
      <c r="TAF109" s="139"/>
      <c r="TAG109" s="139"/>
      <c r="TAH109" s="139"/>
      <c r="TAI109" s="139"/>
      <c r="TAJ109" s="139"/>
      <c r="TAK109" s="139"/>
      <c r="TAL109" s="139"/>
      <c r="TAM109" s="139"/>
      <c r="TAN109" s="139"/>
      <c r="TAO109" s="139"/>
      <c r="TAP109" s="139"/>
      <c r="TAQ109" s="139"/>
      <c r="TAR109" s="139"/>
      <c r="TAS109" s="139"/>
      <c r="TAT109" s="139"/>
      <c r="TAU109" s="139"/>
      <c r="TAV109" s="139"/>
      <c r="TAW109" s="139"/>
      <c r="TAX109" s="139"/>
      <c r="TAY109" s="139"/>
      <c r="TAZ109" s="139"/>
      <c r="TBA109" s="139"/>
      <c r="TBB109" s="139"/>
      <c r="TBC109" s="139"/>
      <c r="TBD109" s="139"/>
      <c r="TBE109" s="139"/>
      <c r="TBF109" s="139"/>
      <c r="TBG109" s="139"/>
      <c r="TBH109" s="139"/>
      <c r="TBI109" s="139"/>
      <c r="TBJ109" s="139"/>
      <c r="TBK109" s="139"/>
      <c r="TBL109" s="139"/>
      <c r="TBM109" s="139"/>
      <c r="TBN109" s="139"/>
      <c r="TBO109" s="139"/>
      <c r="TBP109" s="139"/>
      <c r="TBQ109" s="139"/>
      <c r="TBR109" s="139"/>
      <c r="TBS109" s="139"/>
      <c r="TBT109" s="139"/>
      <c r="TBU109" s="139"/>
      <c r="TBV109" s="139"/>
      <c r="TBW109" s="139"/>
      <c r="TBX109" s="139"/>
      <c r="TBY109" s="139"/>
      <c r="TBZ109" s="139"/>
      <c r="TCA109" s="139"/>
      <c r="TCB109" s="139"/>
      <c r="TCC109" s="139"/>
      <c r="TCD109" s="139"/>
      <c r="TCE109" s="139"/>
      <c r="TCF109" s="139"/>
      <c r="TCG109" s="139"/>
      <c r="TCH109" s="139"/>
      <c r="TCI109" s="139"/>
      <c r="TCJ109" s="139"/>
      <c r="TCK109" s="139"/>
      <c r="TCL109" s="139"/>
      <c r="TCM109" s="139"/>
      <c r="TCN109" s="139"/>
      <c r="TCO109" s="139"/>
      <c r="TCP109" s="139"/>
      <c r="TCQ109" s="139"/>
      <c r="TCR109" s="139"/>
      <c r="TCS109" s="139"/>
      <c r="TCT109" s="139"/>
      <c r="TCU109" s="139"/>
      <c r="TCV109" s="139"/>
      <c r="TCW109" s="139"/>
      <c r="TCX109" s="139"/>
      <c r="TCY109" s="139"/>
      <c r="TCZ109" s="139"/>
      <c r="TDA109" s="139"/>
      <c r="TDB109" s="139"/>
      <c r="TDC109" s="139"/>
      <c r="TDD109" s="139"/>
      <c r="TDE109" s="139"/>
      <c r="TDF109" s="139"/>
      <c r="TDG109" s="139"/>
      <c r="TDH109" s="139"/>
      <c r="TDI109" s="139"/>
      <c r="TDJ109" s="139"/>
      <c r="TDK109" s="139"/>
      <c r="TDL109" s="139"/>
      <c r="TDM109" s="139"/>
      <c r="TDN109" s="139"/>
      <c r="TDO109" s="139"/>
      <c r="TDP109" s="139"/>
      <c r="TDQ109" s="139"/>
      <c r="TDR109" s="139"/>
      <c r="TDS109" s="139"/>
      <c r="TDT109" s="139"/>
      <c r="TDU109" s="139"/>
      <c r="TDV109" s="139"/>
      <c r="TDW109" s="139"/>
      <c r="TDX109" s="139"/>
      <c r="TDY109" s="139"/>
      <c r="TDZ109" s="139"/>
      <c r="TEA109" s="139"/>
      <c r="TEB109" s="139"/>
      <c r="TEC109" s="139"/>
      <c r="TED109" s="139"/>
      <c r="TEE109" s="139"/>
      <c r="TEF109" s="139"/>
      <c r="TEG109" s="139"/>
      <c r="TEH109" s="139"/>
      <c r="TEI109" s="139"/>
      <c r="TEJ109" s="139"/>
      <c r="TEK109" s="139"/>
      <c r="TEL109" s="139"/>
      <c r="TEM109" s="139"/>
      <c r="TEN109" s="139"/>
      <c r="TEO109" s="139"/>
      <c r="TEP109" s="139"/>
      <c r="TEQ109" s="139"/>
      <c r="TER109" s="139"/>
      <c r="TES109" s="139"/>
      <c r="TET109" s="139"/>
      <c r="TEU109" s="139"/>
      <c r="TEV109" s="139"/>
      <c r="TEW109" s="139"/>
      <c r="TEX109" s="139"/>
      <c r="TEY109" s="139"/>
      <c r="TEZ109" s="139"/>
      <c r="TFA109" s="139"/>
      <c r="TFB109" s="139"/>
      <c r="TFC109" s="139"/>
      <c r="TFD109" s="139"/>
      <c r="TFE109" s="139"/>
      <c r="TFF109" s="139"/>
      <c r="TFG109" s="139"/>
      <c r="TFH109" s="139"/>
      <c r="TFI109" s="139"/>
      <c r="TFJ109" s="139"/>
      <c r="TFK109" s="139"/>
      <c r="TFL109" s="139"/>
      <c r="TFM109" s="139"/>
      <c r="TFN109" s="139"/>
      <c r="TFO109" s="139"/>
      <c r="TFP109" s="139"/>
      <c r="TFQ109" s="139"/>
      <c r="TFR109" s="139"/>
      <c r="TFS109" s="139"/>
      <c r="TFT109" s="139"/>
      <c r="TFU109" s="139"/>
      <c r="TFV109" s="139"/>
      <c r="TFW109" s="139"/>
      <c r="TFX109" s="139"/>
      <c r="TFY109" s="139"/>
      <c r="TFZ109" s="139"/>
      <c r="TGA109" s="139"/>
      <c r="TGB109" s="139"/>
      <c r="TGC109" s="139"/>
      <c r="TGD109" s="139"/>
      <c r="TGE109" s="139"/>
      <c r="TGF109" s="139"/>
      <c r="TGG109" s="139"/>
      <c r="TGH109" s="139"/>
      <c r="TGI109" s="139"/>
      <c r="TGJ109" s="139"/>
      <c r="TGK109" s="139"/>
      <c r="TGL109" s="139"/>
      <c r="TGM109" s="139"/>
      <c r="TGN109" s="139"/>
      <c r="TGO109" s="139"/>
      <c r="TGP109" s="139"/>
      <c r="TGQ109" s="139"/>
      <c r="TGR109" s="139"/>
      <c r="TGS109" s="139"/>
      <c r="TGT109" s="139"/>
      <c r="TGU109" s="139"/>
      <c r="TGV109" s="139"/>
      <c r="TGW109" s="139"/>
      <c r="TGX109" s="139"/>
      <c r="TGY109" s="139"/>
      <c r="TGZ109" s="139"/>
      <c r="THA109" s="139"/>
      <c r="THB109" s="139"/>
      <c r="THC109" s="139"/>
      <c r="THD109" s="139"/>
      <c r="THE109" s="139"/>
      <c r="THF109" s="139"/>
      <c r="THG109" s="139"/>
      <c r="THH109" s="139"/>
      <c r="THI109" s="139"/>
      <c r="THJ109" s="139"/>
      <c r="THK109" s="139"/>
      <c r="THL109" s="139"/>
      <c r="THM109" s="139"/>
      <c r="THN109" s="139"/>
      <c r="THO109" s="139"/>
      <c r="THP109" s="139"/>
      <c r="THQ109" s="139"/>
      <c r="THR109" s="139"/>
      <c r="THS109" s="139"/>
      <c r="THT109" s="139"/>
      <c r="THU109" s="139"/>
      <c r="THV109" s="139"/>
      <c r="THW109" s="139"/>
      <c r="THX109" s="139"/>
      <c r="THY109" s="139"/>
      <c r="THZ109" s="139"/>
      <c r="TIA109" s="139"/>
      <c r="TIB109" s="139"/>
      <c r="TIC109" s="139"/>
      <c r="TID109" s="139"/>
      <c r="TIE109" s="139"/>
      <c r="TIF109" s="139"/>
      <c r="TIG109" s="139"/>
      <c r="TIH109" s="139"/>
      <c r="TII109" s="139"/>
      <c r="TIJ109" s="139"/>
      <c r="TIK109" s="139"/>
      <c r="TIL109" s="139"/>
      <c r="TIM109" s="139"/>
      <c r="TIN109" s="139"/>
      <c r="TIO109" s="139"/>
      <c r="TIP109" s="139"/>
      <c r="TIQ109" s="139"/>
      <c r="TIR109" s="139"/>
      <c r="TIS109" s="139"/>
      <c r="TIT109" s="139"/>
      <c r="TIU109" s="139"/>
      <c r="TIV109" s="139"/>
      <c r="TIW109" s="139"/>
      <c r="TIX109" s="139"/>
      <c r="TIY109" s="139"/>
      <c r="TIZ109" s="139"/>
      <c r="TJA109" s="139"/>
      <c r="TJB109" s="139"/>
      <c r="TJC109" s="139"/>
      <c r="TJD109" s="139"/>
      <c r="TJE109" s="139"/>
      <c r="TJF109" s="139"/>
      <c r="TJG109" s="139"/>
      <c r="TJH109" s="139"/>
      <c r="TJI109" s="139"/>
      <c r="TJJ109" s="139"/>
      <c r="TJK109" s="139"/>
      <c r="TJL109" s="139"/>
      <c r="TJM109" s="139"/>
      <c r="TJN109" s="139"/>
      <c r="TJO109" s="139"/>
      <c r="TJP109" s="139"/>
      <c r="TJQ109" s="139"/>
      <c r="TJR109" s="139"/>
      <c r="TJS109" s="139"/>
      <c r="TJT109" s="139"/>
      <c r="TJU109" s="139"/>
      <c r="TJV109" s="139"/>
      <c r="TJW109" s="139"/>
      <c r="TJX109" s="139"/>
      <c r="TJY109" s="139"/>
      <c r="TJZ109" s="139"/>
      <c r="TKA109" s="139"/>
      <c r="TKB109" s="139"/>
      <c r="TKC109" s="139"/>
      <c r="TKD109" s="139"/>
      <c r="TKE109" s="139"/>
      <c r="TKF109" s="139"/>
      <c r="TKG109" s="139"/>
      <c r="TKH109" s="139"/>
      <c r="TKI109" s="139"/>
      <c r="TKJ109" s="139"/>
      <c r="TKK109" s="139"/>
      <c r="TKL109" s="139"/>
      <c r="TKM109" s="139"/>
      <c r="TKN109" s="139"/>
      <c r="TKO109" s="139"/>
      <c r="TKP109" s="139"/>
      <c r="TKQ109" s="139"/>
      <c r="TKR109" s="139"/>
      <c r="TKS109" s="139"/>
      <c r="TKT109" s="139"/>
      <c r="TKU109" s="139"/>
      <c r="TKV109" s="139"/>
      <c r="TKW109" s="139"/>
      <c r="TKX109" s="139"/>
      <c r="TKY109" s="139"/>
      <c r="TKZ109" s="139"/>
      <c r="TLA109" s="139"/>
      <c r="TLB109" s="139"/>
      <c r="TLC109" s="139"/>
      <c r="TLD109" s="139"/>
      <c r="TLE109" s="139"/>
      <c r="TLF109" s="139"/>
      <c r="TLG109" s="139"/>
      <c r="TLH109" s="139"/>
      <c r="TLI109" s="139"/>
      <c r="TLJ109" s="139"/>
      <c r="TLK109" s="139"/>
      <c r="TLL109" s="139"/>
      <c r="TLM109" s="139"/>
      <c r="TLN109" s="139"/>
      <c r="TLO109" s="139"/>
      <c r="TLP109" s="139"/>
      <c r="TLQ109" s="139"/>
      <c r="TLR109" s="139"/>
      <c r="TLS109" s="139"/>
      <c r="TLT109" s="139"/>
      <c r="TLU109" s="139"/>
      <c r="TLV109" s="139"/>
      <c r="TLW109" s="139"/>
      <c r="TLX109" s="139"/>
      <c r="TLY109" s="139"/>
      <c r="TLZ109" s="139"/>
      <c r="TMA109" s="139"/>
      <c r="TMB109" s="139"/>
      <c r="TMC109" s="139"/>
      <c r="TMD109" s="139"/>
      <c r="TME109" s="139"/>
      <c r="TMF109" s="139"/>
      <c r="TMG109" s="139"/>
      <c r="TMH109" s="139"/>
      <c r="TMI109" s="139"/>
      <c r="TMJ109" s="139"/>
      <c r="TMK109" s="139"/>
      <c r="TML109" s="139"/>
      <c r="TMM109" s="139"/>
      <c r="TMN109" s="139"/>
      <c r="TMO109" s="139"/>
      <c r="TMP109" s="139"/>
      <c r="TMQ109" s="139"/>
      <c r="TMR109" s="139"/>
      <c r="TMS109" s="139"/>
      <c r="TMT109" s="139"/>
      <c r="TMU109" s="139"/>
      <c r="TMV109" s="139"/>
      <c r="TMW109" s="139"/>
      <c r="TMX109" s="139"/>
      <c r="TMY109" s="139"/>
      <c r="TMZ109" s="139"/>
      <c r="TNA109" s="139"/>
      <c r="TNB109" s="139"/>
      <c r="TNC109" s="139"/>
      <c r="TND109" s="139"/>
      <c r="TNE109" s="139"/>
      <c r="TNF109" s="139"/>
      <c r="TNG109" s="139"/>
      <c r="TNH109" s="139"/>
      <c r="TNI109" s="139"/>
      <c r="TNJ109" s="139"/>
      <c r="TNK109" s="139"/>
      <c r="TNL109" s="139"/>
      <c r="TNM109" s="139"/>
      <c r="TNN109" s="139"/>
      <c r="TNO109" s="139"/>
      <c r="TNP109" s="139"/>
      <c r="TNQ109" s="139"/>
      <c r="TNR109" s="139"/>
      <c r="TNS109" s="139"/>
      <c r="TNT109" s="139"/>
      <c r="TNU109" s="139"/>
      <c r="TNV109" s="139"/>
      <c r="TNW109" s="139"/>
      <c r="TNX109" s="139"/>
      <c r="TNY109" s="139"/>
      <c r="TNZ109" s="139"/>
      <c r="TOA109" s="139"/>
      <c r="TOB109" s="139"/>
      <c r="TOC109" s="139"/>
      <c r="TOD109" s="139"/>
      <c r="TOE109" s="139"/>
      <c r="TOF109" s="139"/>
      <c r="TOG109" s="139"/>
      <c r="TOH109" s="139"/>
      <c r="TOI109" s="139"/>
      <c r="TOJ109" s="139"/>
      <c r="TOK109" s="139"/>
      <c r="TOL109" s="139"/>
      <c r="TOM109" s="139"/>
      <c r="TON109" s="139"/>
      <c r="TOO109" s="139"/>
      <c r="TOP109" s="139"/>
      <c r="TOQ109" s="139"/>
      <c r="TOR109" s="139"/>
      <c r="TOS109" s="139"/>
      <c r="TOT109" s="139"/>
      <c r="TOU109" s="139"/>
      <c r="TOV109" s="139"/>
      <c r="TOW109" s="139"/>
      <c r="TOX109" s="139"/>
      <c r="TOY109" s="139"/>
      <c r="TOZ109" s="139"/>
      <c r="TPA109" s="139"/>
      <c r="TPB109" s="139"/>
      <c r="TPC109" s="139"/>
      <c r="TPD109" s="139"/>
      <c r="TPE109" s="139"/>
      <c r="TPF109" s="139"/>
      <c r="TPG109" s="139"/>
      <c r="TPH109" s="139"/>
      <c r="TPI109" s="139"/>
      <c r="TPJ109" s="139"/>
      <c r="TPK109" s="139"/>
      <c r="TPL109" s="139"/>
      <c r="TPM109" s="139"/>
      <c r="TPN109" s="139"/>
      <c r="TPO109" s="139"/>
      <c r="TPP109" s="139"/>
      <c r="TPQ109" s="139"/>
      <c r="TPR109" s="139"/>
      <c r="TPS109" s="139"/>
      <c r="TPT109" s="139"/>
      <c r="TPU109" s="139"/>
      <c r="TPV109" s="139"/>
      <c r="TPW109" s="139"/>
      <c r="TPX109" s="139"/>
      <c r="TPY109" s="139"/>
      <c r="TPZ109" s="139"/>
      <c r="TQA109" s="139"/>
      <c r="TQB109" s="139"/>
      <c r="TQC109" s="139"/>
      <c r="TQD109" s="139"/>
      <c r="TQE109" s="139"/>
      <c r="TQF109" s="139"/>
      <c r="TQG109" s="139"/>
      <c r="TQH109" s="139"/>
      <c r="TQI109" s="139"/>
      <c r="TQJ109" s="139"/>
      <c r="TQK109" s="139"/>
      <c r="TQL109" s="139"/>
      <c r="TQM109" s="139"/>
      <c r="TQN109" s="139"/>
      <c r="TQO109" s="139"/>
      <c r="TQP109" s="139"/>
      <c r="TQQ109" s="139"/>
      <c r="TQR109" s="139"/>
      <c r="TQS109" s="139"/>
      <c r="TQT109" s="139"/>
      <c r="TQU109" s="139"/>
      <c r="TQV109" s="139"/>
      <c r="TQW109" s="139"/>
      <c r="TQX109" s="139"/>
      <c r="TQY109" s="139"/>
      <c r="TQZ109" s="139"/>
      <c r="TRA109" s="139"/>
      <c r="TRB109" s="139"/>
      <c r="TRC109" s="139"/>
      <c r="TRD109" s="139"/>
      <c r="TRE109" s="139"/>
      <c r="TRF109" s="139"/>
      <c r="TRG109" s="139"/>
      <c r="TRH109" s="139"/>
      <c r="TRI109" s="139"/>
      <c r="TRJ109" s="139"/>
      <c r="TRK109" s="139"/>
      <c r="TRL109" s="139"/>
      <c r="TRM109" s="139"/>
      <c r="TRN109" s="139"/>
      <c r="TRO109" s="139"/>
      <c r="TRP109" s="139"/>
      <c r="TRQ109" s="139"/>
      <c r="TRR109" s="139"/>
      <c r="TRS109" s="139"/>
      <c r="TRT109" s="139"/>
      <c r="TRU109" s="139"/>
      <c r="TRV109" s="139"/>
      <c r="TRW109" s="139"/>
      <c r="TRX109" s="139"/>
      <c r="TRY109" s="139"/>
      <c r="TRZ109" s="139"/>
      <c r="TSA109" s="139"/>
      <c r="TSB109" s="139"/>
      <c r="TSC109" s="139"/>
      <c r="TSD109" s="139"/>
      <c r="TSE109" s="139"/>
      <c r="TSF109" s="139"/>
      <c r="TSG109" s="139"/>
      <c r="TSH109" s="139"/>
      <c r="TSI109" s="139"/>
      <c r="TSJ109" s="139"/>
      <c r="TSK109" s="139"/>
      <c r="TSL109" s="139"/>
      <c r="TSM109" s="139"/>
      <c r="TSN109" s="139"/>
      <c r="TSO109" s="139"/>
      <c r="TSP109" s="139"/>
      <c r="TSQ109" s="139"/>
      <c r="TSR109" s="139"/>
      <c r="TSS109" s="139"/>
      <c r="TST109" s="139"/>
      <c r="TSU109" s="139"/>
      <c r="TSV109" s="139"/>
      <c r="TSW109" s="139"/>
      <c r="TSX109" s="139"/>
      <c r="TSY109" s="139"/>
      <c r="TSZ109" s="139"/>
      <c r="TTA109" s="139"/>
      <c r="TTB109" s="139"/>
      <c r="TTC109" s="139"/>
      <c r="TTD109" s="139"/>
      <c r="TTE109" s="139"/>
      <c r="TTF109" s="139"/>
      <c r="TTG109" s="139"/>
      <c r="TTH109" s="139"/>
      <c r="TTI109" s="139"/>
      <c r="TTJ109" s="139"/>
      <c r="TTK109" s="139"/>
      <c r="TTL109" s="139"/>
      <c r="TTM109" s="139"/>
      <c r="TTN109" s="139"/>
      <c r="TTO109" s="139"/>
      <c r="TTP109" s="139"/>
      <c r="TTQ109" s="139"/>
      <c r="TTR109" s="139"/>
      <c r="TTS109" s="139"/>
      <c r="TTT109" s="139"/>
      <c r="TTU109" s="139"/>
      <c r="TTV109" s="139"/>
      <c r="TTW109" s="139"/>
      <c r="TTX109" s="139"/>
      <c r="TTY109" s="139"/>
      <c r="TTZ109" s="139"/>
      <c r="TUA109" s="139"/>
      <c r="TUB109" s="139"/>
      <c r="TUC109" s="139"/>
      <c r="TUD109" s="139"/>
      <c r="TUE109" s="139"/>
      <c r="TUF109" s="139"/>
      <c r="TUG109" s="139"/>
      <c r="TUH109" s="139"/>
      <c r="TUI109" s="139"/>
      <c r="TUJ109" s="139"/>
      <c r="TUK109" s="139"/>
      <c r="TUL109" s="139"/>
      <c r="TUM109" s="139"/>
      <c r="TUN109" s="139"/>
      <c r="TUO109" s="139"/>
      <c r="TUP109" s="139"/>
      <c r="TUQ109" s="139"/>
      <c r="TUR109" s="139"/>
      <c r="TUS109" s="139"/>
      <c r="TUT109" s="139"/>
      <c r="TUU109" s="139"/>
      <c r="TUV109" s="139"/>
      <c r="TUW109" s="139"/>
      <c r="TUX109" s="139"/>
      <c r="TUY109" s="139"/>
      <c r="TUZ109" s="139"/>
      <c r="TVA109" s="139"/>
      <c r="TVB109" s="139"/>
      <c r="TVC109" s="139"/>
      <c r="TVD109" s="139"/>
      <c r="TVE109" s="139"/>
      <c r="TVF109" s="139"/>
      <c r="TVG109" s="139"/>
      <c r="TVH109" s="139"/>
      <c r="TVI109" s="139"/>
      <c r="TVJ109" s="139"/>
      <c r="TVK109" s="139"/>
      <c r="TVL109" s="139"/>
      <c r="TVM109" s="139"/>
      <c r="TVN109" s="139"/>
      <c r="TVO109" s="139"/>
      <c r="TVP109" s="139"/>
      <c r="TVQ109" s="139"/>
      <c r="TVR109" s="139"/>
      <c r="TVS109" s="139"/>
      <c r="TVT109" s="139"/>
      <c r="TVU109" s="139"/>
      <c r="TVV109" s="139"/>
      <c r="TVW109" s="139"/>
      <c r="TVX109" s="139"/>
      <c r="TVY109" s="139"/>
      <c r="TVZ109" s="139"/>
      <c r="TWA109" s="139"/>
      <c r="TWB109" s="139"/>
      <c r="TWC109" s="139"/>
      <c r="TWD109" s="139"/>
      <c r="TWE109" s="139"/>
      <c r="TWF109" s="139"/>
      <c r="TWG109" s="139"/>
      <c r="TWH109" s="139"/>
      <c r="TWI109" s="139"/>
      <c r="TWJ109" s="139"/>
      <c r="TWK109" s="139"/>
      <c r="TWL109" s="139"/>
      <c r="TWM109" s="139"/>
      <c r="TWN109" s="139"/>
      <c r="TWO109" s="139"/>
      <c r="TWP109" s="139"/>
      <c r="TWQ109" s="139"/>
      <c r="TWR109" s="139"/>
      <c r="TWS109" s="139"/>
      <c r="TWT109" s="139"/>
      <c r="TWU109" s="139"/>
      <c r="TWV109" s="139"/>
      <c r="TWW109" s="139"/>
      <c r="TWX109" s="139"/>
      <c r="TWY109" s="139"/>
      <c r="TWZ109" s="139"/>
      <c r="TXA109" s="139"/>
      <c r="TXB109" s="139"/>
      <c r="TXC109" s="139"/>
      <c r="TXD109" s="139"/>
      <c r="TXE109" s="139"/>
      <c r="TXF109" s="139"/>
      <c r="TXG109" s="139"/>
      <c r="TXH109" s="139"/>
      <c r="TXI109" s="139"/>
      <c r="TXJ109" s="139"/>
      <c r="TXK109" s="139"/>
      <c r="TXL109" s="139"/>
      <c r="TXM109" s="139"/>
      <c r="TXN109" s="139"/>
      <c r="TXO109" s="139"/>
      <c r="TXP109" s="139"/>
      <c r="TXQ109" s="139"/>
      <c r="TXR109" s="139"/>
      <c r="TXS109" s="139"/>
      <c r="TXT109" s="139"/>
      <c r="TXU109" s="139"/>
      <c r="TXV109" s="139"/>
      <c r="TXW109" s="139"/>
      <c r="TXX109" s="139"/>
      <c r="TXY109" s="139"/>
      <c r="TXZ109" s="139"/>
      <c r="TYA109" s="139"/>
      <c r="TYB109" s="139"/>
      <c r="TYC109" s="139"/>
      <c r="TYD109" s="139"/>
      <c r="TYE109" s="139"/>
      <c r="TYF109" s="139"/>
      <c r="TYG109" s="139"/>
      <c r="TYH109" s="139"/>
      <c r="TYI109" s="139"/>
      <c r="TYJ109" s="139"/>
      <c r="TYK109" s="139"/>
      <c r="TYL109" s="139"/>
      <c r="TYM109" s="139"/>
      <c r="TYN109" s="139"/>
      <c r="TYO109" s="139"/>
      <c r="TYP109" s="139"/>
      <c r="TYQ109" s="139"/>
      <c r="TYR109" s="139"/>
      <c r="TYS109" s="139"/>
      <c r="TYT109" s="139"/>
      <c r="TYU109" s="139"/>
      <c r="TYV109" s="139"/>
      <c r="TYW109" s="139"/>
      <c r="TYX109" s="139"/>
      <c r="TYY109" s="139"/>
      <c r="TYZ109" s="139"/>
      <c r="TZA109" s="139"/>
      <c r="TZB109" s="139"/>
      <c r="TZC109" s="139"/>
      <c r="TZD109" s="139"/>
      <c r="TZE109" s="139"/>
      <c r="TZF109" s="139"/>
      <c r="TZG109" s="139"/>
      <c r="TZH109" s="139"/>
      <c r="TZI109" s="139"/>
      <c r="TZJ109" s="139"/>
      <c r="TZK109" s="139"/>
      <c r="TZL109" s="139"/>
      <c r="TZM109" s="139"/>
      <c r="TZN109" s="139"/>
      <c r="TZO109" s="139"/>
      <c r="TZP109" s="139"/>
      <c r="TZQ109" s="139"/>
      <c r="TZR109" s="139"/>
      <c r="TZS109" s="139"/>
      <c r="TZT109" s="139"/>
      <c r="TZU109" s="139"/>
      <c r="TZV109" s="139"/>
      <c r="TZW109" s="139"/>
      <c r="TZX109" s="139"/>
      <c r="TZY109" s="139"/>
      <c r="TZZ109" s="139"/>
      <c r="UAA109" s="139"/>
      <c r="UAB109" s="139"/>
      <c r="UAC109" s="139"/>
      <c r="UAD109" s="139"/>
      <c r="UAE109" s="139"/>
      <c r="UAF109" s="139"/>
      <c r="UAG109" s="139"/>
      <c r="UAH109" s="139"/>
      <c r="UAI109" s="139"/>
      <c r="UAJ109" s="139"/>
      <c r="UAK109" s="139"/>
      <c r="UAL109" s="139"/>
      <c r="UAM109" s="139"/>
      <c r="UAN109" s="139"/>
      <c r="UAO109" s="139"/>
      <c r="UAP109" s="139"/>
      <c r="UAQ109" s="139"/>
      <c r="UAR109" s="139"/>
      <c r="UAS109" s="139"/>
      <c r="UAT109" s="139"/>
      <c r="UAU109" s="139"/>
      <c r="UAV109" s="139"/>
      <c r="UAW109" s="139"/>
      <c r="UAX109" s="139"/>
      <c r="UAY109" s="139"/>
      <c r="UAZ109" s="139"/>
      <c r="UBA109" s="139"/>
      <c r="UBB109" s="139"/>
      <c r="UBC109" s="139"/>
      <c r="UBD109" s="139"/>
      <c r="UBE109" s="139"/>
      <c r="UBF109" s="139"/>
      <c r="UBG109" s="139"/>
      <c r="UBH109" s="139"/>
      <c r="UBI109" s="139"/>
      <c r="UBJ109" s="139"/>
      <c r="UBK109" s="139"/>
      <c r="UBL109" s="139"/>
      <c r="UBM109" s="139"/>
      <c r="UBN109" s="139"/>
      <c r="UBO109" s="139"/>
      <c r="UBP109" s="139"/>
      <c r="UBQ109" s="139"/>
      <c r="UBR109" s="139"/>
      <c r="UBS109" s="139"/>
      <c r="UBT109" s="139"/>
      <c r="UBU109" s="139"/>
      <c r="UBV109" s="139"/>
      <c r="UBW109" s="139"/>
      <c r="UBX109" s="139"/>
      <c r="UBY109" s="139"/>
      <c r="UBZ109" s="139"/>
      <c r="UCA109" s="139"/>
      <c r="UCB109" s="139"/>
      <c r="UCC109" s="139"/>
      <c r="UCD109" s="139"/>
      <c r="UCE109" s="139"/>
      <c r="UCF109" s="139"/>
      <c r="UCG109" s="139"/>
      <c r="UCH109" s="139"/>
      <c r="UCI109" s="139"/>
      <c r="UCJ109" s="139"/>
      <c r="UCK109" s="139"/>
      <c r="UCL109" s="139"/>
      <c r="UCM109" s="139"/>
      <c r="UCN109" s="139"/>
      <c r="UCO109" s="139"/>
      <c r="UCP109" s="139"/>
      <c r="UCQ109" s="139"/>
      <c r="UCR109" s="139"/>
      <c r="UCS109" s="139"/>
      <c r="UCT109" s="139"/>
      <c r="UCU109" s="139"/>
      <c r="UCV109" s="139"/>
      <c r="UCW109" s="139"/>
      <c r="UCX109" s="139"/>
      <c r="UCY109" s="139"/>
      <c r="UCZ109" s="139"/>
      <c r="UDA109" s="139"/>
      <c r="UDB109" s="139"/>
      <c r="UDC109" s="139"/>
      <c r="UDD109" s="139"/>
      <c r="UDE109" s="139"/>
      <c r="UDF109" s="139"/>
      <c r="UDG109" s="139"/>
      <c r="UDH109" s="139"/>
      <c r="UDI109" s="139"/>
      <c r="UDJ109" s="139"/>
      <c r="UDK109" s="139"/>
      <c r="UDL109" s="139"/>
      <c r="UDM109" s="139"/>
      <c r="UDN109" s="139"/>
      <c r="UDO109" s="139"/>
      <c r="UDP109" s="139"/>
      <c r="UDQ109" s="139"/>
      <c r="UDR109" s="139"/>
      <c r="UDS109" s="139"/>
      <c r="UDT109" s="139"/>
      <c r="UDU109" s="139"/>
      <c r="UDV109" s="139"/>
      <c r="UDW109" s="139"/>
      <c r="UDX109" s="139"/>
      <c r="UDY109" s="139"/>
      <c r="UDZ109" s="139"/>
      <c r="UEA109" s="139"/>
      <c r="UEB109" s="139"/>
      <c r="UEC109" s="139"/>
      <c r="UED109" s="139"/>
      <c r="UEE109" s="139"/>
      <c r="UEF109" s="139"/>
      <c r="UEG109" s="139"/>
      <c r="UEH109" s="139"/>
      <c r="UEI109" s="139"/>
      <c r="UEJ109" s="139"/>
      <c r="UEK109" s="139"/>
      <c r="UEL109" s="139"/>
      <c r="UEM109" s="139"/>
      <c r="UEN109" s="139"/>
      <c r="UEO109" s="139"/>
      <c r="UEP109" s="139"/>
      <c r="UEQ109" s="139"/>
      <c r="UER109" s="139"/>
      <c r="UES109" s="139"/>
      <c r="UET109" s="139"/>
      <c r="UEU109" s="139"/>
      <c r="UEV109" s="139"/>
      <c r="UEW109" s="139"/>
      <c r="UEX109" s="139"/>
      <c r="UEY109" s="139"/>
      <c r="UEZ109" s="139"/>
      <c r="UFA109" s="139"/>
      <c r="UFB109" s="139"/>
      <c r="UFC109" s="139"/>
      <c r="UFD109" s="139"/>
      <c r="UFE109" s="139"/>
      <c r="UFF109" s="139"/>
      <c r="UFG109" s="139"/>
      <c r="UFH109" s="139"/>
      <c r="UFI109" s="139"/>
      <c r="UFJ109" s="139"/>
      <c r="UFK109" s="139"/>
      <c r="UFL109" s="139"/>
      <c r="UFM109" s="139"/>
      <c r="UFN109" s="139"/>
      <c r="UFO109" s="139"/>
      <c r="UFP109" s="139"/>
      <c r="UFQ109" s="139"/>
      <c r="UFR109" s="139"/>
      <c r="UFS109" s="139"/>
      <c r="UFT109" s="139"/>
      <c r="UFU109" s="139"/>
      <c r="UFV109" s="139"/>
      <c r="UFW109" s="139"/>
      <c r="UFX109" s="139"/>
      <c r="UFY109" s="139"/>
      <c r="UFZ109" s="139"/>
      <c r="UGA109" s="139"/>
      <c r="UGB109" s="139"/>
      <c r="UGC109" s="139"/>
      <c r="UGD109" s="139"/>
      <c r="UGE109" s="139"/>
      <c r="UGF109" s="139"/>
      <c r="UGG109" s="139"/>
      <c r="UGH109" s="139"/>
      <c r="UGI109" s="139"/>
      <c r="UGJ109" s="139"/>
      <c r="UGK109" s="139"/>
      <c r="UGL109" s="139"/>
      <c r="UGM109" s="139"/>
      <c r="UGN109" s="139"/>
      <c r="UGO109" s="139"/>
      <c r="UGP109" s="139"/>
      <c r="UGQ109" s="139"/>
      <c r="UGR109" s="139"/>
      <c r="UGS109" s="139"/>
      <c r="UGT109" s="139"/>
      <c r="UGU109" s="139"/>
      <c r="UGV109" s="139"/>
      <c r="UGW109" s="139"/>
      <c r="UGX109" s="139"/>
      <c r="UGY109" s="139"/>
      <c r="UGZ109" s="139"/>
      <c r="UHA109" s="139"/>
      <c r="UHB109" s="139"/>
      <c r="UHC109" s="139"/>
      <c r="UHD109" s="139"/>
      <c r="UHE109" s="139"/>
      <c r="UHF109" s="139"/>
      <c r="UHG109" s="139"/>
      <c r="UHH109" s="139"/>
      <c r="UHI109" s="139"/>
      <c r="UHJ109" s="139"/>
      <c r="UHK109" s="139"/>
      <c r="UHL109" s="139"/>
      <c r="UHM109" s="139"/>
      <c r="UHN109" s="139"/>
      <c r="UHO109" s="139"/>
      <c r="UHP109" s="139"/>
      <c r="UHQ109" s="139"/>
      <c r="UHR109" s="139"/>
      <c r="UHS109" s="139"/>
      <c r="UHT109" s="139"/>
      <c r="UHU109" s="139"/>
      <c r="UHV109" s="139"/>
      <c r="UHW109" s="139"/>
      <c r="UHX109" s="139"/>
      <c r="UHY109" s="139"/>
      <c r="UHZ109" s="139"/>
      <c r="UIA109" s="139"/>
      <c r="UIB109" s="139"/>
      <c r="UIC109" s="139"/>
      <c r="UID109" s="139"/>
      <c r="UIE109" s="139"/>
      <c r="UIF109" s="139"/>
      <c r="UIG109" s="139"/>
      <c r="UIH109" s="139"/>
      <c r="UII109" s="139"/>
      <c r="UIJ109" s="139"/>
      <c r="UIK109" s="139"/>
      <c r="UIL109" s="139"/>
      <c r="UIM109" s="139"/>
      <c r="UIN109" s="139"/>
      <c r="UIO109" s="139"/>
      <c r="UIP109" s="139"/>
      <c r="UIQ109" s="139"/>
      <c r="UIR109" s="139"/>
      <c r="UIS109" s="139"/>
      <c r="UIT109" s="139"/>
      <c r="UIU109" s="139"/>
      <c r="UIV109" s="139"/>
      <c r="UIW109" s="139"/>
      <c r="UIX109" s="139"/>
      <c r="UIY109" s="139"/>
      <c r="UIZ109" s="139"/>
      <c r="UJA109" s="139"/>
      <c r="UJB109" s="139"/>
      <c r="UJC109" s="139"/>
      <c r="UJD109" s="139"/>
      <c r="UJE109" s="139"/>
      <c r="UJF109" s="139"/>
      <c r="UJG109" s="139"/>
      <c r="UJH109" s="139"/>
      <c r="UJI109" s="139"/>
      <c r="UJJ109" s="139"/>
      <c r="UJK109" s="139"/>
      <c r="UJL109" s="139"/>
      <c r="UJM109" s="139"/>
      <c r="UJN109" s="139"/>
      <c r="UJO109" s="139"/>
      <c r="UJP109" s="139"/>
      <c r="UJQ109" s="139"/>
      <c r="UJR109" s="139"/>
      <c r="UJS109" s="139"/>
      <c r="UJT109" s="139"/>
      <c r="UJU109" s="139"/>
      <c r="UJV109" s="139"/>
      <c r="UJW109" s="139"/>
      <c r="UJX109" s="139"/>
      <c r="UJY109" s="139"/>
      <c r="UJZ109" s="139"/>
      <c r="UKA109" s="139"/>
      <c r="UKB109" s="139"/>
      <c r="UKC109" s="139"/>
      <c r="UKD109" s="139"/>
      <c r="UKE109" s="139"/>
      <c r="UKF109" s="139"/>
      <c r="UKG109" s="139"/>
      <c r="UKH109" s="139"/>
      <c r="UKI109" s="139"/>
      <c r="UKJ109" s="139"/>
      <c r="UKK109" s="139"/>
      <c r="UKL109" s="139"/>
      <c r="UKM109" s="139"/>
      <c r="UKN109" s="139"/>
      <c r="UKO109" s="139"/>
      <c r="UKP109" s="139"/>
      <c r="UKQ109" s="139"/>
      <c r="UKR109" s="139"/>
      <c r="UKS109" s="139"/>
      <c r="UKT109" s="139"/>
      <c r="UKU109" s="139"/>
      <c r="UKV109" s="139"/>
      <c r="UKW109" s="139"/>
      <c r="UKX109" s="139"/>
      <c r="UKY109" s="139"/>
      <c r="UKZ109" s="139"/>
      <c r="ULA109" s="139"/>
      <c r="ULB109" s="139"/>
      <c r="ULC109" s="139"/>
      <c r="ULD109" s="139"/>
      <c r="ULE109" s="139"/>
      <c r="ULF109" s="139"/>
      <c r="ULG109" s="139"/>
      <c r="ULH109" s="139"/>
      <c r="ULI109" s="139"/>
      <c r="ULJ109" s="139"/>
      <c r="ULK109" s="139"/>
      <c r="ULL109" s="139"/>
      <c r="ULM109" s="139"/>
      <c r="ULN109" s="139"/>
      <c r="ULO109" s="139"/>
      <c r="ULP109" s="139"/>
      <c r="ULQ109" s="139"/>
      <c r="ULR109" s="139"/>
      <c r="ULS109" s="139"/>
      <c r="ULT109" s="139"/>
      <c r="ULU109" s="139"/>
      <c r="ULV109" s="139"/>
      <c r="ULW109" s="139"/>
      <c r="ULX109" s="139"/>
      <c r="ULY109" s="139"/>
      <c r="ULZ109" s="139"/>
      <c r="UMA109" s="139"/>
      <c r="UMB109" s="139"/>
      <c r="UMC109" s="139"/>
      <c r="UMD109" s="139"/>
      <c r="UME109" s="139"/>
      <c r="UMF109" s="139"/>
      <c r="UMG109" s="139"/>
      <c r="UMH109" s="139"/>
      <c r="UMI109" s="139"/>
      <c r="UMJ109" s="139"/>
      <c r="UMK109" s="139"/>
      <c r="UML109" s="139"/>
      <c r="UMM109" s="139"/>
      <c r="UMN109" s="139"/>
      <c r="UMO109" s="139"/>
      <c r="UMP109" s="139"/>
      <c r="UMQ109" s="139"/>
      <c r="UMR109" s="139"/>
      <c r="UMS109" s="139"/>
      <c r="UMT109" s="139"/>
      <c r="UMU109" s="139"/>
      <c r="UMV109" s="139"/>
      <c r="UMW109" s="139"/>
      <c r="UMX109" s="139"/>
      <c r="UMY109" s="139"/>
      <c r="UMZ109" s="139"/>
      <c r="UNA109" s="139"/>
      <c r="UNB109" s="139"/>
      <c r="UNC109" s="139"/>
      <c r="UND109" s="139"/>
      <c r="UNE109" s="139"/>
      <c r="UNF109" s="139"/>
      <c r="UNG109" s="139"/>
      <c r="UNH109" s="139"/>
      <c r="UNI109" s="139"/>
      <c r="UNJ109" s="139"/>
      <c r="UNK109" s="139"/>
      <c r="UNL109" s="139"/>
      <c r="UNM109" s="139"/>
      <c r="UNN109" s="139"/>
      <c r="UNO109" s="139"/>
      <c r="UNP109" s="139"/>
      <c r="UNQ109" s="139"/>
      <c r="UNR109" s="139"/>
      <c r="UNS109" s="139"/>
      <c r="UNT109" s="139"/>
      <c r="UNU109" s="139"/>
      <c r="UNV109" s="139"/>
      <c r="UNW109" s="139"/>
      <c r="UNX109" s="139"/>
      <c r="UNY109" s="139"/>
      <c r="UNZ109" s="139"/>
      <c r="UOA109" s="139"/>
      <c r="UOB109" s="139"/>
      <c r="UOC109" s="139"/>
      <c r="UOD109" s="139"/>
      <c r="UOE109" s="139"/>
      <c r="UOF109" s="139"/>
      <c r="UOG109" s="139"/>
      <c r="UOH109" s="139"/>
      <c r="UOI109" s="139"/>
      <c r="UOJ109" s="139"/>
      <c r="UOK109" s="139"/>
      <c r="UOL109" s="139"/>
      <c r="UOM109" s="139"/>
      <c r="UON109" s="139"/>
      <c r="UOO109" s="139"/>
      <c r="UOP109" s="139"/>
      <c r="UOQ109" s="139"/>
      <c r="UOR109" s="139"/>
      <c r="UOS109" s="139"/>
      <c r="UOT109" s="139"/>
      <c r="UOU109" s="139"/>
      <c r="UOV109" s="139"/>
      <c r="UOW109" s="139"/>
      <c r="UOX109" s="139"/>
      <c r="UOY109" s="139"/>
      <c r="UOZ109" s="139"/>
      <c r="UPA109" s="139"/>
      <c r="UPB109" s="139"/>
      <c r="UPC109" s="139"/>
      <c r="UPD109" s="139"/>
      <c r="UPE109" s="139"/>
      <c r="UPF109" s="139"/>
      <c r="UPG109" s="139"/>
      <c r="UPH109" s="139"/>
      <c r="UPI109" s="139"/>
      <c r="UPJ109" s="139"/>
      <c r="UPK109" s="139"/>
      <c r="UPL109" s="139"/>
      <c r="UPM109" s="139"/>
      <c r="UPN109" s="139"/>
      <c r="UPO109" s="139"/>
      <c r="UPP109" s="139"/>
      <c r="UPQ109" s="139"/>
      <c r="UPR109" s="139"/>
      <c r="UPS109" s="139"/>
      <c r="UPT109" s="139"/>
      <c r="UPU109" s="139"/>
      <c r="UPV109" s="139"/>
      <c r="UPW109" s="139"/>
      <c r="UPX109" s="139"/>
      <c r="UPY109" s="139"/>
      <c r="UPZ109" s="139"/>
      <c r="UQA109" s="139"/>
      <c r="UQB109" s="139"/>
      <c r="UQC109" s="139"/>
      <c r="UQD109" s="139"/>
      <c r="UQE109" s="139"/>
      <c r="UQF109" s="139"/>
      <c r="UQG109" s="139"/>
      <c r="UQH109" s="139"/>
      <c r="UQI109" s="139"/>
      <c r="UQJ109" s="139"/>
      <c r="UQK109" s="139"/>
      <c r="UQL109" s="139"/>
      <c r="UQM109" s="139"/>
      <c r="UQN109" s="139"/>
      <c r="UQO109" s="139"/>
      <c r="UQP109" s="139"/>
      <c r="UQQ109" s="139"/>
      <c r="UQR109" s="139"/>
      <c r="UQS109" s="139"/>
      <c r="UQT109" s="139"/>
      <c r="UQU109" s="139"/>
      <c r="UQV109" s="139"/>
      <c r="UQW109" s="139"/>
      <c r="UQX109" s="139"/>
      <c r="UQY109" s="139"/>
      <c r="UQZ109" s="139"/>
      <c r="URA109" s="139"/>
      <c r="URB109" s="139"/>
      <c r="URC109" s="139"/>
      <c r="URD109" s="139"/>
      <c r="URE109" s="139"/>
      <c r="URF109" s="139"/>
      <c r="URG109" s="139"/>
      <c r="URH109" s="139"/>
      <c r="URI109" s="139"/>
      <c r="URJ109" s="139"/>
      <c r="URK109" s="139"/>
      <c r="URL109" s="139"/>
      <c r="URM109" s="139"/>
      <c r="URN109" s="139"/>
      <c r="URO109" s="139"/>
      <c r="URP109" s="139"/>
      <c r="URQ109" s="139"/>
      <c r="URR109" s="139"/>
      <c r="URS109" s="139"/>
      <c r="URT109" s="139"/>
      <c r="URU109" s="139"/>
      <c r="URV109" s="139"/>
      <c r="URW109" s="139"/>
      <c r="URX109" s="139"/>
      <c r="URY109" s="139"/>
      <c r="URZ109" s="139"/>
      <c r="USA109" s="139"/>
      <c r="USB109" s="139"/>
      <c r="USC109" s="139"/>
      <c r="USD109" s="139"/>
      <c r="USE109" s="139"/>
      <c r="USF109" s="139"/>
      <c r="USG109" s="139"/>
      <c r="USH109" s="139"/>
      <c r="USI109" s="139"/>
      <c r="USJ109" s="139"/>
      <c r="USK109" s="139"/>
      <c r="USL109" s="139"/>
      <c r="USM109" s="139"/>
      <c r="USN109" s="139"/>
      <c r="USO109" s="139"/>
      <c r="USP109" s="139"/>
      <c r="USQ109" s="139"/>
      <c r="USR109" s="139"/>
      <c r="USS109" s="139"/>
      <c r="UST109" s="139"/>
      <c r="USU109" s="139"/>
      <c r="USV109" s="139"/>
      <c r="USW109" s="139"/>
      <c r="USX109" s="139"/>
      <c r="USY109" s="139"/>
      <c r="USZ109" s="139"/>
      <c r="UTA109" s="139"/>
      <c r="UTB109" s="139"/>
      <c r="UTC109" s="139"/>
      <c r="UTD109" s="139"/>
      <c r="UTE109" s="139"/>
      <c r="UTF109" s="139"/>
      <c r="UTG109" s="139"/>
      <c r="UTH109" s="139"/>
      <c r="UTI109" s="139"/>
      <c r="UTJ109" s="139"/>
      <c r="UTK109" s="139"/>
      <c r="UTL109" s="139"/>
      <c r="UTM109" s="139"/>
      <c r="UTN109" s="139"/>
      <c r="UTO109" s="139"/>
      <c r="UTP109" s="139"/>
      <c r="UTQ109" s="139"/>
      <c r="UTR109" s="139"/>
      <c r="UTS109" s="139"/>
      <c r="UTT109" s="139"/>
      <c r="UTU109" s="139"/>
      <c r="UTV109" s="139"/>
      <c r="UTW109" s="139"/>
      <c r="UTX109" s="139"/>
      <c r="UTY109" s="139"/>
      <c r="UTZ109" s="139"/>
      <c r="UUA109" s="139"/>
      <c r="UUB109" s="139"/>
      <c r="UUC109" s="139"/>
      <c r="UUD109" s="139"/>
      <c r="UUE109" s="139"/>
      <c r="UUF109" s="139"/>
      <c r="UUG109" s="139"/>
      <c r="UUH109" s="139"/>
      <c r="UUI109" s="139"/>
      <c r="UUJ109" s="139"/>
      <c r="UUK109" s="139"/>
      <c r="UUL109" s="139"/>
      <c r="UUM109" s="139"/>
      <c r="UUN109" s="139"/>
      <c r="UUO109" s="139"/>
      <c r="UUP109" s="139"/>
      <c r="UUQ109" s="139"/>
      <c r="UUR109" s="139"/>
      <c r="UUS109" s="139"/>
      <c r="UUT109" s="139"/>
      <c r="UUU109" s="139"/>
      <c r="UUV109" s="139"/>
      <c r="UUW109" s="139"/>
      <c r="UUX109" s="139"/>
      <c r="UUY109" s="139"/>
      <c r="UUZ109" s="139"/>
      <c r="UVA109" s="139"/>
      <c r="UVB109" s="139"/>
      <c r="UVC109" s="139"/>
      <c r="UVD109" s="139"/>
      <c r="UVE109" s="139"/>
      <c r="UVF109" s="139"/>
      <c r="UVG109" s="139"/>
      <c r="UVH109" s="139"/>
      <c r="UVI109" s="139"/>
      <c r="UVJ109" s="139"/>
      <c r="UVK109" s="139"/>
      <c r="UVL109" s="139"/>
      <c r="UVM109" s="139"/>
      <c r="UVN109" s="139"/>
      <c r="UVO109" s="139"/>
      <c r="UVP109" s="139"/>
      <c r="UVQ109" s="139"/>
      <c r="UVR109" s="139"/>
      <c r="UVS109" s="139"/>
      <c r="UVT109" s="139"/>
      <c r="UVU109" s="139"/>
      <c r="UVV109" s="139"/>
      <c r="UVW109" s="139"/>
      <c r="UVX109" s="139"/>
      <c r="UVY109" s="139"/>
      <c r="UVZ109" s="139"/>
      <c r="UWA109" s="139"/>
      <c r="UWB109" s="139"/>
      <c r="UWC109" s="139"/>
      <c r="UWD109" s="139"/>
      <c r="UWE109" s="139"/>
      <c r="UWF109" s="139"/>
      <c r="UWG109" s="139"/>
      <c r="UWH109" s="139"/>
      <c r="UWI109" s="139"/>
      <c r="UWJ109" s="139"/>
      <c r="UWK109" s="139"/>
      <c r="UWL109" s="139"/>
      <c r="UWM109" s="139"/>
      <c r="UWN109" s="139"/>
      <c r="UWO109" s="139"/>
      <c r="UWP109" s="139"/>
      <c r="UWQ109" s="139"/>
      <c r="UWR109" s="139"/>
      <c r="UWS109" s="139"/>
      <c r="UWT109" s="139"/>
      <c r="UWU109" s="139"/>
      <c r="UWV109" s="139"/>
      <c r="UWW109" s="139"/>
      <c r="UWX109" s="139"/>
      <c r="UWY109" s="139"/>
      <c r="UWZ109" s="139"/>
      <c r="UXA109" s="139"/>
      <c r="UXB109" s="139"/>
      <c r="UXC109" s="139"/>
      <c r="UXD109" s="139"/>
      <c r="UXE109" s="139"/>
      <c r="UXF109" s="139"/>
      <c r="UXG109" s="139"/>
      <c r="UXH109" s="139"/>
      <c r="UXI109" s="139"/>
      <c r="UXJ109" s="139"/>
      <c r="UXK109" s="139"/>
      <c r="UXL109" s="139"/>
      <c r="UXM109" s="139"/>
      <c r="UXN109" s="139"/>
      <c r="UXO109" s="139"/>
      <c r="UXP109" s="139"/>
      <c r="UXQ109" s="139"/>
      <c r="UXR109" s="139"/>
      <c r="UXS109" s="139"/>
      <c r="UXT109" s="139"/>
      <c r="UXU109" s="139"/>
      <c r="UXV109" s="139"/>
      <c r="UXW109" s="139"/>
      <c r="UXX109" s="139"/>
      <c r="UXY109" s="139"/>
      <c r="UXZ109" s="139"/>
      <c r="UYA109" s="139"/>
      <c r="UYB109" s="139"/>
      <c r="UYC109" s="139"/>
      <c r="UYD109" s="139"/>
      <c r="UYE109" s="139"/>
      <c r="UYF109" s="139"/>
      <c r="UYG109" s="139"/>
      <c r="UYH109" s="139"/>
      <c r="UYI109" s="139"/>
      <c r="UYJ109" s="139"/>
      <c r="UYK109" s="139"/>
      <c r="UYL109" s="139"/>
      <c r="UYM109" s="139"/>
      <c r="UYN109" s="139"/>
      <c r="UYO109" s="139"/>
      <c r="UYP109" s="139"/>
      <c r="UYQ109" s="139"/>
      <c r="UYR109" s="139"/>
      <c r="UYS109" s="139"/>
      <c r="UYT109" s="139"/>
      <c r="UYU109" s="139"/>
      <c r="UYV109" s="139"/>
      <c r="UYW109" s="139"/>
      <c r="UYX109" s="139"/>
      <c r="UYY109" s="139"/>
      <c r="UYZ109" s="139"/>
      <c r="UZA109" s="139"/>
      <c r="UZB109" s="139"/>
      <c r="UZC109" s="139"/>
      <c r="UZD109" s="139"/>
      <c r="UZE109" s="139"/>
      <c r="UZF109" s="139"/>
      <c r="UZG109" s="139"/>
      <c r="UZH109" s="139"/>
      <c r="UZI109" s="139"/>
      <c r="UZJ109" s="139"/>
      <c r="UZK109" s="139"/>
      <c r="UZL109" s="139"/>
      <c r="UZM109" s="139"/>
      <c r="UZN109" s="139"/>
      <c r="UZO109" s="139"/>
      <c r="UZP109" s="139"/>
      <c r="UZQ109" s="139"/>
      <c r="UZR109" s="139"/>
      <c r="UZS109" s="139"/>
      <c r="UZT109" s="139"/>
      <c r="UZU109" s="139"/>
      <c r="UZV109" s="139"/>
      <c r="UZW109" s="139"/>
      <c r="UZX109" s="139"/>
      <c r="UZY109" s="139"/>
      <c r="UZZ109" s="139"/>
      <c r="VAA109" s="139"/>
      <c r="VAB109" s="139"/>
      <c r="VAC109" s="139"/>
      <c r="VAD109" s="139"/>
      <c r="VAE109" s="139"/>
      <c r="VAF109" s="139"/>
      <c r="VAG109" s="139"/>
      <c r="VAH109" s="139"/>
      <c r="VAI109" s="139"/>
      <c r="VAJ109" s="139"/>
      <c r="VAK109" s="139"/>
      <c r="VAL109" s="139"/>
      <c r="VAM109" s="139"/>
      <c r="VAN109" s="139"/>
      <c r="VAO109" s="139"/>
      <c r="VAP109" s="139"/>
      <c r="VAQ109" s="139"/>
      <c r="VAR109" s="139"/>
      <c r="VAS109" s="139"/>
      <c r="VAT109" s="139"/>
      <c r="VAU109" s="139"/>
      <c r="VAV109" s="139"/>
      <c r="VAW109" s="139"/>
      <c r="VAX109" s="139"/>
      <c r="VAY109" s="139"/>
      <c r="VAZ109" s="139"/>
      <c r="VBA109" s="139"/>
      <c r="VBB109" s="139"/>
      <c r="VBC109" s="139"/>
      <c r="VBD109" s="139"/>
      <c r="VBE109" s="139"/>
      <c r="VBF109" s="139"/>
      <c r="VBG109" s="139"/>
      <c r="VBH109" s="139"/>
      <c r="VBI109" s="139"/>
      <c r="VBJ109" s="139"/>
      <c r="VBK109" s="139"/>
      <c r="VBL109" s="139"/>
      <c r="VBM109" s="139"/>
      <c r="VBN109" s="139"/>
      <c r="VBO109" s="139"/>
      <c r="VBP109" s="139"/>
      <c r="VBQ109" s="139"/>
      <c r="VBR109" s="139"/>
      <c r="VBS109" s="139"/>
      <c r="VBT109" s="139"/>
      <c r="VBU109" s="139"/>
      <c r="VBV109" s="139"/>
      <c r="VBW109" s="139"/>
      <c r="VBX109" s="139"/>
      <c r="VBY109" s="139"/>
      <c r="VBZ109" s="139"/>
      <c r="VCA109" s="139"/>
      <c r="VCB109" s="139"/>
      <c r="VCC109" s="139"/>
      <c r="VCD109" s="139"/>
      <c r="VCE109" s="139"/>
      <c r="VCF109" s="139"/>
      <c r="VCG109" s="139"/>
      <c r="VCH109" s="139"/>
      <c r="VCI109" s="139"/>
      <c r="VCJ109" s="139"/>
      <c r="VCK109" s="139"/>
      <c r="VCL109" s="139"/>
      <c r="VCM109" s="139"/>
      <c r="VCN109" s="139"/>
      <c r="VCO109" s="139"/>
      <c r="VCP109" s="139"/>
      <c r="VCQ109" s="139"/>
      <c r="VCR109" s="139"/>
      <c r="VCS109" s="139"/>
      <c r="VCT109" s="139"/>
      <c r="VCU109" s="139"/>
      <c r="VCV109" s="139"/>
      <c r="VCW109" s="139"/>
      <c r="VCX109" s="139"/>
      <c r="VCY109" s="139"/>
      <c r="VCZ109" s="139"/>
      <c r="VDA109" s="139"/>
      <c r="VDB109" s="139"/>
      <c r="VDC109" s="139"/>
      <c r="VDD109" s="139"/>
      <c r="VDE109" s="139"/>
      <c r="VDF109" s="139"/>
      <c r="VDG109" s="139"/>
      <c r="VDH109" s="139"/>
      <c r="VDI109" s="139"/>
      <c r="VDJ109" s="139"/>
      <c r="VDK109" s="139"/>
      <c r="VDL109" s="139"/>
      <c r="VDM109" s="139"/>
      <c r="VDN109" s="139"/>
      <c r="VDO109" s="139"/>
      <c r="VDP109" s="139"/>
      <c r="VDQ109" s="139"/>
      <c r="VDR109" s="139"/>
      <c r="VDS109" s="139"/>
      <c r="VDT109" s="139"/>
      <c r="VDU109" s="139"/>
      <c r="VDV109" s="139"/>
      <c r="VDW109" s="139"/>
      <c r="VDX109" s="139"/>
      <c r="VDY109" s="139"/>
      <c r="VDZ109" s="139"/>
      <c r="VEA109" s="139"/>
      <c r="VEB109" s="139"/>
      <c r="VEC109" s="139"/>
      <c r="VED109" s="139"/>
      <c r="VEE109" s="139"/>
      <c r="VEF109" s="139"/>
      <c r="VEG109" s="139"/>
      <c r="VEH109" s="139"/>
      <c r="VEI109" s="139"/>
      <c r="VEJ109" s="139"/>
      <c r="VEK109" s="139"/>
      <c r="VEL109" s="139"/>
      <c r="VEM109" s="139"/>
      <c r="VEN109" s="139"/>
      <c r="VEO109" s="139"/>
      <c r="VEP109" s="139"/>
      <c r="VEQ109" s="139"/>
      <c r="VER109" s="139"/>
      <c r="VES109" s="139"/>
      <c r="VET109" s="139"/>
      <c r="VEU109" s="139"/>
      <c r="VEV109" s="139"/>
      <c r="VEW109" s="139"/>
      <c r="VEX109" s="139"/>
      <c r="VEY109" s="139"/>
      <c r="VEZ109" s="139"/>
      <c r="VFA109" s="139"/>
      <c r="VFB109" s="139"/>
      <c r="VFC109" s="139"/>
      <c r="VFD109" s="139"/>
      <c r="VFE109" s="139"/>
      <c r="VFF109" s="139"/>
      <c r="VFG109" s="139"/>
      <c r="VFH109" s="139"/>
      <c r="VFI109" s="139"/>
      <c r="VFJ109" s="139"/>
      <c r="VFK109" s="139"/>
      <c r="VFL109" s="139"/>
      <c r="VFM109" s="139"/>
      <c r="VFN109" s="139"/>
      <c r="VFO109" s="139"/>
      <c r="VFP109" s="139"/>
      <c r="VFQ109" s="139"/>
      <c r="VFR109" s="139"/>
      <c r="VFS109" s="139"/>
      <c r="VFT109" s="139"/>
      <c r="VFU109" s="139"/>
      <c r="VFV109" s="139"/>
      <c r="VFW109" s="139"/>
      <c r="VFX109" s="139"/>
      <c r="VFY109" s="139"/>
      <c r="VFZ109" s="139"/>
      <c r="VGA109" s="139"/>
      <c r="VGB109" s="139"/>
      <c r="VGC109" s="139"/>
      <c r="VGD109" s="139"/>
      <c r="VGE109" s="139"/>
      <c r="VGF109" s="139"/>
      <c r="VGG109" s="139"/>
      <c r="VGH109" s="139"/>
      <c r="VGI109" s="139"/>
      <c r="VGJ109" s="139"/>
      <c r="VGK109" s="139"/>
      <c r="VGL109" s="139"/>
      <c r="VGM109" s="139"/>
      <c r="VGN109" s="139"/>
      <c r="VGO109" s="139"/>
      <c r="VGP109" s="139"/>
      <c r="VGQ109" s="139"/>
      <c r="VGR109" s="139"/>
      <c r="VGS109" s="139"/>
      <c r="VGT109" s="139"/>
      <c r="VGU109" s="139"/>
      <c r="VGV109" s="139"/>
      <c r="VGW109" s="139"/>
      <c r="VGX109" s="139"/>
      <c r="VGY109" s="139"/>
      <c r="VGZ109" s="139"/>
      <c r="VHA109" s="139"/>
      <c r="VHB109" s="139"/>
      <c r="VHC109" s="139"/>
      <c r="VHD109" s="139"/>
      <c r="VHE109" s="139"/>
      <c r="VHF109" s="139"/>
      <c r="VHG109" s="139"/>
      <c r="VHH109" s="139"/>
      <c r="VHI109" s="139"/>
      <c r="VHJ109" s="139"/>
      <c r="VHK109" s="139"/>
      <c r="VHL109" s="139"/>
      <c r="VHM109" s="139"/>
      <c r="VHN109" s="139"/>
      <c r="VHO109" s="139"/>
      <c r="VHP109" s="139"/>
      <c r="VHQ109" s="139"/>
      <c r="VHR109" s="139"/>
      <c r="VHS109" s="139"/>
      <c r="VHT109" s="139"/>
      <c r="VHU109" s="139"/>
      <c r="VHV109" s="139"/>
      <c r="VHW109" s="139"/>
      <c r="VHX109" s="139"/>
      <c r="VHY109" s="139"/>
      <c r="VHZ109" s="139"/>
      <c r="VIA109" s="139"/>
      <c r="VIB109" s="139"/>
      <c r="VIC109" s="139"/>
      <c r="VID109" s="139"/>
      <c r="VIE109" s="139"/>
      <c r="VIF109" s="139"/>
      <c r="VIG109" s="139"/>
      <c r="VIH109" s="139"/>
      <c r="VII109" s="139"/>
      <c r="VIJ109" s="139"/>
      <c r="VIK109" s="139"/>
      <c r="VIL109" s="139"/>
      <c r="VIM109" s="139"/>
      <c r="VIN109" s="139"/>
      <c r="VIO109" s="139"/>
      <c r="VIP109" s="139"/>
      <c r="VIQ109" s="139"/>
      <c r="VIR109" s="139"/>
      <c r="VIS109" s="139"/>
      <c r="VIT109" s="139"/>
      <c r="VIU109" s="139"/>
      <c r="VIV109" s="139"/>
      <c r="VIW109" s="139"/>
      <c r="VIX109" s="139"/>
      <c r="VIY109" s="139"/>
      <c r="VIZ109" s="139"/>
      <c r="VJA109" s="139"/>
      <c r="VJB109" s="139"/>
      <c r="VJC109" s="139"/>
      <c r="VJD109" s="139"/>
      <c r="VJE109" s="139"/>
      <c r="VJF109" s="139"/>
      <c r="VJG109" s="139"/>
      <c r="VJH109" s="139"/>
      <c r="VJI109" s="139"/>
      <c r="VJJ109" s="139"/>
      <c r="VJK109" s="139"/>
      <c r="VJL109" s="139"/>
      <c r="VJM109" s="139"/>
      <c r="VJN109" s="139"/>
      <c r="VJO109" s="139"/>
      <c r="VJP109" s="139"/>
      <c r="VJQ109" s="139"/>
      <c r="VJR109" s="139"/>
      <c r="VJS109" s="139"/>
      <c r="VJT109" s="139"/>
      <c r="VJU109" s="139"/>
      <c r="VJV109" s="139"/>
      <c r="VJW109" s="139"/>
      <c r="VJX109" s="139"/>
      <c r="VJY109" s="139"/>
      <c r="VJZ109" s="139"/>
      <c r="VKA109" s="139"/>
      <c r="VKB109" s="139"/>
      <c r="VKC109" s="139"/>
      <c r="VKD109" s="139"/>
      <c r="VKE109" s="139"/>
      <c r="VKF109" s="139"/>
      <c r="VKG109" s="139"/>
      <c r="VKH109" s="139"/>
      <c r="VKI109" s="139"/>
      <c r="VKJ109" s="139"/>
      <c r="VKK109" s="139"/>
      <c r="VKL109" s="139"/>
      <c r="VKM109" s="139"/>
      <c r="VKN109" s="139"/>
      <c r="VKO109" s="139"/>
      <c r="VKP109" s="139"/>
      <c r="VKQ109" s="139"/>
      <c r="VKR109" s="139"/>
      <c r="VKS109" s="139"/>
      <c r="VKT109" s="139"/>
      <c r="VKU109" s="139"/>
      <c r="VKV109" s="139"/>
      <c r="VKW109" s="139"/>
      <c r="VKX109" s="139"/>
      <c r="VKY109" s="139"/>
      <c r="VKZ109" s="139"/>
      <c r="VLA109" s="139"/>
      <c r="VLB109" s="139"/>
      <c r="VLC109" s="139"/>
      <c r="VLD109" s="139"/>
      <c r="VLE109" s="139"/>
      <c r="VLF109" s="139"/>
      <c r="VLG109" s="139"/>
      <c r="VLH109" s="139"/>
      <c r="VLI109" s="139"/>
      <c r="VLJ109" s="139"/>
      <c r="VLK109" s="139"/>
      <c r="VLL109" s="139"/>
      <c r="VLM109" s="139"/>
      <c r="VLN109" s="139"/>
      <c r="VLO109" s="139"/>
      <c r="VLP109" s="139"/>
      <c r="VLQ109" s="139"/>
      <c r="VLR109" s="139"/>
      <c r="VLS109" s="139"/>
      <c r="VLT109" s="139"/>
      <c r="VLU109" s="139"/>
      <c r="VLV109" s="139"/>
      <c r="VLW109" s="139"/>
      <c r="VLX109" s="139"/>
      <c r="VLY109" s="139"/>
      <c r="VLZ109" s="139"/>
      <c r="VMA109" s="139"/>
      <c r="VMB109" s="139"/>
      <c r="VMC109" s="139"/>
      <c r="VMD109" s="139"/>
      <c r="VME109" s="139"/>
      <c r="VMF109" s="139"/>
      <c r="VMG109" s="139"/>
      <c r="VMH109" s="139"/>
      <c r="VMI109" s="139"/>
      <c r="VMJ109" s="139"/>
      <c r="VMK109" s="139"/>
      <c r="VML109" s="139"/>
      <c r="VMM109" s="139"/>
      <c r="VMN109" s="139"/>
      <c r="VMO109" s="139"/>
      <c r="VMP109" s="139"/>
      <c r="VMQ109" s="139"/>
      <c r="VMR109" s="139"/>
      <c r="VMS109" s="139"/>
      <c r="VMT109" s="139"/>
      <c r="VMU109" s="139"/>
      <c r="VMV109" s="139"/>
      <c r="VMW109" s="139"/>
      <c r="VMX109" s="139"/>
      <c r="VMY109" s="139"/>
      <c r="VMZ109" s="139"/>
      <c r="VNA109" s="139"/>
      <c r="VNB109" s="139"/>
      <c r="VNC109" s="139"/>
      <c r="VND109" s="139"/>
      <c r="VNE109" s="139"/>
      <c r="VNF109" s="139"/>
      <c r="VNG109" s="139"/>
      <c r="VNH109" s="139"/>
      <c r="VNI109" s="139"/>
      <c r="VNJ109" s="139"/>
      <c r="VNK109" s="139"/>
      <c r="VNL109" s="139"/>
      <c r="VNM109" s="139"/>
      <c r="VNN109" s="139"/>
      <c r="VNO109" s="139"/>
      <c r="VNP109" s="139"/>
      <c r="VNQ109" s="139"/>
      <c r="VNR109" s="139"/>
      <c r="VNS109" s="139"/>
      <c r="VNT109" s="139"/>
      <c r="VNU109" s="139"/>
      <c r="VNV109" s="139"/>
      <c r="VNW109" s="139"/>
      <c r="VNX109" s="139"/>
      <c r="VNY109" s="139"/>
      <c r="VNZ109" s="139"/>
      <c r="VOA109" s="139"/>
      <c r="VOB109" s="139"/>
      <c r="VOC109" s="139"/>
      <c r="VOD109" s="139"/>
      <c r="VOE109" s="139"/>
      <c r="VOF109" s="139"/>
      <c r="VOG109" s="139"/>
      <c r="VOH109" s="139"/>
      <c r="VOI109" s="139"/>
      <c r="VOJ109" s="139"/>
      <c r="VOK109" s="139"/>
      <c r="VOL109" s="139"/>
      <c r="VOM109" s="139"/>
      <c r="VON109" s="139"/>
      <c r="VOO109" s="139"/>
      <c r="VOP109" s="139"/>
      <c r="VOQ109" s="139"/>
      <c r="VOR109" s="139"/>
      <c r="VOS109" s="139"/>
      <c r="VOT109" s="139"/>
      <c r="VOU109" s="139"/>
      <c r="VOV109" s="139"/>
      <c r="VOW109" s="139"/>
      <c r="VOX109" s="139"/>
      <c r="VOY109" s="139"/>
      <c r="VOZ109" s="139"/>
      <c r="VPA109" s="139"/>
      <c r="VPB109" s="139"/>
      <c r="VPC109" s="139"/>
      <c r="VPD109" s="139"/>
      <c r="VPE109" s="139"/>
      <c r="VPF109" s="139"/>
      <c r="VPG109" s="139"/>
      <c r="VPH109" s="139"/>
      <c r="VPI109" s="139"/>
      <c r="VPJ109" s="139"/>
      <c r="VPK109" s="139"/>
      <c r="VPL109" s="139"/>
      <c r="VPM109" s="139"/>
      <c r="VPN109" s="139"/>
      <c r="VPO109" s="139"/>
      <c r="VPP109" s="139"/>
      <c r="VPQ109" s="139"/>
      <c r="VPR109" s="139"/>
      <c r="VPS109" s="139"/>
      <c r="VPT109" s="139"/>
      <c r="VPU109" s="139"/>
      <c r="VPV109" s="139"/>
      <c r="VPW109" s="139"/>
      <c r="VPX109" s="139"/>
      <c r="VPY109" s="139"/>
      <c r="VPZ109" s="139"/>
      <c r="VQA109" s="139"/>
      <c r="VQB109" s="139"/>
      <c r="VQC109" s="139"/>
      <c r="VQD109" s="139"/>
      <c r="VQE109" s="139"/>
      <c r="VQF109" s="139"/>
      <c r="VQG109" s="139"/>
      <c r="VQH109" s="139"/>
      <c r="VQI109" s="139"/>
      <c r="VQJ109" s="139"/>
      <c r="VQK109" s="139"/>
      <c r="VQL109" s="139"/>
      <c r="VQM109" s="139"/>
      <c r="VQN109" s="139"/>
      <c r="VQO109" s="139"/>
      <c r="VQP109" s="139"/>
      <c r="VQQ109" s="139"/>
      <c r="VQR109" s="139"/>
      <c r="VQS109" s="139"/>
      <c r="VQT109" s="139"/>
      <c r="VQU109" s="139"/>
      <c r="VQV109" s="139"/>
      <c r="VQW109" s="139"/>
      <c r="VQX109" s="139"/>
      <c r="VQY109" s="139"/>
      <c r="VQZ109" s="139"/>
      <c r="VRA109" s="139"/>
      <c r="VRB109" s="139"/>
      <c r="VRC109" s="139"/>
      <c r="VRD109" s="139"/>
      <c r="VRE109" s="139"/>
      <c r="VRF109" s="139"/>
      <c r="VRG109" s="139"/>
      <c r="VRH109" s="139"/>
      <c r="VRI109" s="139"/>
      <c r="VRJ109" s="139"/>
      <c r="VRK109" s="139"/>
      <c r="VRL109" s="139"/>
      <c r="VRM109" s="139"/>
      <c r="VRN109" s="139"/>
      <c r="VRO109" s="139"/>
      <c r="VRP109" s="139"/>
      <c r="VRQ109" s="139"/>
      <c r="VRR109" s="139"/>
      <c r="VRS109" s="139"/>
      <c r="VRT109" s="139"/>
      <c r="VRU109" s="139"/>
      <c r="VRV109" s="139"/>
      <c r="VRW109" s="139"/>
      <c r="VRX109" s="139"/>
      <c r="VRY109" s="139"/>
      <c r="VRZ109" s="139"/>
      <c r="VSA109" s="139"/>
      <c r="VSB109" s="139"/>
      <c r="VSC109" s="139"/>
      <c r="VSD109" s="139"/>
      <c r="VSE109" s="139"/>
      <c r="VSF109" s="139"/>
      <c r="VSG109" s="139"/>
      <c r="VSH109" s="139"/>
      <c r="VSI109" s="139"/>
      <c r="VSJ109" s="139"/>
      <c r="VSK109" s="139"/>
      <c r="VSL109" s="139"/>
      <c r="VSM109" s="139"/>
      <c r="VSN109" s="139"/>
      <c r="VSO109" s="139"/>
      <c r="VSP109" s="139"/>
      <c r="VSQ109" s="139"/>
      <c r="VSR109" s="139"/>
      <c r="VSS109" s="139"/>
      <c r="VST109" s="139"/>
      <c r="VSU109" s="139"/>
      <c r="VSV109" s="139"/>
      <c r="VSW109" s="139"/>
      <c r="VSX109" s="139"/>
      <c r="VSY109" s="139"/>
      <c r="VSZ109" s="139"/>
      <c r="VTA109" s="139"/>
      <c r="VTB109" s="139"/>
      <c r="VTC109" s="139"/>
      <c r="VTD109" s="139"/>
      <c r="VTE109" s="139"/>
      <c r="VTF109" s="139"/>
      <c r="VTG109" s="139"/>
      <c r="VTH109" s="139"/>
      <c r="VTI109" s="139"/>
      <c r="VTJ109" s="139"/>
      <c r="VTK109" s="139"/>
      <c r="VTL109" s="139"/>
      <c r="VTM109" s="139"/>
      <c r="VTN109" s="139"/>
      <c r="VTO109" s="139"/>
      <c r="VTP109" s="139"/>
      <c r="VTQ109" s="139"/>
      <c r="VTR109" s="139"/>
      <c r="VTS109" s="139"/>
      <c r="VTT109" s="139"/>
      <c r="VTU109" s="139"/>
      <c r="VTV109" s="139"/>
      <c r="VTW109" s="139"/>
      <c r="VTX109" s="139"/>
      <c r="VTY109" s="139"/>
      <c r="VTZ109" s="139"/>
      <c r="VUA109" s="139"/>
      <c r="VUB109" s="139"/>
      <c r="VUC109" s="139"/>
      <c r="VUD109" s="139"/>
      <c r="VUE109" s="139"/>
      <c r="VUF109" s="139"/>
      <c r="VUG109" s="139"/>
      <c r="VUH109" s="139"/>
      <c r="VUI109" s="139"/>
      <c r="VUJ109" s="139"/>
      <c r="VUK109" s="139"/>
      <c r="VUL109" s="139"/>
      <c r="VUM109" s="139"/>
      <c r="VUN109" s="139"/>
      <c r="VUO109" s="139"/>
      <c r="VUP109" s="139"/>
      <c r="VUQ109" s="139"/>
      <c r="VUR109" s="139"/>
      <c r="VUS109" s="139"/>
      <c r="VUT109" s="139"/>
      <c r="VUU109" s="139"/>
      <c r="VUV109" s="139"/>
      <c r="VUW109" s="139"/>
      <c r="VUX109" s="139"/>
      <c r="VUY109" s="139"/>
      <c r="VUZ109" s="139"/>
      <c r="VVA109" s="139"/>
      <c r="VVB109" s="139"/>
      <c r="VVC109" s="139"/>
      <c r="VVD109" s="139"/>
      <c r="VVE109" s="139"/>
      <c r="VVF109" s="139"/>
      <c r="VVG109" s="139"/>
      <c r="VVH109" s="139"/>
      <c r="VVI109" s="139"/>
      <c r="VVJ109" s="139"/>
      <c r="VVK109" s="139"/>
      <c r="VVL109" s="139"/>
      <c r="VVM109" s="139"/>
      <c r="VVN109" s="139"/>
      <c r="VVO109" s="139"/>
      <c r="VVP109" s="139"/>
      <c r="VVQ109" s="139"/>
      <c r="VVR109" s="139"/>
      <c r="VVS109" s="139"/>
      <c r="VVT109" s="139"/>
      <c r="VVU109" s="139"/>
      <c r="VVV109" s="139"/>
      <c r="VVW109" s="139"/>
      <c r="VVX109" s="139"/>
      <c r="VVY109" s="139"/>
      <c r="VVZ109" s="139"/>
      <c r="VWA109" s="139"/>
      <c r="VWB109" s="139"/>
      <c r="VWC109" s="139"/>
      <c r="VWD109" s="139"/>
      <c r="VWE109" s="139"/>
      <c r="VWF109" s="139"/>
      <c r="VWG109" s="139"/>
      <c r="VWH109" s="139"/>
      <c r="VWI109" s="139"/>
      <c r="VWJ109" s="139"/>
      <c r="VWK109" s="139"/>
      <c r="VWL109" s="139"/>
      <c r="VWM109" s="139"/>
      <c r="VWN109" s="139"/>
      <c r="VWO109" s="139"/>
      <c r="VWP109" s="139"/>
      <c r="VWQ109" s="139"/>
      <c r="VWR109" s="139"/>
      <c r="VWS109" s="139"/>
      <c r="VWT109" s="139"/>
      <c r="VWU109" s="139"/>
      <c r="VWV109" s="139"/>
      <c r="VWW109" s="139"/>
      <c r="VWX109" s="139"/>
      <c r="VWY109" s="139"/>
      <c r="VWZ109" s="139"/>
      <c r="VXA109" s="139"/>
      <c r="VXB109" s="139"/>
      <c r="VXC109" s="139"/>
      <c r="VXD109" s="139"/>
      <c r="VXE109" s="139"/>
      <c r="VXF109" s="139"/>
      <c r="VXG109" s="139"/>
      <c r="VXH109" s="139"/>
      <c r="VXI109" s="139"/>
      <c r="VXJ109" s="139"/>
      <c r="VXK109" s="139"/>
      <c r="VXL109" s="139"/>
      <c r="VXM109" s="139"/>
      <c r="VXN109" s="139"/>
      <c r="VXO109" s="139"/>
      <c r="VXP109" s="139"/>
      <c r="VXQ109" s="139"/>
      <c r="VXR109" s="139"/>
      <c r="VXS109" s="139"/>
      <c r="VXT109" s="139"/>
      <c r="VXU109" s="139"/>
      <c r="VXV109" s="139"/>
      <c r="VXW109" s="139"/>
      <c r="VXX109" s="139"/>
      <c r="VXY109" s="139"/>
      <c r="VXZ109" s="139"/>
      <c r="VYA109" s="139"/>
      <c r="VYB109" s="139"/>
      <c r="VYC109" s="139"/>
      <c r="VYD109" s="139"/>
      <c r="VYE109" s="139"/>
      <c r="VYF109" s="139"/>
      <c r="VYG109" s="139"/>
      <c r="VYH109" s="139"/>
      <c r="VYI109" s="139"/>
      <c r="VYJ109" s="139"/>
      <c r="VYK109" s="139"/>
      <c r="VYL109" s="139"/>
      <c r="VYM109" s="139"/>
      <c r="VYN109" s="139"/>
      <c r="VYO109" s="139"/>
      <c r="VYP109" s="139"/>
      <c r="VYQ109" s="139"/>
      <c r="VYR109" s="139"/>
      <c r="VYS109" s="139"/>
      <c r="VYT109" s="139"/>
      <c r="VYU109" s="139"/>
      <c r="VYV109" s="139"/>
      <c r="VYW109" s="139"/>
      <c r="VYX109" s="139"/>
      <c r="VYY109" s="139"/>
      <c r="VYZ109" s="139"/>
      <c r="VZA109" s="139"/>
      <c r="VZB109" s="139"/>
      <c r="VZC109" s="139"/>
      <c r="VZD109" s="139"/>
      <c r="VZE109" s="139"/>
      <c r="VZF109" s="139"/>
      <c r="VZG109" s="139"/>
      <c r="VZH109" s="139"/>
      <c r="VZI109" s="139"/>
      <c r="VZJ109" s="139"/>
      <c r="VZK109" s="139"/>
      <c r="VZL109" s="139"/>
      <c r="VZM109" s="139"/>
      <c r="VZN109" s="139"/>
      <c r="VZO109" s="139"/>
      <c r="VZP109" s="139"/>
      <c r="VZQ109" s="139"/>
      <c r="VZR109" s="139"/>
      <c r="VZS109" s="139"/>
      <c r="VZT109" s="139"/>
      <c r="VZU109" s="139"/>
      <c r="VZV109" s="139"/>
      <c r="VZW109" s="139"/>
      <c r="VZX109" s="139"/>
      <c r="VZY109" s="139"/>
      <c r="VZZ109" s="139"/>
      <c r="WAA109" s="139"/>
      <c r="WAB109" s="139"/>
      <c r="WAC109" s="139"/>
      <c r="WAD109" s="139"/>
      <c r="WAE109" s="139"/>
      <c r="WAF109" s="139"/>
      <c r="WAG109" s="139"/>
      <c r="WAH109" s="139"/>
      <c r="WAI109" s="139"/>
      <c r="WAJ109" s="139"/>
      <c r="WAK109" s="139"/>
      <c r="WAL109" s="139"/>
      <c r="WAM109" s="139"/>
      <c r="WAN109" s="139"/>
      <c r="WAO109" s="139"/>
      <c r="WAP109" s="139"/>
      <c r="WAQ109" s="139"/>
      <c r="WAR109" s="139"/>
      <c r="WAS109" s="139"/>
      <c r="WAT109" s="139"/>
      <c r="WAU109" s="139"/>
      <c r="WAV109" s="139"/>
      <c r="WAW109" s="139"/>
      <c r="WAX109" s="139"/>
      <c r="WAY109" s="139"/>
      <c r="WAZ109" s="139"/>
      <c r="WBA109" s="139"/>
      <c r="WBB109" s="139"/>
      <c r="WBC109" s="139"/>
      <c r="WBD109" s="139"/>
      <c r="WBE109" s="139"/>
      <c r="WBF109" s="139"/>
      <c r="WBG109" s="139"/>
      <c r="WBH109" s="139"/>
      <c r="WBI109" s="139"/>
      <c r="WBJ109" s="139"/>
      <c r="WBK109" s="139"/>
      <c r="WBL109" s="139"/>
      <c r="WBM109" s="139"/>
      <c r="WBN109" s="139"/>
      <c r="WBO109" s="139"/>
      <c r="WBP109" s="139"/>
      <c r="WBQ109" s="139"/>
      <c r="WBR109" s="139"/>
      <c r="WBS109" s="139"/>
      <c r="WBT109" s="139"/>
      <c r="WBU109" s="139"/>
      <c r="WBV109" s="139"/>
      <c r="WBW109" s="139"/>
      <c r="WBX109" s="139"/>
      <c r="WBY109" s="139"/>
      <c r="WBZ109" s="139"/>
      <c r="WCA109" s="139"/>
      <c r="WCB109" s="139"/>
      <c r="WCC109" s="139"/>
      <c r="WCD109" s="139"/>
      <c r="WCE109" s="139"/>
      <c r="WCF109" s="139"/>
      <c r="WCG109" s="139"/>
      <c r="WCH109" s="139"/>
      <c r="WCI109" s="139"/>
      <c r="WCJ109" s="139"/>
      <c r="WCK109" s="139"/>
      <c r="WCL109" s="139"/>
      <c r="WCM109" s="139"/>
      <c r="WCN109" s="139"/>
      <c r="WCO109" s="139"/>
      <c r="WCP109" s="139"/>
      <c r="WCQ109" s="139"/>
      <c r="WCR109" s="139"/>
      <c r="WCS109" s="139"/>
      <c r="WCT109" s="139"/>
      <c r="WCU109" s="139"/>
      <c r="WCV109" s="139"/>
      <c r="WCW109" s="139"/>
      <c r="WCX109" s="139"/>
      <c r="WCY109" s="139"/>
      <c r="WCZ109" s="139"/>
      <c r="WDA109" s="139"/>
      <c r="WDB109" s="139"/>
      <c r="WDC109" s="139"/>
      <c r="WDD109" s="139"/>
      <c r="WDE109" s="139"/>
      <c r="WDF109" s="139"/>
      <c r="WDG109" s="139"/>
      <c r="WDH109" s="139"/>
      <c r="WDI109" s="139"/>
      <c r="WDJ109" s="139"/>
      <c r="WDK109" s="139"/>
      <c r="WDL109" s="139"/>
      <c r="WDM109" s="139"/>
      <c r="WDN109" s="139"/>
      <c r="WDO109" s="139"/>
      <c r="WDP109" s="139"/>
      <c r="WDQ109" s="139"/>
      <c r="WDR109" s="139"/>
      <c r="WDS109" s="139"/>
      <c r="WDT109" s="139"/>
      <c r="WDU109" s="139"/>
      <c r="WDV109" s="139"/>
      <c r="WDW109" s="139"/>
      <c r="WDX109" s="139"/>
      <c r="WDY109" s="139"/>
      <c r="WDZ109" s="139"/>
      <c r="WEA109" s="139"/>
      <c r="WEB109" s="139"/>
      <c r="WEC109" s="139"/>
      <c r="WED109" s="139"/>
      <c r="WEE109" s="139"/>
      <c r="WEF109" s="139"/>
      <c r="WEG109" s="139"/>
      <c r="WEH109" s="139"/>
      <c r="WEI109" s="139"/>
      <c r="WEJ109" s="139"/>
      <c r="WEK109" s="139"/>
      <c r="WEL109" s="139"/>
      <c r="WEM109" s="139"/>
      <c r="WEN109" s="139"/>
      <c r="WEO109" s="139"/>
      <c r="WEP109" s="139"/>
      <c r="WEQ109" s="139"/>
      <c r="WER109" s="139"/>
      <c r="WES109" s="139"/>
      <c r="WET109" s="139"/>
      <c r="WEU109" s="139"/>
      <c r="WEV109" s="139"/>
      <c r="WEW109" s="139"/>
      <c r="WEX109" s="139"/>
      <c r="WEY109" s="139"/>
      <c r="WEZ109" s="139"/>
      <c r="WFA109" s="139"/>
      <c r="WFB109" s="139"/>
      <c r="WFC109" s="139"/>
      <c r="WFD109" s="139"/>
      <c r="WFE109" s="139"/>
      <c r="WFF109" s="139"/>
      <c r="WFG109" s="139"/>
      <c r="WFH109" s="139"/>
      <c r="WFI109" s="139"/>
      <c r="WFJ109" s="139"/>
      <c r="WFK109" s="139"/>
      <c r="WFL109" s="139"/>
      <c r="WFM109" s="139"/>
      <c r="WFN109" s="139"/>
      <c r="WFO109" s="139"/>
      <c r="WFP109" s="139"/>
      <c r="WFQ109" s="139"/>
      <c r="WFR109" s="139"/>
      <c r="WFS109" s="139"/>
      <c r="WFT109" s="139"/>
      <c r="WFU109" s="139"/>
      <c r="WFV109" s="139"/>
      <c r="WFW109" s="139"/>
      <c r="WFX109" s="139"/>
      <c r="WFY109" s="139"/>
      <c r="WFZ109" s="139"/>
      <c r="WGA109" s="139"/>
      <c r="WGB109" s="139"/>
      <c r="WGC109" s="139"/>
      <c r="WGD109" s="139"/>
      <c r="WGE109" s="139"/>
      <c r="WGF109" s="139"/>
      <c r="WGG109" s="139"/>
      <c r="WGH109" s="139"/>
      <c r="WGI109" s="139"/>
      <c r="WGJ109" s="139"/>
      <c r="WGK109" s="139"/>
      <c r="WGL109" s="139"/>
      <c r="WGM109" s="139"/>
      <c r="WGN109" s="139"/>
      <c r="WGO109" s="139"/>
      <c r="WGP109" s="139"/>
      <c r="WGQ109" s="139"/>
      <c r="WGR109" s="139"/>
      <c r="WGS109" s="139"/>
      <c r="WGT109" s="139"/>
      <c r="WGU109" s="139"/>
      <c r="WGV109" s="139"/>
      <c r="WGW109" s="139"/>
      <c r="WGX109" s="139"/>
      <c r="WGY109" s="139"/>
      <c r="WGZ109" s="139"/>
      <c r="WHA109" s="139"/>
      <c r="WHB109" s="139"/>
      <c r="WHC109" s="139"/>
      <c r="WHD109" s="139"/>
      <c r="WHE109" s="139"/>
      <c r="WHF109" s="139"/>
      <c r="WHG109" s="139"/>
      <c r="WHH109" s="139"/>
      <c r="WHI109" s="139"/>
      <c r="WHJ109" s="139"/>
      <c r="WHK109" s="139"/>
      <c r="WHL109" s="139"/>
      <c r="WHM109" s="139"/>
      <c r="WHN109" s="139"/>
      <c r="WHO109" s="139"/>
      <c r="WHP109" s="139"/>
      <c r="WHQ109" s="139"/>
      <c r="WHR109" s="139"/>
      <c r="WHS109" s="139"/>
      <c r="WHT109" s="139"/>
      <c r="WHU109" s="139"/>
      <c r="WHV109" s="139"/>
      <c r="WHW109" s="139"/>
      <c r="WHX109" s="139"/>
      <c r="WHY109" s="139"/>
      <c r="WHZ109" s="139"/>
      <c r="WIA109" s="139"/>
      <c r="WIB109" s="139"/>
      <c r="WIC109" s="139"/>
      <c r="WID109" s="139"/>
      <c r="WIE109" s="139"/>
      <c r="WIF109" s="139"/>
      <c r="WIG109" s="139"/>
      <c r="WIH109" s="139"/>
      <c r="WII109" s="139"/>
      <c r="WIJ109" s="139"/>
      <c r="WIK109" s="139"/>
      <c r="WIL109" s="139"/>
      <c r="WIM109" s="139"/>
      <c r="WIN109" s="139"/>
      <c r="WIO109" s="139"/>
      <c r="WIP109" s="139"/>
      <c r="WIQ109" s="139"/>
      <c r="WIR109" s="139"/>
      <c r="WIS109" s="139"/>
      <c r="WIT109" s="139"/>
      <c r="WIU109" s="139"/>
      <c r="WIV109" s="139"/>
      <c r="WIW109" s="139"/>
      <c r="WIX109" s="139"/>
      <c r="WIY109" s="139"/>
      <c r="WIZ109" s="139"/>
      <c r="WJA109" s="139"/>
      <c r="WJB109" s="139"/>
      <c r="WJC109" s="139"/>
      <c r="WJD109" s="139"/>
      <c r="WJE109" s="139"/>
      <c r="WJF109" s="139"/>
      <c r="WJG109" s="139"/>
      <c r="WJH109" s="139"/>
      <c r="WJI109" s="139"/>
      <c r="WJJ109" s="139"/>
      <c r="WJK109" s="139"/>
      <c r="WJL109" s="139"/>
      <c r="WJM109" s="139"/>
      <c r="WJN109" s="139"/>
      <c r="WJO109" s="139"/>
      <c r="WJP109" s="139"/>
      <c r="WJQ109" s="139"/>
      <c r="WJR109" s="139"/>
      <c r="WJS109" s="139"/>
      <c r="WJT109" s="139"/>
      <c r="WJU109" s="139"/>
      <c r="WJV109" s="139"/>
      <c r="WJW109" s="139"/>
      <c r="WJX109" s="139"/>
      <c r="WJY109" s="139"/>
      <c r="WJZ109" s="139"/>
      <c r="WKA109" s="139"/>
      <c r="WKB109" s="139"/>
      <c r="WKC109" s="139"/>
      <c r="WKD109" s="139"/>
      <c r="WKE109" s="139"/>
      <c r="WKF109" s="139"/>
      <c r="WKG109" s="139"/>
      <c r="WKH109" s="139"/>
      <c r="WKI109" s="139"/>
      <c r="WKJ109" s="139"/>
      <c r="WKK109" s="139"/>
      <c r="WKL109" s="139"/>
      <c r="WKM109" s="139"/>
      <c r="WKN109" s="139"/>
      <c r="WKO109" s="139"/>
      <c r="WKP109" s="139"/>
      <c r="WKQ109" s="139"/>
      <c r="WKR109" s="139"/>
      <c r="WKS109" s="139"/>
      <c r="WKT109" s="139"/>
      <c r="WKU109" s="139"/>
      <c r="WKV109" s="139"/>
      <c r="WKW109" s="139"/>
      <c r="WKX109" s="139"/>
      <c r="WKY109" s="139"/>
      <c r="WKZ109" s="139"/>
      <c r="WLA109" s="139"/>
      <c r="WLB109" s="139"/>
      <c r="WLC109" s="139"/>
      <c r="WLD109" s="139"/>
      <c r="WLE109" s="139"/>
      <c r="WLF109" s="139"/>
      <c r="WLG109" s="139"/>
      <c r="WLH109" s="139"/>
      <c r="WLI109" s="139"/>
      <c r="WLJ109" s="139"/>
      <c r="WLK109" s="139"/>
      <c r="WLL109" s="139"/>
      <c r="WLM109" s="139"/>
      <c r="WLN109" s="139"/>
      <c r="WLO109" s="139"/>
      <c r="WLP109" s="139"/>
      <c r="WLQ109" s="139"/>
      <c r="WLR109" s="139"/>
      <c r="WLS109" s="139"/>
      <c r="WLT109" s="139"/>
      <c r="WLU109" s="139"/>
      <c r="WLV109" s="139"/>
      <c r="WLW109" s="139"/>
      <c r="WLX109" s="139"/>
      <c r="WLY109" s="139"/>
      <c r="WLZ109" s="139"/>
      <c r="WMA109" s="139"/>
      <c r="WMB109" s="139"/>
      <c r="WMC109" s="139"/>
      <c r="WMD109" s="139"/>
      <c r="WME109" s="139"/>
      <c r="WMF109" s="139"/>
      <c r="WMG109" s="139"/>
      <c r="WMH109" s="139"/>
      <c r="WMI109" s="139"/>
      <c r="WMJ109" s="139"/>
      <c r="WMK109" s="139"/>
      <c r="WML109" s="139"/>
      <c r="WMM109" s="139"/>
      <c r="WMN109" s="139"/>
      <c r="WMO109" s="139"/>
      <c r="WMP109" s="139"/>
      <c r="WMQ109" s="139"/>
      <c r="WMR109" s="139"/>
      <c r="WMS109" s="139"/>
      <c r="WMT109" s="139"/>
      <c r="WMU109" s="139"/>
      <c r="WMV109" s="139"/>
      <c r="WMW109" s="139"/>
      <c r="WMX109" s="139"/>
      <c r="WMY109" s="139"/>
      <c r="WMZ109" s="139"/>
      <c r="WNA109" s="139"/>
      <c r="WNB109" s="139"/>
      <c r="WNC109" s="139"/>
      <c r="WND109" s="139"/>
      <c r="WNE109" s="139"/>
      <c r="WNF109" s="139"/>
      <c r="WNG109" s="139"/>
      <c r="WNH109" s="139"/>
      <c r="WNI109" s="139"/>
      <c r="WNJ109" s="139"/>
      <c r="WNK109" s="139"/>
      <c r="WNL109" s="139"/>
      <c r="WNM109" s="139"/>
      <c r="WNN109" s="139"/>
      <c r="WNO109" s="139"/>
      <c r="WNP109" s="139"/>
      <c r="WNQ109" s="139"/>
      <c r="WNR109" s="139"/>
      <c r="WNS109" s="139"/>
      <c r="WNT109" s="139"/>
      <c r="WNU109" s="139"/>
      <c r="WNV109" s="139"/>
      <c r="WNW109" s="139"/>
      <c r="WNX109" s="139"/>
      <c r="WNY109" s="139"/>
      <c r="WNZ109" s="139"/>
      <c r="WOA109" s="139"/>
      <c r="WOB109" s="139"/>
      <c r="WOC109" s="139"/>
      <c r="WOD109" s="139"/>
      <c r="WOE109" s="139"/>
      <c r="WOF109" s="139"/>
      <c r="WOG109" s="139"/>
      <c r="WOH109" s="139"/>
      <c r="WOI109" s="139"/>
      <c r="WOJ109" s="139"/>
      <c r="WOK109" s="139"/>
      <c r="WOL109" s="139"/>
      <c r="WOM109" s="139"/>
      <c r="WON109" s="139"/>
      <c r="WOO109" s="139"/>
      <c r="WOP109" s="139"/>
      <c r="WOQ109" s="139"/>
      <c r="WOR109" s="139"/>
      <c r="WOS109" s="139"/>
      <c r="WOT109" s="139"/>
      <c r="WOU109" s="139"/>
      <c r="WOV109" s="139"/>
      <c r="WOW109" s="139"/>
      <c r="WOX109" s="139"/>
      <c r="WOY109" s="139"/>
      <c r="WOZ109" s="139"/>
      <c r="WPA109" s="139"/>
      <c r="WPB109" s="139"/>
      <c r="WPC109" s="139"/>
      <c r="WPD109" s="139"/>
      <c r="WPE109" s="139"/>
      <c r="WPF109" s="139"/>
      <c r="WPG109" s="139"/>
      <c r="WPH109" s="139"/>
      <c r="WPI109" s="139"/>
      <c r="WPJ109" s="139"/>
      <c r="WPK109" s="139"/>
      <c r="WPL109" s="139"/>
      <c r="WPM109" s="139"/>
      <c r="WPN109" s="139"/>
      <c r="WPO109" s="139"/>
      <c r="WPP109" s="139"/>
      <c r="WPQ109" s="139"/>
      <c r="WPR109" s="139"/>
      <c r="WPS109" s="139"/>
      <c r="WPT109" s="139"/>
      <c r="WPU109" s="139"/>
      <c r="WPV109" s="139"/>
      <c r="WPW109" s="139"/>
      <c r="WPX109" s="139"/>
      <c r="WPY109" s="139"/>
      <c r="WPZ109" s="139"/>
      <c r="WQA109" s="139"/>
      <c r="WQB109" s="139"/>
      <c r="WQC109" s="139"/>
      <c r="WQD109" s="139"/>
      <c r="WQE109" s="139"/>
      <c r="WQF109" s="139"/>
      <c r="WQG109" s="139"/>
      <c r="WQH109" s="139"/>
      <c r="WQI109" s="139"/>
      <c r="WQJ109" s="139"/>
      <c r="WQK109" s="139"/>
      <c r="WQL109" s="139"/>
      <c r="WQM109" s="139"/>
      <c r="WQN109" s="139"/>
      <c r="WQO109" s="139"/>
      <c r="WQP109" s="139"/>
      <c r="WQQ109" s="139"/>
      <c r="WQR109" s="139"/>
      <c r="WQS109" s="139"/>
      <c r="WQT109" s="139"/>
      <c r="WQU109" s="139"/>
      <c r="WQV109" s="139"/>
      <c r="WQW109" s="139"/>
      <c r="WQX109" s="139"/>
      <c r="WQY109" s="139"/>
      <c r="WQZ109" s="139"/>
      <c r="WRA109" s="139"/>
      <c r="WRB109" s="139"/>
      <c r="WRC109" s="139"/>
      <c r="WRD109" s="139"/>
      <c r="WRE109" s="139"/>
      <c r="WRF109" s="139"/>
      <c r="WRG109" s="139"/>
      <c r="WRH109" s="139"/>
      <c r="WRI109" s="139"/>
      <c r="WRJ109" s="139"/>
      <c r="WRK109" s="139"/>
      <c r="WRL109" s="139"/>
      <c r="WRM109" s="139"/>
      <c r="WRN109" s="139"/>
      <c r="WRO109" s="139"/>
      <c r="WRP109" s="139"/>
      <c r="WRQ109" s="139"/>
      <c r="WRR109" s="139"/>
      <c r="WRS109" s="139"/>
      <c r="WRT109" s="139"/>
      <c r="WRU109" s="139"/>
      <c r="WRV109" s="139"/>
      <c r="WRW109" s="139"/>
      <c r="WRX109" s="139"/>
      <c r="WRY109" s="139"/>
      <c r="WRZ109" s="139"/>
      <c r="WSA109" s="139"/>
      <c r="WSB109" s="139"/>
      <c r="WSC109" s="139"/>
      <c r="WSD109" s="139"/>
      <c r="WSE109" s="139"/>
      <c r="WSF109" s="139"/>
      <c r="WSG109" s="139"/>
      <c r="WSH109" s="139"/>
      <c r="WSI109" s="139"/>
      <c r="WSJ109" s="139"/>
      <c r="WSK109" s="139"/>
      <c r="WSL109" s="139"/>
      <c r="WSM109" s="139"/>
      <c r="WSN109" s="139"/>
      <c r="WSO109" s="139"/>
      <c r="WSP109" s="139"/>
      <c r="WSQ109" s="139"/>
      <c r="WSR109" s="139"/>
      <c r="WSS109" s="139"/>
      <c r="WST109" s="139"/>
      <c r="WSU109" s="139"/>
      <c r="WSV109" s="139"/>
      <c r="WSW109" s="139"/>
      <c r="WSX109" s="139"/>
      <c r="WSY109" s="139"/>
      <c r="WSZ109" s="139"/>
      <c r="WTA109" s="139"/>
      <c r="WTB109" s="139"/>
      <c r="WTC109" s="139"/>
      <c r="WTD109" s="139"/>
      <c r="WTE109" s="139"/>
      <c r="WTF109" s="139"/>
      <c r="WTG109" s="139"/>
      <c r="WTH109" s="139"/>
      <c r="WTI109" s="139"/>
      <c r="WTJ109" s="139"/>
      <c r="WTK109" s="139"/>
      <c r="WTL109" s="139"/>
      <c r="WTM109" s="139"/>
      <c r="WTN109" s="139"/>
      <c r="WTO109" s="139"/>
      <c r="WTP109" s="139"/>
      <c r="WTQ109" s="139"/>
      <c r="WTR109" s="139"/>
      <c r="WTS109" s="139"/>
      <c r="WTT109" s="139"/>
      <c r="WTU109" s="139"/>
      <c r="WTV109" s="139"/>
      <c r="WTW109" s="139"/>
      <c r="WTX109" s="139"/>
      <c r="WTY109" s="139"/>
      <c r="WTZ109" s="139"/>
      <c r="WUA109" s="139"/>
      <c r="WUB109" s="139"/>
      <c r="WUC109" s="139"/>
      <c r="WUD109" s="139"/>
      <c r="WUE109" s="139"/>
      <c r="WUF109" s="139"/>
      <c r="WUG109" s="139"/>
      <c r="WUH109" s="139"/>
      <c r="WUI109" s="139"/>
      <c r="WUJ109" s="139"/>
      <c r="WUK109" s="139"/>
      <c r="WUL109" s="139"/>
      <c r="WUM109" s="139"/>
      <c r="WUN109" s="139"/>
      <c r="WUO109" s="139"/>
      <c r="WUP109" s="139"/>
      <c r="WUQ109" s="139"/>
      <c r="WUR109" s="139"/>
      <c r="WUS109" s="139"/>
      <c r="WUT109" s="139"/>
      <c r="WUU109" s="139"/>
      <c r="WUV109" s="139"/>
      <c r="WUW109" s="139"/>
      <c r="WUX109" s="139"/>
      <c r="WUY109" s="139"/>
      <c r="WUZ109" s="139"/>
      <c r="WVA109" s="139"/>
      <c r="WVB109" s="139"/>
      <c r="WVC109" s="139"/>
      <c r="WVD109" s="139"/>
      <c r="WVE109" s="139"/>
      <c r="WVF109" s="139"/>
      <c r="WVG109" s="139"/>
      <c r="WVH109" s="139"/>
      <c r="WVI109" s="139"/>
      <c r="WVJ109" s="139"/>
      <c r="WVK109" s="139"/>
      <c r="WVL109" s="139"/>
      <c r="WVM109" s="139"/>
      <c r="WVN109" s="139"/>
      <c r="WVO109" s="139"/>
      <c r="WVP109" s="139"/>
      <c r="WVQ109" s="139"/>
      <c r="WVR109" s="139"/>
      <c r="WVS109" s="139"/>
      <c r="WVT109" s="139"/>
      <c r="WVU109" s="139"/>
      <c r="WVV109" s="139"/>
      <c r="WVW109" s="139"/>
    </row>
    <row r="110" spans="1:16143" s="140" customFormat="1" x14ac:dyDescent="0.2">
      <c r="A110" s="139"/>
      <c r="B110" s="635" t="s">
        <v>357</v>
      </c>
      <c r="C110" s="338" t="str">
        <f t="shared" ref="C110:N110" si="28">+IF(C5&lt;&gt;0,"Ok","")</f>
        <v>Ok</v>
      </c>
      <c r="D110" s="338" t="str">
        <f t="shared" si="28"/>
        <v>Ok</v>
      </c>
      <c r="E110" s="338" t="str">
        <f t="shared" si="28"/>
        <v>Ok</v>
      </c>
      <c r="F110" s="338" t="str">
        <f t="shared" si="28"/>
        <v>Ok</v>
      </c>
      <c r="G110" s="338" t="str">
        <f t="shared" si="28"/>
        <v>Ok</v>
      </c>
      <c r="H110" s="338" t="str">
        <f t="shared" si="28"/>
        <v>Ok</v>
      </c>
      <c r="I110" s="338" t="str">
        <f t="shared" si="28"/>
        <v>Ok</v>
      </c>
      <c r="J110" s="338" t="str">
        <f t="shared" si="28"/>
        <v>Ok</v>
      </c>
      <c r="K110" s="338" t="str">
        <f t="shared" si="28"/>
        <v/>
      </c>
      <c r="L110" s="338" t="str">
        <f t="shared" si="28"/>
        <v/>
      </c>
      <c r="M110" s="338" t="str">
        <f t="shared" si="28"/>
        <v/>
      </c>
      <c r="N110" s="338" t="str">
        <f t="shared" si="28"/>
        <v/>
      </c>
      <c r="Q110" s="171"/>
      <c r="R110" s="171"/>
      <c r="S110" s="139"/>
      <c r="T110" s="139"/>
      <c r="U110" s="139"/>
      <c r="V110" s="139"/>
      <c r="W110" s="139"/>
      <c r="X110" s="139"/>
      <c r="Y110" s="139"/>
      <c r="Z110" s="139"/>
      <c r="AA110" s="139"/>
      <c r="AB110" s="139"/>
      <c r="AC110" s="139"/>
      <c r="AD110" s="139"/>
      <c r="AE110" s="139"/>
      <c r="AF110" s="139"/>
      <c r="AG110" s="139"/>
      <c r="AH110" s="139"/>
      <c r="AI110" s="139"/>
      <c r="AJ110" s="139"/>
      <c r="AK110" s="139"/>
      <c r="AL110" s="139"/>
      <c r="AM110" s="139"/>
      <c r="AN110" s="139"/>
      <c r="AO110" s="139"/>
      <c r="AP110" s="139"/>
      <c r="AQ110" s="139"/>
      <c r="AR110" s="139"/>
      <c r="AS110" s="139"/>
      <c r="AT110" s="139"/>
      <c r="AU110" s="139"/>
      <c r="AV110" s="139"/>
      <c r="AW110" s="139"/>
      <c r="AX110" s="139"/>
      <c r="AY110" s="139"/>
      <c r="AZ110" s="139"/>
      <c r="BA110" s="139"/>
      <c r="BB110" s="139"/>
      <c r="BC110" s="139"/>
      <c r="BD110" s="139"/>
      <c r="BE110" s="139"/>
      <c r="BF110" s="139"/>
      <c r="BG110" s="139"/>
      <c r="BH110" s="139"/>
      <c r="BI110" s="139"/>
      <c r="BJ110" s="139"/>
      <c r="BK110" s="139"/>
      <c r="BL110" s="139"/>
      <c r="BM110" s="139"/>
      <c r="BN110" s="139"/>
      <c r="BO110" s="139"/>
      <c r="BP110" s="139"/>
      <c r="BQ110" s="139"/>
      <c r="BR110" s="139"/>
      <c r="BS110" s="139"/>
      <c r="BT110" s="139"/>
      <c r="BU110" s="139"/>
      <c r="BV110" s="139"/>
      <c r="BW110" s="139"/>
      <c r="BX110" s="139"/>
      <c r="BY110" s="139"/>
      <c r="BZ110" s="139"/>
      <c r="CA110" s="139"/>
      <c r="CB110" s="139"/>
      <c r="CC110" s="139"/>
      <c r="CD110" s="139"/>
      <c r="CE110" s="139"/>
      <c r="CF110" s="139"/>
      <c r="CG110" s="139"/>
      <c r="CH110" s="139"/>
      <c r="CI110" s="139"/>
      <c r="CJ110" s="139"/>
      <c r="CK110" s="139"/>
      <c r="CL110" s="139"/>
      <c r="CM110" s="139"/>
      <c r="CN110" s="139"/>
      <c r="CO110" s="139"/>
      <c r="CP110" s="139"/>
      <c r="CQ110" s="139"/>
      <c r="CR110" s="139"/>
      <c r="CS110" s="139"/>
      <c r="CT110" s="139"/>
      <c r="CU110" s="139"/>
      <c r="CV110" s="139"/>
      <c r="CW110" s="139"/>
      <c r="CX110" s="139"/>
      <c r="CY110" s="139"/>
      <c r="CZ110" s="139"/>
      <c r="DA110" s="139"/>
      <c r="DB110" s="139"/>
      <c r="DC110" s="139"/>
      <c r="DD110" s="139"/>
      <c r="DE110" s="139"/>
      <c r="DF110" s="139"/>
      <c r="DG110" s="139"/>
      <c r="DH110" s="139"/>
      <c r="DI110" s="139"/>
      <c r="DJ110" s="139"/>
      <c r="DK110" s="139"/>
      <c r="DL110" s="139"/>
      <c r="DM110" s="139"/>
      <c r="DN110" s="139"/>
      <c r="DO110" s="139"/>
      <c r="DP110" s="139"/>
      <c r="DQ110" s="139"/>
      <c r="DR110" s="139"/>
      <c r="DS110" s="139"/>
      <c r="DT110" s="139"/>
      <c r="DU110" s="139"/>
      <c r="DV110" s="139"/>
      <c r="DW110" s="139"/>
      <c r="DX110" s="139"/>
      <c r="DY110" s="139"/>
      <c r="DZ110" s="139"/>
      <c r="EA110" s="139"/>
      <c r="EB110" s="139"/>
      <c r="EC110" s="139"/>
      <c r="ED110" s="139"/>
      <c r="EE110" s="139"/>
      <c r="EF110" s="139"/>
      <c r="EG110" s="139"/>
      <c r="EH110" s="139"/>
      <c r="EI110" s="139"/>
      <c r="EJ110" s="139"/>
      <c r="EK110" s="139"/>
      <c r="EL110" s="139"/>
      <c r="EM110" s="139"/>
      <c r="EN110" s="139"/>
      <c r="EO110" s="139"/>
      <c r="EP110" s="139"/>
      <c r="EQ110" s="139"/>
      <c r="ER110" s="139"/>
      <c r="ES110" s="139"/>
      <c r="ET110" s="139"/>
      <c r="EU110" s="139"/>
      <c r="EV110" s="139"/>
      <c r="EW110" s="139"/>
      <c r="EX110" s="139"/>
      <c r="EY110" s="139"/>
      <c r="EZ110" s="139"/>
      <c r="FA110" s="139"/>
      <c r="FB110" s="139"/>
      <c r="FC110" s="139"/>
      <c r="FD110" s="139"/>
      <c r="FE110" s="139"/>
      <c r="FF110" s="139"/>
      <c r="FG110" s="139"/>
      <c r="FH110" s="139"/>
      <c r="FI110" s="139"/>
      <c r="FJ110" s="139"/>
      <c r="FK110" s="139"/>
      <c r="FL110" s="139"/>
      <c r="FM110" s="139"/>
      <c r="FN110" s="139"/>
      <c r="FO110" s="139"/>
      <c r="FP110" s="139"/>
      <c r="FQ110" s="139"/>
      <c r="FR110" s="139"/>
      <c r="FS110" s="139"/>
      <c r="FT110" s="139"/>
      <c r="FU110" s="139"/>
      <c r="FV110" s="139"/>
      <c r="FW110" s="139"/>
      <c r="FX110" s="139"/>
      <c r="FY110" s="139"/>
      <c r="FZ110" s="139"/>
      <c r="GA110" s="139"/>
      <c r="GB110" s="139"/>
      <c r="GC110" s="139"/>
      <c r="GD110" s="139"/>
      <c r="GE110" s="139"/>
      <c r="GF110" s="139"/>
      <c r="GG110" s="139"/>
      <c r="GH110" s="139"/>
      <c r="GI110" s="139"/>
      <c r="GJ110" s="139"/>
      <c r="GK110" s="139"/>
      <c r="GL110" s="139"/>
      <c r="GM110" s="139"/>
      <c r="GN110" s="139"/>
      <c r="GO110" s="139"/>
      <c r="GP110" s="139"/>
      <c r="GQ110" s="139"/>
      <c r="GR110" s="139"/>
      <c r="GS110" s="139"/>
      <c r="GT110" s="139"/>
      <c r="GU110" s="139"/>
      <c r="GV110" s="139"/>
      <c r="GW110" s="139"/>
      <c r="GX110" s="139"/>
      <c r="GY110" s="139"/>
      <c r="GZ110" s="139"/>
      <c r="HA110" s="139"/>
      <c r="HB110" s="139"/>
      <c r="HC110" s="139"/>
      <c r="HD110" s="139"/>
      <c r="HE110" s="139"/>
      <c r="HF110" s="139"/>
      <c r="HG110" s="139"/>
      <c r="HH110" s="139"/>
      <c r="HI110" s="139"/>
      <c r="HJ110" s="139"/>
      <c r="HK110" s="139"/>
      <c r="HL110" s="139"/>
      <c r="HM110" s="139"/>
      <c r="HN110" s="139"/>
      <c r="HO110" s="139"/>
      <c r="HP110" s="139"/>
      <c r="HQ110" s="139"/>
      <c r="HR110" s="139"/>
      <c r="HS110" s="139"/>
      <c r="HT110" s="139"/>
      <c r="HU110" s="139"/>
      <c r="HV110" s="139"/>
      <c r="HW110" s="139"/>
      <c r="HX110" s="139"/>
      <c r="HY110" s="139"/>
      <c r="HZ110" s="139"/>
      <c r="IA110" s="139"/>
      <c r="IB110" s="139"/>
      <c r="IC110" s="139"/>
      <c r="ID110" s="139"/>
      <c r="IE110" s="139"/>
      <c r="IF110" s="139"/>
      <c r="IG110" s="139"/>
      <c r="IH110" s="139"/>
      <c r="II110" s="139"/>
      <c r="IJ110" s="139"/>
      <c r="IK110" s="139"/>
      <c r="IL110" s="139"/>
      <c r="IM110" s="139"/>
      <c r="IN110" s="139"/>
      <c r="IO110" s="139"/>
      <c r="IP110" s="139"/>
      <c r="IQ110" s="139"/>
      <c r="IR110" s="139"/>
      <c r="IS110" s="139"/>
      <c r="IT110" s="139"/>
      <c r="IU110" s="139"/>
      <c r="IV110" s="139"/>
      <c r="IW110" s="139"/>
      <c r="IX110" s="139"/>
      <c r="IY110" s="139"/>
      <c r="IZ110" s="139"/>
      <c r="JA110" s="139"/>
      <c r="JB110" s="139"/>
      <c r="JC110" s="139"/>
      <c r="JD110" s="139"/>
      <c r="JE110" s="139"/>
      <c r="JF110" s="139"/>
      <c r="JG110" s="139"/>
      <c r="JH110" s="139"/>
      <c r="JI110" s="139"/>
      <c r="JJ110" s="139"/>
      <c r="JK110" s="139"/>
      <c r="JL110" s="139"/>
      <c r="JM110" s="139"/>
      <c r="JN110" s="139"/>
      <c r="JO110" s="139"/>
      <c r="JP110" s="139"/>
      <c r="JQ110" s="139"/>
      <c r="JR110" s="139"/>
      <c r="JS110" s="139"/>
      <c r="JT110" s="139"/>
      <c r="JU110" s="139"/>
      <c r="JV110" s="139"/>
      <c r="JW110" s="139"/>
      <c r="JX110" s="139"/>
      <c r="JY110" s="139"/>
      <c r="JZ110" s="139"/>
      <c r="KA110" s="139"/>
      <c r="KB110" s="139"/>
      <c r="KC110" s="139"/>
      <c r="KD110" s="139"/>
      <c r="KE110" s="139"/>
      <c r="KF110" s="139"/>
      <c r="KG110" s="139"/>
      <c r="KH110" s="139"/>
      <c r="KI110" s="139"/>
      <c r="KJ110" s="139"/>
      <c r="KK110" s="139"/>
      <c r="KL110" s="139"/>
      <c r="KM110" s="139"/>
      <c r="KN110" s="139"/>
      <c r="KO110" s="139"/>
      <c r="KP110" s="139"/>
      <c r="KQ110" s="139"/>
      <c r="KR110" s="139"/>
      <c r="KS110" s="139"/>
      <c r="KT110" s="139"/>
      <c r="KU110" s="139"/>
      <c r="KV110" s="139"/>
      <c r="KW110" s="139"/>
      <c r="KX110" s="139"/>
      <c r="KY110" s="139"/>
      <c r="KZ110" s="139"/>
      <c r="LA110" s="139"/>
      <c r="LB110" s="139"/>
      <c r="LC110" s="139"/>
      <c r="LD110" s="139"/>
      <c r="LE110" s="139"/>
      <c r="LF110" s="139"/>
      <c r="LG110" s="139"/>
      <c r="LH110" s="139"/>
      <c r="LI110" s="139"/>
      <c r="LJ110" s="139"/>
      <c r="LK110" s="139"/>
      <c r="LL110" s="139"/>
      <c r="LM110" s="139"/>
      <c r="LN110" s="139"/>
      <c r="LO110" s="139"/>
      <c r="LP110" s="139"/>
      <c r="LQ110" s="139"/>
      <c r="LR110" s="139"/>
      <c r="LS110" s="139"/>
      <c r="LT110" s="139"/>
      <c r="LU110" s="139"/>
      <c r="LV110" s="139"/>
      <c r="LW110" s="139"/>
      <c r="LX110" s="139"/>
      <c r="LY110" s="139"/>
      <c r="LZ110" s="139"/>
      <c r="MA110" s="139"/>
      <c r="MB110" s="139"/>
      <c r="MC110" s="139"/>
      <c r="MD110" s="139"/>
      <c r="ME110" s="139"/>
      <c r="MF110" s="139"/>
      <c r="MG110" s="139"/>
      <c r="MH110" s="139"/>
      <c r="MI110" s="139"/>
      <c r="MJ110" s="139"/>
      <c r="MK110" s="139"/>
      <c r="ML110" s="139"/>
      <c r="MM110" s="139"/>
      <c r="MN110" s="139"/>
      <c r="MO110" s="139"/>
      <c r="MP110" s="139"/>
      <c r="MQ110" s="139"/>
      <c r="MR110" s="139"/>
      <c r="MS110" s="139"/>
      <c r="MT110" s="139"/>
      <c r="MU110" s="139"/>
      <c r="MV110" s="139"/>
      <c r="MW110" s="139"/>
      <c r="MX110" s="139"/>
      <c r="MY110" s="139"/>
      <c r="MZ110" s="139"/>
      <c r="NA110" s="139"/>
      <c r="NB110" s="139"/>
      <c r="NC110" s="139"/>
      <c r="ND110" s="139"/>
      <c r="NE110" s="139"/>
      <c r="NF110" s="139"/>
      <c r="NG110" s="139"/>
      <c r="NH110" s="139"/>
      <c r="NI110" s="139"/>
      <c r="NJ110" s="139"/>
      <c r="NK110" s="139"/>
      <c r="NL110" s="139"/>
      <c r="NM110" s="139"/>
      <c r="NN110" s="139"/>
      <c r="NO110" s="139"/>
      <c r="NP110" s="139"/>
      <c r="NQ110" s="139"/>
      <c r="NR110" s="139"/>
      <c r="NS110" s="139"/>
      <c r="NT110" s="139"/>
      <c r="NU110" s="139"/>
      <c r="NV110" s="139"/>
      <c r="NW110" s="139"/>
      <c r="NX110" s="139"/>
      <c r="NY110" s="139"/>
      <c r="NZ110" s="139"/>
      <c r="OA110" s="139"/>
      <c r="OB110" s="139"/>
      <c r="OC110" s="139"/>
      <c r="OD110" s="139"/>
      <c r="OE110" s="139"/>
      <c r="OF110" s="139"/>
      <c r="OG110" s="139"/>
      <c r="OH110" s="139"/>
      <c r="OI110" s="139"/>
      <c r="OJ110" s="139"/>
      <c r="OK110" s="139"/>
      <c r="OL110" s="139"/>
      <c r="OM110" s="139"/>
      <c r="ON110" s="139"/>
      <c r="OO110" s="139"/>
      <c r="OP110" s="139"/>
      <c r="OQ110" s="139"/>
      <c r="OR110" s="139"/>
      <c r="OS110" s="139"/>
      <c r="OT110" s="139"/>
      <c r="OU110" s="139"/>
      <c r="OV110" s="139"/>
      <c r="OW110" s="139"/>
      <c r="OX110" s="139"/>
      <c r="OY110" s="139"/>
      <c r="OZ110" s="139"/>
      <c r="PA110" s="139"/>
      <c r="PB110" s="139"/>
      <c r="PC110" s="139"/>
      <c r="PD110" s="139"/>
      <c r="PE110" s="139"/>
      <c r="PF110" s="139"/>
      <c r="PG110" s="139"/>
      <c r="PH110" s="139"/>
      <c r="PI110" s="139"/>
      <c r="PJ110" s="139"/>
      <c r="PK110" s="139"/>
      <c r="PL110" s="139"/>
      <c r="PM110" s="139"/>
      <c r="PN110" s="139"/>
      <c r="PO110" s="139"/>
      <c r="PP110" s="139"/>
      <c r="PQ110" s="139"/>
      <c r="PR110" s="139"/>
      <c r="PS110" s="139"/>
      <c r="PT110" s="139"/>
      <c r="PU110" s="139"/>
      <c r="PV110" s="139"/>
      <c r="PW110" s="139"/>
      <c r="PX110" s="139"/>
      <c r="PY110" s="139"/>
      <c r="PZ110" s="139"/>
      <c r="QA110" s="139"/>
      <c r="QB110" s="139"/>
      <c r="QC110" s="139"/>
      <c r="QD110" s="139"/>
      <c r="QE110" s="139"/>
      <c r="QF110" s="139"/>
      <c r="QG110" s="139"/>
      <c r="QH110" s="139"/>
      <c r="QI110" s="139"/>
      <c r="QJ110" s="139"/>
      <c r="QK110" s="139"/>
      <c r="QL110" s="139"/>
      <c r="QM110" s="139"/>
      <c r="QN110" s="139"/>
      <c r="QO110" s="139"/>
      <c r="QP110" s="139"/>
      <c r="QQ110" s="139"/>
      <c r="QR110" s="139"/>
      <c r="QS110" s="139"/>
      <c r="QT110" s="139"/>
      <c r="QU110" s="139"/>
      <c r="QV110" s="139"/>
      <c r="QW110" s="139"/>
      <c r="QX110" s="139"/>
      <c r="QY110" s="139"/>
      <c r="QZ110" s="139"/>
      <c r="RA110" s="139"/>
      <c r="RB110" s="139"/>
      <c r="RC110" s="139"/>
      <c r="RD110" s="139"/>
      <c r="RE110" s="139"/>
      <c r="RF110" s="139"/>
      <c r="RG110" s="139"/>
      <c r="RH110" s="139"/>
      <c r="RI110" s="139"/>
      <c r="RJ110" s="139"/>
      <c r="RK110" s="139"/>
      <c r="RL110" s="139"/>
      <c r="RM110" s="139"/>
      <c r="RN110" s="139"/>
      <c r="RO110" s="139"/>
      <c r="RP110" s="139"/>
      <c r="RQ110" s="139"/>
      <c r="RR110" s="139"/>
      <c r="RS110" s="139"/>
      <c r="RT110" s="139"/>
      <c r="RU110" s="139"/>
      <c r="RV110" s="139"/>
      <c r="RW110" s="139"/>
      <c r="RX110" s="139"/>
      <c r="RY110" s="139"/>
      <c r="RZ110" s="139"/>
      <c r="SA110" s="139"/>
      <c r="SB110" s="139"/>
      <c r="SC110" s="139"/>
      <c r="SD110" s="139"/>
      <c r="SE110" s="139"/>
      <c r="SF110" s="139"/>
      <c r="SG110" s="139"/>
      <c r="SH110" s="139"/>
      <c r="SI110" s="139"/>
      <c r="SJ110" s="139"/>
      <c r="SK110" s="139"/>
      <c r="SL110" s="139"/>
      <c r="SM110" s="139"/>
      <c r="SN110" s="139"/>
      <c r="SO110" s="139"/>
      <c r="SP110" s="139"/>
      <c r="SQ110" s="139"/>
      <c r="SR110" s="139"/>
      <c r="SS110" s="139"/>
      <c r="ST110" s="139"/>
      <c r="SU110" s="139"/>
      <c r="SV110" s="139"/>
      <c r="SW110" s="139"/>
      <c r="SX110" s="139"/>
      <c r="SY110" s="139"/>
      <c r="SZ110" s="139"/>
      <c r="TA110" s="139"/>
      <c r="TB110" s="139"/>
      <c r="TC110" s="139"/>
      <c r="TD110" s="139"/>
      <c r="TE110" s="139"/>
      <c r="TF110" s="139"/>
      <c r="TG110" s="139"/>
      <c r="TH110" s="139"/>
      <c r="TI110" s="139"/>
      <c r="TJ110" s="139"/>
      <c r="TK110" s="139"/>
      <c r="TL110" s="139"/>
      <c r="TM110" s="139"/>
      <c r="TN110" s="139"/>
      <c r="TO110" s="139"/>
      <c r="TP110" s="139"/>
      <c r="TQ110" s="139"/>
      <c r="TR110" s="139"/>
      <c r="TS110" s="139"/>
      <c r="TT110" s="139"/>
      <c r="TU110" s="139"/>
      <c r="TV110" s="139"/>
      <c r="TW110" s="139"/>
      <c r="TX110" s="139"/>
      <c r="TY110" s="139"/>
      <c r="TZ110" s="139"/>
      <c r="UA110" s="139"/>
      <c r="UB110" s="139"/>
      <c r="UC110" s="139"/>
      <c r="UD110" s="139"/>
      <c r="UE110" s="139"/>
      <c r="UF110" s="139"/>
      <c r="UG110" s="139"/>
      <c r="UH110" s="139"/>
      <c r="UI110" s="139"/>
      <c r="UJ110" s="139"/>
      <c r="UK110" s="139"/>
      <c r="UL110" s="139"/>
      <c r="UM110" s="139"/>
      <c r="UN110" s="139"/>
      <c r="UO110" s="139"/>
      <c r="UP110" s="139"/>
      <c r="UQ110" s="139"/>
      <c r="UR110" s="139"/>
      <c r="US110" s="139"/>
      <c r="UT110" s="139"/>
      <c r="UU110" s="139"/>
      <c r="UV110" s="139"/>
      <c r="UW110" s="139"/>
      <c r="UX110" s="139"/>
      <c r="UY110" s="139"/>
      <c r="UZ110" s="139"/>
      <c r="VA110" s="139"/>
      <c r="VB110" s="139"/>
      <c r="VC110" s="139"/>
      <c r="VD110" s="139"/>
      <c r="VE110" s="139"/>
      <c r="VF110" s="139"/>
      <c r="VG110" s="139"/>
      <c r="VH110" s="139"/>
      <c r="VI110" s="139"/>
      <c r="VJ110" s="139"/>
      <c r="VK110" s="139"/>
      <c r="VL110" s="139"/>
      <c r="VM110" s="139"/>
      <c r="VN110" s="139"/>
      <c r="VO110" s="139"/>
      <c r="VP110" s="139"/>
      <c r="VQ110" s="139"/>
      <c r="VR110" s="139"/>
      <c r="VS110" s="139"/>
      <c r="VT110" s="139"/>
      <c r="VU110" s="139"/>
      <c r="VV110" s="139"/>
      <c r="VW110" s="139"/>
      <c r="VX110" s="139"/>
      <c r="VY110" s="139"/>
      <c r="VZ110" s="139"/>
      <c r="WA110" s="139"/>
      <c r="WB110" s="139"/>
      <c r="WC110" s="139"/>
      <c r="WD110" s="139"/>
      <c r="WE110" s="139"/>
      <c r="WF110" s="139"/>
      <c r="WG110" s="139"/>
      <c r="WH110" s="139"/>
      <c r="WI110" s="139"/>
      <c r="WJ110" s="139"/>
      <c r="WK110" s="139"/>
      <c r="WL110" s="139"/>
      <c r="WM110" s="139"/>
      <c r="WN110" s="139"/>
      <c r="WO110" s="139"/>
      <c r="WP110" s="139"/>
      <c r="WQ110" s="139"/>
      <c r="WR110" s="139"/>
      <c r="WS110" s="139"/>
      <c r="WT110" s="139"/>
      <c r="WU110" s="139"/>
      <c r="WV110" s="139"/>
      <c r="WW110" s="139"/>
      <c r="WX110" s="139"/>
      <c r="WY110" s="139"/>
      <c r="WZ110" s="139"/>
      <c r="XA110" s="139"/>
      <c r="XB110" s="139"/>
      <c r="XC110" s="139"/>
      <c r="XD110" s="139"/>
      <c r="XE110" s="139"/>
      <c r="XF110" s="139"/>
      <c r="XG110" s="139"/>
      <c r="XH110" s="139"/>
      <c r="XI110" s="139"/>
      <c r="XJ110" s="139"/>
      <c r="XK110" s="139"/>
      <c r="XL110" s="139"/>
      <c r="XM110" s="139"/>
      <c r="XN110" s="139"/>
      <c r="XO110" s="139"/>
      <c r="XP110" s="139"/>
      <c r="XQ110" s="139"/>
      <c r="XR110" s="139"/>
      <c r="XS110" s="139"/>
      <c r="XT110" s="139"/>
      <c r="XU110" s="139"/>
      <c r="XV110" s="139"/>
      <c r="XW110" s="139"/>
      <c r="XX110" s="139"/>
      <c r="XY110" s="139"/>
      <c r="XZ110" s="139"/>
      <c r="YA110" s="139"/>
      <c r="YB110" s="139"/>
      <c r="YC110" s="139"/>
      <c r="YD110" s="139"/>
      <c r="YE110" s="139"/>
      <c r="YF110" s="139"/>
      <c r="YG110" s="139"/>
      <c r="YH110" s="139"/>
      <c r="YI110" s="139"/>
      <c r="YJ110" s="139"/>
      <c r="YK110" s="139"/>
      <c r="YL110" s="139"/>
      <c r="YM110" s="139"/>
      <c r="YN110" s="139"/>
      <c r="YO110" s="139"/>
      <c r="YP110" s="139"/>
      <c r="YQ110" s="139"/>
      <c r="YR110" s="139"/>
      <c r="YS110" s="139"/>
      <c r="YT110" s="139"/>
      <c r="YU110" s="139"/>
      <c r="YV110" s="139"/>
      <c r="YW110" s="139"/>
      <c r="YX110" s="139"/>
      <c r="YY110" s="139"/>
      <c r="YZ110" s="139"/>
      <c r="ZA110" s="139"/>
      <c r="ZB110" s="139"/>
      <c r="ZC110" s="139"/>
      <c r="ZD110" s="139"/>
      <c r="ZE110" s="139"/>
      <c r="ZF110" s="139"/>
      <c r="ZG110" s="139"/>
      <c r="ZH110" s="139"/>
      <c r="ZI110" s="139"/>
      <c r="ZJ110" s="139"/>
      <c r="ZK110" s="139"/>
      <c r="ZL110" s="139"/>
      <c r="ZM110" s="139"/>
      <c r="ZN110" s="139"/>
      <c r="ZO110" s="139"/>
      <c r="ZP110" s="139"/>
      <c r="ZQ110" s="139"/>
      <c r="ZR110" s="139"/>
      <c r="ZS110" s="139"/>
      <c r="ZT110" s="139"/>
      <c r="ZU110" s="139"/>
      <c r="ZV110" s="139"/>
      <c r="ZW110" s="139"/>
      <c r="ZX110" s="139"/>
      <c r="ZY110" s="139"/>
      <c r="ZZ110" s="139"/>
      <c r="AAA110" s="139"/>
      <c r="AAB110" s="139"/>
      <c r="AAC110" s="139"/>
      <c r="AAD110" s="139"/>
      <c r="AAE110" s="139"/>
      <c r="AAF110" s="139"/>
      <c r="AAG110" s="139"/>
      <c r="AAH110" s="139"/>
      <c r="AAI110" s="139"/>
      <c r="AAJ110" s="139"/>
      <c r="AAK110" s="139"/>
      <c r="AAL110" s="139"/>
      <c r="AAM110" s="139"/>
      <c r="AAN110" s="139"/>
      <c r="AAO110" s="139"/>
      <c r="AAP110" s="139"/>
      <c r="AAQ110" s="139"/>
      <c r="AAR110" s="139"/>
      <c r="AAS110" s="139"/>
      <c r="AAT110" s="139"/>
      <c r="AAU110" s="139"/>
      <c r="AAV110" s="139"/>
      <c r="AAW110" s="139"/>
      <c r="AAX110" s="139"/>
      <c r="AAY110" s="139"/>
      <c r="AAZ110" s="139"/>
      <c r="ABA110" s="139"/>
      <c r="ABB110" s="139"/>
      <c r="ABC110" s="139"/>
      <c r="ABD110" s="139"/>
      <c r="ABE110" s="139"/>
      <c r="ABF110" s="139"/>
      <c r="ABG110" s="139"/>
      <c r="ABH110" s="139"/>
      <c r="ABI110" s="139"/>
      <c r="ABJ110" s="139"/>
      <c r="ABK110" s="139"/>
      <c r="ABL110" s="139"/>
      <c r="ABM110" s="139"/>
      <c r="ABN110" s="139"/>
      <c r="ABO110" s="139"/>
      <c r="ABP110" s="139"/>
      <c r="ABQ110" s="139"/>
      <c r="ABR110" s="139"/>
      <c r="ABS110" s="139"/>
      <c r="ABT110" s="139"/>
      <c r="ABU110" s="139"/>
      <c r="ABV110" s="139"/>
      <c r="ABW110" s="139"/>
      <c r="ABX110" s="139"/>
      <c r="ABY110" s="139"/>
      <c r="ABZ110" s="139"/>
      <c r="ACA110" s="139"/>
      <c r="ACB110" s="139"/>
      <c r="ACC110" s="139"/>
      <c r="ACD110" s="139"/>
      <c r="ACE110" s="139"/>
      <c r="ACF110" s="139"/>
      <c r="ACG110" s="139"/>
      <c r="ACH110" s="139"/>
      <c r="ACI110" s="139"/>
      <c r="ACJ110" s="139"/>
      <c r="ACK110" s="139"/>
      <c r="ACL110" s="139"/>
      <c r="ACM110" s="139"/>
      <c r="ACN110" s="139"/>
      <c r="ACO110" s="139"/>
      <c r="ACP110" s="139"/>
      <c r="ACQ110" s="139"/>
      <c r="ACR110" s="139"/>
      <c r="ACS110" s="139"/>
      <c r="ACT110" s="139"/>
      <c r="ACU110" s="139"/>
      <c r="ACV110" s="139"/>
      <c r="ACW110" s="139"/>
      <c r="ACX110" s="139"/>
      <c r="ACY110" s="139"/>
      <c r="ACZ110" s="139"/>
      <c r="ADA110" s="139"/>
      <c r="ADB110" s="139"/>
      <c r="ADC110" s="139"/>
      <c r="ADD110" s="139"/>
      <c r="ADE110" s="139"/>
      <c r="ADF110" s="139"/>
      <c r="ADG110" s="139"/>
      <c r="ADH110" s="139"/>
      <c r="ADI110" s="139"/>
      <c r="ADJ110" s="139"/>
      <c r="ADK110" s="139"/>
      <c r="ADL110" s="139"/>
      <c r="ADM110" s="139"/>
      <c r="ADN110" s="139"/>
      <c r="ADO110" s="139"/>
      <c r="ADP110" s="139"/>
      <c r="ADQ110" s="139"/>
      <c r="ADR110" s="139"/>
      <c r="ADS110" s="139"/>
      <c r="ADT110" s="139"/>
      <c r="ADU110" s="139"/>
      <c r="ADV110" s="139"/>
      <c r="ADW110" s="139"/>
      <c r="ADX110" s="139"/>
      <c r="ADY110" s="139"/>
      <c r="ADZ110" s="139"/>
      <c r="AEA110" s="139"/>
      <c r="AEB110" s="139"/>
      <c r="AEC110" s="139"/>
      <c r="AED110" s="139"/>
      <c r="AEE110" s="139"/>
      <c r="AEF110" s="139"/>
      <c r="AEG110" s="139"/>
      <c r="AEH110" s="139"/>
      <c r="AEI110" s="139"/>
      <c r="AEJ110" s="139"/>
      <c r="AEK110" s="139"/>
      <c r="AEL110" s="139"/>
      <c r="AEM110" s="139"/>
      <c r="AEN110" s="139"/>
      <c r="AEO110" s="139"/>
      <c r="AEP110" s="139"/>
      <c r="AEQ110" s="139"/>
      <c r="AER110" s="139"/>
      <c r="AES110" s="139"/>
      <c r="AET110" s="139"/>
      <c r="AEU110" s="139"/>
      <c r="AEV110" s="139"/>
      <c r="AEW110" s="139"/>
      <c r="AEX110" s="139"/>
      <c r="AEY110" s="139"/>
      <c r="AEZ110" s="139"/>
      <c r="AFA110" s="139"/>
      <c r="AFB110" s="139"/>
      <c r="AFC110" s="139"/>
      <c r="AFD110" s="139"/>
      <c r="AFE110" s="139"/>
      <c r="AFF110" s="139"/>
      <c r="AFG110" s="139"/>
      <c r="AFH110" s="139"/>
      <c r="AFI110" s="139"/>
      <c r="AFJ110" s="139"/>
      <c r="AFK110" s="139"/>
      <c r="AFL110" s="139"/>
      <c r="AFM110" s="139"/>
      <c r="AFN110" s="139"/>
      <c r="AFO110" s="139"/>
      <c r="AFP110" s="139"/>
      <c r="AFQ110" s="139"/>
      <c r="AFR110" s="139"/>
      <c r="AFS110" s="139"/>
      <c r="AFT110" s="139"/>
      <c r="AFU110" s="139"/>
      <c r="AFV110" s="139"/>
      <c r="AFW110" s="139"/>
      <c r="AFX110" s="139"/>
      <c r="AFY110" s="139"/>
      <c r="AFZ110" s="139"/>
      <c r="AGA110" s="139"/>
      <c r="AGB110" s="139"/>
      <c r="AGC110" s="139"/>
      <c r="AGD110" s="139"/>
      <c r="AGE110" s="139"/>
      <c r="AGF110" s="139"/>
      <c r="AGG110" s="139"/>
      <c r="AGH110" s="139"/>
      <c r="AGI110" s="139"/>
      <c r="AGJ110" s="139"/>
      <c r="AGK110" s="139"/>
      <c r="AGL110" s="139"/>
      <c r="AGM110" s="139"/>
      <c r="AGN110" s="139"/>
      <c r="AGO110" s="139"/>
      <c r="AGP110" s="139"/>
      <c r="AGQ110" s="139"/>
      <c r="AGR110" s="139"/>
      <c r="AGS110" s="139"/>
      <c r="AGT110" s="139"/>
      <c r="AGU110" s="139"/>
      <c r="AGV110" s="139"/>
      <c r="AGW110" s="139"/>
      <c r="AGX110" s="139"/>
      <c r="AGY110" s="139"/>
      <c r="AGZ110" s="139"/>
      <c r="AHA110" s="139"/>
      <c r="AHB110" s="139"/>
      <c r="AHC110" s="139"/>
      <c r="AHD110" s="139"/>
      <c r="AHE110" s="139"/>
      <c r="AHF110" s="139"/>
      <c r="AHG110" s="139"/>
      <c r="AHH110" s="139"/>
      <c r="AHI110" s="139"/>
      <c r="AHJ110" s="139"/>
      <c r="AHK110" s="139"/>
      <c r="AHL110" s="139"/>
      <c r="AHM110" s="139"/>
      <c r="AHN110" s="139"/>
      <c r="AHO110" s="139"/>
      <c r="AHP110" s="139"/>
      <c r="AHQ110" s="139"/>
      <c r="AHR110" s="139"/>
      <c r="AHS110" s="139"/>
      <c r="AHT110" s="139"/>
      <c r="AHU110" s="139"/>
      <c r="AHV110" s="139"/>
      <c r="AHW110" s="139"/>
      <c r="AHX110" s="139"/>
      <c r="AHY110" s="139"/>
      <c r="AHZ110" s="139"/>
      <c r="AIA110" s="139"/>
      <c r="AIB110" s="139"/>
      <c r="AIC110" s="139"/>
      <c r="AID110" s="139"/>
      <c r="AIE110" s="139"/>
      <c r="AIF110" s="139"/>
      <c r="AIG110" s="139"/>
      <c r="AIH110" s="139"/>
      <c r="AII110" s="139"/>
      <c r="AIJ110" s="139"/>
      <c r="AIK110" s="139"/>
      <c r="AIL110" s="139"/>
      <c r="AIM110" s="139"/>
      <c r="AIN110" s="139"/>
      <c r="AIO110" s="139"/>
      <c r="AIP110" s="139"/>
      <c r="AIQ110" s="139"/>
      <c r="AIR110" s="139"/>
      <c r="AIS110" s="139"/>
      <c r="AIT110" s="139"/>
      <c r="AIU110" s="139"/>
      <c r="AIV110" s="139"/>
      <c r="AIW110" s="139"/>
      <c r="AIX110" s="139"/>
      <c r="AIY110" s="139"/>
      <c r="AIZ110" s="139"/>
      <c r="AJA110" s="139"/>
      <c r="AJB110" s="139"/>
      <c r="AJC110" s="139"/>
      <c r="AJD110" s="139"/>
      <c r="AJE110" s="139"/>
      <c r="AJF110" s="139"/>
      <c r="AJG110" s="139"/>
      <c r="AJH110" s="139"/>
      <c r="AJI110" s="139"/>
      <c r="AJJ110" s="139"/>
      <c r="AJK110" s="139"/>
      <c r="AJL110" s="139"/>
      <c r="AJM110" s="139"/>
      <c r="AJN110" s="139"/>
      <c r="AJO110" s="139"/>
      <c r="AJP110" s="139"/>
      <c r="AJQ110" s="139"/>
      <c r="AJR110" s="139"/>
      <c r="AJS110" s="139"/>
      <c r="AJT110" s="139"/>
      <c r="AJU110" s="139"/>
      <c r="AJV110" s="139"/>
      <c r="AJW110" s="139"/>
      <c r="AJX110" s="139"/>
      <c r="AJY110" s="139"/>
      <c r="AJZ110" s="139"/>
      <c r="AKA110" s="139"/>
      <c r="AKB110" s="139"/>
      <c r="AKC110" s="139"/>
      <c r="AKD110" s="139"/>
      <c r="AKE110" s="139"/>
      <c r="AKF110" s="139"/>
      <c r="AKG110" s="139"/>
      <c r="AKH110" s="139"/>
      <c r="AKI110" s="139"/>
      <c r="AKJ110" s="139"/>
      <c r="AKK110" s="139"/>
      <c r="AKL110" s="139"/>
      <c r="AKM110" s="139"/>
      <c r="AKN110" s="139"/>
      <c r="AKO110" s="139"/>
      <c r="AKP110" s="139"/>
      <c r="AKQ110" s="139"/>
      <c r="AKR110" s="139"/>
      <c r="AKS110" s="139"/>
      <c r="AKT110" s="139"/>
      <c r="AKU110" s="139"/>
      <c r="AKV110" s="139"/>
      <c r="AKW110" s="139"/>
      <c r="AKX110" s="139"/>
      <c r="AKY110" s="139"/>
      <c r="AKZ110" s="139"/>
      <c r="ALA110" s="139"/>
      <c r="ALB110" s="139"/>
      <c r="ALC110" s="139"/>
      <c r="ALD110" s="139"/>
      <c r="ALE110" s="139"/>
      <c r="ALF110" s="139"/>
      <c r="ALG110" s="139"/>
      <c r="ALH110" s="139"/>
      <c r="ALI110" s="139"/>
      <c r="ALJ110" s="139"/>
      <c r="ALK110" s="139"/>
      <c r="ALL110" s="139"/>
      <c r="ALM110" s="139"/>
      <c r="ALN110" s="139"/>
      <c r="ALO110" s="139"/>
      <c r="ALP110" s="139"/>
      <c r="ALQ110" s="139"/>
      <c r="ALR110" s="139"/>
      <c r="ALS110" s="139"/>
      <c r="ALT110" s="139"/>
      <c r="ALU110" s="139"/>
      <c r="ALV110" s="139"/>
      <c r="ALW110" s="139"/>
      <c r="ALX110" s="139"/>
      <c r="ALY110" s="139"/>
      <c r="ALZ110" s="139"/>
      <c r="AMA110" s="139"/>
      <c r="AMB110" s="139"/>
      <c r="AMC110" s="139"/>
      <c r="AMD110" s="139"/>
      <c r="AME110" s="139"/>
      <c r="AMF110" s="139"/>
      <c r="AMG110" s="139"/>
      <c r="AMH110" s="139"/>
      <c r="AMI110" s="139"/>
      <c r="AMJ110" s="139"/>
      <c r="AMK110" s="139"/>
      <c r="AML110" s="139"/>
      <c r="AMM110" s="139"/>
      <c r="AMN110" s="139"/>
      <c r="AMO110" s="139"/>
      <c r="AMP110" s="139"/>
      <c r="AMQ110" s="139"/>
      <c r="AMR110" s="139"/>
      <c r="AMS110" s="139"/>
      <c r="AMT110" s="139"/>
      <c r="AMU110" s="139"/>
      <c r="AMV110" s="139"/>
      <c r="AMW110" s="139"/>
      <c r="AMX110" s="139"/>
      <c r="AMY110" s="139"/>
      <c r="AMZ110" s="139"/>
      <c r="ANA110" s="139"/>
      <c r="ANB110" s="139"/>
      <c r="ANC110" s="139"/>
      <c r="AND110" s="139"/>
      <c r="ANE110" s="139"/>
      <c r="ANF110" s="139"/>
      <c r="ANG110" s="139"/>
      <c r="ANH110" s="139"/>
      <c r="ANI110" s="139"/>
      <c r="ANJ110" s="139"/>
      <c r="ANK110" s="139"/>
      <c r="ANL110" s="139"/>
      <c r="ANM110" s="139"/>
      <c r="ANN110" s="139"/>
      <c r="ANO110" s="139"/>
      <c r="ANP110" s="139"/>
      <c r="ANQ110" s="139"/>
      <c r="ANR110" s="139"/>
      <c r="ANS110" s="139"/>
      <c r="ANT110" s="139"/>
      <c r="ANU110" s="139"/>
      <c r="ANV110" s="139"/>
      <c r="ANW110" s="139"/>
      <c r="ANX110" s="139"/>
      <c r="ANY110" s="139"/>
      <c r="ANZ110" s="139"/>
      <c r="AOA110" s="139"/>
      <c r="AOB110" s="139"/>
      <c r="AOC110" s="139"/>
      <c r="AOD110" s="139"/>
      <c r="AOE110" s="139"/>
      <c r="AOF110" s="139"/>
      <c r="AOG110" s="139"/>
      <c r="AOH110" s="139"/>
      <c r="AOI110" s="139"/>
      <c r="AOJ110" s="139"/>
      <c r="AOK110" s="139"/>
      <c r="AOL110" s="139"/>
      <c r="AOM110" s="139"/>
      <c r="AON110" s="139"/>
      <c r="AOO110" s="139"/>
      <c r="AOP110" s="139"/>
      <c r="AOQ110" s="139"/>
      <c r="AOR110" s="139"/>
      <c r="AOS110" s="139"/>
      <c r="AOT110" s="139"/>
      <c r="AOU110" s="139"/>
      <c r="AOV110" s="139"/>
      <c r="AOW110" s="139"/>
      <c r="AOX110" s="139"/>
      <c r="AOY110" s="139"/>
      <c r="AOZ110" s="139"/>
      <c r="APA110" s="139"/>
      <c r="APB110" s="139"/>
      <c r="APC110" s="139"/>
      <c r="APD110" s="139"/>
      <c r="APE110" s="139"/>
      <c r="APF110" s="139"/>
      <c r="APG110" s="139"/>
      <c r="APH110" s="139"/>
      <c r="API110" s="139"/>
      <c r="APJ110" s="139"/>
      <c r="APK110" s="139"/>
      <c r="APL110" s="139"/>
      <c r="APM110" s="139"/>
      <c r="APN110" s="139"/>
      <c r="APO110" s="139"/>
      <c r="APP110" s="139"/>
      <c r="APQ110" s="139"/>
      <c r="APR110" s="139"/>
      <c r="APS110" s="139"/>
      <c r="APT110" s="139"/>
      <c r="APU110" s="139"/>
      <c r="APV110" s="139"/>
      <c r="APW110" s="139"/>
      <c r="APX110" s="139"/>
      <c r="APY110" s="139"/>
      <c r="APZ110" s="139"/>
      <c r="AQA110" s="139"/>
      <c r="AQB110" s="139"/>
      <c r="AQC110" s="139"/>
      <c r="AQD110" s="139"/>
      <c r="AQE110" s="139"/>
      <c r="AQF110" s="139"/>
      <c r="AQG110" s="139"/>
      <c r="AQH110" s="139"/>
      <c r="AQI110" s="139"/>
      <c r="AQJ110" s="139"/>
      <c r="AQK110" s="139"/>
      <c r="AQL110" s="139"/>
      <c r="AQM110" s="139"/>
      <c r="AQN110" s="139"/>
      <c r="AQO110" s="139"/>
      <c r="AQP110" s="139"/>
      <c r="AQQ110" s="139"/>
      <c r="AQR110" s="139"/>
      <c r="AQS110" s="139"/>
      <c r="AQT110" s="139"/>
      <c r="AQU110" s="139"/>
      <c r="AQV110" s="139"/>
      <c r="AQW110" s="139"/>
      <c r="AQX110" s="139"/>
      <c r="AQY110" s="139"/>
      <c r="AQZ110" s="139"/>
      <c r="ARA110" s="139"/>
      <c r="ARB110" s="139"/>
      <c r="ARC110" s="139"/>
      <c r="ARD110" s="139"/>
      <c r="ARE110" s="139"/>
      <c r="ARF110" s="139"/>
      <c r="ARG110" s="139"/>
      <c r="ARH110" s="139"/>
      <c r="ARI110" s="139"/>
      <c r="ARJ110" s="139"/>
      <c r="ARK110" s="139"/>
      <c r="ARL110" s="139"/>
      <c r="ARM110" s="139"/>
      <c r="ARN110" s="139"/>
      <c r="ARO110" s="139"/>
      <c r="ARP110" s="139"/>
      <c r="ARQ110" s="139"/>
      <c r="ARR110" s="139"/>
      <c r="ARS110" s="139"/>
      <c r="ART110" s="139"/>
      <c r="ARU110" s="139"/>
      <c r="ARV110" s="139"/>
      <c r="ARW110" s="139"/>
      <c r="ARX110" s="139"/>
      <c r="ARY110" s="139"/>
      <c r="ARZ110" s="139"/>
      <c r="ASA110" s="139"/>
      <c r="ASB110" s="139"/>
      <c r="ASC110" s="139"/>
      <c r="ASD110" s="139"/>
      <c r="ASE110" s="139"/>
      <c r="ASF110" s="139"/>
      <c r="ASG110" s="139"/>
      <c r="ASH110" s="139"/>
      <c r="ASI110" s="139"/>
      <c r="ASJ110" s="139"/>
      <c r="ASK110" s="139"/>
      <c r="ASL110" s="139"/>
      <c r="ASM110" s="139"/>
      <c r="ASN110" s="139"/>
      <c r="ASO110" s="139"/>
      <c r="ASP110" s="139"/>
      <c r="ASQ110" s="139"/>
      <c r="ASR110" s="139"/>
      <c r="ASS110" s="139"/>
      <c r="AST110" s="139"/>
      <c r="ASU110" s="139"/>
      <c r="ASV110" s="139"/>
      <c r="ASW110" s="139"/>
      <c r="ASX110" s="139"/>
      <c r="ASY110" s="139"/>
      <c r="ASZ110" s="139"/>
      <c r="ATA110" s="139"/>
      <c r="ATB110" s="139"/>
      <c r="ATC110" s="139"/>
      <c r="ATD110" s="139"/>
      <c r="ATE110" s="139"/>
      <c r="ATF110" s="139"/>
      <c r="ATG110" s="139"/>
      <c r="ATH110" s="139"/>
      <c r="ATI110" s="139"/>
      <c r="ATJ110" s="139"/>
      <c r="ATK110" s="139"/>
      <c r="ATL110" s="139"/>
      <c r="ATM110" s="139"/>
      <c r="ATN110" s="139"/>
      <c r="ATO110" s="139"/>
      <c r="ATP110" s="139"/>
      <c r="ATQ110" s="139"/>
      <c r="ATR110" s="139"/>
      <c r="ATS110" s="139"/>
      <c r="ATT110" s="139"/>
      <c r="ATU110" s="139"/>
      <c r="ATV110" s="139"/>
      <c r="ATW110" s="139"/>
      <c r="ATX110" s="139"/>
      <c r="ATY110" s="139"/>
      <c r="ATZ110" s="139"/>
      <c r="AUA110" s="139"/>
      <c r="AUB110" s="139"/>
      <c r="AUC110" s="139"/>
      <c r="AUD110" s="139"/>
      <c r="AUE110" s="139"/>
      <c r="AUF110" s="139"/>
      <c r="AUG110" s="139"/>
      <c r="AUH110" s="139"/>
      <c r="AUI110" s="139"/>
      <c r="AUJ110" s="139"/>
      <c r="AUK110" s="139"/>
      <c r="AUL110" s="139"/>
      <c r="AUM110" s="139"/>
      <c r="AUN110" s="139"/>
      <c r="AUO110" s="139"/>
      <c r="AUP110" s="139"/>
      <c r="AUQ110" s="139"/>
      <c r="AUR110" s="139"/>
      <c r="AUS110" s="139"/>
      <c r="AUT110" s="139"/>
      <c r="AUU110" s="139"/>
      <c r="AUV110" s="139"/>
      <c r="AUW110" s="139"/>
      <c r="AUX110" s="139"/>
      <c r="AUY110" s="139"/>
      <c r="AUZ110" s="139"/>
      <c r="AVA110" s="139"/>
      <c r="AVB110" s="139"/>
      <c r="AVC110" s="139"/>
      <c r="AVD110" s="139"/>
      <c r="AVE110" s="139"/>
      <c r="AVF110" s="139"/>
      <c r="AVG110" s="139"/>
      <c r="AVH110" s="139"/>
      <c r="AVI110" s="139"/>
      <c r="AVJ110" s="139"/>
      <c r="AVK110" s="139"/>
      <c r="AVL110" s="139"/>
      <c r="AVM110" s="139"/>
      <c r="AVN110" s="139"/>
      <c r="AVO110" s="139"/>
      <c r="AVP110" s="139"/>
      <c r="AVQ110" s="139"/>
      <c r="AVR110" s="139"/>
      <c r="AVS110" s="139"/>
      <c r="AVT110" s="139"/>
      <c r="AVU110" s="139"/>
      <c r="AVV110" s="139"/>
      <c r="AVW110" s="139"/>
      <c r="AVX110" s="139"/>
      <c r="AVY110" s="139"/>
      <c r="AVZ110" s="139"/>
      <c r="AWA110" s="139"/>
      <c r="AWB110" s="139"/>
      <c r="AWC110" s="139"/>
      <c r="AWD110" s="139"/>
      <c r="AWE110" s="139"/>
      <c r="AWF110" s="139"/>
      <c r="AWG110" s="139"/>
      <c r="AWH110" s="139"/>
      <c r="AWI110" s="139"/>
      <c r="AWJ110" s="139"/>
      <c r="AWK110" s="139"/>
      <c r="AWL110" s="139"/>
      <c r="AWM110" s="139"/>
      <c r="AWN110" s="139"/>
      <c r="AWO110" s="139"/>
      <c r="AWP110" s="139"/>
      <c r="AWQ110" s="139"/>
      <c r="AWR110" s="139"/>
      <c r="AWS110" s="139"/>
      <c r="AWT110" s="139"/>
      <c r="AWU110" s="139"/>
      <c r="AWV110" s="139"/>
      <c r="AWW110" s="139"/>
      <c r="AWX110" s="139"/>
      <c r="AWY110" s="139"/>
      <c r="AWZ110" s="139"/>
      <c r="AXA110" s="139"/>
      <c r="AXB110" s="139"/>
      <c r="AXC110" s="139"/>
      <c r="AXD110" s="139"/>
      <c r="AXE110" s="139"/>
      <c r="AXF110" s="139"/>
      <c r="AXG110" s="139"/>
      <c r="AXH110" s="139"/>
      <c r="AXI110" s="139"/>
      <c r="AXJ110" s="139"/>
      <c r="AXK110" s="139"/>
      <c r="AXL110" s="139"/>
      <c r="AXM110" s="139"/>
      <c r="AXN110" s="139"/>
      <c r="AXO110" s="139"/>
      <c r="AXP110" s="139"/>
      <c r="AXQ110" s="139"/>
      <c r="AXR110" s="139"/>
      <c r="AXS110" s="139"/>
      <c r="AXT110" s="139"/>
      <c r="AXU110" s="139"/>
      <c r="AXV110" s="139"/>
      <c r="AXW110" s="139"/>
      <c r="AXX110" s="139"/>
      <c r="AXY110" s="139"/>
      <c r="AXZ110" s="139"/>
      <c r="AYA110" s="139"/>
      <c r="AYB110" s="139"/>
      <c r="AYC110" s="139"/>
      <c r="AYD110" s="139"/>
      <c r="AYE110" s="139"/>
      <c r="AYF110" s="139"/>
      <c r="AYG110" s="139"/>
      <c r="AYH110" s="139"/>
      <c r="AYI110" s="139"/>
      <c r="AYJ110" s="139"/>
      <c r="AYK110" s="139"/>
      <c r="AYL110" s="139"/>
      <c r="AYM110" s="139"/>
      <c r="AYN110" s="139"/>
      <c r="AYO110" s="139"/>
      <c r="AYP110" s="139"/>
      <c r="AYQ110" s="139"/>
      <c r="AYR110" s="139"/>
      <c r="AYS110" s="139"/>
      <c r="AYT110" s="139"/>
      <c r="AYU110" s="139"/>
      <c r="AYV110" s="139"/>
      <c r="AYW110" s="139"/>
      <c r="AYX110" s="139"/>
      <c r="AYY110" s="139"/>
      <c r="AYZ110" s="139"/>
      <c r="AZA110" s="139"/>
      <c r="AZB110" s="139"/>
      <c r="AZC110" s="139"/>
      <c r="AZD110" s="139"/>
      <c r="AZE110" s="139"/>
      <c r="AZF110" s="139"/>
      <c r="AZG110" s="139"/>
      <c r="AZH110" s="139"/>
      <c r="AZI110" s="139"/>
      <c r="AZJ110" s="139"/>
      <c r="AZK110" s="139"/>
      <c r="AZL110" s="139"/>
      <c r="AZM110" s="139"/>
      <c r="AZN110" s="139"/>
      <c r="AZO110" s="139"/>
      <c r="AZP110" s="139"/>
      <c r="AZQ110" s="139"/>
      <c r="AZR110" s="139"/>
      <c r="AZS110" s="139"/>
      <c r="AZT110" s="139"/>
      <c r="AZU110" s="139"/>
      <c r="AZV110" s="139"/>
      <c r="AZW110" s="139"/>
      <c r="AZX110" s="139"/>
      <c r="AZY110" s="139"/>
      <c r="AZZ110" s="139"/>
      <c r="BAA110" s="139"/>
      <c r="BAB110" s="139"/>
      <c r="BAC110" s="139"/>
      <c r="BAD110" s="139"/>
      <c r="BAE110" s="139"/>
      <c r="BAF110" s="139"/>
      <c r="BAG110" s="139"/>
      <c r="BAH110" s="139"/>
      <c r="BAI110" s="139"/>
      <c r="BAJ110" s="139"/>
      <c r="BAK110" s="139"/>
      <c r="BAL110" s="139"/>
      <c r="BAM110" s="139"/>
      <c r="BAN110" s="139"/>
      <c r="BAO110" s="139"/>
      <c r="BAP110" s="139"/>
      <c r="BAQ110" s="139"/>
      <c r="BAR110" s="139"/>
      <c r="BAS110" s="139"/>
      <c r="BAT110" s="139"/>
      <c r="BAU110" s="139"/>
      <c r="BAV110" s="139"/>
      <c r="BAW110" s="139"/>
      <c r="BAX110" s="139"/>
      <c r="BAY110" s="139"/>
      <c r="BAZ110" s="139"/>
      <c r="BBA110" s="139"/>
      <c r="BBB110" s="139"/>
      <c r="BBC110" s="139"/>
      <c r="BBD110" s="139"/>
      <c r="BBE110" s="139"/>
      <c r="BBF110" s="139"/>
      <c r="BBG110" s="139"/>
      <c r="BBH110" s="139"/>
      <c r="BBI110" s="139"/>
      <c r="BBJ110" s="139"/>
      <c r="BBK110" s="139"/>
      <c r="BBL110" s="139"/>
      <c r="BBM110" s="139"/>
      <c r="BBN110" s="139"/>
      <c r="BBO110" s="139"/>
      <c r="BBP110" s="139"/>
      <c r="BBQ110" s="139"/>
      <c r="BBR110" s="139"/>
      <c r="BBS110" s="139"/>
      <c r="BBT110" s="139"/>
      <c r="BBU110" s="139"/>
      <c r="BBV110" s="139"/>
      <c r="BBW110" s="139"/>
      <c r="BBX110" s="139"/>
      <c r="BBY110" s="139"/>
      <c r="BBZ110" s="139"/>
      <c r="BCA110" s="139"/>
      <c r="BCB110" s="139"/>
      <c r="BCC110" s="139"/>
      <c r="BCD110" s="139"/>
      <c r="BCE110" s="139"/>
      <c r="BCF110" s="139"/>
      <c r="BCG110" s="139"/>
      <c r="BCH110" s="139"/>
      <c r="BCI110" s="139"/>
      <c r="BCJ110" s="139"/>
      <c r="BCK110" s="139"/>
      <c r="BCL110" s="139"/>
      <c r="BCM110" s="139"/>
      <c r="BCN110" s="139"/>
      <c r="BCO110" s="139"/>
      <c r="BCP110" s="139"/>
      <c r="BCQ110" s="139"/>
      <c r="BCR110" s="139"/>
      <c r="BCS110" s="139"/>
      <c r="BCT110" s="139"/>
      <c r="BCU110" s="139"/>
      <c r="BCV110" s="139"/>
      <c r="BCW110" s="139"/>
      <c r="BCX110" s="139"/>
      <c r="BCY110" s="139"/>
      <c r="BCZ110" s="139"/>
      <c r="BDA110" s="139"/>
      <c r="BDB110" s="139"/>
      <c r="BDC110" s="139"/>
      <c r="BDD110" s="139"/>
      <c r="BDE110" s="139"/>
      <c r="BDF110" s="139"/>
      <c r="BDG110" s="139"/>
      <c r="BDH110" s="139"/>
      <c r="BDI110" s="139"/>
      <c r="BDJ110" s="139"/>
      <c r="BDK110" s="139"/>
      <c r="BDL110" s="139"/>
      <c r="BDM110" s="139"/>
      <c r="BDN110" s="139"/>
      <c r="BDO110" s="139"/>
      <c r="BDP110" s="139"/>
      <c r="BDQ110" s="139"/>
      <c r="BDR110" s="139"/>
      <c r="BDS110" s="139"/>
      <c r="BDT110" s="139"/>
      <c r="BDU110" s="139"/>
      <c r="BDV110" s="139"/>
      <c r="BDW110" s="139"/>
      <c r="BDX110" s="139"/>
      <c r="BDY110" s="139"/>
      <c r="BDZ110" s="139"/>
      <c r="BEA110" s="139"/>
      <c r="BEB110" s="139"/>
      <c r="BEC110" s="139"/>
      <c r="BED110" s="139"/>
      <c r="BEE110" s="139"/>
      <c r="BEF110" s="139"/>
      <c r="BEG110" s="139"/>
      <c r="BEH110" s="139"/>
      <c r="BEI110" s="139"/>
      <c r="BEJ110" s="139"/>
      <c r="BEK110" s="139"/>
      <c r="BEL110" s="139"/>
      <c r="BEM110" s="139"/>
      <c r="BEN110" s="139"/>
      <c r="BEO110" s="139"/>
      <c r="BEP110" s="139"/>
      <c r="BEQ110" s="139"/>
      <c r="BER110" s="139"/>
      <c r="BES110" s="139"/>
      <c r="BET110" s="139"/>
      <c r="BEU110" s="139"/>
      <c r="BEV110" s="139"/>
      <c r="BEW110" s="139"/>
      <c r="BEX110" s="139"/>
      <c r="BEY110" s="139"/>
      <c r="BEZ110" s="139"/>
      <c r="BFA110" s="139"/>
      <c r="BFB110" s="139"/>
      <c r="BFC110" s="139"/>
      <c r="BFD110" s="139"/>
      <c r="BFE110" s="139"/>
      <c r="BFF110" s="139"/>
      <c r="BFG110" s="139"/>
      <c r="BFH110" s="139"/>
      <c r="BFI110" s="139"/>
      <c r="BFJ110" s="139"/>
      <c r="BFK110" s="139"/>
      <c r="BFL110" s="139"/>
      <c r="BFM110" s="139"/>
      <c r="BFN110" s="139"/>
      <c r="BFO110" s="139"/>
      <c r="BFP110" s="139"/>
      <c r="BFQ110" s="139"/>
      <c r="BFR110" s="139"/>
      <c r="BFS110" s="139"/>
      <c r="BFT110" s="139"/>
      <c r="BFU110" s="139"/>
      <c r="BFV110" s="139"/>
      <c r="BFW110" s="139"/>
      <c r="BFX110" s="139"/>
      <c r="BFY110" s="139"/>
      <c r="BFZ110" s="139"/>
      <c r="BGA110" s="139"/>
      <c r="BGB110" s="139"/>
      <c r="BGC110" s="139"/>
      <c r="BGD110" s="139"/>
      <c r="BGE110" s="139"/>
      <c r="BGF110" s="139"/>
      <c r="BGG110" s="139"/>
      <c r="BGH110" s="139"/>
      <c r="BGI110" s="139"/>
      <c r="BGJ110" s="139"/>
      <c r="BGK110" s="139"/>
      <c r="BGL110" s="139"/>
      <c r="BGM110" s="139"/>
      <c r="BGN110" s="139"/>
      <c r="BGO110" s="139"/>
      <c r="BGP110" s="139"/>
      <c r="BGQ110" s="139"/>
      <c r="BGR110" s="139"/>
      <c r="BGS110" s="139"/>
      <c r="BGT110" s="139"/>
      <c r="BGU110" s="139"/>
      <c r="BGV110" s="139"/>
      <c r="BGW110" s="139"/>
      <c r="BGX110" s="139"/>
      <c r="BGY110" s="139"/>
      <c r="BGZ110" s="139"/>
      <c r="BHA110" s="139"/>
      <c r="BHB110" s="139"/>
      <c r="BHC110" s="139"/>
      <c r="BHD110" s="139"/>
      <c r="BHE110" s="139"/>
      <c r="BHF110" s="139"/>
      <c r="BHG110" s="139"/>
      <c r="BHH110" s="139"/>
      <c r="BHI110" s="139"/>
      <c r="BHJ110" s="139"/>
      <c r="BHK110" s="139"/>
      <c r="BHL110" s="139"/>
      <c r="BHM110" s="139"/>
      <c r="BHN110" s="139"/>
      <c r="BHO110" s="139"/>
      <c r="BHP110" s="139"/>
      <c r="BHQ110" s="139"/>
      <c r="BHR110" s="139"/>
      <c r="BHS110" s="139"/>
      <c r="BHT110" s="139"/>
      <c r="BHU110" s="139"/>
      <c r="BHV110" s="139"/>
      <c r="BHW110" s="139"/>
      <c r="BHX110" s="139"/>
      <c r="BHY110" s="139"/>
      <c r="BHZ110" s="139"/>
      <c r="BIA110" s="139"/>
      <c r="BIB110" s="139"/>
      <c r="BIC110" s="139"/>
      <c r="BID110" s="139"/>
      <c r="BIE110" s="139"/>
      <c r="BIF110" s="139"/>
      <c r="BIG110" s="139"/>
      <c r="BIH110" s="139"/>
      <c r="BII110" s="139"/>
      <c r="BIJ110" s="139"/>
      <c r="BIK110" s="139"/>
      <c r="BIL110" s="139"/>
      <c r="BIM110" s="139"/>
      <c r="BIN110" s="139"/>
      <c r="BIO110" s="139"/>
      <c r="BIP110" s="139"/>
      <c r="BIQ110" s="139"/>
      <c r="BIR110" s="139"/>
      <c r="BIS110" s="139"/>
      <c r="BIT110" s="139"/>
      <c r="BIU110" s="139"/>
      <c r="BIV110" s="139"/>
      <c r="BIW110" s="139"/>
      <c r="BIX110" s="139"/>
      <c r="BIY110" s="139"/>
      <c r="BIZ110" s="139"/>
      <c r="BJA110" s="139"/>
      <c r="BJB110" s="139"/>
      <c r="BJC110" s="139"/>
      <c r="BJD110" s="139"/>
      <c r="BJE110" s="139"/>
      <c r="BJF110" s="139"/>
      <c r="BJG110" s="139"/>
      <c r="BJH110" s="139"/>
      <c r="BJI110" s="139"/>
      <c r="BJJ110" s="139"/>
      <c r="BJK110" s="139"/>
      <c r="BJL110" s="139"/>
      <c r="BJM110" s="139"/>
      <c r="BJN110" s="139"/>
      <c r="BJO110" s="139"/>
      <c r="BJP110" s="139"/>
      <c r="BJQ110" s="139"/>
      <c r="BJR110" s="139"/>
      <c r="BJS110" s="139"/>
      <c r="BJT110" s="139"/>
      <c r="BJU110" s="139"/>
      <c r="BJV110" s="139"/>
      <c r="BJW110" s="139"/>
      <c r="BJX110" s="139"/>
      <c r="BJY110" s="139"/>
      <c r="BJZ110" s="139"/>
      <c r="BKA110" s="139"/>
      <c r="BKB110" s="139"/>
      <c r="BKC110" s="139"/>
      <c r="BKD110" s="139"/>
      <c r="BKE110" s="139"/>
      <c r="BKF110" s="139"/>
      <c r="BKG110" s="139"/>
      <c r="BKH110" s="139"/>
      <c r="BKI110" s="139"/>
      <c r="BKJ110" s="139"/>
      <c r="BKK110" s="139"/>
      <c r="BKL110" s="139"/>
      <c r="BKM110" s="139"/>
      <c r="BKN110" s="139"/>
      <c r="BKO110" s="139"/>
      <c r="BKP110" s="139"/>
      <c r="BKQ110" s="139"/>
      <c r="BKR110" s="139"/>
      <c r="BKS110" s="139"/>
      <c r="BKT110" s="139"/>
      <c r="BKU110" s="139"/>
      <c r="BKV110" s="139"/>
      <c r="BKW110" s="139"/>
      <c r="BKX110" s="139"/>
      <c r="BKY110" s="139"/>
      <c r="BKZ110" s="139"/>
      <c r="BLA110" s="139"/>
      <c r="BLB110" s="139"/>
      <c r="BLC110" s="139"/>
      <c r="BLD110" s="139"/>
      <c r="BLE110" s="139"/>
      <c r="BLF110" s="139"/>
      <c r="BLG110" s="139"/>
      <c r="BLH110" s="139"/>
      <c r="BLI110" s="139"/>
      <c r="BLJ110" s="139"/>
      <c r="BLK110" s="139"/>
      <c r="BLL110" s="139"/>
      <c r="BLM110" s="139"/>
      <c r="BLN110" s="139"/>
      <c r="BLO110" s="139"/>
      <c r="BLP110" s="139"/>
      <c r="BLQ110" s="139"/>
      <c r="BLR110" s="139"/>
      <c r="BLS110" s="139"/>
      <c r="BLT110" s="139"/>
      <c r="BLU110" s="139"/>
      <c r="BLV110" s="139"/>
      <c r="BLW110" s="139"/>
      <c r="BLX110" s="139"/>
      <c r="BLY110" s="139"/>
      <c r="BLZ110" s="139"/>
      <c r="BMA110" s="139"/>
      <c r="BMB110" s="139"/>
      <c r="BMC110" s="139"/>
      <c r="BMD110" s="139"/>
      <c r="BME110" s="139"/>
      <c r="BMF110" s="139"/>
      <c r="BMG110" s="139"/>
      <c r="BMH110" s="139"/>
      <c r="BMI110" s="139"/>
      <c r="BMJ110" s="139"/>
      <c r="BMK110" s="139"/>
      <c r="BML110" s="139"/>
      <c r="BMM110" s="139"/>
      <c r="BMN110" s="139"/>
      <c r="BMO110" s="139"/>
      <c r="BMP110" s="139"/>
      <c r="BMQ110" s="139"/>
      <c r="BMR110" s="139"/>
      <c r="BMS110" s="139"/>
      <c r="BMT110" s="139"/>
      <c r="BMU110" s="139"/>
      <c r="BMV110" s="139"/>
      <c r="BMW110" s="139"/>
      <c r="BMX110" s="139"/>
      <c r="BMY110" s="139"/>
      <c r="BMZ110" s="139"/>
      <c r="BNA110" s="139"/>
      <c r="BNB110" s="139"/>
      <c r="BNC110" s="139"/>
      <c r="BND110" s="139"/>
      <c r="BNE110" s="139"/>
      <c r="BNF110" s="139"/>
      <c r="BNG110" s="139"/>
      <c r="BNH110" s="139"/>
      <c r="BNI110" s="139"/>
      <c r="BNJ110" s="139"/>
      <c r="BNK110" s="139"/>
      <c r="BNL110" s="139"/>
      <c r="BNM110" s="139"/>
      <c r="BNN110" s="139"/>
      <c r="BNO110" s="139"/>
      <c r="BNP110" s="139"/>
      <c r="BNQ110" s="139"/>
      <c r="BNR110" s="139"/>
      <c r="BNS110" s="139"/>
      <c r="BNT110" s="139"/>
      <c r="BNU110" s="139"/>
      <c r="BNV110" s="139"/>
      <c r="BNW110" s="139"/>
      <c r="BNX110" s="139"/>
      <c r="BNY110" s="139"/>
      <c r="BNZ110" s="139"/>
      <c r="BOA110" s="139"/>
      <c r="BOB110" s="139"/>
      <c r="BOC110" s="139"/>
      <c r="BOD110" s="139"/>
      <c r="BOE110" s="139"/>
      <c r="BOF110" s="139"/>
      <c r="BOG110" s="139"/>
      <c r="BOH110" s="139"/>
      <c r="BOI110" s="139"/>
      <c r="BOJ110" s="139"/>
      <c r="BOK110" s="139"/>
      <c r="BOL110" s="139"/>
      <c r="BOM110" s="139"/>
      <c r="BON110" s="139"/>
      <c r="BOO110" s="139"/>
      <c r="BOP110" s="139"/>
      <c r="BOQ110" s="139"/>
      <c r="BOR110" s="139"/>
      <c r="BOS110" s="139"/>
      <c r="BOT110" s="139"/>
      <c r="BOU110" s="139"/>
      <c r="BOV110" s="139"/>
      <c r="BOW110" s="139"/>
      <c r="BOX110" s="139"/>
      <c r="BOY110" s="139"/>
      <c r="BOZ110" s="139"/>
      <c r="BPA110" s="139"/>
      <c r="BPB110" s="139"/>
      <c r="BPC110" s="139"/>
      <c r="BPD110" s="139"/>
      <c r="BPE110" s="139"/>
      <c r="BPF110" s="139"/>
      <c r="BPG110" s="139"/>
      <c r="BPH110" s="139"/>
      <c r="BPI110" s="139"/>
      <c r="BPJ110" s="139"/>
      <c r="BPK110" s="139"/>
      <c r="BPL110" s="139"/>
      <c r="BPM110" s="139"/>
      <c r="BPN110" s="139"/>
      <c r="BPO110" s="139"/>
      <c r="BPP110" s="139"/>
      <c r="BPQ110" s="139"/>
      <c r="BPR110" s="139"/>
      <c r="BPS110" s="139"/>
      <c r="BPT110" s="139"/>
      <c r="BPU110" s="139"/>
      <c r="BPV110" s="139"/>
      <c r="BPW110" s="139"/>
      <c r="BPX110" s="139"/>
      <c r="BPY110" s="139"/>
      <c r="BPZ110" s="139"/>
      <c r="BQA110" s="139"/>
      <c r="BQB110" s="139"/>
      <c r="BQC110" s="139"/>
      <c r="BQD110" s="139"/>
      <c r="BQE110" s="139"/>
      <c r="BQF110" s="139"/>
      <c r="BQG110" s="139"/>
      <c r="BQH110" s="139"/>
      <c r="BQI110" s="139"/>
      <c r="BQJ110" s="139"/>
      <c r="BQK110" s="139"/>
      <c r="BQL110" s="139"/>
      <c r="BQM110" s="139"/>
      <c r="BQN110" s="139"/>
      <c r="BQO110" s="139"/>
      <c r="BQP110" s="139"/>
      <c r="BQQ110" s="139"/>
      <c r="BQR110" s="139"/>
      <c r="BQS110" s="139"/>
      <c r="BQT110" s="139"/>
      <c r="BQU110" s="139"/>
      <c r="BQV110" s="139"/>
      <c r="BQW110" s="139"/>
      <c r="BQX110" s="139"/>
      <c r="BQY110" s="139"/>
      <c r="BQZ110" s="139"/>
      <c r="BRA110" s="139"/>
      <c r="BRB110" s="139"/>
      <c r="BRC110" s="139"/>
      <c r="BRD110" s="139"/>
      <c r="BRE110" s="139"/>
      <c r="BRF110" s="139"/>
      <c r="BRG110" s="139"/>
      <c r="BRH110" s="139"/>
      <c r="BRI110" s="139"/>
      <c r="BRJ110" s="139"/>
      <c r="BRK110" s="139"/>
      <c r="BRL110" s="139"/>
      <c r="BRM110" s="139"/>
      <c r="BRN110" s="139"/>
      <c r="BRO110" s="139"/>
      <c r="BRP110" s="139"/>
      <c r="BRQ110" s="139"/>
      <c r="BRR110" s="139"/>
      <c r="BRS110" s="139"/>
      <c r="BRT110" s="139"/>
      <c r="BRU110" s="139"/>
      <c r="BRV110" s="139"/>
      <c r="BRW110" s="139"/>
      <c r="BRX110" s="139"/>
      <c r="BRY110" s="139"/>
      <c r="BRZ110" s="139"/>
      <c r="BSA110" s="139"/>
      <c r="BSB110" s="139"/>
      <c r="BSC110" s="139"/>
      <c r="BSD110" s="139"/>
      <c r="BSE110" s="139"/>
      <c r="BSF110" s="139"/>
      <c r="BSG110" s="139"/>
      <c r="BSH110" s="139"/>
      <c r="BSI110" s="139"/>
      <c r="BSJ110" s="139"/>
      <c r="BSK110" s="139"/>
      <c r="BSL110" s="139"/>
      <c r="BSM110" s="139"/>
      <c r="BSN110" s="139"/>
      <c r="BSO110" s="139"/>
      <c r="BSP110" s="139"/>
      <c r="BSQ110" s="139"/>
      <c r="BSR110" s="139"/>
      <c r="BSS110" s="139"/>
      <c r="BST110" s="139"/>
      <c r="BSU110" s="139"/>
      <c r="BSV110" s="139"/>
      <c r="BSW110" s="139"/>
      <c r="BSX110" s="139"/>
      <c r="BSY110" s="139"/>
      <c r="BSZ110" s="139"/>
      <c r="BTA110" s="139"/>
      <c r="BTB110" s="139"/>
      <c r="BTC110" s="139"/>
      <c r="BTD110" s="139"/>
      <c r="BTE110" s="139"/>
      <c r="BTF110" s="139"/>
      <c r="BTG110" s="139"/>
      <c r="BTH110" s="139"/>
      <c r="BTI110" s="139"/>
      <c r="BTJ110" s="139"/>
      <c r="BTK110" s="139"/>
      <c r="BTL110" s="139"/>
      <c r="BTM110" s="139"/>
      <c r="BTN110" s="139"/>
      <c r="BTO110" s="139"/>
      <c r="BTP110" s="139"/>
      <c r="BTQ110" s="139"/>
      <c r="BTR110" s="139"/>
      <c r="BTS110" s="139"/>
      <c r="BTT110" s="139"/>
      <c r="BTU110" s="139"/>
      <c r="BTV110" s="139"/>
      <c r="BTW110" s="139"/>
      <c r="BTX110" s="139"/>
      <c r="BTY110" s="139"/>
      <c r="BTZ110" s="139"/>
      <c r="BUA110" s="139"/>
      <c r="BUB110" s="139"/>
      <c r="BUC110" s="139"/>
      <c r="BUD110" s="139"/>
      <c r="BUE110" s="139"/>
      <c r="BUF110" s="139"/>
      <c r="BUG110" s="139"/>
      <c r="BUH110" s="139"/>
      <c r="BUI110" s="139"/>
      <c r="BUJ110" s="139"/>
      <c r="BUK110" s="139"/>
      <c r="BUL110" s="139"/>
      <c r="BUM110" s="139"/>
      <c r="BUN110" s="139"/>
      <c r="BUO110" s="139"/>
      <c r="BUP110" s="139"/>
      <c r="BUQ110" s="139"/>
      <c r="BUR110" s="139"/>
      <c r="BUS110" s="139"/>
      <c r="BUT110" s="139"/>
      <c r="BUU110" s="139"/>
      <c r="BUV110" s="139"/>
      <c r="BUW110" s="139"/>
      <c r="BUX110" s="139"/>
      <c r="BUY110" s="139"/>
      <c r="BUZ110" s="139"/>
      <c r="BVA110" s="139"/>
      <c r="BVB110" s="139"/>
      <c r="BVC110" s="139"/>
      <c r="BVD110" s="139"/>
      <c r="BVE110" s="139"/>
      <c r="BVF110" s="139"/>
      <c r="BVG110" s="139"/>
      <c r="BVH110" s="139"/>
      <c r="BVI110" s="139"/>
      <c r="BVJ110" s="139"/>
      <c r="BVK110" s="139"/>
      <c r="BVL110" s="139"/>
      <c r="BVM110" s="139"/>
      <c r="BVN110" s="139"/>
      <c r="BVO110" s="139"/>
      <c r="BVP110" s="139"/>
      <c r="BVQ110" s="139"/>
      <c r="BVR110" s="139"/>
      <c r="BVS110" s="139"/>
      <c r="BVT110" s="139"/>
      <c r="BVU110" s="139"/>
      <c r="BVV110" s="139"/>
      <c r="BVW110" s="139"/>
      <c r="BVX110" s="139"/>
      <c r="BVY110" s="139"/>
      <c r="BVZ110" s="139"/>
      <c r="BWA110" s="139"/>
      <c r="BWB110" s="139"/>
      <c r="BWC110" s="139"/>
      <c r="BWD110" s="139"/>
      <c r="BWE110" s="139"/>
      <c r="BWF110" s="139"/>
      <c r="BWG110" s="139"/>
      <c r="BWH110" s="139"/>
      <c r="BWI110" s="139"/>
      <c r="BWJ110" s="139"/>
      <c r="BWK110" s="139"/>
      <c r="BWL110" s="139"/>
      <c r="BWM110" s="139"/>
      <c r="BWN110" s="139"/>
      <c r="BWO110" s="139"/>
      <c r="BWP110" s="139"/>
      <c r="BWQ110" s="139"/>
      <c r="BWR110" s="139"/>
      <c r="BWS110" s="139"/>
      <c r="BWT110" s="139"/>
      <c r="BWU110" s="139"/>
      <c r="BWV110" s="139"/>
      <c r="BWW110" s="139"/>
      <c r="BWX110" s="139"/>
      <c r="BWY110" s="139"/>
      <c r="BWZ110" s="139"/>
      <c r="BXA110" s="139"/>
      <c r="BXB110" s="139"/>
      <c r="BXC110" s="139"/>
      <c r="BXD110" s="139"/>
      <c r="BXE110" s="139"/>
      <c r="BXF110" s="139"/>
      <c r="BXG110" s="139"/>
      <c r="BXH110" s="139"/>
      <c r="BXI110" s="139"/>
      <c r="BXJ110" s="139"/>
      <c r="BXK110" s="139"/>
      <c r="BXL110" s="139"/>
      <c r="BXM110" s="139"/>
      <c r="BXN110" s="139"/>
      <c r="BXO110" s="139"/>
      <c r="BXP110" s="139"/>
      <c r="BXQ110" s="139"/>
      <c r="BXR110" s="139"/>
      <c r="BXS110" s="139"/>
      <c r="BXT110" s="139"/>
      <c r="BXU110" s="139"/>
      <c r="BXV110" s="139"/>
      <c r="BXW110" s="139"/>
      <c r="BXX110" s="139"/>
      <c r="BXY110" s="139"/>
      <c r="BXZ110" s="139"/>
      <c r="BYA110" s="139"/>
      <c r="BYB110" s="139"/>
      <c r="BYC110" s="139"/>
      <c r="BYD110" s="139"/>
      <c r="BYE110" s="139"/>
      <c r="BYF110" s="139"/>
      <c r="BYG110" s="139"/>
      <c r="BYH110" s="139"/>
      <c r="BYI110" s="139"/>
      <c r="BYJ110" s="139"/>
      <c r="BYK110" s="139"/>
      <c r="BYL110" s="139"/>
      <c r="BYM110" s="139"/>
      <c r="BYN110" s="139"/>
      <c r="BYO110" s="139"/>
      <c r="BYP110" s="139"/>
      <c r="BYQ110" s="139"/>
      <c r="BYR110" s="139"/>
      <c r="BYS110" s="139"/>
      <c r="BYT110" s="139"/>
      <c r="BYU110" s="139"/>
      <c r="BYV110" s="139"/>
      <c r="BYW110" s="139"/>
      <c r="BYX110" s="139"/>
      <c r="BYY110" s="139"/>
      <c r="BYZ110" s="139"/>
      <c r="BZA110" s="139"/>
      <c r="BZB110" s="139"/>
      <c r="BZC110" s="139"/>
      <c r="BZD110" s="139"/>
      <c r="BZE110" s="139"/>
      <c r="BZF110" s="139"/>
      <c r="BZG110" s="139"/>
      <c r="BZH110" s="139"/>
      <c r="BZI110" s="139"/>
      <c r="BZJ110" s="139"/>
      <c r="BZK110" s="139"/>
      <c r="BZL110" s="139"/>
      <c r="BZM110" s="139"/>
      <c r="BZN110" s="139"/>
      <c r="BZO110" s="139"/>
      <c r="BZP110" s="139"/>
      <c r="BZQ110" s="139"/>
      <c r="BZR110" s="139"/>
      <c r="BZS110" s="139"/>
      <c r="BZT110" s="139"/>
      <c r="BZU110" s="139"/>
      <c r="BZV110" s="139"/>
      <c r="BZW110" s="139"/>
      <c r="BZX110" s="139"/>
      <c r="BZY110" s="139"/>
      <c r="BZZ110" s="139"/>
      <c r="CAA110" s="139"/>
      <c r="CAB110" s="139"/>
      <c r="CAC110" s="139"/>
      <c r="CAD110" s="139"/>
      <c r="CAE110" s="139"/>
      <c r="CAF110" s="139"/>
      <c r="CAG110" s="139"/>
      <c r="CAH110" s="139"/>
      <c r="CAI110" s="139"/>
      <c r="CAJ110" s="139"/>
      <c r="CAK110" s="139"/>
      <c r="CAL110" s="139"/>
      <c r="CAM110" s="139"/>
      <c r="CAN110" s="139"/>
      <c r="CAO110" s="139"/>
      <c r="CAP110" s="139"/>
      <c r="CAQ110" s="139"/>
      <c r="CAR110" s="139"/>
      <c r="CAS110" s="139"/>
      <c r="CAT110" s="139"/>
      <c r="CAU110" s="139"/>
      <c r="CAV110" s="139"/>
      <c r="CAW110" s="139"/>
      <c r="CAX110" s="139"/>
      <c r="CAY110" s="139"/>
      <c r="CAZ110" s="139"/>
      <c r="CBA110" s="139"/>
      <c r="CBB110" s="139"/>
      <c r="CBC110" s="139"/>
      <c r="CBD110" s="139"/>
      <c r="CBE110" s="139"/>
      <c r="CBF110" s="139"/>
      <c r="CBG110" s="139"/>
      <c r="CBH110" s="139"/>
      <c r="CBI110" s="139"/>
      <c r="CBJ110" s="139"/>
      <c r="CBK110" s="139"/>
      <c r="CBL110" s="139"/>
      <c r="CBM110" s="139"/>
      <c r="CBN110" s="139"/>
      <c r="CBO110" s="139"/>
      <c r="CBP110" s="139"/>
      <c r="CBQ110" s="139"/>
      <c r="CBR110" s="139"/>
      <c r="CBS110" s="139"/>
      <c r="CBT110" s="139"/>
      <c r="CBU110" s="139"/>
      <c r="CBV110" s="139"/>
      <c r="CBW110" s="139"/>
      <c r="CBX110" s="139"/>
      <c r="CBY110" s="139"/>
      <c r="CBZ110" s="139"/>
      <c r="CCA110" s="139"/>
      <c r="CCB110" s="139"/>
      <c r="CCC110" s="139"/>
      <c r="CCD110" s="139"/>
      <c r="CCE110" s="139"/>
      <c r="CCF110" s="139"/>
      <c r="CCG110" s="139"/>
      <c r="CCH110" s="139"/>
      <c r="CCI110" s="139"/>
      <c r="CCJ110" s="139"/>
      <c r="CCK110" s="139"/>
      <c r="CCL110" s="139"/>
      <c r="CCM110" s="139"/>
      <c r="CCN110" s="139"/>
      <c r="CCO110" s="139"/>
      <c r="CCP110" s="139"/>
      <c r="CCQ110" s="139"/>
      <c r="CCR110" s="139"/>
      <c r="CCS110" s="139"/>
      <c r="CCT110" s="139"/>
      <c r="CCU110" s="139"/>
      <c r="CCV110" s="139"/>
      <c r="CCW110" s="139"/>
      <c r="CCX110" s="139"/>
      <c r="CCY110" s="139"/>
      <c r="CCZ110" s="139"/>
      <c r="CDA110" s="139"/>
      <c r="CDB110" s="139"/>
      <c r="CDC110" s="139"/>
      <c r="CDD110" s="139"/>
      <c r="CDE110" s="139"/>
      <c r="CDF110" s="139"/>
      <c r="CDG110" s="139"/>
      <c r="CDH110" s="139"/>
      <c r="CDI110" s="139"/>
      <c r="CDJ110" s="139"/>
      <c r="CDK110" s="139"/>
      <c r="CDL110" s="139"/>
      <c r="CDM110" s="139"/>
      <c r="CDN110" s="139"/>
      <c r="CDO110" s="139"/>
      <c r="CDP110" s="139"/>
      <c r="CDQ110" s="139"/>
      <c r="CDR110" s="139"/>
      <c r="CDS110" s="139"/>
      <c r="CDT110" s="139"/>
      <c r="CDU110" s="139"/>
      <c r="CDV110" s="139"/>
      <c r="CDW110" s="139"/>
      <c r="CDX110" s="139"/>
      <c r="CDY110" s="139"/>
      <c r="CDZ110" s="139"/>
      <c r="CEA110" s="139"/>
      <c r="CEB110" s="139"/>
      <c r="CEC110" s="139"/>
      <c r="CED110" s="139"/>
      <c r="CEE110" s="139"/>
      <c r="CEF110" s="139"/>
      <c r="CEG110" s="139"/>
      <c r="CEH110" s="139"/>
      <c r="CEI110" s="139"/>
      <c r="CEJ110" s="139"/>
      <c r="CEK110" s="139"/>
      <c r="CEL110" s="139"/>
      <c r="CEM110" s="139"/>
      <c r="CEN110" s="139"/>
      <c r="CEO110" s="139"/>
      <c r="CEP110" s="139"/>
      <c r="CEQ110" s="139"/>
      <c r="CER110" s="139"/>
      <c r="CES110" s="139"/>
      <c r="CET110" s="139"/>
      <c r="CEU110" s="139"/>
      <c r="CEV110" s="139"/>
      <c r="CEW110" s="139"/>
      <c r="CEX110" s="139"/>
      <c r="CEY110" s="139"/>
      <c r="CEZ110" s="139"/>
      <c r="CFA110" s="139"/>
      <c r="CFB110" s="139"/>
      <c r="CFC110" s="139"/>
      <c r="CFD110" s="139"/>
      <c r="CFE110" s="139"/>
      <c r="CFF110" s="139"/>
      <c r="CFG110" s="139"/>
      <c r="CFH110" s="139"/>
      <c r="CFI110" s="139"/>
      <c r="CFJ110" s="139"/>
      <c r="CFK110" s="139"/>
      <c r="CFL110" s="139"/>
      <c r="CFM110" s="139"/>
      <c r="CFN110" s="139"/>
      <c r="CFO110" s="139"/>
      <c r="CFP110" s="139"/>
      <c r="CFQ110" s="139"/>
      <c r="CFR110" s="139"/>
      <c r="CFS110" s="139"/>
      <c r="CFT110" s="139"/>
      <c r="CFU110" s="139"/>
      <c r="CFV110" s="139"/>
      <c r="CFW110" s="139"/>
      <c r="CFX110" s="139"/>
      <c r="CFY110" s="139"/>
      <c r="CFZ110" s="139"/>
      <c r="CGA110" s="139"/>
      <c r="CGB110" s="139"/>
      <c r="CGC110" s="139"/>
      <c r="CGD110" s="139"/>
      <c r="CGE110" s="139"/>
      <c r="CGF110" s="139"/>
      <c r="CGG110" s="139"/>
      <c r="CGH110" s="139"/>
      <c r="CGI110" s="139"/>
      <c r="CGJ110" s="139"/>
      <c r="CGK110" s="139"/>
      <c r="CGL110" s="139"/>
      <c r="CGM110" s="139"/>
      <c r="CGN110" s="139"/>
      <c r="CGO110" s="139"/>
      <c r="CGP110" s="139"/>
      <c r="CGQ110" s="139"/>
      <c r="CGR110" s="139"/>
      <c r="CGS110" s="139"/>
      <c r="CGT110" s="139"/>
      <c r="CGU110" s="139"/>
      <c r="CGV110" s="139"/>
      <c r="CGW110" s="139"/>
      <c r="CGX110" s="139"/>
      <c r="CGY110" s="139"/>
      <c r="CGZ110" s="139"/>
      <c r="CHA110" s="139"/>
      <c r="CHB110" s="139"/>
      <c r="CHC110" s="139"/>
      <c r="CHD110" s="139"/>
      <c r="CHE110" s="139"/>
      <c r="CHF110" s="139"/>
      <c r="CHG110" s="139"/>
      <c r="CHH110" s="139"/>
      <c r="CHI110" s="139"/>
      <c r="CHJ110" s="139"/>
      <c r="CHK110" s="139"/>
      <c r="CHL110" s="139"/>
      <c r="CHM110" s="139"/>
      <c r="CHN110" s="139"/>
      <c r="CHO110" s="139"/>
      <c r="CHP110" s="139"/>
      <c r="CHQ110" s="139"/>
      <c r="CHR110" s="139"/>
      <c r="CHS110" s="139"/>
      <c r="CHT110" s="139"/>
      <c r="CHU110" s="139"/>
      <c r="CHV110" s="139"/>
      <c r="CHW110" s="139"/>
      <c r="CHX110" s="139"/>
      <c r="CHY110" s="139"/>
      <c r="CHZ110" s="139"/>
      <c r="CIA110" s="139"/>
      <c r="CIB110" s="139"/>
      <c r="CIC110" s="139"/>
      <c r="CID110" s="139"/>
      <c r="CIE110" s="139"/>
      <c r="CIF110" s="139"/>
      <c r="CIG110" s="139"/>
      <c r="CIH110" s="139"/>
      <c r="CII110" s="139"/>
      <c r="CIJ110" s="139"/>
      <c r="CIK110" s="139"/>
      <c r="CIL110" s="139"/>
      <c r="CIM110" s="139"/>
      <c r="CIN110" s="139"/>
      <c r="CIO110" s="139"/>
      <c r="CIP110" s="139"/>
      <c r="CIQ110" s="139"/>
      <c r="CIR110" s="139"/>
      <c r="CIS110" s="139"/>
      <c r="CIT110" s="139"/>
      <c r="CIU110" s="139"/>
      <c r="CIV110" s="139"/>
      <c r="CIW110" s="139"/>
      <c r="CIX110" s="139"/>
      <c r="CIY110" s="139"/>
      <c r="CIZ110" s="139"/>
      <c r="CJA110" s="139"/>
      <c r="CJB110" s="139"/>
      <c r="CJC110" s="139"/>
      <c r="CJD110" s="139"/>
      <c r="CJE110" s="139"/>
      <c r="CJF110" s="139"/>
      <c r="CJG110" s="139"/>
      <c r="CJH110" s="139"/>
      <c r="CJI110" s="139"/>
      <c r="CJJ110" s="139"/>
      <c r="CJK110" s="139"/>
      <c r="CJL110" s="139"/>
      <c r="CJM110" s="139"/>
      <c r="CJN110" s="139"/>
      <c r="CJO110" s="139"/>
      <c r="CJP110" s="139"/>
      <c r="CJQ110" s="139"/>
      <c r="CJR110" s="139"/>
      <c r="CJS110" s="139"/>
      <c r="CJT110" s="139"/>
      <c r="CJU110" s="139"/>
      <c r="CJV110" s="139"/>
      <c r="CJW110" s="139"/>
      <c r="CJX110" s="139"/>
      <c r="CJY110" s="139"/>
      <c r="CJZ110" s="139"/>
      <c r="CKA110" s="139"/>
      <c r="CKB110" s="139"/>
      <c r="CKC110" s="139"/>
      <c r="CKD110" s="139"/>
      <c r="CKE110" s="139"/>
      <c r="CKF110" s="139"/>
      <c r="CKG110" s="139"/>
      <c r="CKH110" s="139"/>
      <c r="CKI110" s="139"/>
      <c r="CKJ110" s="139"/>
      <c r="CKK110" s="139"/>
      <c r="CKL110" s="139"/>
      <c r="CKM110" s="139"/>
      <c r="CKN110" s="139"/>
      <c r="CKO110" s="139"/>
      <c r="CKP110" s="139"/>
      <c r="CKQ110" s="139"/>
      <c r="CKR110" s="139"/>
      <c r="CKS110" s="139"/>
      <c r="CKT110" s="139"/>
      <c r="CKU110" s="139"/>
      <c r="CKV110" s="139"/>
      <c r="CKW110" s="139"/>
      <c r="CKX110" s="139"/>
      <c r="CKY110" s="139"/>
      <c r="CKZ110" s="139"/>
      <c r="CLA110" s="139"/>
      <c r="CLB110" s="139"/>
      <c r="CLC110" s="139"/>
      <c r="CLD110" s="139"/>
      <c r="CLE110" s="139"/>
      <c r="CLF110" s="139"/>
      <c r="CLG110" s="139"/>
      <c r="CLH110" s="139"/>
      <c r="CLI110" s="139"/>
      <c r="CLJ110" s="139"/>
      <c r="CLK110" s="139"/>
      <c r="CLL110" s="139"/>
      <c r="CLM110" s="139"/>
      <c r="CLN110" s="139"/>
      <c r="CLO110" s="139"/>
      <c r="CLP110" s="139"/>
      <c r="CLQ110" s="139"/>
      <c r="CLR110" s="139"/>
      <c r="CLS110" s="139"/>
      <c r="CLT110" s="139"/>
      <c r="CLU110" s="139"/>
      <c r="CLV110" s="139"/>
      <c r="CLW110" s="139"/>
      <c r="CLX110" s="139"/>
      <c r="CLY110" s="139"/>
      <c r="CLZ110" s="139"/>
      <c r="CMA110" s="139"/>
      <c r="CMB110" s="139"/>
      <c r="CMC110" s="139"/>
      <c r="CMD110" s="139"/>
      <c r="CME110" s="139"/>
      <c r="CMF110" s="139"/>
      <c r="CMG110" s="139"/>
      <c r="CMH110" s="139"/>
      <c r="CMI110" s="139"/>
      <c r="CMJ110" s="139"/>
      <c r="CMK110" s="139"/>
      <c r="CML110" s="139"/>
      <c r="CMM110" s="139"/>
      <c r="CMN110" s="139"/>
      <c r="CMO110" s="139"/>
      <c r="CMP110" s="139"/>
      <c r="CMQ110" s="139"/>
      <c r="CMR110" s="139"/>
      <c r="CMS110" s="139"/>
      <c r="CMT110" s="139"/>
      <c r="CMU110" s="139"/>
      <c r="CMV110" s="139"/>
      <c r="CMW110" s="139"/>
      <c r="CMX110" s="139"/>
      <c r="CMY110" s="139"/>
      <c r="CMZ110" s="139"/>
      <c r="CNA110" s="139"/>
      <c r="CNB110" s="139"/>
      <c r="CNC110" s="139"/>
      <c r="CND110" s="139"/>
      <c r="CNE110" s="139"/>
      <c r="CNF110" s="139"/>
      <c r="CNG110" s="139"/>
      <c r="CNH110" s="139"/>
      <c r="CNI110" s="139"/>
      <c r="CNJ110" s="139"/>
      <c r="CNK110" s="139"/>
      <c r="CNL110" s="139"/>
      <c r="CNM110" s="139"/>
      <c r="CNN110" s="139"/>
      <c r="CNO110" s="139"/>
      <c r="CNP110" s="139"/>
      <c r="CNQ110" s="139"/>
      <c r="CNR110" s="139"/>
      <c r="CNS110" s="139"/>
      <c r="CNT110" s="139"/>
      <c r="CNU110" s="139"/>
      <c r="CNV110" s="139"/>
      <c r="CNW110" s="139"/>
      <c r="CNX110" s="139"/>
      <c r="CNY110" s="139"/>
      <c r="CNZ110" s="139"/>
      <c r="COA110" s="139"/>
      <c r="COB110" s="139"/>
      <c r="COC110" s="139"/>
      <c r="COD110" s="139"/>
      <c r="COE110" s="139"/>
      <c r="COF110" s="139"/>
      <c r="COG110" s="139"/>
      <c r="COH110" s="139"/>
      <c r="COI110" s="139"/>
      <c r="COJ110" s="139"/>
      <c r="COK110" s="139"/>
      <c r="COL110" s="139"/>
      <c r="COM110" s="139"/>
      <c r="CON110" s="139"/>
      <c r="COO110" s="139"/>
      <c r="COP110" s="139"/>
      <c r="COQ110" s="139"/>
      <c r="COR110" s="139"/>
      <c r="COS110" s="139"/>
      <c r="COT110" s="139"/>
      <c r="COU110" s="139"/>
      <c r="COV110" s="139"/>
      <c r="COW110" s="139"/>
      <c r="COX110" s="139"/>
      <c r="COY110" s="139"/>
      <c r="COZ110" s="139"/>
      <c r="CPA110" s="139"/>
      <c r="CPB110" s="139"/>
      <c r="CPC110" s="139"/>
      <c r="CPD110" s="139"/>
      <c r="CPE110" s="139"/>
      <c r="CPF110" s="139"/>
      <c r="CPG110" s="139"/>
      <c r="CPH110" s="139"/>
      <c r="CPI110" s="139"/>
      <c r="CPJ110" s="139"/>
      <c r="CPK110" s="139"/>
      <c r="CPL110" s="139"/>
      <c r="CPM110" s="139"/>
      <c r="CPN110" s="139"/>
      <c r="CPO110" s="139"/>
      <c r="CPP110" s="139"/>
      <c r="CPQ110" s="139"/>
      <c r="CPR110" s="139"/>
      <c r="CPS110" s="139"/>
      <c r="CPT110" s="139"/>
      <c r="CPU110" s="139"/>
      <c r="CPV110" s="139"/>
      <c r="CPW110" s="139"/>
      <c r="CPX110" s="139"/>
      <c r="CPY110" s="139"/>
      <c r="CPZ110" s="139"/>
      <c r="CQA110" s="139"/>
      <c r="CQB110" s="139"/>
      <c r="CQC110" s="139"/>
      <c r="CQD110" s="139"/>
      <c r="CQE110" s="139"/>
      <c r="CQF110" s="139"/>
      <c r="CQG110" s="139"/>
      <c r="CQH110" s="139"/>
      <c r="CQI110" s="139"/>
      <c r="CQJ110" s="139"/>
      <c r="CQK110" s="139"/>
      <c r="CQL110" s="139"/>
      <c r="CQM110" s="139"/>
      <c r="CQN110" s="139"/>
      <c r="CQO110" s="139"/>
      <c r="CQP110" s="139"/>
      <c r="CQQ110" s="139"/>
      <c r="CQR110" s="139"/>
      <c r="CQS110" s="139"/>
      <c r="CQT110" s="139"/>
      <c r="CQU110" s="139"/>
      <c r="CQV110" s="139"/>
      <c r="CQW110" s="139"/>
      <c r="CQX110" s="139"/>
      <c r="CQY110" s="139"/>
      <c r="CQZ110" s="139"/>
      <c r="CRA110" s="139"/>
      <c r="CRB110" s="139"/>
      <c r="CRC110" s="139"/>
      <c r="CRD110" s="139"/>
      <c r="CRE110" s="139"/>
      <c r="CRF110" s="139"/>
      <c r="CRG110" s="139"/>
      <c r="CRH110" s="139"/>
      <c r="CRI110" s="139"/>
      <c r="CRJ110" s="139"/>
      <c r="CRK110" s="139"/>
      <c r="CRL110" s="139"/>
      <c r="CRM110" s="139"/>
      <c r="CRN110" s="139"/>
      <c r="CRO110" s="139"/>
      <c r="CRP110" s="139"/>
      <c r="CRQ110" s="139"/>
      <c r="CRR110" s="139"/>
      <c r="CRS110" s="139"/>
      <c r="CRT110" s="139"/>
      <c r="CRU110" s="139"/>
      <c r="CRV110" s="139"/>
      <c r="CRW110" s="139"/>
      <c r="CRX110" s="139"/>
      <c r="CRY110" s="139"/>
      <c r="CRZ110" s="139"/>
      <c r="CSA110" s="139"/>
      <c r="CSB110" s="139"/>
      <c r="CSC110" s="139"/>
      <c r="CSD110" s="139"/>
      <c r="CSE110" s="139"/>
      <c r="CSF110" s="139"/>
      <c r="CSG110" s="139"/>
      <c r="CSH110" s="139"/>
      <c r="CSI110" s="139"/>
      <c r="CSJ110" s="139"/>
      <c r="CSK110" s="139"/>
      <c r="CSL110" s="139"/>
      <c r="CSM110" s="139"/>
      <c r="CSN110" s="139"/>
      <c r="CSO110" s="139"/>
      <c r="CSP110" s="139"/>
      <c r="CSQ110" s="139"/>
      <c r="CSR110" s="139"/>
      <c r="CSS110" s="139"/>
      <c r="CST110" s="139"/>
      <c r="CSU110" s="139"/>
      <c r="CSV110" s="139"/>
      <c r="CSW110" s="139"/>
      <c r="CSX110" s="139"/>
      <c r="CSY110" s="139"/>
      <c r="CSZ110" s="139"/>
      <c r="CTA110" s="139"/>
      <c r="CTB110" s="139"/>
      <c r="CTC110" s="139"/>
      <c r="CTD110" s="139"/>
      <c r="CTE110" s="139"/>
      <c r="CTF110" s="139"/>
      <c r="CTG110" s="139"/>
      <c r="CTH110" s="139"/>
      <c r="CTI110" s="139"/>
      <c r="CTJ110" s="139"/>
      <c r="CTK110" s="139"/>
      <c r="CTL110" s="139"/>
      <c r="CTM110" s="139"/>
      <c r="CTN110" s="139"/>
      <c r="CTO110" s="139"/>
      <c r="CTP110" s="139"/>
      <c r="CTQ110" s="139"/>
      <c r="CTR110" s="139"/>
      <c r="CTS110" s="139"/>
      <c r="CTT110" s="139"/>
      <c r="CTU110" s="139"/>
      <c r="CTV110" s="139"/>
      <c r="CTW110" s="139"/>
      <c r="CTX110" s="139"/>
      <c r="CTY110" s="139"/>
      <c r="CTZ110" s="139"/>
      <c r="CUA110" s="139"/>
      <c r="CUB110" s="139"/>
      <c r="CUC110" s="139"/>
      <c r="CUD110" s="139"/>
      <c r="CUE110" s="139"/>
      <c r="CUF110" s="139"/>
      <c r="CUG110" s="139"/>
      <c r="CUH110" s="139"/>
      <c r="CUI110" s="139"/>
      <c r="CUJ110" s="139"/>
      <c r="CUK110" s="139"/>
      <c r="CUL110" s="139"/>
      <c r="CUM110" s="139"/>
      <c r="CUN110" s="139"/>
      <c r="CUO110" s="139"/>
      <c r="CUP110" s="139"/>
      <c r="CUQ110" s="139"/>
      <c r="CUR110" s="139"/>
      <c r="CUS110" s="139"/>
      <c r="CUT110" s="139"/>
      <c r="CUU110" s="139"/>
      <c r="CUV110" s="139"/>
      <c r="CUW110" s="139"/>
      <c r="CUX110" s="139"/>
      <c r="CUY110" s="139"/>
      <c r="CUZ110" s="139"/>
      <c r="CVA110" s="139"/>
      <c r="CVB110" s="139"/>
      <c r="CVC110" s="139"/>
      <c r="CVD110" s="139"/>
      <c r="CVE110" s="139"/>
      <c r="CVF110" s="139"/>
      <c r="CVG110" s="139"/>
      <c r="CVH110" s="139"/>
      <c r="CVI110" s="139"/>
      <c r="CVJ110" s="139"/>
      <c r="CVK110" s="139"/>
      <c r="CVL110" s="139"/>
      <c r="CVM110" s="139"/>
      <c r="CVN110" s="139"/>
      <c r="CVO110" s="139"/>
      <c r="CVP110" s="139"/>
      <c r="CVQ110" s="139"/>
      <c r="CVR110" s="139"/>
      <c r="CVS110" s="139"/>
      <c r="CVT110" s="139"/>
      <c r="CVU110" s="139"/>
      <c r="CVV110" s="139"/>
      <c r="CVW110" s="139"/>
      <c r="CVX110" s="139"/>
      <c r="CVY110" s="139"/>
      <c r="CVZ110" s="139"/>
      <c r="CWA110" s="139"/>
      <c r="CWB110" s="139"/>
      <c r="CWC110" s="139"/>
      <c r="CWD110" s="139"/>
      <c r="CWE110" s="139"/>
      <c r="CWF110" s="139"/>
      <c r="CWG110" s="139"/>
      <c r="CWH110" s="139"/>
      <c r="CWI110" s="139"/>
      <c r="CWJ110" s="139"/>
      <c r="CWK110" s="139"/>
      <c r="CWL110" s="139"/>
      <c r="CWM110" s="139"/>
      <c r="CWN110" s="139"/>
      <c r="CWO110" s="139"/>
      <c r="CWP110" s="139"/>
      <c r="CWQ110" s="139"/>
      <c r="CWR110" s="139"/>
      <c r="CWS110" s="139"/>
      <c r="CWT110" s="139"/>
      <c r="CWU110" s="139"/>
      <c r="CWV110" s="139"/>
      <c r="CWW110" s="139"/>
      <c r="CWX110" s="139"/>
      <c r="CWY110" s="139"/>
      <c r="CWZ110" s="139"/>
      <c r="CXA110" s="139"/>
      <c r="CXB110" s="139"/>
      <c r="CXC110" s="139"/>
      <c r="CXD110" s="139"/>
      <c r="CXE110" s="139"/>
      <c r="CXF110" s="139"/>
      <c r="CXG110" s="139"/>
      <c r="CXH110" s="139"/>
      <c r="CXI110" s="139"/>
      <c r="CXJ110" s="139"/>
      <c r="CXK110" s="139"/>
      <c r="CXL110" s="139"/>
      <c r="CXM110" s="139"/>
      <c r="CXN110" s="139"/>
      <c r="CXO110" s="139"/>
      <c r="CXP110" s="139"/>
      <c r="CXQ110" s="139"/>
      <c r="CXR110" s="139"/>
      <c r="CXS110" s="139"/>
      <c r="CXT110" s="139"/>
      <c r="CXU110" s="139"/>
      <c r="CXV110" s="139"/>
      <c r="CXW110" s="139"/>
      <c r="CXX110" s="139"/>
      <c r="CXY110" s="139"/>
      <c r="CXZ110" s="139"/>
      <c r="CYA110" s="139"/>
      <c r="CYB110" s="139"/>
      <c r="CYC110" s="139"/>
      <c r="CYD110" s="139"/>
      <c r="CYE110" s="139"/>
      <c r="CYF110" s="139"/>
      <c r="CYG110" s="139"/>
      <c r="CYH110" s="139"/>
      <c r="CYI110" s="139"/>
      <c r="CYJ110" s="139"/>
      <c r="CYK110" s="139"/>
      <c r="CYL110" s="139"/>
      <c r="CYM110" s="139"/>
      <c r="CYN110" s="139"/>
      <c r="CYO110" s="139"/>
      <c r="CYP110" s="139"/>
      <c r="CYQ110" s="139"/>
      <c r="CYR110" s="139"/>
      <c r="CYS110" s="139"/>
      <c r="CYT110" s="139"/>
      <c r="CYU110" s="139"/>
      <c r="CYV110" s="139"/>
      <c r="CYW110" s="139"/>
      <c r="CYX110" s="139"/>
      <c r="CYY110" s="139"/>
      <c r="CYZ110" s="139"/>
      <c r="CZA110" s="139"/>
      <c r="CZB110" s="139"/>
      <c r="CZC110" s="139"/>
      <c r="CZD110" s="139"/>
      <c r="CZE110" s="139"/>
      <c r="CZF110" s="139"/>
      <c r="CZG110" s="139"/>
      <c r="CZH110" s="139"/>
      <c r="CZI110" s="139"/>
      <c r="CZJ110" s="139"/>
      <c r="CZK110" s="139"/>
      <c r="CZL110" s="139"/>
      <c r="CZM110" s="139"/>
      <c r="CZN110" s="139"/>
      <c r="CZO110" s="139"/>
      <c r="CZP110" s="139"/>
      <c r="CZQ110" s="139"/>
      <c r="CZR110" s="139"/>
      <c r="CZS110" s="139"/>
      <c r="CZT110" s="139"/>
      <c r="CZU110" s="139"/>
      <c r="CZV110" s="139"/>
      <c r="CZW110" s="139"/>
      <c r="CZX110" s="139"/>
      <c r="CZY110" s="139"/>
      <c r="CZZ110" s="139"/>
      <c r="DAA110" s="139"/>
      <c r="DAB110" s="139"/>
      <c r="DAC110" s="139"/>
      <c r="DAD110" s="139"/>
      <c r="DAE110" s="139"/>
      <c r="DAF110" s="139"/>
      <c r="DAG110" s="139"/>
      <c r="DAH110" s="139"/>
      <c r="DAI110" s="139"/>
      <c r="DAJ110" s="139"/>
      <c r="DAK110" s="139"/>
      <c r="DAL110" s="139"/>
      <c r="DAM110" s="139"/>
      <c r="DAN110" s="139"/>
      <c r="DAO110" s="139"/>
      <c r="DAP110" s="139"/>
      <c r="DAQ110" s="139"/>
      <c r="DAR110" s="139"/>
      <c r="DAS110" s="139"/>
      <c r="DAT110" s="139"/>
      <c r="DAU110" s="139"/>
      <c r="DAV110" s="139"/>
      <c r="DAW110" s="139"/>
      <c r="DAX110" s="139"/>
      <c r="DAY110" s="139"/>
      <c r="DAZ110" s="139"/>
      <c r="DBA110" s="139"/>
      <c r="DBB110" s="139"/>
      <c r="DBC110" s="139"/>
      <c r="DBD110" s="139"/>
      <c r="DBE110" s="139"/>
      <c r="DBF110" s="139"/>
      <c r="DBG110" s="139"/>
      <c r="DBH110" s="139"/>
      <c r="DBI110" s="139"/>
      <c r="DBJ110" s="139"/>
      <c r="DBK110" s="139"/>
      <c r="DBL110" s="139"/>
      <c r="DBM110" s="139"/>
      <c r="DBN110" s="139"/>
      <c r="DBO110" s="139"/>
      <c r="DBP110" s="139"/>
      <c r="DBQ110" s="139"/>
      <c r="DBR110" s="139"/>
      <c r="DBS110" s="139"/>
      <c r="DBT110" s="139"/>
      <c r="DBU110" s="139"/>
      <c r="DBV110" s="139"/>
      <c r="DBW110" s="139"/>
      <c r="DBX110" s="139"/>
      <c r="DBY110" s="139"/>
      <c r="DBZ110" s="139"/>
      <c r="DCA110" s="139"/>
      <c r="DCB110" s="139"/>
      <c r="DCC110" s="139"/>
      <c r="DCD110" s="139"/>
      <c r="DCE110" s="139"/>
      <c r="DCF110" s="139"/>
      <c r="DCG110" s="139"/>
      <c r="DCH110" s="139"/>
      <c r="DCI110" s="139"/>
      <c r="DCJ110" s="139"/>
      <c r="DCK110" s="139"/>
      <c r="DCL110" s="139"/>
      <c r="DCM110" s="139"/>
      <c r="DCN110" s="139"/>
      <c r="DCO110" s="139"/>
      <c r="DCP110" s="139"/>
      <c r="DCQ110" s="139"/>
      <c r="DCR110" s="139"/>
      <c r="DCS110" s="139"/>
      <c r="DCT110" s="139"/>
      <c r="DCU110" s="139"/>
      <c r="DCV110" s="139"/>
      <c r="DCW110" s="139"/>
      <c r="DCX110" s="139"/>
      <c r="DCY110" s="139"/>
      <c r="DCZ110" s="139"/>
      <c r="DDA110" s="139"/>
      <c r="DDB110" s="139"/>
      <c r="DDC110" s="139"/>
      <c r="DDD110" s="139"/>
      <c r="DDE110" s="139"/>
      <c r="DDF110" s="139"/>
      <c r="DDG110" s="139"/>
      <c r="DDH110" s="139"/>
      <c r="DDI110" s="139"/>
      <c r="DDJ110" s="139"/>
      <c r="DDK110" s="139"/>
      <c r="DDL110" s="139"/>
      <c r="DDM110" s="139"/>
      <c r="DDN110" s="139"/>
      <c r="DDO110" s="139"/>
      <c r="DDP110" s="139"/>
      <c r="DDQ110" s="139"/>
      <c r="DDR110" s="139"/>
      <c r="DDS110" s="139"/>
      <c r="DDT110" s="139"/>
      <c r="DDU110" s="139"/>
      <c r="DDV110" s="139"/>
      <c r="DDW110" s="139"/>
      <c r="DDX110" s="139"/>
      <c r="DDY110" s="139"/>
      <c r="DDZ110" s="139"/>
      <c r="DEA110" s="139"/>
      <c r="DEB110" s="139"/>
      <c r="DEC110" s="139"/>
      <c r="DED110" s="139"/>
      <c r="DEE110" s="139"/>
      <c r="DEF110" s="139"/>
      <c r="DEG110" s="139"/>
      <c r="DEH110" s="139"/>
      <c r="DEI110" s="139"/>
      <c r="DEJ110" s="139"/>
      <c r="DEK110" s="139"/>
      <c r="DEL110" s="139"/>
      <c r="DEM110" s="139"/>
      <c r="DEN110" s="139"/>
      <c r="DEO110" s="139"/>
      <c r="DEP110" s="139"/>
      <c r="DEQ110" s="139"/>
      <c r="DER110" s="139"/>
      <c r="DES110" s="139"/>
      <c r="DET110" s="139"/>
      <c r="DEU110" s="139"/>
      <c r="DEV110" s="139"/>
      <c r="DEW110" s="139"/>
      <c r="DEX110" s="139"/>
      <c r="DEY110" s="139"/>
      <c r="DEZ110" s="139"/>
      <c r="DFA110" s="139"/>
      <c r="DFB110" s="139"/>
      <c r="DFC110" s="139"/>
      <c r="DFD110" s="139"/>
      <c r="DFE110" s="139"/>
      <c r="DFF110" s="139"/>
      <c r="DFG110" s="139"/>
      <c r="DFH110" s="139"/>
      <c r="DFI110" s="139"/>
      <c r="DFJ110" s="139"/>
      <c r="DFK110" s="139"/>
      <c r="DFL110" s="139"/>
      <c r="DFM110" s="139"/>
      <c r="DFN110" s="139"/>
      <c r="DFO110" s="139"/>
      <c r="DFP110" s="139"/>
      <c r="DFQ110" s="139"/>
      <c r="DFR110" s="139"/>
      <c r="DFS110" s="139"/>
      <c r="DFT110" s="139"/>
      <c r="DFU110" s="139"/>
      <c r="DFV110" s="139"/>
      <c r="DFW110" s="139"/>
      <c r="DFX110" s="139"/>
      <c r="DFY110" s="139"/>
      <c r="DFZ110" s="139"/>
      <c r="DGA110" s="139"/>
      <c r="DGB110" s="139"/>
      <c r="DGC110" s="139"/>
      <c r="DGD110" s="139"/>
      <c r="DGE110" s="139"/>
      <c r="DGF110" s="139"/>
      <c r="DGG110" s="139"/>
      <c r="DGH110" s="139"/>
      <c r="DGI110" s="139"/>
      <c r="DGJ110" s="139"/>
      <c r="DGK110" s="139"/>
      <c r="DGL110" s="139"/>
      <c r="DGM110" s="139"/>
      <c r="DGN110" s="139"/>
      <c r="DGO110" s="139"/>
      <c r="DGP110" s="139"/>
      <c r="DGQ110" s="139"/>
      <c r="DGR110" s="139"/>
      <c r="DGS110" s="139"/>
      <c r="DGT110" s="139"/>
      <c r="DGU110" s="139"/>
      <c r="DGV110" s="139"/>
      <c r="DGW110" s="139"/>
      <c r="DGX110" s="139"/>
      <c r="DGY110" s="139"/>
      <c r="DGZ110" s="139"/>
      <c r="DHA110" s="139"/>
      <c r="DHB110" s="139"/>
      <c r="DHC110" s="139"/>
      <c r="DHD110" s="139"/>
      <c r="DHE110" s="139"/>
      <c r="DHF110" s="139"/>
      <c r="DHG110" s="139"/>
      <c r="DHH110" s="139"/>
      <c r="DHI110" s="139"/>
      <c r="DHJ110" s="139"/>
      <c r="DHK110" s="139"/>
      <c r="DHL110" s="139"/>
      <c r="DHM110" s="139"/>
      <c r="DHN110" s="139"/>
      <c r="DHO110" s="139"/>
      <c r="DHP110" s="139"/>
      <c r="DHQ110" s="139"/>
      <c r="DHR110" s="139"/>
      <c r="DHS110" s="139"/>
      <c r="DHT110" s="139"/>
      <c r="DHU110" s="139"/>
      <c r="DHV110" s="139"/>
      <c r="DHW110" s="139"/>
      <c r="DHX110" s="139"/>
      <c r="DHY110" s="139"/>
      <c r="DHZ110" s="139"/>
      <c r="DIA110" s="139"/>
      <c r="DIB110" s="139"/>
      <c r="DIC110" s="139"/>
      <c r="DID110" s="139"/>
      <c r="DIE110" s="139"/>
      <c r="DIF110" s="139"/>
      <c r="DIG110" s="139"/>
      <c r="DIH110" s="139"/>
      <c r="DII110" s="139"/>
      <c r="DIJ110" s="139"/>
      <c r="DIK110" s="139"/>
      <c r="DIL110" s="139"/>
      <c r="DIM110" s="139"/>
      <c r="DIN110" s="139"/>
      <c r="DIO110" s="139"/>
      <c r="DIP110" s="139"/>
      <c r="DIQ110" s="139"/>
      <c r="DIR110" s="139"/>
      <c r="DIS110" s="139"/>
      <c r="DIT110" s="139"/>
      <c r="DIU110" s="139"/>
      <c r="DIV110" s="139"/>
      <c r="DIW110" s="139"/>
      <c r="DIX110" s="139"/>
      <c r="DIY110" s="139"/>
      <c r="DIZ110" s="139"/>
      <c r="DJA110" s="139"/>
      <c r="DJB110" s="139"/>
      <c r="DJC110" s="139"/>
      <c r="DJD110" s="139"/>
      <c r="DJE110" s="139"/>
      <c r="DJF110" s="139"/>
      <c r="DJG110" s="139"/>
      <c r="DJH110" s="139"/>
      <c r="DJI110" s="139"/>
      <c r="DJJ110" s="139"/>
      <c r="DJK110" s="139"/>
      <c r="DJL110" s="139"/>
      <c r="DJM110" s="139"/>
      <c r="DJN110" s="139"/>
      <c r="DJO110" s="139"/>
      <c r="DJP110" s="139"/>
      <c r="DJQ110" s="139"/>
      <c r="DJR110" s="139"/>
      <c r="DJS110" s="139"/>
      <c r="DJT110" s="139"/>
      <c r="DJU110" s="139"/>
      <c r="DJV110" s="139"/>
      <c r="DJW110" s="139"/>
      <c r="DJX110" s="139"/>
      <c r="DJY110" s="139"/>
      <c r="DJZ110" s="139"/>
      <c r="DKA110" s="139"/>
      <c r="DKB110" s="139"/>
      <c r="DKC110" s="139"/>
      <c r="DKD110" s="139"/>
      <c r="DKE110" s="139"/>
      <c r="DKF110" s="139"/>
      <c r="DKG110" s="139"/>
      <c r="DKH110" s="139"/>
      <c r="DKI110" s="139"/>
      <c r="DKJ110" s="139"/>
      <c r="DKK110" s="139"/>
      <c r="DKL110" s="139"/>
      <c r="DKM110" s="139"/>
      <c r="DKN110" s="139"/>
      <c r="DKO110" s="139"/>
      <c r="DKP110" s="139"/>
      <c r="DKQ110" s="139"/>
      <c r="DKR110" s="139"/>
      <c r="DKS110" s="139"/>
      <c r="DKT110" s="139"/>
      <c r="DKU110" s="139"/>
      <c r="DKV110" s="139"/>
      <c r="DKW110" s="139"/>
      <c r="DKX110" s="139"/>
      <c r="DKY110" s="139"/>
      <c r="DKZ110" s="139"/>
      <c r="DLA110" s="139"/>
      <c r="DLB110" s="139"/>
      <c r="DLC110" s="139"/>
      <c r="DLD110" s="139"/>
      <c r="DLE110" s="139"/>
      <c r="DLF110" s="139"/>
      <c r="DLG110" s="139"/>
      <c r="DLH110" s="139"/>
      <c r="DLI110" s="139"/>
      <c r="DLJ110" s="139"/>
      <c r="DLK110" s="139"/>
      <c r="DLL110" s="139"/>
      <c r="DLM110" s="139"/>
      <c r="DLN110" s="139"/>
      <c r="DLO110" s="139"/>
      <c r="DLP110" s="139"/>
      <c r="DLQ110" s="139"/>
      <c r="DLR110" s="139"/>
      <c r="DLS110" s="139"/>
      <c r="DLT110" s="139"/>
      <c r="DLU110" s="139"/>
      <c r="DLV110" s="139"/>
      <c r="DLW110" s="139"/>
      <c r="DLX110" s="139"/>
      <c r="DLY110" s="139"/>
      <c r="DLZ110" s="139"/>
      <c r="DMA110" s="139"/>
      <c r="DMB110" s="139"/>
      <c r="DMC110" s="139"/>
      <c r="DMD110" s="139"/>
      <c r="DME110" s="139"/>
      <c r="DMF110" s="139"/>
      <c r="DMG110" s="139"/>
      <c r="DMH110" s="139"/>
      <c r="DMI110" s="139"/>
      <c r="DMJ110" s="139"/>
      <c r="DMK110" s="139"/>
      <c r="DML110" s="139"/>
      <c r="DMM110" s="139"/>
      <c r="DMN110" s="139"/>
      <c r="DMO110" s="139"/>
      <c r="DMP110" s="139"/>
      <c r="DMQ110" s="139"/>
      <c r="DMR110" s="139"/>
      <c r="DMS110" s="139"/>
      <c r="DMT110" s="139"/>
      <c r="DMU110" s="139"/>
      <c r="DMV110" s="139"/>
      <c r="DMW110" s="139"/>
      <c r="DMX110" s="139"/>
      <c r="DMY110" s="139"/>
      <c r="DMZ110" s="139"/>
      <c r="DNA110" s="139"/>
      <c r="DNB110" s="139"/>
      <c r="DNC110" s="139"/>
      <c r="DND110" s="139"/>
      <c r="DNE110" s="139"/>
      <c r="DNF110" s="139"/>
      <c r="DNG110" s="139"/>
      <c r="DNH110" s="139"/>
      <c r="DNI110" s="139"/>
      <c r="DNJ110" s="139"/>
      <c r="DNK110" s="139"/>
      <c r="DNL110" s="139"/>
      <c r="DNM110" s="139"/>
      <c r="DNN110" s="139"/>
      <c r="DNO110" s="139"/>
      <c r="DNP110" s="139"/>
      <c r="DNQ110" s="139"/>
      <c r="DNR110" s="139"/>
      <c r="DNS110" s="139"/>
      <c r="DNT110" s="139"/>
      <c r="DNU110" s="139"/>
      <c r="DNV110" s="139"/>
      <c r="DNW110" s="139"/>
      <c r="DNX110" s="139"/>
      <c r="DNY110" s="139"/>
      <c r="DNZ110" s="139"/>
      <c r="DOA110" s="139"/>
      <c r="DOB110" s="139"/>
      <c r="DOC110" s="139"/>
      <c r="DOD110" s="139"/>
      <c r="DOE110" s="139"/>
      <c r="DOF110" s="139"/>
      <c r="DOG110" s="139"/>
      <c r="DOH110" s="139"/>
      <c r="DOI110" s="139"/>
      <c r="DOJ110" s="139"/>
      <c r="DOK110" s="139"/>
      <c r="DOL110" s="139"/>
      <c r="DOM110" s="139"/>
      <c r="DON110" s="139"/>
      <c r="DOO110" s="139"/>
      <c r="DOP110" s="139"/>
      <c r="DOQ110" s="139"/>
      <c r="DOR110" s="139"/>
      <c r="DOS110" s="139"/>
      <c r="DOT110" s="139"/>
      <c r="DOU110" s="139"/>
      <c r="DOV110" s="139"/>
      <c r="DOW110" s="139"/>
      <c r="DOX110" s="139"/>
      <c r="DOY110" s="139"/>
      <c r="DOZ110" s="139"/>
      <c r="DPA110" s="139"/>
      <c r="DPB110" s="139"/>
      <c r="DPC110" s="139"/>
      <c r="DPD110" s="139"/>
      <c r="DPE110" s="139"/>
      <c r="DPF110" s="139"/>
      <c r="DPG110" s="139"/>
      <c r="DPH110" s="139"/>
      <c r="DPI110" s="139"/>
      <c r="DPJ110" s="139"/>
      <c r="DPK110" s="139"/>
      <c r="DPL110" s="139"/>
      <c r="DPM110" s="139"/>
      <c r="DPN110" s="139"/>
      <c r="DPO110" s="139"/>
      <c r="DPP110" s="139"/>
      <c r="DPQ110" s="139"/>
      <c r="DPR110" s="139"/>
      <c r="DPS110" s="139"/>
      <c r="DPT110" s="139"/>
      <c r="DPU110" s="139"/>
      <c r="DPV110" s="139"/>
      <c r="DPW110" s="139"/>
      <c r="DPX110" s="139"/>
      <c r="DPY110" s="139"/>
      <c r="DPZ110" s="139"/>
      <c r="DQA110" s="139"/>
      <c r="DQB110" s="139"/>
      <c r="DQC110" s="139"/>
      <c r="DQD110" s="139"/>
      <c r="DQE110" s="139"/>
      <c r="DQF110" s="139"/>
      <c r="DQG110" s="139"/>
      <c r="DQH110" s="139"/>
      <c r="DQI110" s="139"/>
      <c r="DQJ110" s="139"/>
      <c r="DQK110" s="139"/>
      <c r="DQL110" s="139"/>
      <c r="DQM110" s="139"/>
      <c r="DQN110" s="139"/>
      <c r="DQO110" s="139"/>
      <c r="DQP110" s="139"/>
      <c r="DQQ110" s="139"/>
      <c r="DQR110" s="139"/>
      <c r="DQS110" s="139"/>
      <c r="DQT110" s="139"/>
      <c r="DQU110" s="139"/>
      <c r="DQV110" s="139"/>
      <c r="DQW110" s="139"/>
      <c r="DQX110" s="139"/>
      <c r="DQY110" s="139"/>
      <c r="DQZ110" s="139"/>
      <c r="DRA110" s="139"/>
      <c r="DRB110" s="139"/>
      <c r="DRC110" s="139"/>
      <c r="DRD110" s="139"/>
      <c r="DRE110" s="139"/>
      <c r="DRF110" s="139"/>
      <c r="DRG110" s="139"/>
      <c r="DRH110" s="139"/>
      <c r="DRI110" s="139"/>
      <c r="DRJ110" s="139"/>
      <c r="DRK110" s="139"/>
      <c r="DRL110" s="139"/>
      <c r="DRM110" s="139"/>
      <c r="DRN110" s="139"/>
      <c r="DRO110" s="139"/>
      <c r="DRP110" s="139"/>
      <c r="DRQ110" s="139"/>
      <c r="DRR110" s="139"/>
      <c r="DRS110" s="139"/>
      <c r="DRT110" s="139"/>
      <c r="DRU110" s="139"/>
      <c r="DRV110" s="139"/>
      <c r="DRW110" s="139"/>
      <c r="DRX110" s="139"/>
      <c r="DRY110" s="139"/>
      <c r="DRZ110" s="139"/>
      <c r="DSA110" s="139"/>
      <c r="DSB110" s="139"/>
      <c r="DSC110" s="139"/>
      <c r="DSD110" s="139"/>
      <c r="DSE110" s="139"/>
      <c r="DSF110" s="139"/>
      <c r="DSG110" s="139"/>
      <c r="DSH110" s="139"/>
      <c r="DSI110" s="139"/>
      <c r="DSJ110" s="139"/>
      <c r="DSK110" s="139"/>
      <c r="DSL110" s="139"/>
      <c r="DSM110" s="139"/>
      <c r="DSN110" s="139"/>
      <c r="DSO110" s="139"/>
      <c r="DSP110" s="139"/>
      <c r="DSQ110" s="139"/>
      <c r="DSR110" s="139"/>
      <c r="DSS110" s="139"/>
      <c r="DST110" s="139"/>
      <c r="DSU110" s="139"/>
      <c r="DSV110" s="139"/>
      <c r="DSW110" s="139"/>
      <c r="DSX110" s="139"/>
      <c r="DSY110" s="139"/>
      <c r="DSZ110" s="139"/>
      <c r="DTA110" s="139"/>
      <c r="DTB110" s="139"/>
      <c r="DTC110" s="139"/>
      <c r="DTD110" s="139"/>
      <c r="DTE110" s="139"/>
      <c r="DTF110" s="139"/>
      <c r="DTG110" s="139"/>
      <c r="DTH110" s="139"/>
      <c r="DTI110" s="139"/>
      <c r="DTJ110" s="139"/>
      <c r="DTK110" s="139"/>
      <c r="DTL110" s="139"/>
      <c r="DTM110" s="139"/>
      <c r="DTN110" s="139"/>
      <c r="DTO110" s="139"/>
      <c r="DTP110" s="139"/>
      <c r="DTQ110" s="139"/>
      <c r="DTR110" s="139"/>
      <c r="DTS110" s="139"/>
      <c r="DTT110" s="139"/>
      <c r="DTU110" s="139"/>
      <c r="DTV110" s="139"/>
      <c r="DTW110" s="139"/>
      <c r="DTX110" s="139"/>
      <c r="DTY110" s="139"/>
      <c r="DTZ110" s="139"/>
      <c r="DUA110" s="139"/>
      <c r="DUB110" s="139"/>
      <c r="DUC110" s="139"/>
      <c r="DUD110" s="139"/>
      <c r="DUE110" s="139"/>
      <c r="DUF110" s="139"/>
      <c r="DUG110" s="139"/>
      <c r="DUH110" s="139"/>
      <c r="DUI110" s="139"/>
      <c r="DUJ110" s="139"/>
      <c r="DUK110" s="139"/>
      <c r="DUL110" s="139"/>
      <c r="DUM110" s="139"/>
      <c r="DUN110" s="139"/>
      <c r="DUO110" s="139"/>
      <c r="DUP110" s="139"/>
      <c r="DUQ110" s="139"/>
      <c r="DUR110" s="139"/>
      <c r="DUS110" s="139"/>
      <c r="DUT110" s="139"/>
      <c r="DUU110" s="139"/>
      <c r="DUV110" s="139"/>
      <c r="DUW110" s="139"/>
      <c r="DUX110" s="139"/>
      <c r="DUY110" s="139"/>
      <c r="DUZ110" s="139"/>
      <c r="DVA110" s="139"/>
      <c r="DVB110" s="139"/>
      <c r="DVC110" s="139"/>
      <c r="DVD110" s="139"/>
      <c r="DVE110" s="139"/>
      <c r="DVF110" s="139"/>
      <c r="DVG110" s="139"/>
      <c r="DVH110" s="139"/>
      <c r="DVI110" s="139"/>
      <c r="DVJ110" s="139"/>
      <c r="DVK110" s="139"/>
      <c r="DVL110" s="139"/>
      <c r="DVM110" s="139"/>
      <c r="DVN110" s="139"/>
      <c r="DVO110" s="139"/>
      <c r="DVP110" s="139"/>
      <c r="DVQ110" s="139"/>
      <c r="DVR110" s="139"/>
      <c r="DVS110" s="139"/>
      <c r="DVT110" s="139"/>
      <c r="DVU110" s="139"/>
      <c r="DVV110" s="139"/>
      <c r="DVW110" s="139"/>
      <c r="DVX110" s="139"/>
      <c r="DVY110" s="139"/>
      <c r="DVZ110" s="139"/>
      <c r="DWA110" s="139"/>
      <c r="DWB110" s="139"/>
      <c r="DWC110" s="139"/>
      <c r="DWD110" s="139"/>
      <c r="DWE110" s="139"/>
      <c r="DWF110" s="139"/>
      <c r="DWG110" s="139"/>
      <c r="DWH110" s="139"/>
      <c r="DWI110" s="139"/>
      <c r="DWJ110" s="139"/>
      <c r="DWK110" s="139"/>
      <c r="DWL110" s="139"/>
      <c r="DWM110" s="139"/>
      <c r="DWN110" s="139"/>
      <c r="DWO110" s="139"/>
      <c r="DWP110" s="139"/>
      <c r="DWQ110" s="139"/>
      <c r="DWR110" s="139"/>
      <c r="DWS110" s="139"/>
      <c r="DWT110" s="139"/>
      <c r="DWU110" s="139"/>
      <c r="DWV110" s="139"/>
      <c r="DWW110" s="139"/>
      <c r="DWX110" s="139"/>
      <c r="DWY110" s="139"/>
      <c r="DWZ110" s="139"/>
      <c r="DXA110" s="139"/>
      <c r="DXB110" s="139"/>
      <c r="DXC110" s="139"/>
      <c r="DXD110" s="139"/>
      <c r="DXE110" s="139"/>
      <c r="DXF110" s="139"/>
      <c r="DXG110" s="139"/>
      <c r="DXH110" s="139"/>
      <c r="DXI110" s="139"/>
      <c r="DXJ110" s="139"/>
      <c r="DXK110" s="139"/>
      <c r="DXL110" s="139"/>
      <c r="DXM110" s="139"/>
      <c r="DXN110" s="139"/>
      <c r="DXO110" s="139"/>
      <c r="DXP110" s="139"/>
      <c r="DXQ110" s="139"/>
      <c r="DXR110" s="139"/>
      <c r="DXS110" s="139"/>
      <c r="DXT110" s="139"/>
      <c r="DXU110" s="139"/>
      <c r="DXV110" s="139"/>
      <c r="DXW110" s="139"/>
      <c r="DXX110" s="139"/>
      <c r="DXY110" s="139"/>
      <c r="DXZ110" s="139"/>
      <c r="DYA110" s="139"/>
      <c r="DYB110" s="139"/>
      <c r="DYC110" s="139"/>
      <c r="DYD110" s="139"/>
      <c r="DYE110" s="139"/>
      <c r="DYF110" s="139"/>
      <c r="DYG110" s="139"/>
      <c r="DYH110" s="139"/>
      <c r="DYI110" s="139"/>
      <c r="DYJ110" s="139"/>
      <c r="DYK110" s="139"/>
      <c r="DYL110" s="139"/>
      <c r="DYM110" s="139"/>
      <c r="DYN110" s="139"/>
      <c r="DYO110" s="139"/>
      <c r="DYP110" s="139"/>
      <c r="DYQ110" s="139"/>
      <c r="DYR110" s="139"/>
      <c r="DYS110" s="139"/>
      <c r="DYT110" s="139"/>
      <c r="DYU110" s="139"/>
      <c r="DYV110" s="139"/>
      <c r="DYW110" s="139"/>
      <c r="DYX110" s="139"/>
      <c r="DYY110" s="139"/>
      <c r="DYZ110" s="139"/>
      <c r="DZA110" s="139"/>
      <c r="DZB110" s="139"/>
      <c r="DZC110" s="139"/>
      <c r="DZD110" s="139"/>
      <c r="DZE110" s="139"/>
      <c r="DZF110" s="139"/>
      <c r="DZG110" s="139"/>
      <c r="DZH110" s="139"/>
      <c r="DZI110" s="139"/>
      <c r="DZJ110" s="139"/>
      <c r="DZK110" s="139"/>
      <c r="DZL110" s="139"/>
      <c r="DZM110" s="139"/>
      <c r="DZN110" s="139"/>
      <c r="DZO110" s="139"/>
      <c r="DZP110" s="139"/>
      <c r="DZQ110" s="139"/>
      <c r="DZR110" s="139"/>
      <c r="DZS110" s="139"/>
      <c r="DZT110" s="139"/>
      <c r="DZU110" s="139"/>
      <c r="DZV110" s="139"/>
      <c r="DZW110" s="139"/>
      <c r="DZX110" s="139"/>
      <c r="DZY110" s="139"/>
      <c r="DZZ110" s="139"/>
      <c r="EAA110" s="139"/>
      <c r="EAB110" s="139"/>
      <c r="EAC110" s="139"/>
      <c r="EAD110" s="139"/>
      <c r="EAE110" s="139"/>
      <c r="EAF110" s="139"/>
      <c r="EAG110" s="139"/>
      <c r="EAH110" s="139"/>
      <c r="EAI110" s="139"/>
      <c r="EAJ110" s="139"/>
      <c r="EAK110" s="139"/>
      <c r="EAL110" s="139"/>
      <c r="EAM110" s="139"/>
      <c r="EAN110" s="139"/>
      <c r="EAO110" s="139"/>
      <c r="EAP110" s="139"/>
      <c r="EAQ110" s="139"/>
      <c r="EAR110" s="139"/>
      <c r="EAS110" s="139"/>
      <c r="EAT110" s="139"/>
      <c r="EAU110" s="139"/>
      <c r="EAV110" s="139"/>
      <c r="EAW110" s="139"/>
      <c r="EAX110" s="139"/>
      <c r="EAY110" s="139"/>
      <c r="EAZ110" s="139"/>
      <c r="EBA110" s="139"/>
      <c r="EBB110" s="139"/>
      <c r="EBC110" s="139"/>
      <c r="EBD110" s="139"/>
      <c r="EBE110" s="139"/>
      <c r="EBF110" s="139"/>
      <c r="EBG110" s="139"/>
      <c r="EBH110" s="139"/>
      <c r="EBI110" s="139"/>
      <c r="EBJ110" s="139"/>
      <c r="EBK110" s="139"/>
      <c r="EBL110" s="139"/>
      <c r="EBM110" s="139"/>
      <c r="EBN110" s="139"/>
      <c r="EBO110" s="139"/>
      <c r="EBP110" s="139"/>
      <c r="EBQ110" s="139"/>
      <c r="EBR110" s="139"/>
      <c r="EBS110" s="139"/>
      <c r="EBT110" s="139"/>
      <c r="EBU110" s="139"/>
      <c r="EBV110" s="139"/>
      <c r="EBW110" s="139"/>
      <c r="EBX110" s="139"/>
      <c r="EBY110" s="139"/>
      <c r="EBZ110" s="139"/>
      <c r="ECA110" s="139"/>
      <c r="ECB110" s="139"/>
      <c r="ECC110" s="139"/>
      <c r="ECD110" s="139"/>
      <c r="ECE110" s="139"/>
      <c r="ECF110" s="139"/>
      <c r="ECG110" s="139"/>
      <c r="ECH110" s="139"/>
      <c r="ECI110" s="139"/>
      <c r="ECJ110" s="139"/>
      <c r="ECK110" s="139"/>
      <c r="ECL110" s="139"/>
      <c r="ECM110" s="139"/>
      <c r="ECN110" s="139"/>
      <c r="ECO110" s="139"/>
      <c r="ECP110" s="139"/>
      <c r="ECQ110" s="139"/>
      <c r="ECR110" s="139"/>
      <c r="ECS110" s="139"/>
      <c r="ECT110" s="139"/>
      <c r="ECU110" s="139"/>
      <c r="ECV110" s="139"/>
      <c r="ECW110" s="139"/>
      <c r="ECX110" s="139"/>
      <c r="ECY110" s="139"/>
      <c r="ECZ110" s="139"/>
      <c r="EDA110" s="139"/>
      <c r="EDB110" s="139"/>
      <c r="EDC110" s="139"/>
      <c r="EDD110" s="139"/>
      <c r="EDE110" s="139"/>
      <c r="EDF110" s="139"/>
      <c r="EDG110" s="139"/>
      <c r="EDH110" s="139"/>
      <c r="EDI110" s="139"/>
      <c r="EDJ110" s="139"/>
      <c r="EDK110" s="139"/>
      <c r="EDL110" s="139"/>
      <c r="EDM110" s="139"/>
      <c r="EDN110" s="139"/>
      <c r="EDO110" s="139"/>
      <c r="EDP110" s="139"/>
      <c r="EDQ110" s="139"/>
      <c r="EDR110" s="139"/>
      <c r="EDS110" s="139"/>
      <c r="EDT110" s="139"/>
      <c r="EDU110" s="139"/>
      <c r="EDV110" s="139"/>
      <c r="EDW110" s="139"/>
      <c r="EDX110" s="139"/>
      <c r="EDY110" s="139"/>
      <c r="EDZ110" s="139"/>
      <c r="EEA110" s="139"/>
      <c r="EEB110" s="139"/>
      <c r="EEC110" s="139"/>
      <c r="EED110" s="139"/>
      <c r="EEE110" s="139"/>
      <c r="EEF110" s="139"/>
      <c r="EEG110" s="139"/>
      <c r="EEH110" s="139"/>
      <c r="EEI110" s="139"/>
      <c r="EEJ110" s="139"/>
      <c r="EEK110" s="139"/>
      <c r="EEL110" s="139"/>
      <c r="EEM110" s="139"/>
      <c r="EEN110" s="139"/>
      <c r="EEO110" s="139"/>
      <c r="EEP110" s="139"/>
      <c r="EEQ110" s="139"/>
      <c r="EER110" s="139"/>
      <c r="EES110" s="139"/>
      <c r="EET110" s="139"/>
      <c r="EEU110" s="139"/>
      <c r="EEV110" s="139"/>
      <c r="EEW110" s="139"/>
      <c r="EEX110" s="139"/>
      <c r="EEY110" s="139"/>
      <c r="EEZ110" s="139"/>
      <c r="EFA110" s="139"/>
      <c r="EFB110" s="139"/>
      <c r="EFC110" s="139"/>
      <c r="EFD110" s="139"/>
      <c r="EFE110" s="139"/>
      <c r="EFF110" s="139"/>
      <c r="EFG110" s="139"/>
      <c r="EFH110" s="139"/>
      <c r="EFI110" s="139"/>
      <c r="EFJ110" s="139"/>
      <c r="EFK110" s="139"/>
      <c r="EFL110" s="139"/>
      <c r="EFM110" s="139"/>
      <c r="EFN110" s="139"/>
      <c r="EFO110" s="139"/>
      <c r="EFP110" s="139"/>
      <c r="EFQ110" s="139"/>
      <c r="EFR110" s="139"/>
      <c r="EFS110" s="139"/>
      <c r="EFT110" s="139"/>
      <c r="EFU110" s="139"/>
      <c r="EFV110" s="139"/>
      <c r="EFW110" s="139"/>
      <c r="EFX110" s="139"/>
      <c r="EFY110" s="139"/>
      <c r="EFZ110" s="139"/>
      <c r="EGA110" s="139"/>
      <c r="EGB110" s="139"/>
      <c r="EGC110" s="139"/>
      <c r="EGD110" s="139"/>
      <c r="EGE110" s="139"/>
      <c r="EGF110" s="139"/>
      <c r="EGG110" s="139"/>
      <c r="EGH110" s="139"/>
      <c r="EGI110" s="139"/>
      <c r="EGJ110" s="139"/>
      <c r="EGK110" s="139"/>
      <c r="EGL110" s="139"/>
      <c r="EGM110" s="139"/>
      <c r="EGN110" s="139"/>
      <c r="EGO110" s="139"/>
      <c r="EGP110" s="139"/>
      <c r="EGQ110" s="139"/>
      <c r="EGR110" s="139"/>
      <c r="EGS110" s="139"/>
      <c r="EGT110" s="139"/>
      <c r="EGU110" s="139"/>
      <c r="EGV110" s="139"/>
      <c r="EGW110" s="139"/>
      <c r="EGX110" s="139"/>
      <c r="EGY110" s="139"/>
      <c r="EGZ110" s="139"/>
      <c r="EHA110" s="139"/>
      <c r="EHB110" s="139"/>
      <c r="EHC110" s="139"/>
      <c r="EHD110" s="139"/>
      <c r="EHE110" s="139"/>
      <c r="EHF110" s="139"/>
      <c r="EHG110" s="139"/>
      <c r="EHH110" s="139"/>
      <c r="EHI110" s="139"/>
      <c r="EHJ110" s="139"/>
      <c r="EHK110" s="139"/>
      <c r="EHL110" s="139"/>
      <c r="EHM110" s="139"/>
      <c r="EHN110" s="139"/>
      <c r="EHO110" s="139"/>
      <c r="EHP110" s="139"/>
      <c r="EHQ110" s="139"/>
      <c r="EHR110" s="139"/>
      <c r="EHS110" s="139"/>
      <c r="EHT110" s="139"/>
      <c r="EHU110" s="139"/>
      <c r="EHV110" s="139"/>
      <c r="EHW110" s="139"/>
      <c r="EHX110" s="139"/>
      <c r="EHY110" s="139"/>
      <c r="EHZ110" s="139"/>
      <c r="EIA110" s="139"/>
      <c r="EIB110" s="139"/>
      <c r="EIC110" s="139"/>
      <c r="EID110" s="139"/>
      <c r="EIE110" s="139"/>
      <c r="EIF110" s="139"/>
      <c r="EIG110" s="139"/>
      <c r="EIH110" s="139"/>
      <c r="EII110" s="139"/>
      <c r="EIJ110" s="139"/>
      <c r="EIK110" s="139"/>
      <c r="EIL110" s="139"/>
      <c r="EIM110" s="139"/>
      <c r="EIN110" s="139"/>
      <c r="EIO110" s="139"/>
      <c r="EIP110" s="139"/>
      <c r="EIQ110" s="139"/>
      <c r="EIR110" s="139"/>
      <c r="EIS110" s="139"/>
      <c r="EIT110" s="139"/>
      <c r="EIU110" s="139"/>
      <c r="EIV110" s="139"/>
      <c r="EIW110" s="139"/>
      <c r="EIX110" s="139"/>
      <c r="EIY110" s="139"/>
      <c r="EIZ110" s="139"/>
      <c r="EJA110" s="139"/>
      <c r="EJB110" s="139"/>
      <c r="EJC110" s="139"/>
      <c r="EJD110" s="139"/>
      <c r="EJE110" s="139"/>
      <c r="EJF110" s="139"/>
      <c r="EJG110" s="139"/>
      <c r="EJH110" s="139"/>
      <c r="EJI110" s="139"/>
      <c r="EJJ110" s="139"/>
      <c r="EJK110" s="139"/>
      <c r="EJL110" s="139"/>
      <c r="EJM110" s="139"/>
      <c r="EJN110" s="139"/>
      <c r="EJO110" s="139"/>
      <c r="EJP110" s="139"/>
      <c r="EJQ110" s="139"/>
      <c r="EJR110" s="139"/>
      <c r="EJS110" s="139"/>
      <c r="EJT110" s="139"/>
      <c r="EJU110" s="139"/>
      <c r="EJV110" s="139"/>
      <c r="EJW110" s="139"/>
      <c r="EJX110" s="139"/>
      <c r="EJY110" s="139"/>
      <c r="EJZ110" s="139"/>
      <c r="EKA110" s="139"/>
      <c r="EKB110" s="139"/>
      <c r="EKC110" s="139"/>
      <c r="EKD110" s="139"/>
      <c r="EKE110" s="139"/>
      <c r="EKF110" s="139"/>
      <c r="EKG110" s="139"/>
      <c r="EKH110" s="139"/>
      <c r="EKI110" s="139"/>
      <c r="EKJ110" s="139"/>
      <c r="EKK110" s="139"/>
      <c r="EKL110" s="139"/>
      <c r="EKM110" s="139"/>
      <c r="EKN110" s="139"/>
      <c r="EKO110" s="139"/>
      <c r="EKP110" s="139"/>
      <c r="EKQ110" s="139"/>
      <c r="EKR110" s="139"/>
      <c r="EKS110" s="139"/>
      <c r="EKT110" s="139"/>
      <c r="EKU110" s="139"/>
      <c r="EKV110" s="139"/>
      <c r="EKW110" s="139"/>
      <c r="EKX110" s="139"/>
      <c r="EKY110" s="139"/>
      <c r="EKZ110" s="139"/>
      <c r="ELA110" s="139"/>
      <c r="ELB110" s="139"/>
      <c r="ELC110" s="139"/>
      <c r="ELD110" s="139"/>
      <c r="ELE110" s="139"/>
      <c r="ELF110" s="139"/>
      <c r="ELG110" s="139"/>
      <c r="ELH110" s="139"/>
      <c r="ELI110" s="139"/>
      <c r="ELJ110" s="139"/>
      <c r="ELK110" s="139"/>
      <c r="ELL110" s="139"/>
      <c r="ELM110" s="139"/>
      <c r="ELN110" s="139"/>
      <c r="ELO110" s="139"/>
      <c r="ELP110" s="139"/>
      <c r="ELQ110" s="139"/>
      <c r="ELR110" s="139"/>
      <c r="ELS110" s="139"/>
      <c r="ELT110" s="139"/>
      <c r="ELU110" s="139"/>
      <c r="ELV110" s="139"/>
      <c r="ELW110" s="139"/>
      <c r="ELX110" s="139"/>
      <c r="ELY110" s="139"/>
      <c r="ELZ110" s="139"/>
      <c r="EMA110" s="139"/>
      <c r="EMB110" s="139"/>
      <c r="EMC110" s="139"/>
      <c r="EMD110" s="139"/>
      <c r="EME110" s="139"/>
      <c r="EMF110" s="139"/>
      <c r="EMG110" s="139"/>
      <c r="EMH110" s="139"/>
      <c r="EMI110" s="139"/>
      <c r="EMJ110" s="139"/>
      <c r="EMK110" s="139"/>
      <c r="EML110" s="139"/>
      <c r="EMM110" s="139"/>
      <c r="EMN110" s="139"/>
      <c r="EMO110" s="139"/>
      <c r="EMP110" s="139"/>
      <c r="EMQ110" s="139"/>
      <c r="EMR110" s="139"/>
      <c r="EMS110" s="139"/>
      <c r="EMT110" s="139"/>
      <c r="EMU110" s="139"/>
      <c r="EMV110" s="139"/>
      <c r="EMW110" s="139"/>
      <c r="EMX110" s="139"/>
      <c r="EMY110" s="139"/>
      <c r="EMZ110" s="139"/>
      <c r="ENA110" s="139"/>
      <c r="ENB110" s="139"/>
      <c r="ENC110" s="139"/>
      <c r="END110" s="139"/>
      <c r="ENE110" s="139"/>
      <c r="ENF110" s="139"/>
      <c r="ENG110" s="139"/>
      <c r="ENH110" s="139"/>
      <c r="ENI110" s="139"/>
      <c r="ENJ110" s="139"/>
      <c r="ENK110" s="139"/>
      <c r="ENL110" s="139"/>
      <c r="ENM110" s="139"/>
      <c r="ENN110" s="139"/>
      <c r="ENO110" s="139"/>
      <c r="ENP110" s="139"/>
      <c r="ENQ110" s="139"/>
      <c r="ENR110" s="139"/>
      <c r="ENS110" s="139"/>
      <c r="ENT110" s="139"/>
      <c r="ENU110" s="139"/>
      <c r="ENV110" s="139"/>
      <c r="ENW110" s="139"/>
      <c r="ENX110" s="139"/>
      <c r="ENY110" s="139"/>
      <c r="ENZ110" s="139"/>
      <c r="EOA110" s="139"/>
      <c r="EOB110" s="139"/>
      <c r="EOC110" s="139"/>
      <c r="EOD110" s="139"/>
      <c r="EOE110" s="139"/>
      <c r="EOF110" s="139"/>
      <c r="EOG110" s="139"/>
      <c r="EOH110" s="139"/>
      <c r="EOI110" s="139"/>
      <c r="EOJ110" s="139"/>
      <c r="EOK110" s="139"/>
      <c r="EOL110" s="139"/>
      <c r="EOM110" s="139"/>
      <c r="EON110" s="139"/>
      <c r="EOO110" s="139"/>
      <c r="EOP110" s="139"/>
      <c r="EOQ110" s="139"/>
      <c r="EOR110" s="139"/>
      <c r="EOS110" s="139"/>
      <c r="EOT110" s="139"/>
      <c r="EOU110" s="139"/>
      <c r="EOV110" s="139"/>
      <c r="EOW110" s="139"/>
      <c r="EOX110" s="139"/>
      <c r="EOY110" s="139"/>
      <c r="EOZ110" s="139"/>
      <c r="EPA110" s="139"/>
      <c r="EPB110" s="139"/>
      <c r="EPC110" s="139"/>
      <c r="EPD110" s="139"/>
      <c r="EPE110" s="139"/>
      <c r="EPF110" s="139"/>
      <c r="EPG110" s="139"/>
      <c r="EPH110" s="139"/>
      <c r="EPI110" s="139"/>
      <c r="EPJ110" s="139"/>
      <c r="EPK110" s="139"/>
      <c r="EPL110" s="139"/>
      <c r="EPM110" s="139"/>
      <c r="EPN110" s="139"/>
      <c r="EPO110" s="139"/>
      <c r="EPP110" s="139"/>
      <c r="EPQ110" s="139"/>
      <c r="EPR110" s="139"/>
      <c r="EPS110" s="139"/>
      <c r="EPT110" s="139"/>
      <c r="EPU110" s="139"/>
      <c r="EPV110" s="139"/>
      <c r="EPW110" s="139"/>
      <c r="EPX110" s="139"/>
      <c r="EPY110" s="139"/>
      <c r="EPZ110" s="139"/>
      <c r="EQA110" s="139"/>
      <c r="EQB110" s="139"/>
      <c r="EQC110" s="139"/>
      <c r="EQD110" s="139"/>
      <c r="EQE110" s="139"/>
      <c r="EQF110" s="139"/>
      <c r="EQG110" s="139"/>
      <c r="EQH110" s="139"/>
      <c r="EQI110" s="139"/>
      <c r="EQJ110" s="139"/>
      <c r="EQK110" s="139"/>
      <c r="EQL110" s="139"/>
      <c r="EQM110" s="139"/>
      <c r="EQN110" s="139"/>
      <c r="EQO110" s="139"/>
      <c r="EQP110" s="139"/>
      <c r="EQQ110" s="139"/>
      <c r="EQR110" s="139"/>
      <c r="EQS110" s="139"/>
      <c r="EQT110" s="139"/>
      <c r="EQU110" s="139"/>
      <c r="EQV110" s="139"/>
      <c r="EQW110" s="139"/>
      <c r="EQX110" s="139"/>
      <c r="EQY110" s="139"/>
      <c r="EQZ110" s="139"/>
      <c r="ERA110" s="139"/>
      <c r="ERB110" s="139"/>
      <c r="ERC110" s="139"/>
      <c r="ERD110" s="139"/>
      <c r="ERE110" s="139"/>
      <c r="ERF110" s="139"/>
      <c r="ERG110" s="139"/>
      <c r="ERH110" s="139"/>
      <c r="ERI110" s="139"/>
      <c r="ERJ110" s="139"/>
      <c r="ERK110" s="139"/>
      <c r="ERL110" s="139"/>
      <c r="ERM110" s="139"/>
      <c r="ERN110" s="139"/>
      <c r="ERO110" s="139"/>
      <c r="ERP110" s="139"/>
      <c r="ERQ110" s="139"/>
      <c r="ERR110" s="139"/>
      <c r="ERS110" s="139"/>
      <c r="ERT110" s="139"/>
      <c r="ERU110" s="139"/>
      <c r="ERV110" s="139"/>
      <c r="ERW110" s="139"/>
      <c r="ERX110" s="139"/>
      <c r="ERY110" s="139"/>
      <c r="ERZ110" s="139"/>
      <c r="ESA110" s="139"/>
      <c r="ESB110" s="139"/>
      <c r="ESC110" s="139"/>
      <c r="ESD110" s="139"/>
      <c r="ESE110" s="139"/>
      <c r="ESF110" s="139"/>
      <c r="ESG110" s="139"/>
      <c r="ESH110" s="139"/>
      <c r="ESI110" s="139"/>
      <c r="ESJ110" s="139"/>
      <c r="ESK110" s="139"/>
      <c r="ESL110" s="139"/>
      <c r="ESM110" s="139"/>
      <c r="ESN110" s="139"/>
      <c r="ESO110" s="139"/>
      <c r="ESP110" s="139"/>
      <c r="ESQ110" s="139"/>
      <c r="ESR110" s="139"/>
      <c r="ESS110" s="139"/>
      <c r="EST110" s="139"/>
      <c r="ESU110" s="139"/>
      <c r="ESV110" s="139"/>
      <c r="ESW110" s="139"/>
      <c r="ESX110" s="139"/>
      <c r="ESY110" s="139"/>
      <c r="ESZ110" s="139"/>
      <c r="ETA110" s="139"/>
      <c r="ETB110" s="139"/>
      <c r="ETC110" s="139"/>
      <c r="ETD110" s="139"/>
      <c r="ETE110" s="139"/>
      <c r="ETF110" s="139"/>
      <c r="ETG110" s="139"/>
      <c r="ETH110" s="139"/>
      <c r="ETI110" s="139"/>
      <c r="ETJ110" s="139"/>
      <c r="ETK110" s="139"/>
      <c r="ETL110" s="139"/>
      <c r="ETM110" s="139"/>
      <c r="ETN110" s="139"/>
      <c r="ETO110" s="139"/>
      <c r="ETP110" s="139"/>
      <c r="ETQ110" s="139"/>
      <c r="ETR110" s="139"/>
      <c r="ETS110" s="139"/>
      <c r="ETT110" s="139"/>
      <c r="ETU110" s="139"/>
      <c r="ETV110" s="139"/>
      <c r="ETW110" s="139"/>
      <c r="ETX110" s="139"/>
      <c r="ETY110" s="139"/>
      <c r="ETZ110" s="139"/>
      <c r="EUA110" s="139"/>
      <c r="EUB110" s="139"/>
      <c r="EUC110" s="139"/>
      <c r="EUD110" s="139"/>
      <c r="EUE110" s="139"/>
      <c r="EUF110" s="139"/>
      <c r="EUG110" s="139"/>
      <c r="EUH110" s="139"/>
      <c r="EUI110" s="139"/>
      <c r="EUJ110" s="139"/>
      <c r="EUK110" s="139"/>
      <c r="EUL110" s="139"/>
      <c r="EUM110" s="139"/>
      <c r="EUN110" s="139"/>
      <c r="EUO110" s="139"/>
      <c r="EUP110" s="139"/>
      <c r="EUQ110" s="139"/>
      <c r="EUR110" s="139"/>
      <c r="EUS110" s="139"/>
      <c r="EUT110" s="139"/>
      <c r="EUU110" s="139"/>
      <c r="EUV110" s="139"/>
      <c r="EUW110" s="139"/>
      <c r="EUX110" s="139"/>
      <c r="EUY110" s="139"/>
      <c r="EUZ110" s="139"/>
      <c r="EVA110" s="139"/>
      <c r="EVB110" s="139"/>
      <c r="EVC110" s="139"/>
      <c r="EVD110" s="139"/>
      <c r="EVE110" s="139"/>
      <c r="EVF110" s="139"/>
      <c r="EVG110" s="139"/>
      <c r="EVH110" s="139"/>
      <c r="EVI110" s="139"/>
      <c r="EVJ110" s="139"/>
      <c r="EVK110" s="139"/>
      <c r="EVL110" s="139"/>
      <c r="EVM110" s="139"/>
      <c r="EVN110" s="139"/>
      <c r="EVO110" s="139"/>
      <c r="EVP110" s="139"/>
      <c r="EVQ110" s="139"/>
      <c r="EVR110" s="139"/>
      <c r="EVS110" s="139"/>
      <c r="EVT110" s="139"/>
      <c r="EVU110" s="139"/>
      <c r="EVV110" s="139"/>
      <c r="EVW110" s="139"/>
      <c r="EVX110" s="139"/>
      <c r="EVY110" s="139"/>
      <c r="EVZ110" s="139"/>
      <c r="EWA110" s="139"/>
      <c r="EWB110" s="139"/>
      <c r="EWC110" s="139"/>
      <c r="EWD110" s="139"/>
      <c r="EWE110" s="139"/>
      <c r="EWF110" s="139"/>
      <c r="EWG110" s="139"/>
      <c r="EWH110" s="139"/>
      <c r="EWI110" s="139"/>
      <c r="EWJ110" s="139"/>
      <c r="EWK110" s="139"/>
      <c r="EWL110" s="139"/>
      <c r="EWM110" s="139"/>
      <c r="EWN110" s="139"/>
      <c r="EWO110" s="139"/>
      <c r="EWP110" s="139"/>
      <c r="EWQ110" s="139"/>
      <c r="EWR110" s="139"/>
      <c r="EWS110" s="139"/>
      <c r="EWT110" s="139"/>
      <c r="EWU110" s="139"/>
      <c r="EWV110" s="139"/>
      <c r="EWW110" s="139"/>
      <c r="EWX110" s="139"/>
      <c r="EWY110" s="139"/>
      <c r="EWZ110" s="139"/>
      <c r="EXA110" s="139"/>
      <c r="EXB110" s="139"/>
      <c r="EXC110" s="139"/>
      <c r="EXD110" s="139"/>
      <c r="EXE110" s="139"/>
      <c r="EXF110" s="139"/>
      <c r="EXG110" s="139"/>
      <c r="EXH110" s="139"/>
      <c r="EXI110" s="139"/>
      <c r="EXJ110" s="139"/>
      <c r="EXK110" s="139"/>
      <c r="EXL110" s="139"/>
      <c r="EXM110" s="139"/>
      <c r="EXN110" s="139"/>
      <c r="EXO110" s="139"/>
      <c r="EXP110" s="139"/>
      <c r="EXQ110" s="139"/>
      <c r="EXR110" s="139"/>
      <c r="EXS110" s="139"/>
      <c r="EXT110" s="139"/>
      <c r="EXU110" s="139"/>
      <c r="EXV110" s="139"/>
      <c r="EXW110" s="139"/>
      <c r="EXX110" s="139"/>
      <c r="EXY110" s="139"/>
      <c r="EXZ110" s="139"/>
      <c r="EYA110" s="139"/>
      <c r="EYB110" s="139"/>
      <c r="EYC110" s="139"/>
      <c r="EYD110" s="139"/>
      <c r="EYE110" s="139"/>
      <c r="EYF110" s="139"/>
      <c r="EYG110" s="139"/>
      <c r="EYH110" s="139"/>
      <c r="EYI110" s="139"/>
      <c r="EYJ110" s="139"/>
      <c r="EYK110" s="139"/>
      <c r="EYL110" s="139"/>
      <c r="EYM110" s="139"/>
      <c r="EYN110" s="139"/>
      <c r="EYO110" s="139"/>
      <c r="EYP110" s="139"/>
      <c r="EYQ110" s="139"/>
      <c r="EYR110" s="139"/>
      <c r="EYS110" s="139"/>
      <c r="EYT110" s="139"/>
      <c r="EYU110" s="139"/>
      <c r="EYV110" s="139"/>
      <c r="EYW110" s="139"/>
      <c r="EYX110" s="139"/>
      <c r="EYY110" s="139"/>
      <c r="EYZ110" s="139"/>
      <c r="EZA110" s="139"/>
      <c r="EZB110" s="139"/>
      <c r="EZC110" s="139"/>
      <c r="EZD110" s="139"/>
      <c r="EZE110" s="139"/>
      <c r="EZF110" s="139"/>
      <c r="EZG110" s="139"/>
      <c r="EZH110" s="139"/>
      <c r="EZI110" s="139"/>
      <c r="EZJ110" s="139"/>
      <c r="EZK110" s="139"/>
      <c r="EZL110" s="139"/>
      <c r="EZM110" s="139"/>
      <c r="EZN110" s="139"/>
      <c r="EZO110" s="139"/>
      <c r="EZP110" s="139"/>
      <c r="EZQ110" s="139"/>
      <c r="EZR110" s="139"/>
      <c r="EZS110" s="139"/>
      <c r="EZT110" s="139"/>
      <c r="EZU110" s="139"/>
      <c r="EZV110" s="139"/>
      <c r="EZW110" s="139"/>
      <c r="EZX110" s="139"/>
      <c r="EZY110" s="139"/>
      <c r="EZZ110" s="139"/>
      <c r="FAA110" s="139"/>
      <c r="FAB110" s="139"/>
      <c r="FAC110" s="139"/>
      <c r="FAD110" s="139"/>
      <c r="FAE110" s="139"/>
      <c r="FAF110" s="139"/>
      <c r="FAG110" s="139"/>
      <c r="FAH110" s="139"/>
      <c r="FAI110" s="139"/>
      <c r="FAJ110" s="139"/>
      <c r="FAK110" s="139"/>
      <c r="FAL110" s="139"/>
      <c r="FAM110" s="139"/>
      <c r="FAN110" s="139"/>
      <c r="FAO110" s="139"/>
      <c r="FAP110" s="139"/>
      <c r="FAQ110" s="139"/>
      <c r="FAR110" s="139"/>
      <c r="FAS110" s="139"/>
      <c r="FAT110" s="139"/>
      <c r="FAU110" s="139"/>
      <c r="FAV110" s="139"/>
      <c r="FAW110" s="139"/>
      <c r="FAX110" s="139"/>
      <c r="FAY110" s="139"/>
      <c r="FAZ110" s="139"/>
      <c r="FBA110" s="139"/>
      <c r="FBB110" s="139"/>
      <c r="FBC110" s="139"/>
      <c r="FBD110" s="139"/>
      <c r="FBE110" s="139"/>
      <c r="FBF110" s="139"/>
      <c r="FBG110" s="139"/>
      <c r="FBH110" s="139"/>
      <c r="FBI110" s="139"/>
      <c r="FBJ110" s="139"/>
      <c r="FBK110" s="139"/>
      <c r="FBL110" s="139"/>
      <c r="FBM110" s="139"/>
      <c r="FBN110" s="139"/>
      <c r="FBO110" s="139"/>
      <c r="FBP110" s="139"/>
      <c r="FBQ110" s="139"/>
      <c r="FBR110" s="139"/>
      <c r="FBS110" s="139"/>
      <c r="FBT110" s="139"/>
      <c r="FBU110" s="139"/>
      <c r="FBV110" s="139"/>
      <c r="FBW110" s="139"/>
      <c r="FBX110" s="139"/>
      <c r="FBY110" s="139"/>
      <c r="FBZ110" s="139"/>
      <c r="FCA110" s="139"/>
      <c r="FCB110" s="139"/>
      <c r="FCC110" s="139"/>
      <c r="FCD110" s="139"/>
      <c r="FCE110" s="139"/>
      <c r="FCF110" s="139"/>
      <c r="FCG110" s="139"/>
      <c r="FCH110" s="139"/>
      <c r="FCI110" s="139"/>
      <c r="FCJ110" s="139"/>
      <c r="FCK110" s="139"/>
      <c r="FCL110" s="139"/>
      <c r="FCM110" s="139"/>
      <c r="FCN110" s="139"/>
      <c r="FCO110" s="139"/>
      <c r="FCP110" s="139"/>
      <c r="FCQ110" s="139"/>
      <c r="FCR110" s="139"/>
      <c r="FCS110" s="139"/>
      <c r="FCT110" s="139"/>
      <c r="FCU110" s="139"/>
      <c r="FCV110" s="139"/>
      <c r="FCW110" s="139"/>
      <c r="FCX110" s="139"/>
      <c r="FCY110" s="139"/>
      <c r="FCZ110" s="139"/>
      <c r="FDA110" s="139"/>
      <c r="FDB110" s="139"/>
      <c r="FDC110" s="139"/>
      <c r="FDD110" s="139"/>
      <c r="FDE110" s="139"/>
      <c r="FDF110" s="139"/>
      <c r="FDG110" s="139"/>
      <c r="FDH110" s="139"/>
      <c r="FDI110" s="139"/>
      <c r="FDJ110" s="139"/>
      <c r="FDK110" s="139"/>
      <c r="FDL110" s="139"/>
      <c r="FDM110" s="139"/>
      <c r="FDN110" s="139"/>
      <c r="FDO110" s="139"/>
      <c r="FDP110" s="139"/>
      <c r="FDQ110" s="139"/>
      <c r="FDR110" s="139"/>
      <c r="FDS110" s="139"/>
      <c r="FDT110" s="139"/>
      <c r="FDU110" s="139"/>
      <c r="FDV110" s="139"/>
      <c r="FDW110" s="139"/>
      <c r="FDX110" s="139"/>
      <c r="FDY110" s="139"/>
      <c r="FDZ110" s="139"/>
      <c r="FEA110" s="139"/>
      <c r="FEB110" s="139"/>
      <c r="FEC110" s="139"/>
      <c r="FED110" s="139"/>
      <c r="FEE110" s="139"/>
      <c r="FEF110" s="139"/>
      <c r="FEG110" s="139"/>
      <c r="FEH110" s="139"/>
      <c r="FEI110" s="139"/>
      <c r="FEJ110" s="139"/>
      <c r="FEK110" s="139"/>
      <c r="FEL110" s="139"/>
      <c r="FEM110" s="139"/>
      <c r="FEN110" s="139"/>
      <c r="FEO110" s="139"/>
      <c r="FEP110" s="139"/>
      <c r="FEQ110" s="139"/>
      <c r="FER110" s="139"/>
      <c r="FES110" s="139"/>
      <c r="FET110" s="139"/>
      <c r="FEU110" s="139"/>
      <c r="FEV110" s="139"/>
      <c r="FEW110" s="139"/>
      <c r="FEX110" s="139"/>
      <c r="FEY110" s="139"/>
      <c r="FEZ110" s="139"/>
      <c r="FFA110" s="139"/>
      <c r="FFB110" s="139"/>
      <c r="FFC110" s="139"/>
      <c r="FFD110" s="139"/>
      <c r="FFE110" s="139"/>
      <c r="FFF110" s="139"/>
      <c r="FFG110" s="139"/>
      <c r="FFH110" s="139"/>
      <c r="FFI110" s="139"/>
      <c r="FFJ110" s="139"/>
      <c r="FFK110" s="139"/>
      <c r="FFL110" s="139"/>
      <c r="FFM110" s="139"/>
      <c r="FFN110" s="139"/>
      <c r="FFO110" s="139"/>
      <c r="FFP110" s="139"/>
      <c r="FFQ110" s="139"/>
      <c r="FFR110" s="139"/>
      <c r="FFS110" s="139"/>
      <c r="FFT110" s="139"/>
      <c r="FFU110" s="139"/>
      <c r="FFV110" s="139"/>
      <c r="FFW110" s="139"/>
      <c r="FFX110" s="139"/>
      <c r="FFY110" s="139"/>
      <c r="FFZ110" s="139"/>
      <c r="FGA110" s="139"/>
      <c r="FGB110" s="139"/>
      <c r="FGC110" s="139"/>
      <c r="FGD110" s="139"/>
      <c r="FGE110" s="139"/>
      <c r="FGF110" s="139"/>
      <c r="FGG110" s="139"/>
      <c r="FGH110" s="139"/>
      <c r="FGI110" s="139"/>
      <c r="FGJ110" s="139"/>
      <c r="FGK110" s="139"/>
      <c r="FGL110" s="139"/>
      <c r="FGM110" s="139"/>
      <c r="FGN110" s="139"/>
      <c r="FGO110" s="139"/>
      <c r="FGP110" s="139"/>
      <c r="FGQ110" s="139"/>
      <c r="FGR110" s="139"/>
      <c r="FGS110" s="139"/>
      <c r="FGT110" s="139"/>
      <c r="FGU110" s="139"/>
      <c r="FGV110" s="139"/>
      <c r="FGW110" s="139"/>
      <c r="FGX110" s="139"/>
      <c r="FGY110" s="139"/>
      <c r="FGZ110" s="139"/>
      <c r="FHA110" s="139"/>
      <c r="FHB110" s="139"/>
      <c r="FHC110" s="139"/>
      <c r="FHD110" s="139"/>
      <c r="FHE110" s="139"/>
      <c r="FHF110" s="139"/>
      <c r="FHG110" s="139"/>
      <c r="FHH110" s="139"/>
      <c r="FHI110" s="139"/>
      <c r="FHJ110" s="139"/>
      <c r="FHK110" s="139"/>
      <c r="FHL110" s="139"/>
      <c r="FHM110" s="139"/>
      <c r="FHN110" s="139"/>
      <c r="FHO110" s="139"/>
      <c r="FHP110" s="139"/>
      <c r="FHQ110" s="139"/>
      <c r="FHR110" s="139"/>
      <c r="FHS110" s="139"/>
      <c r="FHT110" s="139"/>
      <c r="FHU110" s="139"/>
      <c r="FHV110" s="139"/>
      <c r="FHW110" s="139"/>
      <c r="FHX110" s="139"/>
      <c r="FHY110" s="139"/>
      <c r="FHZ110" s="139"/>
      <c r="FIA110" s="139"/>
      <c r="FIB110" s="139"/>
      <c r="FIC110" s="139"/>
      <c r="FID110" s="139"/>
      <c r="FIE110" s="139"/>
      <c r="FIF110" s="139"/>
      <c r="FIG110" s="139"/>
      <c r="FIH110" s="139"/>
      <c r="FII110" s="139"/>
      <c r="FIJ110" s="139"/>
      <c r="FIK110" s="139"/>
      <c r="FIL110" s="139"/>
      <c r="FIM110" s="139"/>
      <c r="FIN110" s="139"/>
      <c r="FIO110" s="139"/>
      <c r="FIP110" s="139"/>
      <c r="FIQ110" s="139"/>
      <c r="FIR110" s="139"/>
      <c r="FIS110" s="139"/>
      <c r="FIT110" s="139"/>
      <c r="FIU110" s="139"/>
      <c r="FIV110" s="139"/>
      <c r="FIW110" s="139"/>
      <c r="FIX110" s="139"/>
      <c r="FIY110" s="139"/>
      <c r="FIZ110" s="139"/>
      <c r="FJA110" s="139"/>
      <c r="FJB110" s="139"/>
      <c r="FJC110" s="139"/>
      <c r="FJD110" s="139"/>
      <c r="FJE110" s="139"/>
      <c r="FJF110" s="139"/>
      <c r="FJG110" s="139"/>
      <c r="FJH110" s="139"/>
      <c r="FJI110" s="139"/>
      <c r="FJJ110" s="139"/>
      <c r="FJK110" s="139"/>
      <c r="FJL110" s="139"/>
      <c r="FJM110" s="139"/>
      <c r="FJN110" s="139"/>
      <c r="FJO110" s="139"/>
      <c r="FJP110" s="139"/>
      <c r="FJQ110" s="139"/>
      <c r="FJR110" s="139"/>
      <c r="FJS110" s="139"/>
      <c r="FJT110" s="139"/>
      <c r="FJU110" s="139"/>
      <c r="FJV110" s="139"/>
      <c r="FJW110" s="139"/>
      <c r="FJX110" s="139"/>
      <c r="FJY110" s="139"/>
      <c r="FJZ110" s="139"/>
      <c r="FKA110" s="139"/>
      <c r="FKB110" s="139"/>
      <c r="FKC110" s="139"/>
      <c r="FKD110" s="139"/>
      <c r="FKE110" s="139"/>
      <c r="FKF110" s="139"/>
      <c r="FKG110" s="139"/>
      <c r="FKH110" s="139"/>
      <c r="FKI110" s="139"/>
      <c r="FKJ110" s="139"/>
      <c r="FKK110" s="139"/>
      <c r="FKL110" s="139"/>
      <c r="FKM110" s="139"/>
      <c r="FKN110" s="139"/>
      <c r="FKO110" s="139"/>
      <c r="FKP110" s="139"/>
      <c r="FKQ110" s="139"/>
      <c r="FKR110" s="139"/>
      <c r="FKS110" s="139"/>
      <c r="FKT110" s="139"/>
      <c r="FKU110" s="139"/>
      <c r="FKV110" s="139"/>
      <c r="FKW110" s="139"/>
      <c r="FKX110" s="139"/>
      <c r="FKY110" s="139"/>
      <c r="FKZ110" s="139"/>
      <c r="FLA110" s="139"/>
      <c r="FLB110" s="139"/>
      <c r="FLC110" s="139"/>
      <c r="FLD110" s="139"/>
      <c r="FLE110" s="139"/>
      <c r="FLF110" s="139"/>
      <c r="FLG110" s="139"/>
      <c r="FLH110" s="139"/>
      <c r="FLI110" s="139"/>
      <c r="FLJ110" s="139"/>
      <c r="FLK110" s="139"/>
      <c r="FLL110" s="139"/>
      <c r="FLM110" s="139"/>
      <c r="FLN110" s="139"/>
      <c r="FLO110" s="139"/>
      <c r="FLP110" s="139"/>
      <c r="FLQ110" s="139"/>
      <c r="FLR110" s="139"/>
      <c r="FLS110" s="139"/>
      <c r="FLT110" s="139"/>
      <c r="FLU110" s="139"/>
      <c r="FLV110" s="139"/>
      <c r="FLW110" s="139"/>
      <c r="FLX110" s="139"/>
      <c r="FLY110" s="139"/>
      <c r="FLZ110" s="139"/>
      <c r="FMA110" s="139"/>
      <c r="FMB110" s="139"/>
      <c r="FMC110" s="139"/>
      <c r="FMD110" s="139"/>
      <c r="FME110" s="139"/>
      <c r="FMF110" s="139"/>
      <c r="FMG110" s="139"/>
      <c r="FMH110" s="139"/>
      <c r="FMI110" s="139"/>
      <c r="FMJ110" s="139"/>
      <c r="FMK110" s="139"/>
      <c r="FML110" s="139"/>
      <c r="FMM110" s="139"/>
      <c r="FMN110" s="139"/>
      <c r="FMO110" s="139"/>
      <c r="FMP110" s="139"/>
      <c r="FMQ110" s="139"/>
      <c r="FMR110" s="139"/>
      <c r="FMS110" s="139"/>
      <c r="FMT110" s="139"/>
      <c r="FMU110" s="139"/>
      <c r="FMV110" s="139"/>
      <c r="FMW110" s="139"/>
      <c r="FMX110" s="139"/>
      <c r="FMY110" s="139"/>
      <c r="FMZ110" s="139"/>
      <c r="FNA110" s="139"/>
      <c r="FNB110" s="139"/>
      <c r="FNC110" s="139"/>
      <c r="FND110" s="139"/>
      <c r="FNE110" s="139"/>
      <c r="FNF110" s="139"/>
      <c r="FNG110" s="139"/>
      <c r="FNH110" s="139"/>
      <c r="FNI110" s="139"/>
      <c r="FNJ110" s="139"/>
      <c r="FNK110" s="139"/>
      <c r="FNL110" s="139"/>
      <c r="FNM110" s="139"/>
      <c r="FNN110" s="139"/>
      <c r="FNO110" s="139"/>
      <c r="FNP110" s="139"/>
      <c r="FNQ110" s="139"/>
      <c r="FNR110" s="139"/>
      <c r="FNS110" s="139"/>
      <c r="FNT110" s="139"/>
      <c r="FNU110" s="139"/>
      <c r="FNV110" s="139"/>
      <c r="FNW110" s="139"/>
      <c r="FNX110" s="139"/>
      <c r="FNY110" s="139"/>
      <c r="FNZ110" s="139"/>
      <c r="FOA110" s="139"/>
      <c r="FOB110" s="139"/>
      <c r="FOC110" s="139"/>
      <c r="FOD110" s="139"/>
      <c r="FOE110" s="139"/>
      <c r="FOF110" s="139"/>
      <c r="FOG110" s="139"/>
      <c r="FOH110" s="139"/>
      <c r="FOI110" s="139"/>
      <c r="FOJ110" s="139"/>
      <c r="FOK110" s="139"/>
      <c r="FOL110" s="139"/>
      <c r="FOM110" s="139"/>
      <c r="FON110" s="139"/>
      <c r="FOO110" s="139"/>
      <c r="FOP110" s="139"/>
      <c r="FOQ110" s="139"/>
      <c r="FOR110" s="139"/>
      <c r="FOS110" s="139"/>
      <c r="FOT110" s="139"/>
      <c r="FOU110" s="139"/>
      <c r="FOV110" s="139"/>
      <c r="FOW110" s="139"/>
      <c r="FOX110" s="139"/>
      <c r="FOY110" s="139"/>
      <c r="FOZ110" s="139"/>
      <c r="FPA110" s="139"/>
      <c r="FPB110" s="139"/>
      <c r="FPC110" s="139"/>
      <c r="FPD110" s="139"/>
      <c r="FPE110" s="139"/>
      <c r="FPF110" s="139"/>
      <c r="FPG110" s="139"/>
      <c r="FPH110" s="139"/>
      <c r="FPI110" s="139"/>
      <c r="FPJ110" s="139"/>
      <c r="FPK110" s="139"/>
      <c r="FPL110" s="139"/>
      <c r="FPM110" s="139"/>
      <c r="FPN110" s="139"/>
      <c r="FPO110" s="139"/>
      <c r="FPP110" s="139"/>
      <c r="FPQ110" s="139"/>
      <c r="FPR110" s="139"/>
      <c r="FPS110" s="139"/>
      <c r="FPT110" s="139"/>
      <c r="FPU110" s="139"/>
      <c r="FPV110" s="139"/>
      <c r="FPW110" s="139"/>
      <c r="FPX110" s="139"/>
      <c r="FPY110" s="139"/>
      <c r="FPZ110" s="139"/>
      <c r="FQA110" s="139"/>
      <c r="FQB110" s="139"/>
      <c r="FQC110" s="139"/>
      <c r="FQD110" s="139"/>
      <c r="FQE110" s="139"/>
      <c r="FQF110" s="139"/>
      <c r="FQG110" s="139"/>
      <c r="FQH110" s="139"/>
      <c r="FQI110" s="139"/>
      <c r="FQJ110" s="139"/>
      <c r="FQK110" s="139"/>
      <c r="FQL110" s="139"/>
      <c r="FQM110" s="139"/>
      <c r="FQN110" s="139"/>
      <c r="FQO110" s="139"/>
      <c r="FQP110" s="139"/>
      <c r="FQQ110" s="139"/>
      <c r="FQR110" s="139"/>
      <c r="FQS110" s="139"/>
      <c r="FQT110" s="139"/>
      <c r="FQU110" s="139"/>
      <c r="FQV110" s="139"/>
      <c r="FQW110" s="139"/>
      <c r="FQX110" s="139"/>
      <c r="FQY110" s="139"/>
      <c r="FQZ110" s="139"/>
      <c r="FRA110" s="139"/>
      <c r="FRB110" s="139"/>
      <c r="FRC110" s="139"/>
      <c r="FRD110" s="139"/>
      <c r="FRE110" s="139"/>
      <c r="FRF110" s="139"/>
      <c r="FRG110" s="139"/>
      <c r="FRH110" s="139"/>
      <c r="FRI110" s="139"/>
      <c r="FRJ110" s="139"/>
      <c r="FRK110" s="139"/>
      <c r="FRL110" s="139"/>
      <c r="FRM110" s="139"/>
      <c r="FRN110" s="139"/>
      <c r="FRO110" s="139"/>
      <c r="FRP110" s="139"/>
      <c r="FRQ110" s="139"/>
      <c r="FRR110" s="139"/>
      <c r="FRS110" s="139"/>
      <c r="FRT110" s="139"/>
      <c r="FRU110" s="139"/>
      <c r="FRV110" s="139"/>
      <c r="FRW110" s="139"/>
      <c r="FRX110" s="139"/>
      <c r="FRY110" s="139"/>
      <c r="FRZ110" s="139"/>
      <c r="FSA110" s="139"/>
      <c r="FSB110" s="139"/>
      <c r="FSC110" s="139"/>
      <c r="FSD110" s="139"/>
      <c r="FSE110" s="139"/>
      <c r="FSF110" s="139"/>
      <c r="FSG110" s="139"/>
      <c r="FSH110" s="139"/>
      <c r="FSI110" s="139"/>
      <c r="FSJ110" s="139"/>
      <c r="FSK110" s="139"/>
      <c r="FSL110" s="139"/>
      <c r="FSM110" s="139"/>
      <c r="FSN110" s="139"/>
      <c r="FSO110" s="139"/>
      <c r="FSP110" s="139"/>
      <c r="FSQ110" s="139"/>
      <c r="FSR110" s="139"/>
      <c r="FSS110" s="139"/>
      <c r="FST110" s="139"/>
      <c r="FSU110" s="139"/>
      <c r="FSV110" s="139"/>
      <c r="FSW110" s="139"/>
      <c r="FSX110" s="139"/>
      <c r="FSY110" s="139"/>
      <c r="FSZ110" s="139"/>
      <c r="FTA110" s="139"/>
      <c r="FTB110" s="139"/>
      <c r="FTC110" s="139"/>
      <c r="FTD110" s="139"/>
      <c r="FTE110" s="139"/>
      <c r="FTF110" s="139"/>
      <c r="FTG110" s="139"/>
      <c r="FTH110" s="139"/>
      <c r="FTI110" s="139"/>
      <c r="FTJ110" s="139"/>
      <c r="FTK110" s="139"/>
      <c r="FTL110" s="139"/>
      <c r="FTM110" s="139"/>
      <c r="FTN110" s="139"/>
      <c r="FTO110" s="139"/>
      <c r="FTP110" s="139"/>
      <c r="FTQ110" s="139"/>
      <c r="FTR110" s="139"/>
      <c r="FTS110" s="139"/>
      <c r="FTT110" s="139"/>
      <c r="FTU110" s="139"/>
      <c r="FTV110" s="139"/>
      <c r="FTW110" s="139"/>
      <c r="FTX110" s="139"/>
      <c r="FTY110" s="139"/>
      <c r="FTZ110" s="139"/>
      <c r="FUA110" s="139"/>
      <c r="FUB110" s="139"/>
      <c r="FUC110" s="139"/>
      <c r="FUD110" s="139"/>
      <c r="FUE110" s="139"/>
      <c r="FUF110" s="139"/>
      <c r="FUG110" s="139"/>
      <c r="FUH110" s="139"/>
      <c r="FUI110" s="139"/>
      <c r="FUJ110" s="139"/>
      <c r="FUK110" s="139"/>
      <c r="FUL110" s="139"/>
      <c r="FUM110" s="139"/>
      <c r="FUN110" s="139"/>
      <c r="FUO110" s="139"/>
      <c r="FUP110" s="139"/>
      <c r="FUQ110" s="139"/>
      <c r="FUR110" s="139"/>
      <c r="FUS110" s="139"/>
      <c r="FUT110" s="139"/>
      <c r="FUU110" s="139"/>
      <c r="FUV110" s="139"/>
      <c r="FUW110" s="139"/>
      <c r="FUX110" s="139"/>
      <c r="FUY110" s="139"/>
      <c r="FUZ110" s="139"/>
      <c r="FVA110" s="139"/>
      <c r="FVB110" s="139"/>
      <c r="FVC110" s="139"/>
      <c r="FVD110" s="139"/>
      <c r="FVE110" s="139"/>
      <c r="FVF110" s="139"/>
      <c r="FVG110" s="139"/>
      <c r="FVH110" s="139"/>
      <c r="FVI110" s="139"/>
      <c r="FVJ110" s="139"/>
      <c r="FVK110" s="139"/>
      <c r="FVL110" s="139"/>
      <c r="FVM110" s="139"/>
      <c r="FVN110" s="139"/>
      <c r="FVO110" s="139"/>
      <c r="FVP110" s="139"/>
      <c r="FVQ110" s="139"/>
      <c r="FVR110" s="139"/>
      <c r="FVS110" s="139"/>
      <c r="FVT110" s="139"/>
      <c r="FVU110" s="139"/>
      <c r="FVV110" s="139"/>
      <c r="FVW110" s="139"/>
      <c r="FVX110" s="139"/>
      <c r="FVY110" s="139"/>
      <c r="FVZ110" s="139"/>
      <c r="FWA110" s="139"/>
      <c r="FWB110" s="139"/>
      <c r="FWC110" s="139"/>
      <c r="FWD110" s="139"/>
      <c r="FWE110" s="139"/>
      <c r="FWF110" s="139"/>
      <c r="FWG110" s="139"/>
      <c r="FWH110" s="139"/>
      <c r="FWI110" s="139"/>
      <c r="FWJ110" s="139"/>
      <c r="FWK110" s="139"/>
      <c r="FWL110" s="139"/>
      <c r="FWM110" s="139"/>
      <c r="FWN110" s="139"/>
      <c r="FWO110" s="139"/>
      <c r="FWP110" s="139"/>
      <c r="FWQ110" s="139"/>
      <c r="FWR110" s="139"/>
      <c r="FWS110" s="139"/>
      <c r="FWT110" s="139"/>
      <c r="FWU110" s="139"/>
      <c r="FWV110" s="139"/>
      <c r="FWW110" s="139"/>
      <c r="FWX110" s="139"/>
      <c r="FWY110" s="139"/>
      <c r="FWZ110" s="139"/>
      <c r="FXA110" s="139"/>
      <c r="FXB110" s="139"/>
      <c r="FXC110" s="139"/>
      <c r="FXD110" s="139"/>
      <c r="FXE110" s="139"/>
      <c r="FXF110" s="139"/>
      <c r="FXG110" s="139"/>
      <c r="FXH110" s="139"/>
      <c r="FXI110" s="139"/>
      <c r="FXJ110" s="139"/>
      <c r="FXK110" s="139"/>
      <c r="FXL110" s="139"/>
      <c r="FXM110" s="139"/>
      <c r="FXN110" s="139"/>
      <c r="FXO110" s="139"/>
      <c r="FXP110" s="139"/>
      <c r="FXQ110" s="139"/>
      <c r="FXR110" s="139"/>
      <c r="FXS110" s="139"/>
      <c r="FXT110" s="139"/>
      <c r="FXU110" s="139"/>
      <c r="FXV110" s="139"/>
      <c r="FXW110" s="139"/>
      <c r="FXX110" s="139"/>
      <c r="FXY110" s="139"/>
      <c r="FXZ110" s="139"/>
      <c r="FYA110" s="139"/>
      <c r="FYB110" s="139"/>
      <c r="FYC110" s="139"/>
      <c r="FYD110" s="139"/>
      <c r="FYE110" s="139"/>
      <c r="FYF110" s="139"/>
      <c r="FYG110" s="139"/>
      <c r="FYH110" s="139"/>
      <c r="FYI110" s="139"/>
      <c r="FYJ110" s="139"/>
      <c r="FYK110" s="139"/>
      <c r="FYL110" s="139"/>
      <c r="FYM110" s="139"/>
      <c r="FYN110" s="139"/>
      <c r="FYO110" s="139"/>
      <c r="FYP110" s="139"/>
      <c r="FYQ110" s="139"/>
      <c r="FYR110" s="139"/>
      <c r="FYS110" s="139"/>
      <c r="FYT110" s="139"/>
      <c r="FYU110" s="139"/>
      <c r="FYV110" s="139"/>
      <c r="FYW110" s="139"/>
      <c r="FYX110" s="139"/>
      <c r="FYY110" s="139"/>
      <c r="FYZ110" s="139"/>
      <c r="FZA110" s="139"/>
      <c r="FZB110" s="139"/>
      <c r="FZC110" s="139"/>
      <c r="FZD110" s="139"/>
      <c r="FZE110" s="139"/>
      <c r="FZF110" s="139"/>
      <c r="FZG110" s="139"/>
      <c r="FZH110" s="139"/>
      <c r="FZI110" s="139"/>
      <c r="FZJ110" s="139"/>
      <c r="FZK110" s="139"/>
      <c r="FZL110" s="139"/>
      <c r="FZM110" s="139"/>
      <c r="FZN110" s="139"/>
      <c r="FZO110" s="139"/>
      <c r="FZP110" s="139"/>
      <c r="FZQ110" s="139"/>
      <c r="FZR110" s="139"/>
      <c r="FZS110" s="139"/>
      <c r="FZT110" s="139"/>
      <c r="FZU110" s="139"/>
      <c r="FZV110" s="139"/>
      <c r="FZW110" s="139"/>
      <c r="FZX110" s="139"/>
      <c r="FZY110" s="139"/>
      <c r="FZZ110" s="139"/>
      <c r="GAA110" s="139"/>
      <c r="GAB110" s="139"/>
      <c r="GAC110" s="139"/>
      <c r="GAD110" s="139"/>
      <c r="GAE110" s="139"/>
      <c r="GAF110" s="139"/>
      <c r="GAG110" s="139"/>
      <c r="GAH110" s="139"/>
      <c r="GAI110" s="139"/>
      <c r="GAJ110" s="139"/>
      <c r="GAK110" s="139"/>
      <c r="GAL110" s="139"/>
      <c r="GAM110" s="139"/>
      <c r="GAN110" s="139"/>
      <c r="GAO110" s="139"/>
      <c r="GAP110" s="139"/>
      <c r="GAQ110" s="139"/>
      <c r="GAR110" s="139"/>
      <c r="GAS110" s="139"/>
      <c r="GAT110" s="139"/>
      <c r="GAU110" s="139"/>
      <c r="GAV110" s="139"/>
      <c r="GAW110" s="139"/>
      <c r="GAX110" s="139"/>
      <c r="GAY110" s="139"/>
      <c r="GAZ110" s="139"/>
      <c r="GBA110" s="139"/>
      <c r="GBB110" s="139"/>
      <c r="GBC110" s="139"/>
      <c r="GBD110" s="139"/>
      <c r="GBE110" s="139"/>
      <c r="GBF110" s="139"/>
      <c r="GBG110" s="139"/>
      <c r="GBH110" s="139"/>
      <c r="GBI110" s="139"/>
      <c r="GBJ110" s="139"/>
      <c r="GBK110" s="139"/>
      <c r="GBL110" s="139"/>
      <c r="GBM110" s="139"/>
      <c r="GBN110" s="139"/>
      <c r="GBO110" s="139"/>
      <c r="GBP110" s="139"/>
      <c r="GBQ110" s="139"/>
      <c r="GBR110" s="139"/>
      <c r="GBS110" s="139"/>
      <c r="GBT110" s="139"/>
      <c r="GBU110" s="139"/>
      <c r="GBV110" s="139"/>
      <c r="GBW110" s="139"/>
      <c r="GBX110" s="139"/>
      <c r="GBY110" s="139"/>
      <c r="GBZ110" s="139"/>
      <c r="GCA110" s="139"/>
      <c r="GCB110" s="139"/>
      <c r="GCC110" s="139"/>
      <c r="GCD110" s="139"/>
      <c r="GCE110" s="139"/>
      <c r="GCF110" s="139"/>
      <c r="GCG110" s="139"/>
      <c r="GCH110" s="139"/>
      <c r="GCI110" s="139"/>
      <c r="GCJ110" s="139"/>
      <c r="GCK110" s="139"/>
      <c r="GCL110" s="139"/>
      <c r="GCM110" s="139"/>
      <c r="GCN110" s="139"/>
      <c r="GCO110" s="139"/>
      <c r="GCP110" s="139"/>
      <c r="GCQ110" s="139"/>
      <c r="GCR110" s="139"/>
      <c r="GCS110" s="139"/>
      <c r="GCT110" s="139"/>
      <c r="GCU110" s="139"/>
      <c r="GCV110" s="139"/>
      <c r="GCW110" s="139"/>
      <c r="GCX110" s="139"/>
      <c r="GCY110" s="139"/>
      <c r="GCZ110" s="139"/>
      <c r="GDA110" s="139"/>
      <c r="GDB110" s="139"/>
      <c r="GDC110" s="139"/>
      <c r="GDD110" s="139"/>
      <c r="GDE110" s="139"/>
      <c r="GDF110" s="139"/>
      <c r="GDG110" s="139"/>
      <c r="GDH110" s="139"/>
      <c r="GDI110" s="139"/>
      <c r="GDJ110" s="139"/>
      <c r="GDK110" s="139"/>
      <c r="GDL110" s="139"/>
      <c r="GDM110" s="139"/>
      <c r="GDN110" s="139"/>
      <c r="GDO110" s="139"/>
      <c r="GDP110" s="139"/>
      <c r="GDQ110" s="139"/>
      <c r="GDR110" s="139"/>
      <c r="GDS110" s="139"/>
      <c r="GDT110" s="139"/>
      <c r="GDU110" s="139"/>
      <c r="GDV110" s="139"/>
      <c r="GDW110" s="139"/>
      <c r="GDX110" s="139"/>
      <c r="GDY110" s="139"/>
      <c r="GDZ110" s="139"/>
      <c r="GEA110" s="139"/>
      <c r="GEB110" s="139"/>
      <c r="GEC110" s="139"/>
      <c r="GED110" s="139"/>
      <c r="GEE110" s="139"/>
      <c r="GEF110" s="139"/>
      <c r="GEG110" s="139"/>
      <c r="GEH110" s="139"/>
      <c r="GEI110" s="139"/>
      <c r="GEJ110" s="139"/>
      <c r="GEK110" s="139"/>
      <c r="GEL110" s="139"/>
      <c r="GEM110" s="139"/>
      <c r="GEN110" s="139"/>
      <c r="GEO110" s="139"/>
      <c r="GEP110" s="139"/>
      <c r="GEQ110" s="139"/>
      <c r="GER110" s="139"/>
      <c r="GES110" s="139"/>
      <c r="GET110" s="139"/>
      <c r="GEU110" s="139"/>
      <c r="GEV110" s="139"/>
      <c r="GEW110" s="139"/>
      <c r="GEX110" s="139"/>
      <c r="GEY110" s="139"/>
      <c r="GEZ110" s="139"/>
      <c r="GFA110" s="139"/>
      <c r="GFB110" s="139"/>
      <c r="GFC110" s="139"/>
      <c r="GFD110" s="139"/>
      <c r="GFE110" s="139"/>
      <c r="GFF110" s="139"/>
      <c r="GFG110" s="139"/>
      <c r="GFH110" s="139"/>
      <c r="GFI110" s="139"/>
      <c r="GFJ110" s="139"/>
      <c r="GFK110" s="139"/>
      <c r="GFL110" s="139"/>
      <c r="GFM110" s="139"/>
      <c r="GFN110" s="139"/>
      <c r="GFO110" s="139"/>
      <c r="GFP110" s="139"/>
      <c r="GFQ110" s="139"/>
      <c r="GFR110" s="139"/>
      <c r="GFS110" s="139"/>
      <c r="GFT110" s="139"/>
      <c r="GFU110" s="139"/>
      <c r="GFV110" s="139"/>
      <c r="GFW110" s="139"/>
      <c r="GFX110" s="139"/>
      <c r="GFY110" s="139"/>
      <c r="GFZ110" s="139"/>
      <c r="GGA110" s="139"/>
      <c r="GGB110" s="139"/>
      <c r="GGC110" s="139"/>
      <c r="GGD110" s="139"/>
      <c r="GGE110" s="139"/>
      <c r="GGF110" s="139"/>
      <c r="GGG110" s="139"/>
      <c r="GGH110" s="139"/>
      <c r="GGI110" s="139"/>
      <c r="GGJ110" s="139"/>
      <c r="GGK110" s="139"/>
      <c r="GGL110" s="139"/>
      <c r="GGM110" s="139"/>
      <c r="GGN110" s="139"/>
      <c r="GGO110" s="139"/>
      <c r="GGP110" s="139"/>
      <c r="GGQ110" s="139"/>
      <c r="GGR110" s="139"/>
      <c r="GGS110" s="139"/>
      <c r="GGT110" s="139"/>
      <c r="GGU110" s="139"/>
      <c r="GGV110" s="139"/>
      <c r="GGW110" s="139"/>
      <c r="GGX110" s="139"/>
      <c r="GGY110" s="139"/>
      <c r="GGZ110" s="139"/>
      <c r="GHA110" s="139"/>
      <c r="GHB110" s="139"/>
      <c r="GHC110" s="139"/>
      <c r="GHD110" s="139"/>
      <c r="GHE110" s="139"/>
      <c r="GHF110" s="139"/>
      <c r="GHG110" s="139"/>
      <c r="GHH110" s="139"/>
      <c r="GHI110" s="139"/>
      <c r="GHJ110" s="139"/>
      <c r="GHK110" s="139"/>
      <c r="GHL110" s="139"/>
      <c r="GHM110" s="139"/>
      <c r="GHN110" s="139"/>
      <c r="GHO110" s="139"/>
      <c r="GHP110" s="139"/>
      <c r="GHQ110" s="139"/>
      <c r="GHR110" s="139"/>
      <c r="GHS110" s="139"/>
      <c r="GHT110" s="139"/>
      <c r="GHU110" s="139"/>
      <c r="GHV110" s="139"/>
      <c r="GHW110" s="139"/>
      <c r="GHX110" s="139"/>
      <c r="GHY110" s="139"/>
      <c r="GHZ110" s="139"/>
      <c r="GIA110" s="139"/>
      <c r="GIB110" s="139"/>
      <c r="GIC110" s="139"/>
      <c r="GID110" s="139"/>
      <c r="GIE110" s="139"/>
      <c r="GIF110" s="139"/>
      <c r="GIG110" s="139"/>
      <c r="GIH110" s="139"/>
      <c r="GII110" s="139"/>
      <c r="GIJ110" s="139"/>
      <c r="GIK110" s="139"/>
      <c r="GIL110" s="139"/>
      <c r="GIM110" s="139"/>
      <c r="GIN110" s="139"/>
      <c r="GIO110" s="139"/>
      <c r="GIP110" s="139"/>
      <c r="GIQ110" s="139"/>
      <c r="GIR110" s="139"/>
      <c r="GIS110" s="139"/>
      <c r="GIT110" s="139"/>
      <c r="GIU110" s="139"/>
      <c r="GIV110" s="139"/>
      <c r="GIW110" s="139"/>
      <c r="GIX110" s="139"/>
      <c r="GIY110" s="139"/>
      <c r="GIZ110" s="139"/>
      <c r="GJA110" s="139"/>
      <c r="GJB110" s="139"/>
      <c r="GJC110" s="139"/>
      <c r="GJD110" s="139"/>
      <c r="GJE110" s="139"/>
      <c r="GJF110" s="139"/>
      <c r="GJG110" s="139"/>
      <c r="GJH110" s="139"/>
      <c r="GJI110" s="139"/>
      <c r="GJJ110" s="139"/>
      <c r="GJK110" s="139"/>
      <c r="GJL110" s="139"/>
      <c r="GJM110" s="139"/>
      <c r="GJN110" s="139"/>
      <c r="GJO110" s="139"/>
      <c r="GJP110" s="139"/>
      <c r="GJQ110" s="139"/>
      <c r="GJR110" s="139"/>
      <c r="GJS110" s="139"/>
      <c r="GJT110" s="139"/>
      <c r="GJU110" s="139"/>
      <c r="GJV110" s="139"/>
      <c r="GJW110" s="139"/>
      <c r="GJX110" s="139"/>
      <c r="GJY110" s="139"/>
      <c r="GJZ110" s="139"/>
      <c r="GKA110" s="139"/>
      <c r="GKB110" s="139"/>
      <c r="GKC110" s="139"/>
      <c r="GKD110" s="139"/>
      <c r="GKE110" s="139"/>
      <c r="GKF110" s="139"/>
      <c r="GKG110" s="139"/>
      <c r="GKH110" s="139"/>
      <c r="GKI110" s="139"/>
      <c r="GKJ110" s="139"/>
      <c r="GKK110" s="139"/>
      <c r="GKL110" s="139"/>
      <c r="GKM110" s="139"/>
      <c r="GKN110" s="139"/>
      <c r="GKO110" s="139"/>
      <c r="GKP110" s="139"/>
      <c r="GKQ110" s="139"/>
      <c r="GKR110" s="139"/>
      <c r="GKS110" s="139"/>
      <c r="GKT110" s="139"/>
      <c r="GKU110" s="139"/>
      <c r="GKV110" s="139"/>
      <c r="GKW110" s="139"/>
      <c r="GKX110" s="139"/>
      <c r="GKY110" s="139"/>
      <c r="GKZ110" s="139"/>
      <c r="GLA110" s="139"/>
      <c r="GLB110" s="139"/>
      <c r="GLC110" s="139"/>
      <c r="GLD110" s="139"/>
      <c r="GLE110" s="139"/>
      <c r="GLF110" s="139"/>
      <c r="GLG110" s="139"/>
      <c r="GLH110" s="139"/>
      <c r="GLI110" s="139"/>
      <c r="GLJ110" s="139"/>
      <c r="GLK110" s="139"/>
      <c r="GLL110" s="139"/>
      <c r="GLM110" s="139"/>
      <c r="GLN110" s="139"/>
      <c r="GLO110" s="139"/>
      <c r="GLP110" s="139"/>
      <c r="GLQ110" s="139"/>
      <c r="GLR110" s="139"/>
      <c r="GLS110" s="139"/>
      <c r="GLT110" s="139"/>
      <c r="GLU110" s="139"/>
      <c r="GLV110" s="139"/>
      <c r="GLW110" s="139"/>
      <c r="GLX110" s="139"/>
      <c r="GLY110" s="139"/>
      <c r="GLZ110" s="139"/>
      <c r="GMA110" s="139"/>
      <c r="GMB110" s="139"/>
      <c r="GMC110" s="139"/>
      <c r="GMD110" s="139"/>
      <c r="GME110" s="139"/>
      <c r="GMF110" s="139"/>
      <c r="GMG110" s="139"/>
      <c r="GMH110" s="139"/>
      <c r="GMI110" s="139"/>
      <c r="GMJ110" s="139"/>
      <c r="GMK110" s="139"/>
      <c r="GML110" s="139"/>
      <c r="GMM110" s="139"/>
      <c r="GMN110" s="139"/>
      <c r="GMO110" s="139"/>
      <c r="GMP110" s="139"/>
      <c r="GMQ110" s="139"/>
      <c r="GMR110" s="139"/>
      <c r="GMS110" s="139"/>
      <c r="GMT110" s="139"/>
      <c r="GMU110" s="139"/>
      <c r="GMV110" s="139"/>
      <c r="GMW110" s="139"/>
      <c r="GMX110" s="139"/>
      <c r="GMY110" s="139"/>
      <c r="GMZ110" s="139"/>
      <c r="GNA110" s="139"/>
      <c r="GNB110" s="139"/>
      <c r="GNC110" s="139"/>
      <c r="GND110" s="139"/>
      <c r="GNE110" s="139"/>
      <c r="GNF110" s="139"/>
      <c r="GNG110" s="139"/>
      <c r="GNH110" s="139"/>
      <c r="GNI110" s="139"/>
      <c r="GNJ110" s="139"/>
      <c r="GNK110" s="139"/>
      <c r="GNL110" s="139"/>
      <c r="GNM110" s="139"/>
      <c r="GNN110" s="139"/>
      <c r="GNO110" s="139"/>
      <c r="GNP110" s="139"/>
      <c r="GNQ110" s="139"/>
      <c r="GNR110" s="139"/>
      <c r="GNS110" s="139"/>
      <c r="GNT110" s="139"/>
      <c r="GNU110" s="139"/>
      <c r="GNV110" s="139"/>
      <c r="GNW110" s="139"/>
      <c r="GNX110" s="139"/>
      <c r="GNY110" s="139"/>
      <c r="GNZ110" s="139"/>
      <c r="GOA110" s="139"/>
      <c r="GOB110" s="139"/>
      <c r="GOC110" s="139"/>
      <c r="GOD110" s="139"/>
      <c r="GOE110" s="139"/>
      <c r="GOF110" s="139"/>
      <c r="GOG110" s="139"/>
      <c r="GOH110" s="139"/>
      <c r="GOI110" s="139"/>
      <c r="GOJ110" s="139"/>
      <c r="GOK110" s="139"/>
      <c r="GOL110" s="139"/>
      <c r="GOM110" s="139"/>
      <c r="GON110" s="139"/>
      <c r="GOO110" s="139"/>
      <c r="GOP110" s="139"/>
      <c r="GOQ110" s="139"/>
      <c r="GOR110" s="139"/>
      <c r="GOS110" s="139"/>
      <c r="GOT110" s="139"/>
      <c r="GOU110" s="139"/>
      <c r="GOV110" s="139"/>
      <c r="GOW110" s="139"/>
      <c r="GOX110" s="139"/>
      <c r="GOY110" s="139"/>
      <c r="GOZ110" s="139"/>
      <c r="GPA110" s="139"/>
      <c r="GPB110" s="139"/>
      <c r="GPC110" s="139"/>
      <c r="GPD110" s="139"/>
      <c r="GPE110" s="139"/>
      <c r="GPF110" s="139"/>
      <c r="GPG110" s="139"/>
      <c r="GPH110" s="139"/>
      <c r="GPI110" s="139"/>
      <c r="GPJ110" s="139"/>
      <c r="GPK110" s="139"/>
      <c r="GPL110" s="139"/>
      <c r="GPM110" s="139"/>
      <c r="GPN110" s="139"/>
      <c r="GPO110" s="139"/>
      <c r="GPP110" s="139"/>
      <c r="GPQ110" s="139"/>
      <c r="GPR110" s="139"/>
      <c r="GPS110" s="139"/>
      <c r="GPT110" s="139"/>
      <c r="GPU110" s="139"/>
      <c r="GPV110" s="139"/>
      <c r="GPW110" s="139"/>
      <c r="GPX110" s="139"/>
      <c r="GPY110" s="139"/>
      <c r="GPZ110" s="139"/>
      <c r="GQA110" s="139"/>
      <c r="GQB110" s="139"/>
      <c r="GQC110" s="139"/>
      <c r="GQD110" s="139"/>
      <c r="GQE110" s="139"/>
      <c r="GQF110" s="139"/>
      <c r="GQG110" s="139"/>
      <c r="GQH110" s="139"/>
      <c r="GQI110" s="139"/>
      <c r="GQJ110" s="139"/>
      <c r="GQK110" s="139"/>
      <c r="GQL110" s="139"/>
      <c r="GQM110" s="139"/>
      <c r="GQN110" s="139"/>
      <c r="GQO110" s="139"/>
      <c r="GQP110" s="139"/>
      <c r="GQQ110" s="139"/>
      <c r="GQR110" s="139"/>
      <c r="GQS110" s="139"/>
      <c r="GQT110" s="139"/>
      <c r="GQU110" s="139"/>
      <c r="GQV110" s="139"/>
      <c r="GQW110" s="139"/>
      <c r="GQX110" s="139"/>
      <c r="GQY110" s="139"/>
      <c r="GQZ110" s="139"/>
      <c r="GRA110" s="139"/>
      <c r="GRB110" s="139"/>
      <c r="GRC110" s="139"/>
      <c r="GRD110" s="139"/>
      <c r="GRE110" s="139"/>
      <c r="GRF110" s="139"/>
      <c r="GRG110" s="139"/>
      <c r="GRH110" s="139"/>
      <c r="GRI110" s="139"/>
      <c r="GRJ110" s="139"/>
      <c r="GRK110" s="139"/>
      <c r="GRL110" s="139"/>
      <c r="GRM110" s="139"/>
      <c r="GRN110" s="139"/>
      <c r="GRO110" s="139"/>
      <c r="GRP110" s="139"/>
      <c r="GRQ110" s="139"/>
      <c r="GRR110" s="139"/>
      <c r="GRS110" s="139"/>
      <c r="GRT110" s="139"/>
      <c r="GRU110" s="139"/>
      <c r="GRV110" s="139"/>
      <c r="GRW110" s="139"/>
      <c r="GRX110" s="139"/>
      <c r="GRY110" s="139"/>
      <c r="GRZ110" s="139"/>
      <c r="GSA110" s="139"/>
      <c r="GSB110" s="139"/>
      <c r="GSC110" s="139"/>
      <c r="GSD110" s="139"/>
      <c r="GSE110" s="139"/>
      <c r="GSF110" s="139"/>
      <c r="GSG110" s="139"/>
      <c r="GSH110" s="139"/>
      <c r="GSI110" s="139"/>
      <c r="GSJ110" s="139"/>
      <c r="GSK110" s="139"/>
      <c r="GSL110" s="139"/>
      <c r="GSM110" s="139"/>
      <c r="GSN110" s="139"/>
      <c r="GSO110" s="139"/>
      <c r="GSP110" s="139"/>
      <c r="GSQ110" s="139"/>
      <c r="GSR110" s="139"/>
      <c r="GSS110" s="139"/>
      <c r="GST110" s="139"/>
      <c r="GSU110" s="139"/>
      <c r="GSV110" s="139"/>
      <c r="GSW110" s="139"/>
      <c r="GSX110" s="139"/>
      <c r="GSY110" s="139"/>
      <c r="GSZ110" s="139"/>
      <c r="GTA110" s="139"/>
      <c r="GTB110" s="139"/>
      <c r="GTC110" s="139"/>
      <c r="GTD110" s="139"/>
      <c r="GTE110" s="139"/>
      <c r="GTF110" s="139"/>
      <c r="GTG110" s="139"/>
      <c r="GTH110" s="139"/>
      <c r="GTI110" s="139"/>
      <c r="GTJ110" s="139"/>
      <c r="GTK110" s="139"/>
      <c r="GTL110" s="139"/>
      <c r="GTM110" s="139"/>
      <c r="GTN110" s="139"/>
      <c r="GTO110" s="139"/>
      <c r="GTP110" s="139"/>
      <c r="GTQ110" s="139"/>
      <c r="GTR110" s="139"/>
      <c r="GTS110" s="139"/>
      <c r="GTT110" s="139"/>
      <c r="GTU110" s="139"/>
      <c r="GTV110" s="139"/>
      <c r="GTW110" s="139"/>
      <c r="GTX110" s="139"/>
      <c r="GTY110" s="139"/>
      <c r="GTZ110" s="139"/>
      <c r="GUA110" s="139"/>
      <c r="GUB110" s="139"/>
      <c r="GUC110" s="139"/>
      <c r="GUD110" s="139"/>
      <c r="GUE110" s="139"/>
      <c r="GUF110" s="139"/>
      <c r="GUG110" s="139"/>
      <c r="GUH110" s="139"/>
      <c r="GUI110" s="139"/>
      <c r="GUJ110" s="139"/>
      <c r="GUK110" s="139"/>
      <c r="GUL110" s="139"/>
      <c r="GUM110" s="139"/>
      <c r="GUN110" s="139"/>
      <c r="GUO110" s="139"/>
      <c r="GUP110" s="139"/>
      <c r="GUQ110" s="139"/>
      <c r="GUR110" s="139"/>
      <c r="GUS110" s="139"/>
      <c r="GUT110" s="139"/>
      <c r="GUU110" s="139"/>
      <c r="GUV110" s="139"/>
      <c r="GUW110" s="139"/>
      <c r="GUX110" s="139"/>
      <c r="GUY110" s="139"/>
      <c r="GUZ110" s="139"/>
      <c r="GVA110" s="139"/>
      <c r="GVB110" s="139"/>
      <c r="GVC110" s="139"/>
      <c r="GVD110" s="139"/>
      <c r="GVE110" s="139"/>
      <c r="GVF110" s="139"/>
      <c r="GVG110" s="139"/>
      <c r="GVH110" s="139"/>
      <c r="GVI110" s="139"/>
      <c r="GVJ110" s="139"/>
      <c r="GVK110" s="139"/>
      <c r="GVL110" s="139"/>
      <c r="GVM110" s="139"/>
      <c r="GVN110" s="139"/>
      <c r="GVO110" s="139"/>
      <c r="GVP110" s="139"/>
      <c r="GVQ110" s="139"/>
      <c r="GVR110" s="139"/>
      <c r="GVS110" s="139"/>
      <c r="GVT110" s="139"/>
      <c r="GVU110" s="139"/>
      <c r="GVV110" s="139"/>
      <c r="GVW110" s="139"/>
      <c r="GVX110" s="139"/>
      <c r="GVY110" s="139"/>
      <c r="GVZ110" s="139"/>
      <c r="GWA110" s="139"/>
      <c r="GWB110" s="139"/>
      <c r="GWC110" s="139"/>
      <c r="GWD110" s="139"/>
      <c r="GWE110" s="139"/>
      <c r="GWF110" s="139"/>
      <c r="GWG110" s="139"/>
      <c r="GWH110" s="139"/>
      <c r="GWI110" s="139"/>
      <c r="GWJ110" s="139"/>
      <c r="GWK110" s="139"/>
      <c r="GWL110" s="139"/>
      <c r="GWM110" s="139"/>
      <c r="GWN110" s="139"/>
      <c r="GWO110" s="139"/>
      <c r="GWP110" s="139"/>
      <c r="GWQ110" s="139"/>
      <c r="GWR110" s="139"/>
      <c r="GWS110" s="139"/>
      <c r="GWT110" s="139"/>
      <c r="GWU110" s="139"/>
      <c r="GWV110" s="139"/>
      <c r="GWW110" s="139"/>
      <c r="GWX110" s="139"/>
      <c r="GWY110" s="139"/>
      <c r="GWZ110" s="139"/>
      <c r="GXA110" s="139"/>
      <c r="GXB110" s="139"/>
      <c r="GXC110" s="139"/>
      <c r="GXD110" s="139"/>
      <c r="GXE110" s="139"/>
      <c r="GXF110" s="139"/>
      <c r="GXG110" s="139"/>
      <c r="GXH110" s="139"/>
      <c r="GXI110" s="139"/>
      <c r="GXJ110" s="139"/>
      <c r="GXK110" s="139"/>
      <c r="GXL110" s="139"/>
      <c r="GXM110" s="139"/>
      <c r="GXN110" s="139"/>
      <c r="GXO110" s="139"/>
      <c r="GXP110" s="139"/>
      <c r="GXQ110" s="139"/>
      <c r="GXR110" s="139"/>
      <c r="GXS110" s="139"/>
      <c r="GXT110" s="139"/>
      <c r="GXU110" s="139"/>
      <c r="GXV110" s="139"/>
      <c r="GXW110" s="139"/>
      <c r="GXX110" s="139"/>
      <c r="GXY110" s="139"/>
      <c r="GXZ110" s="139"/>
      <c r="GYA110" s="139"/>
      <c r="GYB110" s="139"/>
      <c r="GYC110" s="139"/>
      <c r="GYD110" s="139"/>
      <c r="GYE110" s="139"/>
      <c r="GYF110" s="139"/>
      <c r="GYG110" s="139"/>
      <c r="GYH110" s="139"/>
      <c r="GYI110" s="139"/>
      <c r="GYJ110" s="139"/>
      <c r="GYK110" s="139"/>
      <c r="GYL110" s="139"/>
      <c r="GYM110" s="139"/>
      <c r="GYN110" s="139"/>
      <c r="GYO110" s="139"/>
      <c r="GYP110" s="139"/>
      <c r="GYQ110" s="139"/>
      <c r="GYR110" s="139"/>
      <c r="GYS110" s="139"/>
      <c r="GYT110" s="139"/>
      <c r="GYU110" s="139"/>
      <c r="GYV110" s="139"/>
      <c r="GYW110" s="139"/>
      <c r="GYX110" s="139"/>
      <c r="GYY110" s="139"/>
      <c r="GYZ110" s="139"/>
      <c r="GZA110" s="139"/>
      <c r="GZB110" s="139"/>
      <c r="GZC110" s="139"/>
      <c r="GZD110" s="139"/>
      <c r="GZE110" s="139"/>
      <c r="GZF110" s="139"/>
      <c r="GZG110" s="139"/>
      <c r="GZH110" s="139"/>
      <c r="GZI110" s="139"/>
      <c r="GZJ110" s="139"/>
      <c r="GZK110" s="139"/>
      <c r="GZL110" s="139"/>
      <c r="GZM110" s="139"/>
      <c r="GZN110" s="139"/>
      <c r="GZO110" s="139"/>
      <c r="GZP110" s="139"/>
      <c r="GZQ110" s="139"/>
      <c r="GZR110" s="139"/>
      <c r="GZS110" s="139"/>
      <c r="GZT110" s="139"/>
      <c r="GZU110" s="139"/>
      <c r="GZV110" s="139"/>
      <c r="GZW110" s="139"/>
      <c r="GZX110" s="139"/>
      <c r="GZY110" s="139"/>
      <c r="GZZ110" s="139"/>
      <c r="HAA110" s="139"/>
      <c r="HAB110" s="139"/>
      <c r="HAC110" s="139"/>
      <c r="HAD110" s="139"/>
      <c r="HAE110" s="139"/>
      <c r="HAF110" s="139"/>
      <c r="HAG110" s="139"/>
      <c r="HAH110" s="139"/>
      <c r="HAI110" s="139"/>
      <c r="HAJ110" s="139"/>
      <c r="HAK110" s="139"/>
      <c r="HAL110" s="139"/>
      <c r="HAM110" s="139"/>
      <c r="HAN110" s="139"/>
      <c r="HAO110" s="139"/>
      <c r="HAP110" s="139"/>
      <c r="HAQ110" s="139"/>
      <c r="HAR110" s="139"/>
      <c r="HAS110" s="139"/>
      <c r="HAT110" s="139"/>
      <c r="HAU110" s="139"/>
      <c r="HAV110" s="139"/>
      <c r="HAW110" s="139"/>
      <c r="HAX110" s="139"/>
      <c r="HAY110" s="139"/>
      <c r="HAZ110" s="139"/>
      <c r="HBA110" s="139"/>
      <c r="HBB110" s="139"/>
      <c r="HBC110" s="139"/>
      <c r="HBD110" s="139"/>
      <c r="HBE110" s="139"/>
      <c r="HBF110" s="139"/>
      <c r="HBG110" s="139"/>
      <c r="HBH110" s="139"/>
      <c r="HBI110" s="139"/>
      <c r="HBJ110" s="139"/>
      <c r="HBK110" s="139"/>
      <c r="HBL110" s="139"/>
      <c r="HBM110" s="139"/>
      <c r="HBN110" s="139"/>
      <c r="HBO110" s="139"/>
      <c r="HBP110" s="139"/>
      <c r="HBQ110" s="139"/>
      <c r="HBR110" s="139"/>
      <c r="HBS110" s="139"/>
      <c r="HBT110" s="139"/>
      <c r="HBU110" s="139"/>
      <c r="HBV110" s="139"/>
      <c r="HBW110" s="139"/>
      <c r="HBX110" s="139"/>
      <c r="HBY110" s="139"/>
      <c r="HBZ110" s="139"/>
      <c r="HCA110" s="139"/>
      <c r="HCB110" s="139"/>
      <c r="HCC110" s="139"/>
      <c r="HCD110" s="139"/>
      <c r="HCE110" s="139"/>
      <c r="HCF110" s="139"/>
      <c r="HCG110" s="139"/>
      <c r="HCH110" s="139"/>
      <c r="HCI110" s="139"/>
      <c r="HCJ110" s="139"/>
      <c r="HCK110" s="139"/>
      <c r="HCL110" s="139"/>
      <c r="HCM110" s="139"/>
      <c r="HCN110" s="139"/>
      <c r="HCO110" s="139"/>
      <c r="HCP110" s="139"/>
      <c r="HCQ110" s="139"/>
      <c r="HCR110" s="139"/>
      <c r="HCS110" s="139"/>
      <c r="HCT110" s="139"/>
      <c r="HCU110" s="139"/>
      <c r="HCV110" s="139"/>
      <c r="HCW110" s="139"/>
      <c r="HCX110" s="139"/>
      <c r="HCY110" s="139"/>
      <c r="HCZ110" s="139"/>
      <c r="HDA110" s="139"/>
      <c r="HDB110" s="139"/>
      <c r="HDC110" s="139"/>
      <c r="HDD110" s="139"/>
      <c r="HDE110" s="139"/>
      <c r="HDF110" s="139"/>
      <c r="HDG110" s="139"/>
      <c r="HDH110" s="139"/>
      <c r="HDI110" s="139"/>
      <c r="HDJ110" s="139"/>
      <c r="HDK110" s="139"/>
      <c r="HDL110" s="139"/>
      <c r="HDM110" s="139"/>
      <c r="HDN110" s="139"/>
      <c r="HDO110" s="139"/>
      <c r="HDP110" s="139"/>
      <c r="HDQ110" s="139"/>
      <c r="HDR110" s="139"/>
      <c r="HDS110" s="139"/>
      <c r="HDT110" s="139"/>
      <c r="HDU110" s="139"/>
      <c r="HDV110" s="139"/>
      <c r="HDW110" s="139"/>
      <c r="HDX110" s="139"/>
      <c r="HDY110" s="139"/>
      <c r="HDZ110" s="139"/>
      <c r="HEA110" s="139"/>
      <c r="HEB110" s="139"/>
      <c r="HEC110" s="139"/>
      <c r="HED110" s="139"/>
      <c r="HEE110" s="139"/>
      <c r="HEF110" s="139"/>
      <c r="HEG110" s="139"/>
      <c r="HEH110" s="139"/>
      <c r="HEI110" s="139"/>
      <c r="HEJ110" s="139"/>
      <c r="HEK110" s="139"/>
      <c r="HEL110" s="139"/>
      <c r="HEM110" s="139"/>
      <c r="HEN110" s="139"/>
      <c r="HEO110" s="139"/>
      <c r="HEP110" s="139"/>
      <c r="HEQ110" s="139"/>
      <c r="HER110" s="139"/>
      <c r="HES110" s="139"/>
      <c r="HET110" s="139"/>
      <c r="HEU110" s="139"/>
      <c r="HEV110" s="139"/>
      <c r="HEW110" s="139"/>
      <c r="HEX110" s="139"/>
      <c r="HEY110" s="139"/>
      <c r="HEZ110" s="139"/>
      <c r="HFA110" s="139"/>
      <c r="HFB110" s="139"/>
      <c r="HFC110" s="139"/>
      <c r="HFD110" s="139"/>
      <c r="HFE110" s="139"/>
      <c r="HFF110" s="139"/>
      <c r="HFG110" s="139"/>
      <c r="HFH110" s="139"/>
      <c r="HFI110" s="139"/>
      <c r="HFJ110" s="139"/>
      <c r="HFK110" s="139"/>
      <c r="HFL110" s="139"/>
      <c r="HFM110" s="139"/>
      <c r="HFN110" s="139"/>
      <c r="HFO110" s="139"/>
      <c r="HFP110" s="139"/>
      <c r="HFQ110" s="139"/>
      <c r="HFR110" s="139"/>
      <c r="HFS110" s="139"/>
      <c r="HFT110" s="139"/>
      <c r="HFU110" s="139"/>
      <c r="HFV110" s="139"/>
      <c r="HFW110" s="139"/>
      <c r="HFX110" s="139"/>
      <c r="HFY110" s="139"/>
      <c r="HFZ110" s="139"/>
      <c r="HGA110" s="139"/>
      <c r="HGB110" s="139"/>
      <c r="HGC110" s="139"/>
      <c r="HGD110" s="139"/>
      <c r="HGE110" s="139"/>
      <c r="HGF110" s="139"/>
      <c r="HGG110" s="139"/>
      <c r="HGH110" s="139"/>
      <c r="HGI110" s="139"/>
      <c r="HGJ110" s="139"/>
      <c r="HGK110" s="139"/>
      <c r="HGL110" s="139"/>
      <c r="HGM110" s="139"/>
      <c r="HGN110" s="139"/>
      <c r="HGO110" s="139"/>
      <c r="HGP110" s="139"/>
      <c r="HGQ110" s="139"/>
      <c r="HGR110" s="139"/>
      <c r="HGS110" s="139"/>
      <c r="HGT110" s="139"/>
      <c r="HGU110" s="139"/>
      <c r="HGV110" s="139"/>
      <c r="HGW110" s="139"/>
      <c r="HGX110" s="139"/>
      <c r="HGY110" s="139"/>
      <c r="HGZ110" s="139"/>
      <c r="HHA110" s="139"/>
      <c r="HHB110" s="139"/>
      <c r="HHC110" s="139"/>
      <c r="HHD110" s="139"/>
      <c r="HHE110" s="139"/>
      <c r="HHF110" s="139"/>
      <c r="HHG110" s="139"/>
      <c r="HHH110" s="139"/>
      <c r="HHI110" s="139"/>
      <c r="HHJ110" s="139"/>
      <c r="HHK110" s="139"/>
      <c r="HHL110" s="139"/>
      <c r="HHM110" s="139"/>
      <c r="HHN110" s="139"/>
      <c r="HHO110" s="139"/>
      <c r="HHP110" s="139"/>
      <c r="HHQ110" s="139"/>
      <c r="HHR110" s="139"/>
      <c r="HHS110" s="139"/>
      <c r="HHT110" s="139"/>
      <c r="HHU110" s="139"/>
      <c r="HHV110" s="139"/>
      <c r="HHW110" s="139"/>
      <c r="HHX110" s="139"/>
      <c r="HHY110" s="139"/>
      <c r="HHZ110" s="139"/>
      <c r="HIA110" s="139"/>
      <c r="HIB110" s="139"/>
      <c r="HIC110" s="139"/>
      <c r="HID110" s="139"/>
      <c r="HIE110" s="139"/>
      <c r="HIF110" s="139"/>
      <c r="HIG110" s="139"/>
      <c r="HIH110" s="139"/>
      <c r="HII110" s="139"/>
      <c r="HIJ110" s="139"/>
      <c r="HIK110" s="139"/>
      <c r="HIL110" s="139"/>
      <c r="HIM110" s="139"/>
      <c r="HIN110" s="139"/>
      <c r="HIO110" s="139"/>
      <c r="HIP110" s="139"/>
      <c r="HIQ110" s="139"/>
      <c r="HIR110" s="139"/>
      <c r="HIS110" s="139"/>
      <c r="HIT110" s="139"/>
      <c r="HIU110" s="139"/>
      <c r="HIV110" s="139"/>
      <c r="HIW110" s="139"/>
      <c r="HIX110" s="139"/>
      <c r="HIY110" s="139"/>
      <c r="HIZ110" s="139"/>
      <c r="HJA110" s="139"/>
      <c r="HJB110" s="139"/>
      <c r="HJC110" s="139"/>
      <c r="HJD110" s="139"/>
      <c r="HJE110" s="139"/>
      <c r="HJF110" s="139"/>
      <c r="HJG110" s="139"/>
      <c r="HJH110" s="139"/>
      <c r="HJI110" s="139"/>
      <c r="HJJ110" s="139"/>
      <c r="HJK110" s="139"/>
      <c r="HJL110" s="139"/>
      <c r="HJM110" s="139"/>
      <c r="HJN110" s="139"/>
      <c r="HJO110" s="139"/>
      <c r="HJP110" s="139"/>
      <c r="HJQ110" s="139"/>
      <c r="HJR110" s="139"/>
      <c r="HJS110" s="139"/>
      <c r="HJT110" s="139"/>
      <c r="HJU110" s="139"/>
      <c r="HJV110" s="139"/>
      <c r="HJW110" s="139"/>
      <c r="HJX110" s="139"/>
      <c r="HJY110" s="139"/>
      <c r="HJZ110" s="139"/>
      <c r="HKA110" s="139"/>
      <c r="HKB110" s="139"/>
      <c r="HKC110" s="139"/>
      <c r="HKD110" s="139"/>
      <c r="HKE110" s="139"/>
      <c r="HKF110" s="139"/>
      <c r="HKG110" s="139"/>
      <c r="HKH110" s="139"/>
      <c r="HKI110" s="139"/>
      <c r="HKJ110" s="139"/>
      <c r="HKK110" s="139"/>
      <c r="HKL110" s="139"/>
      <c r="HKM110" s="139"/>
      <c r="HKN110" s="139"/>
      <c r="HKO110" s="139"/>
      <c r="HKP110" s="139"/>
      <c r="HKQ110" s="139"/>
      <c r="HKR110" s="139"/>
      <c r="HKS110" s="139"/>
      <c r="HKT110" s="139"/>
      <c r="HKU110" s="139"/>
      <c r="HKV110" s="139"/>
      <c r="HKW110" s="139"/>
      <c r="HKX110" s="139"/>
      <c r="HKY110" s="139"/>
      <c r="HKZ110" s="139"/>
      <c r="HLA110" s="139"/>
      <c r="HLB110" s="139"/>
      <c r="HLC110" s="139"/>
      <c r="HLD110" s="139"/>
      <c r="HLE110" s="139"/>
      <c r="HLF110" s="139"/>
      <c r="HLG110" s="139"/>
      <c r="HLH110" s="139"/>
      <c r="HLI110" s="139"/>
      <c r="HLJ110" s="139"/>
      <c r="HLK110" s="139"/>
      <c r="HLL110" s="139"/>
      <c r="HLM110" s="139"/>
      <c r="HLN110" s="139"/>
      <c r="HLO110" s="139"/>
      <c r="HLP110" s="139"/>
      <c r="HLQ110" s="139"/>
      <c r="HLR110" s="139"/>
      <c r="HLS110" s="139"/>
      <c r="HLT110" s="139"/>
      <c r="HLU110" s="139"/>
      <c r="HLV110" s="139"/>
      <c r="HLW110" s="139"/>
      <c r="HLX110" s="139"/>
      <c r="HLY110" s="139"/>
      <c r="HLZ110" s="139"/>
      <c r="HMA110" s="139"/>
      <c r="HMB110" s="139"/>
      <c r="HMC110" s="139"/>
      <c r="HMD110" s="139"/>
      <c r="HME110" s="139"/>
      <c r="HMF110" s="139"/>
      <c r="HMG110" s="139"/>
      <c r="HMH110" s="139"/>
      <c r="HMI110" s="139"/>
      <c r="HMJ110" s="139"/>
      <c r="HMK110" s="139"/>
      <c r="HML110" s="139"/>
      <c r="HMM110" s="139"/>
      <c r="HMN110" s="139"/>
      <c r="HMO110" s="139"/>
      <c r="HMP110" s="139"/>
      <c r="HMQ110" s="139"/>
      <c r="HMR110" s="139"/>
      <c r="HMS110" s="139"/>
      <c r="HMT110" s="139"/>
      <c r="HMU110" s="139"/>
      <c r="HMV110" s="139"/>
      <c r="HMW110" s="139"/>
      <c r="HMX110" s="139"/>
      <c r="HMY110" s="139"/>
      <c r="HMZ110" s="139"/>
      <c r="HNA110" s="139"/>
      <c r="HNB110" s="139"/>
      <c r="HNC110" s="139"/>
      <c r="HND110" s="139"/>
      <c r="HNE110" s="139"/>
      <c r="HNF110" s="139"/>
      <c r="HNG110" s="139"/>
      <c r="HNH110" s="139"/>
      <c r="HNI110" s="139"/>
      <c r="HNJ110" s="139"/>
      <c r="HNK110" s="139"/>
      <c r="HNL110" s="139"/>
      <c r="HNM110" s="139"/>
      <c r="HNN110" s="139"/>
      <c r="HNO110" s="139"/>
      <c r="HNP110" s="139"/>
      <c r="HNQ110" s="139"/>
      <c r="HNR110" s="139"/>
      <c r="HNS110" s="139"/>
      <c r="HNT110" s="139"/>
      <c r="HNU110" s="139"/>
      <c r="HNV110" s="139"/>
      <c r="HNW110" s="139"/>
      <c r="HNX110" s="139"/>
      <c r="HNY110" s="139"/>
      <c r="HNZ110" s="139"/>
      <c r="HOA110" s="139"/>
      <c r="HOB110" s="139"/>
      <c r="HOC110" s="139"/>
      <c r="HOD110" s="139"/>
      <c r="HOE110" s="139"/>
      <c r="HOF110" s="139"/>
      <c r="HOG110" s="139"/>
      <c r="HOH110" s="139"/>
      <c r="HOI110" s="139"/>
      <c r="HOJ110" s="139"/>
      <c r="HOK110" s="139"/>
      <c r="HOL110" s="139"/>
      <c r="HOM110" s="139"/>
      <c r="HON110" s="139"/>
      <c r="HOO110" s="139"/>
      <c r="HOP110" s="139"/>
      <c r="HOQ110" s="139"/>
      <c r="HOR110" s="139"/>
      <c r="HOS110" s="139"/>
      <c r="HOT110" s="139"/>
      <c r="HOU110" s="139"/>
      <c r="HOV110" s="139"/>
      <c r="HOW110" s="139"/>
      <c r="HOX110" s="139"/>
      <c r="HOY110" s="139"/>
      <c r="HOZ110" s="139"/>
      <c r="HPA110" s="139"/>
      <c r="HPB110" s="139"/>
      <c r="HPC110" s="139"/>
      <c r="HPD110" s="139"/>
      <c r="HPE110" s="139"/>
      <c r="HPF110" s="139"/>
      <c r="HPG110" s="139"/>
      <c r="HPH110" s="139"/>
      <c r="HPI110" s="139"/>
      <c r="HPJ110" s="139"/>
      <c r="HPK110" s="139"/>
      <c r="HPL110" s="139"/>
      <c r="HPM110" s="139"/>
      <c r="HPN110" s="139"/>
      <c r="HPO110" s="139"/>
      <c r="HPP110" s="139"/>
      <c r="HPQ110" s="139"/>
      <c r="HPR110" s="139"/>
      <c r="HPS110" s="139"/>
      <c r="HPT110" s="139"/>
      <c r="HPU110" s="139"/>
      <c r="HPV110" s="139"/>
      <c r="HPW110" s="139"/>
      <c r="HPX110" s="139"/>
      <c r="HPY110" s="139"/>
      <c r="HPZ110" s="139"/>
      <c r="HQA110" s="139"/>
      <c r="HQB110" s="139"/>
      <c r="HQC110" s="139"/>
      <c r="HQD110" s="139"/>
      <c r="HQE110" s="139"/>
      <c r="HQF110" s="139"/>
      <c r="HQG110" s="139"/>
      <c r="HQH110" s="139"/>
      <c r="HQI110" s="139"/>
      <c r="HQJ110" s="139"/>
      <c r="HQK110" s="139"/>
      <c r="HQL110" s="139"/>
      <c r="HQM110" s="139"/>
      <c r="HQN110" s="139"/>
      <c r="HQO110" s="139"/>
      <c r="HQP110" s="139"/>
      <c r="HQQ110" s="139"/>
      <c r="HQR110" s="139"/>
      <c r="HQS110" s="139"/>
      <c r="HQT110" s="139"/>
      <c r="HQU110" s="139"/>
      <c r="HQV110" s="139"/>
      <c r="HQW110" s="139"/>
      <c r="HQX110" s="139"/>
      <c r="HQY110" s="139"/>
      <c r="HQZ110" s="139"/>
      <c r="HRA110" s="139"/>
      <c r="HRB110" s="139"/>
      <c r="HRC110" s="139"/>
      <c r="HRD110" s="139"/>
      <c r="HRE110" s="139"/>
      <c r="HRF110" s="139"/>
      <c r="HRG110" s="139"/>
      <c r="HRH110" s="139"/>
      <c r="HRI110" s="139"/>
      <c r="HRJ110" s="139"/>
      <c r="HRK110" s="139"/>
      <c r="HRL110" s="139"/>
      <c r="HRM110" s="139"/>
      <c r="HRN110" s="139"/>
      <c r="HRO110" s="139"/>
      <c r="HRP110" s="139"/>
      <c r="HRQ110" s="139"/>
      <c r="HRR110" s="139"/>
      <c r="HRS110" s="139"/>
      <c r="HRT110" s="139"/>
      <c r="HRU110" s="139"/>
      <c r="HRV110" s="139"/>
      <c r="HRW110" s="139"/>
      <c r="HRX110" s="139"/>
      <c r="HRY110" s="139"/>
      <c r="HRZ110" s="139"/>
      <c r="HSA110" s="139"/>
      <c r="HSB110" s="139"/>
      <c r="HSC110" s="139"/>
      <c r="HSD110" s="139"/>
      <c r="HSE110" s="139"/>
      <c r="HSF110" s="139"/>
      <c r="HSG110" s="139"/>
      <c r="HSH110" s="139"/>
      <c r="HSI110" s="139"/>
      <c r="HSJ110" s="139"/>
      <c r="HSK110" s="139"/>
      <c r="HSL110" s="139"/>
      <c r="HSM110" s="139"/>
      <c r="HSN110" s="139"/>
      <c r="HSO110" s="139"/>
      <c r="HSP110" s="139"/>
      <c r="HSQ110" s="139"/>
      <c r="HSR110" s="139"/>
      <c r="HSS110" s="139"/>
      <c r="HST110" s="139"/>
      <c r="HSU110" s="139"/>
      <c r="HSV110" s="139"/>
      <c r="HSW110" s="139"/>
      <c r="HSX110" s="139"/>
      <c r="HSY110" s="139"/>
      <c r="HSZ110" s="139"/>
      <c r="HTA110" s="139"/>
      <c r="HTB110" s="139"/>
      <c r="HTC110" s="139"/>
      <c r="HTD110" s="139"/>
      <c r="HTE110" s="139"/>
      <c r="HTF110" s="139"/>
      <c r="HTG110" s="139"/>
      <c r="HTH110" s="139"/>
      <c r="HTI110" s="139"/>
      <c r="HTJ110" s="139"/>
      <c r="HTK110" s="139"/>
      <c r="HTL110" s="139"/>
      <c r="HTM110" s="139"/>
      <c r="HTN110" s="139"/>
      <c r="HTO110" s="139"/>
      <c r="HTP110" s="139"/>
      <c r="HTQ110" s="139"/>
      <c r="HTR110" s="139"/>
      <c r="HTS110" s="139"/>
      <c r="HTT110" s="139"/>
      <c r="HTU110" s="139"/>
      <c r="HTV110" s="139"/>
      <c r="HTW110" s="139"/>
      <c r="HTX110" s="139"/>
      <c r="HTY110" s="139"/>
      <c r="HTZ110" s="139"/>
      <c r="HUA110" s="139"/>
      <c r="HUB110" s="139"/>
      <c r="HUC110" s="139"/>
      <c r="HUD110" s="139"/>
      <c r="HUE110" s="139"/>
      <c r="HUF110" s="139"/>
      <c r="HUG110" s="139"/>
      <c r="HUH110" s="139"/>
      <c r="HUI110" s="139"/>
      <c r="HUJ110" s="139"/>
      <c r="HUK110" s="139"/>
      <c r="HUL110" s="139"/>
      <c r="HUM110" s="139"/>
      <c r="HUN110" s="139"/>
      <c r="HUO110" s="139"/>
      <c r="HUP110" s="139"/>
      <c r="HUQ110" s="139"/>
      <c r="HUR110" s="139"/>
      <c r="HUS110" s="139"/>
      <c r="HUT110" s="139"/>
      <c r="HUU110" s="139"/>
      <c r="HUV110" s="139"/>
      <c r="HUW110" s="139"/>
      <c r="HUX110" s="139"/>
      <c r="HUY110" s="139"/>
      <c r="HUZ110" s="139"/>
      <c r="HVA110" s="139"/>
      <c r="HVB110" s="139"/>
      <c r="HVC110" s="139"/>
      <c r="HVD110" s="139"/>
      <c r="HVE110" s="139"/>
      <c r="HVF110" s="139"/>
      <c r="HVG110" s="139"/>
      <c r="HVH110" s="139"/>
      <c r="HVI110" s="139"/>
      <c r="HVJ110" s="139"/>
      <c r="HVK110" s="139"/>
      <c r="HVL110" s="139"/>
      <c r="HVM110" s="139"/>
      <c r="HVN110" s="139"/>
      <c r="HVO110" s="139"/>
      <c r="HVP110" s="139"/>
      <c r="HVQ110" s="139"/>
      <c r="HVR110" s="139"/>
      <c r="HVS110" s="139"/>
      <c r="HVT110" s="139"/>
      <c r="HVU110" s="139"/>
      <c r="HVV110" s="139"/>
      <c r="HVW110" s="139"/>
      <c r="HVX110" s="139"/>
      <c r="HVY110" s="139"/>
      <c r="HVZ110" s="139"/>
      <c r="HWA110" s="139"/>
      <c r="HWB110" s="139"/>
      <c r="HWC110" s="139"/>
      <c r="HWD110" s="139"/>
      <c r="HWE110" s="139"/>
      <c r="HWF110" s="139"/>
      <c r="HWG110" s="139"/>
      <c r="HWH110" s="139"/>
      <c r="HWI110" s="139"/>
      <c r="HWJ110" s="139"/>
      <c r="HWK110" s="139"/>
      <c r="HWL110" s="139"/>
      <c r="HWM110" s="139"/>
      <c r="HWN110" s="139"/>
      <c r="HWO110" s="139"/>
      <c r="HWP110" s="139"/>
      <c r="HWQ110" s="139"/>
      <c r="HWR110" s="139"/>
      <c r="HWS110" s="139"/>
      <c r="HWT110" s="139"/>
      <c r="HWU110" s="139"/>
      <c r="HWV110" s="139"/>
      <c r="HWW110" s="139"/>
      <c r="HWX110" s="139"/>
      <c r="HWY110" s="139"/>
      <c r="HWZ110" s="139"/>
      <c r="HXA110" s="139"/>
      <c r="HXB110" s="139"/>
      <c r="HXC110" s="139"/>
      <c r="HXD110" s="139"/>
      <c r="HXE110" s="139"/>
      <c r="HXF110" s="139"/>
      <c r="HXG110" s="139"/>
      <c r="HXH110" s="139"/>
      <c r="HXI110" s="139"/>
      <c r="HXJ110" s="139"/>
      <c r="HXK110" s="139"/>
      <c r="HXL110" s="139"/>
      <c r="HXM110" s="139"/>
      <c r="HXN110" s="139"/>
      <c r="HXO110" s="139"/>
      <c r="HXP110" s="139"/>
      <c r="HXQ110" s="139"/>
      <c r="HXR110" s="139"/>
      <c r="HXS110" s="139"/>
      <c r="HXT110" s="139"/>
      <c r="HXU110" s="139"/>
      <c r="HXV110" s="139"/>
      <c r="HXW110" s="139"/>
      <c r="HXX110" s="139"/>
      <c r="HXY110" s="139"/>
      <c r="HXZ110" s="139"/>
      <c r="HYA110" s="139"/>
      <c r="HYB110" s="139"/>
      <c r="HYC110" s="139"/>
      <c r="HYD110" s="139"/>
      <c r="HYE110" s="139"/>
      <c r="HYF110" s="139"/>
      <c r="HYG110" s="139"/>
      <c r="HYH110" s="139"/>
      <c r="HYI110" s="139"/>
      <c r="HYJ110" s="139"/>
      <c r="HYK110" s="139"/>
      <c r="HYL110" s="139"/>
      <c r="HYM110" s="139"/>
      <c r="HYN110" s="139"/>
      <c r="HYO110" s="139"/>
      <c r="HYP110" s="139"/>
      <c r="HYQ110" s="139"/>
      <c r="HYR110" s="139"/>
      <c r="HYS110" s="139"/>
      <c r="HYT110" s="139"/>
      <c r="HYU110" s="139"/>
      <c r="HYV110" s="139"/>
      <c r="HYW110" s="139"/>
      <c r="HYX110" s="139"/>
      <c r="HYY110" s="139"/>
      <c r="HYZ110" s="139"/>
      <c r="HZA110" s="139"/>
      <c r="HZB110" s="139"/>
      <c r="HZC110" s="139"/>
      <c r="HZD110" s="139"/>
      <c r="HZE110" s="139"/>
      <c r="HZF110" s="139"/>
      <c r="HZG110" s="139"/>
      <c r="HZH110" s="139"/>
      <c r="HZI110" s="139"/>
      <c r="HZJ110" s="139"/>
      <c r="HZK110" s="139"/>
      <c r="HZL110" s="139"/>
      <c r="HZM110" s="139"/>
      <c r="HZN110" s="139"/>
      <c r="HZO110" s="139"/>
      <c r="HZP110" s="139"/>
      <c r="HZQ110" s="139"/>
      <c r="HZR110" s="139"/>
      <c r="HZS110" s="139"/>
      <c r="HZT110" s="139"/>
      <c r="HZU110" s="139"/>
      <c r="HZV110" s="139"/>
      <c r="HZW110" s="139"/>
      <c r="HZX110" s="139"/>
      <c r="HZY110" s="139"/>
      <c r="HZZ110" s="139"/>
      <c r="IAA110" s="139"/>
      <c r="IAB110" s="139"/>
      <c r="IAC110" s="139"/>
      <c r="IAD110" s="139"/>
      <c r="IAE110" s="139"/>
      <c r="IAF110" s="139"/>
      <c r="IAG110" s="139"/>
      <c r="IAH110" s="139"/>
      <c r="IAI110" s="139"/>
      <c r="IAJ110" s="139"/>
      <c r="IAK110" s="139"/>
      <c r="IAL110" s="139"/>
      <c r="IAM110" s="139"/>
      <c r="IAN110" s="139"/>
      <c r="IAO110" s="139"/>
      <c r="IAP110" s="139"/>
      <c r="IAQ110" s="139"/>
      <c r="IAR110" s="139"/>
      <c r="IAS110" s="139"/>
      <c r="IAT110" s="139"/>
      <c r="IAU110" s="139"/>
      <c r="IAV110" s="139"/>
      <c r="IAW110" s="139"/>
      <c r="IAX110" s="139"/>
      <c r="IAY110" s="139"/>
      <c r="IAZ110" s="139"/>
      <c r="IBA110" s="139"/>
      <c r="IBB110" s="139"/>
      <c r="IBC110" s="139"/>
      <c r="IBD110" s="139"/>
      <c r="IBE110" s="139"/>
      <c r="IBF110" s="139"/>
      <c r="IBG110" s="139"/>
      <c r="IBH110" s="139"/>
      <c r="IBI110" s="139"/>
      <c r="IBJ110" s="139"/>
      <c r="IBK110" s="139"/>
      <c r="IBL110" s="139"/>
      <c r="IBM110" s="139"/>
      <c r="IBN110" s="139"/>
      <c r="IBO110" s="139"/>
      <c r="IBP110" s="139"/>
      <c r="IBQ110" s="139"/>
      <c r="IBR110" s="139"/>
      <c r="IBS110" s="139"/>
      <c r="IBT110" s="139"/>
      <c r="IBU110" s="139"/>
      <c r="IBV110" s="139"/>
      <c r="IBW110" s="139"/>
      <c r="IBX110" s="139"/>
      <c r="IBY110" s="139"/>
      <c r="IBZ110" s="139"/>
      <c r="ICA110" s="139"/>
      <c r="ICB110" s="139"/>
      <c r="ICC110" s="139"/>
      <c r="ICD110" s="139"/>
      <c r="ICE110" s="139"/>
      <c r="ICF110" s="139"/>
      <c r="ICG110" s="139"/>
      <c r="ICH110" s="139"/>
      <c r="ICI110" s="139"/>
      <c r="ICJ110" s="139"/>
      <c r="ICK110" s="139"/>
      <c r="ICL110" s="139"/>
      <c r="ICM110" s="139"/>
      <c r="ICN110" s="139"/>
      <c r="ICO110" s="139"/>
      <c r="ICP110" s="139"/>
      <c r="ICQ110" s="139"/>
      <c r="ICR110" s="139"/>
      <c r="ICS110" s="139"/>
      <c r="ICT110" s="139"/>
      <c r="ICU110" s="139"/>
      <c r="ICV110" s="139"/>
      <c r="ICW110" s="139"/>
      <c r="ICX110" s="139"/>
      <c r="ICY110" s="139"/>
      <c r="ICZ110" s="139"/>
      <c r="IDA110" s="139"/>
      <c r="IDB110" s="139"/>
      <c r="IDC110" s="139"/>
      <c r="IDD110" s="139"/>
      <c r="IDE110" s="139"/>
      <c r="IDF110" s="139"/>
      <c r="IDG110" s="139"/>
      <c r="IDH110" s="139"/>
      <c r="IDI110" s="139"/>
      <c r="IDJ110" s="139"/>
      <c r="IDK110" s="139"/>
      <c r="IDL110" s="139"/>
      <c r="IDM110" s="139"/>
      <c r="IDN110" s="139"/>
      <c r="IDO110" s="139"/>
      <c r="IDP110" s="139"/>
      <c r="IDQ110" s="139"/>
      <c r="IDR110" s="139"/>
      <c r="IDS110" s="139"/>
      <c r="IDT110" s="139"/>
      <c r="IDU110" s="139"/>
      <c r="IDV110" s="139"/>
      <c r="IDW110" s="139"/>
      <c r="IDX110" s="139"/>
      <c r="IDY110" s="139"/>
      <c r="IDZ110" s="139"/>
      <c r="IEA110" s="139"/>
      <c r="IEB110" s="139"/>
      <c r="IEC110" s="139"/>
      <c r="IED110" s="139"/>
      <c r="IEE110" s="139"/>
      <c r="IEF110" s="139"/>
      <c r="IEG110" s="139"/>
      <c r="IEH110" s="139"/>
      <c r="IEI110" s="139"/>
      <c r="IEJ110" s="139"/>
      <c r="IEK110" s="139"/>
      <c r="IEL110" s="139"/>
      <c r="IEM110" s="139"/>
      <c r="IEN110" s="139"/>
      <c r="IEO110" s="139"/>
      <c r="IEP110" s="139"/>
      <c r="IEQ110" s="139"/>
      <c r="IER110" s="139"/>
      <c r="IES110" s="139"/>
      <c r="IET110" s="139"/>
      <c r="IEU110" s="139"/>
      <c r="IEV110" s="139"/>
      <c r="IEW110" s="139"/>
      <c r="IEX110" s="139"/>
      <c r="IEY110" s="139"/>
      <c r="IEZ110" s="139"/>
      <c r="IFA110" s="139"/>
      <c r="IFB110" s="139"/>
      <c r="IFC110" s="139"/>
      <c r="IFD110" s="139"/>
      <c r="IFE110" s="139"/>
      <c r="IFF110" s="139"/>
      <c r="IFG110" s="139"/>
      <c r="IFH110" s="139"/>
      <c r="IFI110" s="139"/>
      <c r="IFJ110" s="139"/>
      <c r="IFK110" s="139"/>
      <c r="IFL110" s="139"/>
      <c r="IFM110" s="139"/>
      <c r="IFN110" s="139"/>
      <c r="IFO110" s="139"/>
      <c r="IFP110" s="139"/>
      <c r="IFQ110" s="139"/>
      <c r="IFR110" s="139"/>
      <c r="IFS110" s="139"/>
      <c r="IFT110" s="139"/>
      <c r="IFU110" s="139"/>
      <c r="IFV110" s="139"/>
      <c r="IFW110" s="139"/>
      <c r="IFX110" s="139"/>
      <c r="IFY110" s="139"/>
      <c r="IFZ110" s="139"/>
      <c r="IGA110" s="139"/>
      <c r="IGB110" s="139"/>
      <c r="IGC110" s="139"/>
      <c r="IGD110" s="139"/>
      <c r="IGE110" s="139"/>
      <c r="IGF110" s="139"/>
      <c r="IGG110" s="139"/>
      <c r="IGH110" s="139"/>
      <c r="IGI110" s="139"/>
      <c r="IGJ110" s="139"/>
      <c r="IGK110" s="139"/>
      <c r="IGL110" s="139"/>
      <c r="IGM110" s="139"/>
      <c r="IGN110" s="139"/>
      <c r="IGO110" s="139"/>
      <c r="IGP110" s="139"/>
      <c r="IGQ110" s="139"/>
      <c r="IGR110" s="139"/>
      <c r="IGS110" s="139"/>
      <c r="IGT110" s="139"/>
      <c r="IGU110" s="139"/>
      <c r="IGV110" s="139"/>
      <c r="IGW110" s="139"/>
      <c r="IGX110" s="139"/>
      <c r="IGY110" s="139"/>
      <c r="IGZ110" s="139"/>
      <c r="IHA110" s="139"/>
      <c r="IHB110" s="139"/>
      <c r="IHC110" s="139"/>
      <c r="IHD110" s="139"/>
      <c r="IHE110" s="139"/>
      <c r="IHF110" s="139"/>
      <c r="IHG110" s="139"/>
      <c r="IHH110" s="139"/>
      <c r="IHI110" s="139"/>
      <c r="IHJ110" s="139"/>
      <c r="IHK110" s="139"/>
      <c r="IHL110" s="139"/>
      <c r="IHM110" s="139"/>
      <c r="IHN110" s="139"/>
      <c r="IHO110" s="139"/>
      <c r="IHP110" s="139"/>
      <c r="IHQ110" s="139"/>
      <c r="IHR110" s="139"/>
      <c r="IHS110" s="139"/>
      <c r="IHT110" s="139"/>
      <c r="IHU110" s="139"/>
      <c r="IHV110" s="139"/>
      <c r="IHW110" s="139"/>
      <c r="IHX110" s="139"/>
      <c r="IHY110" s="139"/>
      <c r="IHZ110" s="139"/>
      <c r="IIA110" s="139"/>
      <c r="IIB110" s="139"/>
      <c r="IIC110" s="139"/>
      <c r="IID110" s="139"/>
      <c r="IIE110" s="139"/>
      <c r="IIF110" s="139"/>
      <c r="IIG110" s="139"/>
      <c r="IIH110" s="139"/>
      <c r="III110" s="139"/>
      <c r="IIJ110" s="139"/>
      <c r="IIK110" s="139"/>
      <c r="IIL110" s="139"/>
      <c r="IIM110" s="139"/>
      <c r="IIN110" s="139"/>
      <c r="IIO110" s="139"/>
      <c r="IIP110" s="139"/>
      <c r="IIQ110" s="139"/>
      <c r="IIR110" s="139"/>
      <c r="IIS110" s="139"/>
      <c r="IIT110" s="139"/>
      <c r="IIU110" s="139"/>
      <c r="IIV110" s="139"/>
      <c r="IIW110" s="139"/>
      <c r="IIX110" s="139"/>
      <c r="IIY110" s="139"/>
      <c r="IIZ110" s="139"/>
      <c r="IJA110" s="139"/>
      <c r="IJB110" s="139"/>
      <c r="IJC110" s="139"/>
      <c r="IJD110" s="139"/>
      <c r="IJE110" s="139"/>
      <c r="IJF110" s="139"/>
      <c r="IJG110" s="139"/>
      <c r="IJH110" s="139"/>
      <c r="IJI110" s="139"/>
      <c r="IJJ110" s="139"/>
      <c r="IJK110" s="139"/>
      <c r="IJL110" s="139"/>
      <c r="IJM110" s="139"/>
      <c r="IJN110" s="139"/>
      <c r="IJO110" s="139"/>
      <c r="IJP110" s="139"/>
      <c r="IJQ110" s="139"/>
      <c r="IJR110" s="139"/>
      <c r="IJS110" s="139"/>
      <c r="IJT110" s="139"/>
      <c r="IJU110" s="139"/>
      <c r="IJV110" s="139"/>
      <c r="IJW110" s="139"/>
      <c r="IJX110" s="139"/>
      <c r="IJY110" s="139"/>
      <c r="IJZ110" s="139"/>
      <c r="IKA110" s="139"/>
      <c r="IKB110" s="139"/>
      <c r="IKC110" s="139"/>
      <c r="IKD110" s="139"/>
      <c r="IKE110" s="139"/>
      <c r="IKF110" s="139"/>
      <c r="IKG110" s="139"/>
      <c r="IKH110" s="139"/>
      <c r="IKI110" s="139"/>
      <c r="IKJ110" s="139"/>
      <c r="IKK110" s="139"/>
      <c r="IKL110" s="139"/>
      <c r="IKM110" s="139"/>
      <c r="IKN110" s="139"/>
      <c r="IKO110" s="139"/>
      <c r="IKP110" s="139"/>
      <c r="IKQ110" s="139"/>
      <c r="IKR110" s="139"/>
      <c r="IKS110" s="139"/>
      <c r="IKT110" s="139"/>
      <c r="IKU110" s="139"/>
      <c r="IKV110" s="139"/>
      <c r="IKW110" s="139"/>
      <c r="IKX110" s="139"/>
      <c r="IKY110" s="139"/>
      <c r="IKZ110" s="139"/>
      <c r="ILA110" s="139"/>
      <c r="ILB110" s="139"/>
      <c r="ILC110" s="139"/>
      <c r="ILD110" s="139"/>
      <c r="ILE110" s="139"/>
      <c r="ILF110" s="139"/>
      <c r="ILG110" s="139"/>
      <c r="ILH110" s="139"/>
      <c r="ILI110" s="139"/>
      <c r="ILJ110" s="139"/>
      <c r="ILK110" s="139"/>
      <c r="ILL110" s="139"/>
      <c r="ILM110" s="139"/>
      <c r="ILN110" s="139"/>
      <c r="ILO110" s="139"/>
      <c r="ILP110" s="139"/>
      <c r="ILQ110" s="139"/>
      <c r="ILR110" s="139"/>
      <c r="ILS110" s="139"/>
      <c r="ILT110" s="139"/>
      <c r="ILU110" s="139"/>
      <c r="ILV110" s="139"/>
      <c r="ILW110" s="139"/>
      <c r="ILX110" s="139"/>
      <c r="ILY110" s="139"/>
      <c r="ILZ110" s="139"/>
      <c r="IMA110" s="139"/>
      <c r="IMB110" s="139"/>
      <c r="IMC110" s="139"/>
      <c r="IMD110" s="139"/>
      <c r="IME110" s="139"/>
      <c r="IMF110" s="139"/>
      <c r="IMG110" s="139"/>
      <c r="IMH110" s="139"/>
      <c r="IMI110" s="139"/>
      <c r="IMJ110" s="139"/>
      <c r="IMK110" s="139"/>
      <c r="IML110" s="139"/>
      <c r="IMM110" s="139"/>
      <c r="IMN110" s="139"/>
      <c r="IMO110" s="139"/>
      <c r="IMP110" s="139"/>
      <c r="IMQ110" s="139"/>
      <c r="IMR110" s="139"/>
      <c r="IMS110" s="139"/>
      <c r="IMT110" s="139"/>
      <c r="IMU110" s="139"/>
      <c r="IMV110" s="139"/>
      <c r="IMW110" s="139"/>
      <c r="IMX110" s="139"/>
      <c r="IMY110" s="139"/>
      <c r="IMZ110" s="139"/>
      <c r="INA110" s="139"/>
      <c r="INB110" s="139"/>
      <c r="INC110" s="139"/>
      <c r="IND110" s="139"/>
      <c r="INE110" s="139"/>
      <c r="INF110" s="139"/>
      <c r="ING110" s="139"/>
      <c r="INH110" s="139"/>
      <c r="INI110" s="139"/>
      <c r="INJ110" s="139"/>
      <c r="INK110" s="139"/>
      <c r="INL110" s="139"/>
      <c r="INM110" s="139"/>
      <c r="INN110" s="139"/>
      <c r="INO110" s="139"/>
      <c r="INP110" s="139"/>
      <c r="INQ110" s="139"/>
      <c r="INR110" s="139"/>
      <c r="INS110" s="139"/>
      <c r="INT110" s="139"/>
      <c r="INU110" s="139"/>
      <c r="INV110" s="139"/>
      <c r="INW110" s="139"/>
      <c r="INX110" s="139"/>
      <c r="INY110" s="139"/>
      <c r="INZ110" s="139"/>
      <c r="IOA110" s="139"/>
      <c r="IOB110" s="139"/>
      <c r="IOC110" s="139"/>
      <c r="IOD110" s="139"/>
      <c r="IOE110" s="139"/>
      <c r="IOF110" s="139"/>
      <c r="IOG110" s="139"/>
      <c r="IOH110" s="139"/>
      <c r="IOI110" s="139"/>
      <c r="IOJ110" s="139"/>
      <c r="IOK110" s="139"/>
      <c r="IOL110" s="139"/>
      <c r="IOM110" s="139"/>
      <c r="ION110" s="139"/>
      <c r="IOO110" s="139"/>
      <c r="IOP110" s="139"/>
      <c r="IOQ110" s="139"/>
      <c r="IOR110" s="139"/>
      <c r="IOS110" s="139"/>
      <c r="IOT110" s="139"/>
      <c r="IOU110" s="139"/>
      <c r="IOV110" s="139"/>
      <c r="IOW110" s="139"/>
      <c r="IOX110" s="139"/>
      <c r="IOY110" s="139"/>
      <c r="IOZ110" s="139"/>
      <c r="IPA110" s="139"/>
      <c r="IPB110" s="139"/>
      <c r="IPC110" s="139"/>
      <c r="IPD110" s="139"/>
      <c r="IPE110" s="139"/>
      <c r="IPF110" s="139"/>
      <c r="IPG110" s="139"/>
      <c r="IPH110" s="139"/>
      <c r="IPI110" s="139"/>
      <c r="IPJ110" s="139"/>
      <c r="IPK110" s="139"/>
      <c r="IPL110" s="139"/>
      <c r="IPM110" s="139"/>
      <c r="IPN110" s="139"/>
      <c r="IPO110" s="139"/>
      <c r="IPP110" s="139"/>
      <c r="IPQ110" s="139"/>
      <c r="IPR110" s="139"/>
      <c r="IPS110" s="139"/>
      <c r="IPT110" s="139"/>
      <c r="IPU110" s="139"/>
      <c r="IPV110" s="139"/>
      <c r="IPW110" s="139"/>
      <c r="IPX110" s="139"/>
      <c r="IPY110" s="139"/>
      <c r="IPZ110" s="139"/>
      <c r="IQA110" s="139"/>
      <c r="IQB110" s="139"/>
      <c r="IQC110" s="139"/>
      <c r="IQD110" s="139"/>
      <c r="IQE110" s="139"/>
      <c r="IQF110" s="139"/>
      <c r="IQG110" s="139"/>
      <c r="IQH110" s="139"/>
      <c r="IQI110" s="139"/>
      <c r="IQJ110" s="139"/>
      <c r="IQK110" s="139"/>
      <c r="IQL110" s="139"/>
      <c r="IQM110" s="139"/>
      <c r="IQN110" s="139"/>
      <c r="IQO110" s="139"/>
      <c r="IQP110" s="139"/>
      <c r="IQQ110" s="139"/>
      <c r="IQR110" s="139"/>
      <c r="IQS110" s="139"/>
      <c r="IQT110" s="139"/>
      <c r="IQU110" s="139"/>
      <c r="IQV110" s="139"/>
      <c r="IQW110" s="139"/>
      <c r="IQX110" s="139"/>
      <c r="IQY110" s="139"/>
      <c r="IQZ110" s="139"/>
      <c r="IRA110" s="139"/>
      <c r="IRB110" s="139"/>
      <c r="IRC110" s="139"/>
      <c r="IRD110" s="139"/>
      <c r="IRE110" s="139"/>
      <c r="IRF110" s="139"/>
      <c r="IRG110" s="139"/>
      <c r="IRH110" s="139"/>
      <c r="IRI110" s="139"/>
      <c r="IRJ110" s="139"/>
      <c r="IRK110" s="139"/>
      <c r="IRL110" s="139"/>
      <c r="IRM110" s="139"/>
      <c r="IRN110" s="139"/>
      <c r="IRO110" s="139"/>
      <c r="IRP110" s="139"/>
      <c r="IRQ110" s="139"/>
      <c r="IRR110" s="139"/>
      <c r="IRS110" s="139"/>
      <c r="IRT110" s="139"/>
      <c r="IRU110" s="139"/>
      <c r="IRV110" s="139"/>
      <c r="IRW110" s="139"/>
      <c r="IRX110" s="139"/>
      <c r="IRY110" s="139"/>
      <c r="IRZ110" s="139"/>
      <c r="ISA110" s="139"/>
      <c r="ISB110" s="139"/>
      <c r="ISC110" s="139"/>
      <c r="ISD110" s="139"/>
      <c r="ISE110" s="139"/>
      <c r="ISF110" s="139"/>
      <c r="ISG110" s="139"/>
      <c r="ISH110" s="139"/>
      <c r="ISI110" s="139"/>
      <c r="ISJ110" s="139"/>
      <c r="ISK110" s="139"/>
      <c r="ISL110" s="139"/>
      <c r="ISM110" s="139"/>
      <c r="ISN110" s="139"/>
      <c r="ISO110" s="139"/>
      <c r="ISP110" s="139"/>
      <c r="ISQ110" s="139"/>
      <c r="ISR110" s="139"/>
      <c r="ISS110" s="139"/>
      <c r="IST110" s="139"/>
      <c r="ISU110" s="139"/>
      <c r="ISV110" s="139"/>
      <c r="ISW110" s="139"/>
      <c r="ISX110" s="139"/>
      <c r="ISY110" s="139"/>
      <c r="ISZ110" s="139"/>
      <c r="ITA110" s="139"/>
      <c r="ITB110" s="139"/>
      <c r="ITC110" s="139"/>
      <c r="ITD110" s="139"/>
      <c r="ITE110" s="139"/>
      <c r="ITF110" s="139"/>
      <c r="ITG110" s="139"/>
      <c r="ITH110" s="139"/>
      <c r="ITI110" s="139"/>
      <c r="ITJ110" s="139"/>
      <c r="ITK110" s="139"/>
      <c r="ITL110" s="139"/>
      <c r="ITM110" s="139"/>
      <c r="ITN110" s="139"/>
      <c r="ITO110" s="139"/>
      <c r="ITP110" s="139"/>
      <c r="ITQ110" s="139"/>
      <c r="ITR110" s="139"/>
      <c r="ITS110" s="139"/>
      <c r="ITT110" s="139"/>
      <c r="ITU110" s="139"/>
      <c r="ITV110" s="139"/>
      <c r="ITW110" s="139"/>
      <c r="ITX110" s="139"/>
      <c r="ITY110" s="139"/>
      <c r="ITZ110" s="139"/>
      <c r="IUA110" s="139"/>
      <c r="IUB110" s="139"/>
      <c r="IUC110" s="139"/>
      <c r="IUD110" s="139"/>
      <c r="IUE110" s="139"/>
      <c r="IUF110" s="139"/>
      <c r="IUG110" s="139"/>
      <c r="IUH110" s="139"/>
      <c r="IUI110" s="139"/>
      <c r="IUJ110" s="139"/>
      <c r="IUK110" s="139"/>
      <c r="IUL110" s="139"/>
      <c r="IUM110" s="139"/>
      <c r="IUN110" s="139"/>
      <c r="IUO110" s="139"/>
      <c r="IUP110" s="139"/>
      <c r="IUQ110" s="139"/>
      <c r="IUR110" s="139"/>
      <c r="IUS110" s="139"/>
      <c r="IUT110" s="139"/>
      <c r="IUU110" s="139"/>
      <c r="IUV110" s="139"/>
      <c r="IUW110" s="139"/>
      <c r="IUX110" s="139"/>
      <c r="IUY110" s="139"/>
      <c r="IUZ110" s="139"/>
      <c r="IVA110" s="139"/>
      <c r="IVB110" s="139"/>
      <c r="IVC110" s="139"/>
      <c r="IVD110" s="139"/>
      <c r="IVE110" s="139"/>
      <c r="IVF110" s="139"/>
      <c r="IVG110" s="139"/>
      <c r="IVH110" s="139"/>
      <c r="IVI110" s="139"/>
      <c r="IVJ110" s="139"/>
      <c r="IVK110" s="139"/>
      <c r="IVL110" s="139"/>
      <c r="IVM110" s="139"/>
      <c r="IVN110" s="139"/>
      <c r="IVO110" s="139"/>
      <c r="IVP110" s="139"/>
      <c r="IVQ110" s="139"/>
      <c r="IVR110" s="139"/>
      <c r="IVS110" s="139"/>
      <c r="IVT110" s="139"/>
      <c r="IVU110" s="139"/>
      <c r="IVV110" s="139"/>
      <c r="IVW110" s="139"/>
      <c r="IVX110" s="139"/>
      <c r="IVY110" s="139"/>
      <c r="IVZ110" s="139"/>
      <c r="IWA110" s="139"/>
      <c r="IWB110" s="139"/>
      <c r="IWC110" s="139"/>
      <c r="IWD110" s="139"/>
      <c r="IWE110" s="139"/>
      <c r="IWF110" s="139"/>
      <c r="IWG110" s="139"/>
      <c r="IWH110" s="139"/>
      <c r="IWI110" s="139"/>
      <c r="IWJ110" s="139"/>
      <c r="IWK110" s="139"/>
      <c r="IWL110" s="139"/>
      <c r="IWM110" s="139"/>
      <c r="IWN110" s="139"/>
      <c r="IWO110" s="139"/>
      <c r="IWP110" s="139"/>
      <c r="IWQ110" s="139"/>
      <c r="IWR110" s="139"/>
      <c r="IWS110" s="139"/>
      <c r="IWT110" s="139"/>
      <c r="IWU110" s="139"/>
      <c r="IWV110" s="139"/>
      <c r="IWW110" s="139"/>
      <c r="IWX110" s="139"/>
      <c r="IWY110" s="139"/>
      <c r="IWZ110" s="139"/>
      <c r="IXA110" s="139"/>
      <c r="IXB110" s="139"/>
      <c r="IXC110" s="139"/>
      <c r="IXD110" s="139"/>
      <c r="IXE110" s="139"/>
      <c r="IXF110" s="139"/>
      <c r="IXG110" s="139"/>
      <c r="IXH110" s="139"/>
      <c r="IXI110" s="139"/>
      <c r="IXJ110" s="139"/>
      <c r="IXK110" s="139"/>
      <c r="IXL110" s="139"/>
      <c r="IXM110" s="139"/>
      <c r="IXN110" s="139"/>
      <c r="IXO110" s="139"/>
      <c r="IXP110" s="139"/>
      <c r="IXQ110" s="139"/>
      <c r="IXR110" s="139"/>
      <c r="IXS110" s="139"/>
      <c r="IXT110" s="139"/>
      <c r="IXU110" s="139"/>
      <c r="IXV110" s="139"/>
      <c r="IXW110" s="139"/>
      <c r="IXX110" s="139"/>
      <c r="IXY110" s="139"/>
      <c r="IXZ110" s="139"/>
      <c r="IYA110" s="139"/>
      <c r="IYB110" s="139"/>
      <c r="IYC110" s="139"/>
      <c r="IYD110" s="139"/>
      <c r="IYE110" s="139"/>
      <c r="IYF110" s="139"/>
      <c r="IYG110" s="139"/>
      <c r="IYH110" s="139"/>
      <c r="IYI110" s="139"/>
      <c r="IYJ110" s="139"/>
      <c r="IYK110" s="139"/>
      <c r="IYL110" s="139"/>
      <c r="IYM110" s="139"/>
      <c r="IYN110" s="139"/>
      <c r="IYO110" s="139"/>
      <c r="IYP110" s="139"/>
      <c r="IYQ110" s="139"/>
      <c r="IYR110" s="139"/>
      <c r="IYS110" s="139"/>
      <c r="IYT110" s="139"/>
      <c r="IYU110" s="139"/>
      <c r="IYV110" s="139"/>
      <c r="IYW110" s="139"/>
      <c r="IYX110" s="139"/>
      <c r="IYY110" s="139"/>
      <c r="IYZ110" s="139"/>
      <c r="IZA110" s="139"/>
      <c r="IZB110" s="139"/>
      <c r="IZC110" s="139"/>
      <c r="IZD110" s="139"/>
      <c r="IZE110" s="139"/>
      <c r="IZF110" s="139"/>
      <c r="IZG110" s="139"/>
      <c r="IZH110" s="139"/>
      <c r="IZI110" s="139"/>
      <c r="IZJ110" s="139"/>
      <c r="IZK110" s="139"/>
      <c r="IZL110" s="139"/>
      <c r="IZM110" s="139"/>
      <c r="IZN110" s="139"/>
      <c r="IZO110" s="139"/>
      <c r="IZP110" s="139"/>
      <c r="IZQ110" s="139"/>
      <c r="IZR110" s="139"/>
      <c r="IZS110" s="139"/>
      <c r="IZT110" s="139"/>
      <c r="IZU110" s="139"/>
      <c r="IZV110" s="139"/>
      <c r="IZW110" s="139"/>
      <c r="IZX110" s="139"/>
      <c r="IZY110" s="139"/>
      <c r="IZZ110" s="139"/>
      <c r="JAA110" s="139"/>
      <c r="JAB110" s="139"/>
      <c r="JAC110" s="139"/>
      <c r="JAD110" s="139"/>
      <c r="JAE110" s="139"/>
      <c r="JAF110" s="139"/>
      <c r="JAG110" s="139"/>
      <c r="JAH110" s="139"/>
      <c r="JAI110" s="139"/>
      <c r="JAJ110" s="139"/>
      <c r="JAK110" s="139"/>
      <c r="JAL110" s="139"/>
      <c r="JAM110" s="139"/>
      <c r="JAN110" s="139"/>
      <c r="JAO110" s="139"/>
      <c r="JAP110" s="139"/>
      <c r="JAQ110" s="139"/>
      <c r="JAR110" s="139"/>
      <c r="JAS110" s="139"/>
      <c r="JAT110" s="139"/>
      <c r="JAU110" s="139"/>
      <c r="JAV110" s="139"/>
      <c r="JAW110" s="139"/>
      <c r="JAX110" s="139"/>
      <c r="JAY110" s="139"/>
      <c r="JAZ110" s="139"/>
      <c r="JBA110" s="139"/>
      <c r="JBB110" s="139"/>
      <c r="JBC110" s="139"/>
      <c r="JBD110" s="139"/>
      <c r="JBE110" s="139"/>
      <c r="JBF110" s="139"/>
      <c r="JBG110" s="139"/>
      <c r="JBH110" s="139"/>
      <c r="JBI110" s="139"/>
      <c r="JBJ110" s="139"/>
      <c r="JBK110" s="139"/>
      <c r="JBL110" s="139"/>
      <c r="JBM110" s="139"/>
      <c r="JBN110" s="139"/>
      <c r="JBO110" s="139"/>
      <c r="JBP110" s="139"/>
      <c r="JBQ110" s="139"/>
      <c r="JBR110" s="139"/>
      <c r="JBS110" s="139"/>
      <c r="JBT110" s="139"/>
      <c r="JBU110" s="139"/>
      <c r="JBV110" s="139"/>
      <c r="JBW110" s="139"/>
      <c r="JBX110" s="139"/>
      <c r="JBY110" s="139"/>
      <c r="JBZ110" s="139"/>
      <c r="JCA110" s="139"/>
      <c r="JCB110" s="139"/>
      <c r="JCC110" s="139"/>
      <c r="JCD110" s="139"/>
      <c r="JCE110" s="139"/>
      <c r="JCF110" s="139"/>
      <c r="JCG110" s="139"/>
      <c r="JCH110" s="139"/>
      <c r="JCI110" s="139"/>
      <c r="JCJ110" s="139"/>
      <c r="JCK110" s="139"/>
      <c r="JCL110" s="139"/>
      <c r="JCM110" s="139"/>
      <c r="JCN110" s="139"/>
      <c r="JCO110" s="139"/>
      <c r="JCP110" s="139"/>
      <c r="JCQ110" s="139"/>
      <c r="JCR110" s="139"/>
      <c r="JCS110" s="139"/>
      <c r="JCT110" s="139"/>
      <c r="JCU110" s="139"/>
      <c r="JCV110" s="139"/>
      <c r="JCW110" s="139"/>
      <c r="JCX110" s="139"/>
      <c r="JCY110" s="139"/>
      <c r="JCZ110" s="139"/>
      <c r="JDA110" s="139"/>
      <c r="JDB110" s="139"/>
      <c r="JDC110" s="139"/>
      <c r="JDD110" s="139"/>
      <c r="JDE110" s="139"/>
      <c r="JDF110" s="139"/>
      <c r="JDG110" s="139"/>
      <c r="JDH110" s="139"/>
      <c r="JDI110" s="139"/>
      <c r="JDJ110" s="139"/>
      <c r="JDK110" s="139"/>
      <c r="JDL110" s="139"/>
      <c r="JDM110" s="139"/>
      <c r="JDN110" s="139"/>
      <c r="JDO110" s="139"/>
      <c r="JDP110" s="139"/>
      <c r="JDQ110" s="139"/>
      <c r="JDR110" s="139"/>
      <c r="JDS110" s="139"/>
      <c r="JDT110" s="139"/>
      <c r="JDU110" s="139"/>
      <c r="JDV110" s="139"/>
      <c r="JDW110" s="139"/>
      <c r="JDX110" s="139"/>
      <c r="JDY110" s="139"/>
      <c r="JDZ110" s="139"/>
      <c r="JEA110" s="139"/>
      <c r="JEB110" s="139"/>
      <c r="JEC110" s="139"/>
      <c r="JED110" s="139"/>
      <c r="JEE110" s="139"/>
      <c r="JEF110" s="139"/>
      <c r="JEG110" s="139"/>
      <c r="JEH110" s="139"/>
      <c r="JEI110" s="139"/>
      <c r="JEJ110" s="139"/>
      <c r="JEK110" s="139"/>
      <c r="JEL110" s="139"/>
      <c r="JEM110" s="139"/>
      <c r="JEN110" s="139"/>
      <c r="JEO110" s="139"/>
      <c r="JEP110" s="139"/>
      <c r="JEQ110" s="139"/>
      <c r="JER110" s="139"/>
      <c r="JES110" s="139"/>
      <c r="JET110" s="139"/>
      <c r="JEU110" s="139"/>
      <c r="JEV110" s="139"/>
      <c r="JEW110" s="139"/>
      <c r="JEX110" s="139"/>
      <c r="JEY110" s="139"/>
      <c r="JEZ110" s="139"/>
      <c r="JFA110" s="139"/>
      <c r="JFB110" s="139"/>
      <c r="JFC110" s="139"/>
      <c r="JFD110" s="139"/>
      <c r="JFE110" s="139"/>
      <c r="JFF110" s="139"/>
      <c r="JFG110" s="139"/>
      <c r="JFH110" s="139"/>
      <c r="JFI110" s="139"/>
      <c r="JFJ110" s="139"/>
      <c r="JFK110" s="139"/>
      <c r="JFL110" s="139"/>
      <c r="JFM110" s="139"/>
      <c r="JFN110" s="139"/>
      <c r="JFO110" s="139"/>
      <c r="JFP110" s="139"/>
      <c r="JFQ110" s="139"/>
      <c r="JFR110" s="139"/>
      <c r="JFS110" s="139"/>
      <c r="JFT110" s="139"/>
      <c r="JFU110" s="139"/>
      <c r="JFV110" s="139"/>
      <c r="JFW110" s="139"/>
      <c r="JFX110" s="139"/>
      <c r="JFY110" s="139"/>
      <c r="JFZ110" s="139"/>
      <c r="JGA110" s="139"/>
      <c r="JGB110" s="139"/>
      <c r="JGC110" s="139"/>
      <c r="JGD110" s="139"/>
      <c r="JGE110" s="139"/>
      <c r="JGF110" s="139"/>
      <c r="JGG110" s="139"/>
      <c r="JGH110" s="139"/>
      <c r="JGI110" s="139"/>
      <c r="JGJ110" s="139"/>
      <c r="JGK110" s="139"/>
      <c r="JGL110" s="139"/>
      <c r="JGM110" s="139"/>
      <c r="JGN110" s="139"/>
      <c r="JGO110" s="139"/>
      <c r="JGP110" s="139"/>
      <c r="JGQ110" s="139"/>
      <c r="JGR110" s="139"/>
      <c r="JGS110" s="139"/>
      <c r="JGT110" s="139"/>
      <c r="JGU110" s="139"/>
      <c r="JGV110" s="139"/>
      <c r="JGW110" s="139"/>
      <c r="JGX110" s="139"/>
      <c r="JGY110" s="139"/>
      <c r="JGZ110" s="139"/>
      <c r="JHA110" s="139"/>
      <c r="JHB110" s="139"/>
      <c r="JHC110" s="139"/>
      <c r="JHD110" s="139"/>
      <c r="JHE110" s="139"/>
      <c r="JHF110" s="139"/>
      <c r="JHG110" s="139"/>
      <c r="JHH110" s="139"/>
      <c r="JHI110" s="139"/>
      <c r="JHJ110" s="139"/>
      <c r="JHK110" s="139"/>
      <c r="JHL110" s="139"/>
      <c r="JHM110" s="139"/>
      <c r="JHN110" s="139"/>
      <c r="JHO110" s="139"/>
      <c r="JHP110" s="139"/>
      <c r="JHQ110" s="139"/>
      <c r="JHR110" s="139"/>
      <c r="JHS110" s="139"/>
      <c r="JHT110" s="139"/>
      <c r="JHU110" s="139"/>
      <c r="JHV110" s="139"/>
      <c r="JHW110" s="139"/>
      <c r="JHX110" s="139"/>
      <c r="JHY110" s="139"/>
      <c r="JHZ110" s="139"/>
      <c r="JIA110" s="139"/>
      <c r="JIB110" s="139"/>
      <c r="JIC110" s="139"/>
      <c r="JID110" s="139"/>
      <c r="JIE110" s="139"/>
      <c r="JIF110" s="139"/>
      <c r="JIG110" s="139"/>
      <c r="JIH110" s="139"/>
      <c r="JII110" s="139"/>
      <c r="JIJ110" s="139"/>
      <c r="JIK110" s="139"/>
      <c r="JIL110" s="139"/>
      <c r="JIM110" s="139"/>
      <c r="JIN110" s="139"/>
      <c r="JIO110" s="139"/>
      <c r="JIP110" s="139"/>
      <c r="JIQ110" s="139"/>
      <c r="JIR110" s="139"/>
      <c r="JIS110" s="139"/>
      <c r="JIT110" s="139"/>
      <c r="JIU110" s="139"/>
      <c r="JIV110" s="139"/>
      <c r="JIW110" s="139"/>
      <c r="JIX110" s="139"/>
      <c r="JIY110" s="139"/>
      <c r="JIZ110" s="139"/>
      <c r="JJA110" s="139"/>
      <c r="JJB110" s="139"/>
      <c r="JJC110" s="139"/>
      <c r="JJD110" s="139"/>
      <c r="JJE110" s="139"/>
      <c r="JJF110" s="139"/>
      <c r="JJG110" s="139"/>
      <c r="JJH110" s="139"/>
      <c r="JJI110" s="139"/>
      <c r="JJJ110" s="139"/>
      <c r="JJK110" s="139"/>
      <c r="JJL110" s="139"/>
      <c r="JJM110" s="139"/>
      <c r="JJN110" s="139"/>
      <c r="JJO110" s="139"/>
      <c r="JJP110" s="139"/>
      <c r="JJQ110" s="139"/>
      <c r="JJR110" s="139"/>
      <c r="JJS110" s="139"/>
      <c r="JJT110" s="139"/>
      <c r="JJU110" s="139"/>
      <c r="JJV110" s="139"/>
      <c r="JJW110" s="139"/>
      <c r="JJX110" s="139"/>
      <c r="JJY110" s="139"/>
      <c r="JJZ110" s="139"/>
      <c r="JKA110" s="139"/>
      <c r="JKB110" s="139"/>
      <c r="JKC110" s="139"/>
      <c r="JKD110" s="139"/>
      <c r="JKE110" s="139"/>
      <c r="JKF110" s="139"/>
      <c r="JKG110" s="139"/>
      <c r="JKH110" s="139"/>
      <c r="JKI110" s="139"/>
      <c r="JKJ110" s="139"/>
      <c r="JKK110" s="139"/>
      <c r="JKL110" s="139"/>
      <c r="JKM110" s="139"/>
      <c r="JKN110" s="139"/>
      <c r="JKO110" s="139"/>
      <c r="JKP110" s="139"/>
      <c r="JKQ110" s="139"/>
      <c r="JKR110" s="139"/>
      <c r="JKS110" s="139"/>
      <c r="JKT110" s="139"/>
      <c r="JKU110" s="139"/>
      <c r="JKV110" s="139"/>
      <c r="JKW110" s="139"/>
      <c r="JKX110" s="139"/>
      <c r="JKY110" s="139"/>
      <c r="JKZ110" s="139"/>
      <c r="JLA110" s="139"/>
      <c r="JLB110" s="139"/>
      <c r="JLC110" s="139"/>
      <c r="JLD110" s="139"/>
      <c r="JLE110" s="139"/>
      <c r="JLF110" s="139"/>
      <c r="JLG110" s="139"/>
      <c r="JLH110" s="139"/>
      <c r="JLI110" s="139"/>
      <c r="JLJ110" s="139"/>
      <c r="JLK110" s="139"/>
      <c r="JLL110" s="139"/>
      <c r="JLM110" s="139"/>
      <c r="JLN110" s="139"/>
      <c r="JLO110" s="139"/>
      <c r="JLP110" s="139"/>
      <c r="JLQ110" s="139"/>
      <c r="JLR110" s="139"/>
      <c r="JLS110" s="139"/>
      <c r="JLT110" s="139"/>
      <c r="JLU110" s="139"/>
      <c r="JLV110" s="139"/>
      <c r="JLW110" s="139"/>
      <c r="JLX110" s="139"/>
      <c r="JLY110" s="139"/>
      <c r="JLZ110" s="139"/>
      <c r="JMA110" s="139"/>
      <c r="JMB110" s="139"/>
      <c r="JMC110" s="139"/>
      <c r="JMD110" s="139"/>
      <c r="JME110" s="139"/>
      <c r="JMF110" s="139"/>
      <c r="JMG110" s="139"/>
      <c r="JMH110" s="139"/>
      <c r="JMI110" s="139"/>
      <c r="JMJ110" s="139"/>
      <c r="JMK110" s="139"/>
      <c r="JML110" s="139"/>
      <c r="JMM110" s="139"/>
      <c r="JMN110" s="139"/>
      <c r="JMO110" s="139"/>
      <c r="JMP110" s="139"/>
      <c r="JMQ110" s="139"/>
      <c r="JMR110" s="139"/>
      <c r="JMS110" s="139"/>
      <c r="JMT110" s="139"/>
      <c r="JMU110" s="139"/>
      <c r="JMV110" s="139"/>
      <c r="JMW110" s="139"/>
      <c r="JMX110" s="139"/>
      <c r="JMY110" s="139"/>
      <c r="JMZ110" s="139"/>
      <c r="JNA110" s="139"/>
      <c r="JNB110" s="139"/>
      <c r="JNC110" s="139"/>
      <c r="JND110" s="139"/>
      <c r="JNE110" s="139"/>
      <c r="JNF110" s="139"/>
      <c r="JNG110" s="139"/>
      <c r="JNH110" s="139"/>
      <c r="JNI110" s="139"/>
      <c r="JNJ110" s="139"/>
      <c r="JNK110" s="139"/>
      <c r="JNL110" s="139"/>
      <c r="JNM110" s="139"/>
      <c r="JNN110" s="139"/>
      <c r="JNO110" s="139"/>
      <c r="JNP110" s="139"/>
      <c r="JNQ110" s="139"/>
      <c r="JNR110" s="139"/>
      <c r="JNS110" s="139"/>
      <c r="JNT110" s="139"/>
      <c r="JNU110" s="139"/>
      <c r="JNV110" s="139"/>
      <c r="JNW110" s="139"/>
      <c r="JNX110" s="139"/>
      <c r="JNY110" s="139"/>
      <c r="JNZ110" s="139"/>
      <c r="JOA110" s="139"/>
      <c r="JOB110" s="139"/>
      <c r="JOC110" s="139"/>
      <c r="JOD110" s="139"/>
      <c r="JOE110" s="139"/>
      <c r="JOF110" s="139"/>
      <c r="JOG110" s="139"/>
      <c r="JOH110" s="139"/>
      <c r="JOI110" s="139"/>
      <c r="JOJ110" s="139"/>
      <c r="JOK110" s="139"/>
      <c r="JOL110" s="139"/>
      <c r="JOM110" s="139"/>
      <c r="JON110" s="139"/>
      <c r="JOO110" s="139"/>
      <c r="JOP110" s="139"/>
      <c r="JOQ110" s="139"/>
      <c r="JOR110" s="139"/>
      <c r="JOS110" s="139"/>
      <c r="JOT110" s="139"/>
      <c r="JOU110" s="139"/>
      <c r="JOV110" s="139"/>
      <c r="JOW110" s="139"/>
      <c r="JOX110" s="139"/>
      <c r="JOY110" s="139"/>
      <c r="JOZ110" s="139"/>
      <c r="JPA110" s="139"/>
      <c r="JPB110" s="139"/>
      <c r="JPC110" s="139"/>
      <c r="JPD110" s="139"/>
      <c r="JPE110" s="139"/>
      <c r="JPF110" s="139"/>
      <c r="JPG110" s="139"/>
      <c r="JPH110" s="139"/>
      <c r="JPI110" s="139"/>
      <c r="JPJ110" s="139"/>
      <c r="JPK110" s="139"/>
      <c r="JPL110" s="139"/>
      <c r="JPM110" s="139"/>
      <c r="JPN110" s="139"/>
      <c r="JPO110" s="139"/>
      <c r="JPP110" s="139"/>
      <c r="JPQ110" s="139"/>
      <c r="JPR110" s="139"/>
      <c r="JPS110" s="139"/>
      <c r="JPT110" s="139"/>
      <c r="JPU110" s="139"/>
      <c r="JPV110" s="139"/>
      <c r="JPW110" s="139"/>
      <c r="JPX110" s="139"/>
      <c r="JPY110" s="139"/>
      <c r="JPZ110" s="139"/>
      <c r="JQA110" s="139"/>
      <c r="JQB110" s="139"/>
      <c r="JQC110" s="139"/>
      <c r="JQD110" s="139"/>
      <c r="JQE110" s="139"/>
      <c r="JQF110" s="139"/>
      <c r="JQG110" s="139"/>
      <c r="JQH110" s="139"/>
      <c r="JQI110" s="139"/>
      <c r="JQJ110" s="139"/>
      <c r="JQK110" s="139"/>
      <c r="JQL110" s="139"/>
      <c r="JQM110" s="139"/>
      <c r="JQN110" s="139"/>
      <c r="JQO110" s="139"/>
      <c r="JQP110" s="139"/>
      <c r="JQQ110" s="139"/>
      <c r="JQR110" s="139"/>
      <c r="JQS110" s="139"/>
      <c r="JQT110" s="139"/>
      <c r="JQU110" s="139"/>
      <c r="JQV110" s="139"/>
      <c r="JQW110" s="139"/>
      <c r="JQX110" s="139"/>
      <c r="JQY110" s="139"/>
      <c r="JQZ110" s="139"/>
      <c r="JRA110" s="139"/>
      <c r="JRB110" s="139"/>
      <c r="JRC110" s="139"/>
      <c r="JRD110" s="139"/>
      <c r="JRE110" s="139"/>
      <c r="JRF110" s="139"/>
      <c r="JRG110" s="139"/>
      <c r="JRH110" s="139"/>
      <c r="JRI110" s="139"/>
      <c r="JRJ110" s="139"/>
      <c r="JRK110" s="139"/>
      <c r="JRL110" s="139"/>
      <c r="JRM110" s="139"/>
      <c r="JRN110" s="139"/>
      <c r="JRO110" s="139"/>
      <c r="JRP110" s="139"/>
      <c r="JRQ110" s="139"/>
      <c r="JRR110" s="139"/>
      <c r="JRS110" s="139"/>
      <c r="JRT110" s="139"/>
      <c r="JRU110" s="139"/>
      <c r="JRV110" s="139"/>
      <c r="JRW110" s="139"/>
      <c r="JRX110" s="139"/>
      <c r="JRY110" s="139"/>
      <c r="JRZ110" s="139"/>
      <c r="JSA110" s="139"/>
      <c r="JSB110" s="139"/>
      <c r="JSC110" s="139"/>
      <c r="JSD110" s="139"/>
      <c r="JSE110" s="139"/>
      <c r="JSF110" s="139"/>
      <c r="JSG110" s="139"/>
      <c r="JSH110" s="139"/>
      <c r="JSI110" s="139"/>
      <c r="JSJ110" s="139"/>
      <c r="JSK110" s="139"/>
      <c r="JSL110" s="139"/>
      <c r="JSM110" s="139"/>
      <c r="JSN110" s="139"/>
      <c r="JSO110" s="139"/>
      <c r="JSP110" s="139"/>
      <c r="JSQ110" s="139"/>
      <c r="JSR110" s="139"/>
      <c r="JSS110" s="139"/>
      <c r="JST110" s="139"/>
      <c r="JSU110" s="139"/>
      <c r="JSV110" s="139"/>
      <c r="JSW110" s="139"/>
      <c r="JSX110" s="139"/>
      <c r="JSY110" s="139"/>
      <c r="JSZ110" s="139"/>
      <c r="JTA110" s="139"/>
      <c r="JTB110" s="139"/>
      <c r="JTC110" s="139"/>
      <c r="JTD110" s="139"/>
      <c r="JTE110" s="139"/>
      <c r="JTF110" s="139"/>
      <c r="JTG110" s="139"/>
      <c r="JTH110" s="139"/>
      <c r="JTI110" s="139"/>
      <c r="JTJ110" s="139"/>
      <c r="JTK110" s="139"/>
      <c r="JTL110" s="139"/>
      <c r="JTM110" s="139"/>
      <c r="JTN110" s="139"/>
      <c r="JTO110" s="139"/>
      <c r="JTP110" s="139"/>
      <c r="JTQ110" s="139"/>
      <c r="JTR110" s="139"/>
      <c r="JTS110" s="139"/>
      <c r="JTT110" s="139"/>
      <c r="JTU110" s="139"/>
      <c r="JTV110" s="139"/>
      <c r="JTW110" s="139"/>
      <c r="JTX110" s="139"/>
      <c r="JTY110" s="139"/>
      <c r="JTZ110" s="139"/>
      <c r="JUA110" s="139"/>
      <c r="JUB110" s="139"/>
      <c r="JUC110" s="139"/>
      <c r="JUD110" s="139"/>
      <c r="JUE110" s="139"/>
      <c r="JUF110" s="139"/>
      <c r="JUG110" s="139"/>
      <c r="JUH110" s="139"/>
      <c r="JUI110" s="139"/>
      <c r="JUJ110" s="139"/>
      <c r="JUK110" s="139"/>
      <c r="JUL110" s="139"/>
      <c r="JUM110" s="139"/>
      <c r="JUN110" s="139"/>
      <c r="JUO110" s="139"/>
      <c r="JUP110" s="139"/>
      <c r="JUQ110" s="139"/>
      <c r="JUR110" s="139"/>
      <c r="JUS110" s="139"/>
      <c r="JUT110" s="139"/>
      <c r="JUU110" s="139"/>
      <c r="JUV110" s="139"/>
      <c r="JUW110" s="139"/>
      <c r="JUX110" s="139"/>
      <c r="JUY110" s="139"/>
      <c r="JUZ110" s="139"/>
      <c r="JVA110" s="139"/>
      <c r="JVB110" s="139"/>
      <c r="JVC110" s="139"/>
      <c r="JVD110" s="139"/>
      <c r="JVE110" s="139"/>
      <c r="JVF110" s="139"/>
      <c r="JVG110" s="139"/>
      <c r="JVH110" s="139"/>
      <c r="JVI110" s="139"/>
      <c r="JVJ110" s="139"/>
      <c r="JVK110" s="139"/>
      <c r="JVL110" s="139"/>
      <c r="JVM110" s="139"/>
      <c r="JVN110" s="139"/>
      <c r="JVO110" s="139"/>
      <c r="JVP110" s="139"/>
      <c r="JVQ110" s="139"/>
      <c r="JVR110" s="139"/>
      <c r="JVS110" s="139"/>
      <c r="JVT110" s="139"/>
      <c r="JVU110" s="139"/>
      <c r="JVV110" s="139"/>
      <c r="JVW110" s="139"/>
      <c r="JVX110" s="139"/>
      <c r="JVY110" s="139"/>
      <c r="JVZ110" s="139"/>
      <c r="JWA110" s="139"/>
      <c r="JWB110" s="139"/>
      <c r="JWC110" s="139"/>
      <c r="JWD110" s="139"/>
      <c r="JWE110" s="139"/>
      <c r="JWF110" s="139"/>
      <c r="JWG110" s="139"/>
      <c r="JWH110" s="139"/>
      <c r="JWI110" s="139"/>
      <c r="JWJ110" s="139"/>
      <c r="JWK110" s="139"/>
      <c r="JWL110" s="139"/>
      <c r="JWM110" s="139"/>
      <c r="JWN110" s="139"/>
      <c r="JWO110" s="139"/>
      <c r="JWP110" s="139"/>
      <c r="JWQ110" s="139"/>
      <c r="JWR110" s="139"/>
      <c r="JWS110" s="139"/>
      <c r="JWT110" s="139"/>
      <c r="JWU110" s="139"/>
      <c r="JWV110" s="139"/>
      <c r="JWW110" s="139"/>
      <c r="JWX110" s="139"/>
      <c r="JWY110" s="139"/>
      <c r="JWZ110" s="139"/>
      <c r="JXA110" s="139"/>
      <c r="JXB110" s="139"/>
      <c r="JXC110" s="139"/>
      <c r="JXD110" s="139"/>
      <c r="JXE110" s="139"/>
      <c r="JXF110" s="139"/>
      <c r="JXG110" s="139"/>
      <c r="JXH110" s="139"/>
      <c r="JXI110" s="139"/>
      <c r="JXJ110" s="139"/>
      <c r="JXK110" s="139"/>
      <c r="JXL110" s="139"/>
      <c r="JXM110" s="139"/>
      <c r="JXN110" s="139"/>
      <c r="JXO110" s="139"/>
      <c r="JXP110" s="139"/>
      <c r="JXQ110" s="139"/>
      <c r="JXR110" s="139"/>
      <c r="JXS110" s="139"/>
      <c r="JXT110" s="139"/>
      <c r="JXU110" s="139"/>
      <c r="JXV110" s="139"/>
      <c r="JXW110" s="139"/>
      <c r="JXX110" s="139"/>
      <c r="JXY110" s="139"/>
      <c r="JXZ110" s="139"/>
      <c r="JYA110" s="139"/>
      <c r="JYB110" s="139"/>
      <c r="JYC110" s="139"/>
      <c r="JYD110" s="139"/>
      <c r="JYE110" s="139"/>
      <c r="JYF110" s="139"/>
      <c r="JYG110" s="139"/>
      <c r="JYH110" s="139"/>
      <c r="JYI110" s="139"/>
      <c r="JYJ110" s="139"/>
      <c r="JYK110" s="139"/>
      <c r="JYL110" s="139"/>
      <c r="JYM110" s="139"/>
      <c r="JYN110" s="139"/>
      <c r="JYO110" s="139"/>
      <c r="JYP110" s="139"/>
      <c r="JYQ110" s="139"/>
      <c r="JYR110" s="139"/>
      <c r="JYS110" s="139"/>
      <c r="JYT110" s="139"/>
      <c r="JYU110" s="139"/>
      <c r="JYV110" s="139"/>
      <c r="JYW110" s="139"/>
      <c r="JYX110" s="139"/>
      <c r="JYY110" s="139"/>
      <c r="JYZ110" s="139"/>
      <c r="JZA110" s="139"/>
      <c r="JZB110" s="139"/>
      <c r="JZC110" s="139"/>
      <c r="JZD110" s="139"/>
      <c r="JZE110" s="139"/>
      <c r="JZF110" s="139"/>
      <c r="JZG110" s="139"/>
      <c r="JZH110" s="139"/>
      <c r="JZI110" s="139"/>
      <c r="JZJ110" s="139"/>
      <c r="JZK110" s="139"/>
      <c r="JZL110" s="139"/>
      <c r="JZM110" s="139"/>
      <c r="JZN110" s="139"/>
      <c r="JZO110" s="139"/>
      <c r="JZP110" s="139"/>
      <c r="JZQ110" s="139"/>
      <c r="JZR110" s="139"/>
      <c r="JZS110" s="139"/>
      <c r="JZT110" s="139"/>
      <c r="JZU110" s="139"/>
      <c r="JZV110" s="139"/>
      <c r="JZW110" s="139"/>
      <c r="JZX110" s="139"/>
      <c r="JZY110" s="139"/>
      <c r="JZZ110" s="139"/>
      <c r="KAA110" s="139"/>
      <c r="KAB110" s="139"/>
      <c r="KAC110" s="139"/>
      <c r="KAD110" s="139"/>
      <c r="KAE110" s="139"/>
      <c r="KAF110" s="139"/>
      <c r="KAG110" s="139"/>
      <c r="KAH110" s="139"/>
      <c r="KAI110" s="139"/>
      <c r="KAJ110" s="139"/>
      <c r="KAK110" s="139"/>
      <c r="KAL110" s="139"/>
      <c r="KAM110" s="139"/>
      <c r="KAN110" s="139"/>
      <c r="KAO110" s="139"/>
      <c r="KAP110" s="139"/>
      <c r="KAQ110" s="139"/>
      <c r="KAR110" s="139"/>
      <c r="KAS110" s="139"/>
      <c r="KAT110" s="139"/>
      <c r="KAU110" s="139"/>
      <c r="KAV110" s="139"/>
      <c r="KAW110" s="139"/>
      <c r="KAX110" s="139"/>
      <c r="KAY110" s="139"/>
      <c r="KAZ110" s="139"/>
      <c r="KBA110" s="139"/>
      <c r="KBB110" s="139"/>
      <c r="KBC110" s="139"/>
      <c r="KBD110" s="139"/>
      <c r="KBE110" s="139"/>
      <c r="KBF110" s="139"/>
      <c r="KBG110" s="139"/>
      <c r="KBH110" s="139"/>
      <c r="KBI110" s="139"/>
      <c r="KBJ110" s="139"/>
      <c r="KBK110" s="139"/>
      <c r="KBL110" s="139"/>
      <c r="KBM110" s="139"/>
      <c r="KBN110" s="139"/>
      <c r="KBO110" s="139"/>
      <c r="KBP110" s="139"/>
      <c r="KBQ110" s="139"/>
      <c r="KBR110" s="139"/>
      <c r="KBS110" s="139"/>
      <c r="KBT110" s="139"/>
      <c r="KBU110" s="139"/>
      <c r="KBV110" s="139"/>
      <c r="KBW110" s="139"/>
      <c r="KBX110" s="139"/>
      <c r="KBY110" s="139"/>
      <c r="KBZ110" s="139"/>
      <c r="KCA110" s="139"/>
      <c r="KCB110" s="139"/>
      <c r="KCC110" s="139"/>
      <c r="KCD110" s="139"/>
      <c r="KCE110" s="139"/>
      <c r="KCF110" s="139"/>
      <c r="KCG110" s="139"/>
      <c r="KCH110" s="139"/>
      <c r="KCI110" s="139"/>
      <c r="KCJ110" s="139"/>
      <c r="KCK110" s="139"/>
      <c r="KCL110" s="139"/>
      <c r="KCM110" s="139"/>
      <c r="KCN110" s="139"/>
      <c r="KCO110" s="139"/>
      <c r="KCP110" s="139"/>
      <c r="KCQ110" s="139"/>
      <c r="KCR110" s="139"/>
      <c r="KCS110" s="139"/>
      <c r="KCT110" s="139"/>
      <c r="KCU110" s="139"/>
      <c r="KCV110" s="139"/>
      <c r="KCW110" s="139"/>
      <c r="KCX110" s="139"/>
      <c r="KCY110" s="139"/>
      <c r="KCZ110" s="139"/>
      <c r="KDA110" s="139"/>
      <c r="KDB110" s="139"/>
      <c r="KDC110" s="139"/>
      <c r="KDD110" s="139"/>
      <c r="KDE110" s="139"/>
      <c r="KDF110" s="139"/>
      <c r="KDG110" s="139"/>
      <c r="KDH110" s="139"/>
      <c r="KDI110" s="139"/>
      <c r="KDJ110" s="139"/>
      <c r="KDK110" s="139"/>
      <c r="KDL110" s="139"/>
      <c r="KDM110" s="139"/>
      <c r="KDN110" s="139"/>
      <c r="KDO110" s="139"/>
      <c r="KDP110" s="139"/>
      <c r="KDQ110" s="139"/>
      <c r="KDR110" s="139"/>
      <c r="KDS110" s="139"/>
      <c r="KDT110" s="139"/>
      <c r="KDU110" s="139"/>
      <c r="KDV110" s="139"/>
      <c r="KDW110" s="139"/>
      <c r="KDX110" s="139"/>
      <c r="KDY110" s="139"/>
      <c r="KDZ110" s="139"/>
      <c r="KEA110" s="139"/>
      <c r="KEB110" s="139"/>
      <c r="KEC110" s="139"/>
      <c r="KED110" s="139"/>
      <c r="KEE110" s="139"/>
      <c r="KEF110" s="139"/>
      <c r="KEG110" s="139"/>
      <c r="KEH110" s="139"/>
      <c r="KEI110" s="139"/>
      <c r="KEJ110" s="139"/>
      <c r="KEK110" s="139"/>
      <c r="KEL110" s="139"/>
      <c r="KEM110" s="139"/>
      <c r="KEN110" s="139"/>
      <c r="KEO110" s="139"/>
      <c r="KEP110" s="139"/>
      <c r="KEQ110" s="139"/>
      <c r="KER110" s="139"/>
      <c r="KES110" s="139"/>
      <c r="KET110" s="139"/>
      <c r="KEU110" s="139"/>
      <c r="KEV110" s="139"/>
      <c r="KEW110" s="139"/>
      <c r="KEX110" s="139"/>
      <c r="KEY110" s="139"/>
      <c r="KEZ110" s="139"/>
      <c r="KFA110" s="139"/>
      <c r="KFB110" s="139"/>
      <c r="KFC110" s="139"/>
      <c r="KFD110" s="139"/>
      <c r="KFE110" s="139"/>
      <c r="KFF110" s="139"/>
      <c r="KFG110" s="139"/>
      <c r="KFH110" s="139"/>
      <c r="KFI110" s="139"/>
      <c r="KFJ110" s="139"/>
      <c r="KFK110" s="139"/>
      <c r="KFL110" s="139"/>
      <c r="KFM110" s="139"/>
      <c r="KFN110" s="139"/>
      <c r="KFO110" s="139"/>
      <c r="KFP110" s="139"/>
      <c r="KFQ110" s="139"/>
      <c r="KFR110" s="139"/>
      <c r="KFS110" s="139"/>
      <c r="KFT110" s="139"/>
      <c r="KFU110" s="139"/>
      <c r="KFV110" s="139"/>
      <c r="KFW110" s="139"/>
      <c r="KFX110" s="139"/>
      <c r="KFY110" s="139"/>
      <c r="KFZ110" s="139"/>
      <c r="KGA110" s="139"/>
      <c r="KGB110" s="139"/>
      <c r="KGC110" s="139"/>
      <c r="KGD110" s="139"/>
      <c r="KGE110" s="139"/>
      <c r="KGF110" s="139"/>
      <c r="KGG110" s="139"/>
      <c r="KGH110" s="139"/>
      <c r="KGI110" s="139"/>
      <c r="KGJ110" s="139"/>
      <c r="KGK110" s="139"/>
      <c r="KGL110" s="139"/>
      <c r="KGM110" s="139"/>
      <c r="KGN110" s="139"/>
      <c r="KGO110" s="139"/>
      <c r="KGP110" s="139"/>
      <c r="KGQ110" s="139"/>
      <c r="KGR110" s="139"/>
      <c r="KGS110" s="139"/>
      <c r="KGT110" s="139"/>
      <c r="KGU110" s="139"/>
      <c r="KGV110" s="139"/>
      <c r="KGW110" s="139"/>
      <c r="KGX110" s="139"/>
      <c r="KGY110" s="139"/>
      <c r="KGZ110" s="139"/>
      <c r="KHA110" s="139"/>
      <c r="KHB110" s="139"/>
      <c r="KHC110" s="139"/>
      <c r="KHD110" s="139"/>
      <c r="KHE110" s="139"/>
      <c r="KHF110" s="139"/>
      <c r="KHG110" s="139"/>
      <c r="KHH110" s="139"/>
      <c r="KHI110" s="139"/>
      <c r="KHJ110" s="139"/>
      <c r="KHK110" s="139"/>
      <c r="KHL110" s="139"/>
      <c r="KHM110" s="139"/>
      <c r="KHN110" s="139"/>
      <c r="KHO110" s="139"/>
      <c r="KHP110" s="139"/>
      <c r="KHQ110" s="139"/>
      <c r="KHR110" s="139"/>
      <c r="KHS110" s="139"/>
      <c r="KHT110" s="139"/>
      <c r="KHU110" s="139"/>
      <c r="KHV110" s="139"/>
      <c r="KHW110" s="139"/>
      <c r="KHX110" s="139"/>
      <c r="KHY110" s="139"/>
      <c r="KHZ110" s="139"/>
      <c r="KIA110" s="139"/>
      <c r="KIB110" s="139"/>
      <c r="KIC110" s="139"/>
      <c r="KID110" s="139"/>
      <c r="KIE110" s="139"/>
      <c r="KIF110" s="139"/>
      <c r="KIG110" s="139"/>
      <c r="KIH110" s="139"/>
      <c r="KII110" s="139"/>
      <c r="KIJ110" s="139"/>
      <c r="KIK110" s="139"/>
      <c r="KIL110" s="139"/>
      <c r="KIM110" s="139"/>
      <c r="KIN110" s="139"/>
      <c r="KIO110" s="139"/>
      <c r="KIP110" s="139"/>
      <c r="KIQ110" s="139"/>
      <c r="KIR110" s="139"/>
      <c r="KIS110" s="139"/>
      <c r="KIT110" s="139"/>
      <c r="KIU110" s="139"/>
      <c r="KIV110" s="139"/>
      <c r="KIW110" s="139"/>
      <c r="KIX110" s="139"/>
      <c r="KIY110" s="139"/>
      <c r="KIZ110" s="139"/>
      <c r="KJA110" s="139"/>
      <c r="KJB110" s="139"/>
      <c r="KJC110" s="139"/>
      <c r="KJD110" s="139"/>
      <c r="KJE110" s="139"/>
      <c r="KJF110" s="139"/>
      <c r="KJG110" s="139"/>
      <c r="KJH110" s="139"/>
      <c r="KJI110" s="139"/>
      <c r="KJJ110" s="139"/>
      <c r="KJK110" s="139"/>
      <c r="KJL110" s="139"/>
      <c r="KJM110" s="139"/>
      <c r="KJN110" s="139"/>
      <c r="KJO110" s="139"/>
      <c r="KJP110" s="139"/>
      <c r="KJQ110" s="139"/>
      <c r="KJR110" s="139"/>
      <c r="KJS110" s="139"/>
      <c r="KJT110" s="139"/>
      <c r="KJU110" s="139"/>
      <c r="KJV110" s="139"/>
      <c r="KJW110" s="139"/>
      <c r="KJX110" s="139"/>
      <c r="KJY110" s="139"/>
      <c r="KJZ110" s="139"/>
      <c r="KKA110" s="139"/>
      <c r="KKB110" s="139"/>
      <c r="KKC110" s="139"/>
      <c r="KKD110" s="139"/>
      <c r="KKE110" s="139"/>
      <c r="KKF110" s="139"/>
      <c r="KKG110" s="139"/>
      <c r="KKH110" s="139"/>
      <c r="KKI110" s="139"/>
      <c r="KKJ110" s="139"/>
      <c r="KKK110" s="139"/>
      <c r="KKL110" s="139"/>
      <c r="KKM110" s="139"/>
      <c r="KKN110" s="139"/>
      <c r="KKO110" s="139"/>
      <c r="KKP110" s="139"/>
      <c r="KKQ110" s="139"/>
      <c r="KKR110" s="139"/>
      <c r="KKS110" s="139"/>
      <c r="KKT110" s="139"/>
      <c r="KKU110" s="139"/>
      <c r="KKV110" s="139"/>
      <c r="KKW110" s="139"/>
      <c r="KKX110" s="139"/>
      <c r="KKY110" s="139"/>
      <c r="KKZ110" s="139"/>
      <c r="KLA110" s="139"/>
      <c r="KLB110" s="139"/>
      <c r="KLC110" s="139"/>
      <c r="KLD110" s="139"/>
      <c r="KLE110" s="139"/>
      <c r="KLF110" s="139"/>
      <c r="KLG110" s="139"/>
      <c r="KLH110" s="139"/>
      <c r="KLI110" s="139"/>
      <c r="KLJ110" s="139"/>
      <c r="KLK110" s="139"/>
      <c r="KLL110" s="139"/>
      <c r="KLM110" s="139"/>
      <c r="KLN110" s="139"/>
      <c r="KLO110" s="139"/>
      <c r="KLP110" s="139"/>
      <c r="KLQ110" s="139"/>
      <c r="KLR110" s="139"/>
      <c r="KLS110" s="139"/>
      <c r="KLT110" s="139"/>
      <c r="KLU110" s="139"/>
      <c r="KLV110" s="139"/>
      <c r="KLW110" s="139"/>
      <c r="KLX110" s="139"/>
      <c r="KLY110" s="139"/>
      <c r="KLZ110" s="139"/>
      <c r="KMA110" s="139"/>
      <c r="KMB110" s="139"/>
      <c r="KMC110" s="139"/>
      <c r="KMD110" s="139"/>
      <c r="KME110" s="139"/>
      <c r="KMF110" s="139"/>
      <c r="KMG110" s="139"/>
      <c r="KMH110" s="139"/>
      <c r="KMI110" s="139"/>
      <c r="KMJ110" s="139"/>
      <c r="KMK110" s="139"/>
      <c r="KML110" s="139"/>
      <c r="KMM110" s="139"/>
      <c r="KMN110" s="139"/>
      <c r="KMO110" s="139"/>
      <c r="KMP110" s="139"/>
      <c r="KMQ110" s="139"/>
      <c r="KMR110" s="139"/>
      <c r="KMS110" s="139"/>
      <c r="KMT110" s="139"/>
      <c r="KMU110" s="139"/>
      <c r="KMV110" s="139"/>
      <c r="KMW110" s="139"/>
      <c r="KMX110" s="139"/>
      <c r="KMY110" s="139"/>
      <c r="KMZ110" s="139"/>
      <c r="KNA110" s="139"/>
      <c r="KNB110" s="139"/>
      <c r="KNC110" s="139"/>
      <c r="KND110" s="139"/>
      <c r="KNE110" s="139"/>
      <c r="KNF110" s="139"/>
      <c r="KNG110" s="139"/>
      <c r="KNH110" s="139"/>
      <c r="KNI110" s="139"/>
      <c r="KNJ110" s="139"/>
      <c r="KNK110" s="139"/>
      <c r="KNL110" s="139"/>
      <c r="KNM110" s="139"/>
      <c r="KNN110" s="139"/>
      <c r="KNO110" s="139"/>
      <c r="KNP110" s="139"/>
      <c r="KNQ110" s="139"/>
      <c r="KNR110" s="139"/>
      <c r="KNS110" s="139"/>
      <c r="KNT110" s="139"/>
      <c r="KNU110" s="139"/>
      <c r="KNV110" s="139"/>
      <c r="KNW110" s="139"/>
      <c r="KNX110" s="139"/>
      <c r="KNY110" s="139"/>
      <c r="KNZ110" s="139"/>
      <c r="KOA110" s="139"/>
      <c r="KOB110" s="139"/>
      <c r="KOC110" s="139"/>
      <c r="KOD110" s="139"/>
      <c r="KOE110" s="139"/>
      <c r="KOF110" s="139"/>
      <c r="KOG110" s="139"/>
      <c r="KOH110" s="139"/>
      <c r="KOI110" s="139"/>
      <c r="KOJ110" s="139"/>
      <c r="KOK110" s="139"/>
      <c r="KOL110" s="139"/>
      <c r="KOM110" s="139"/>
      <c r="KON110" s="139"/>
      <c r="KOO110" s="139"/>
      <c r="KOP110" s="139"/>
      <c r="KOQ110" s="139"/>
      <c r="KOR110" s="139"/>
      <c r="KOS110" s="139"/>
      <c r="KOT110" s="139"/>
      <c r="KOU110" s="139"/>
      <c r="KOV110" s="139"/>
      <c r="KOW110" s="139"/>
      <c r="KOX110" s="139"/>
      <c r="KOY110" s="139"/>
      <c r="KOZ110" s="139"/>
      <c r="KPA110" s="139"/>
      <c r="KPB110" s="139"/>
      <c r="KPC110" s="139"/>
      <c r="KPD110" s="139"/>
      <c r="KPE110" s="139"/>
      <c r="KPF110" s="139"/>
      <c r="KPG110" s="139"/>
      <c r="KPH110" s="139"/>
      <c r="KPI110" s="139"/>
      <c r="KPJ110" s="139"/>
      <c r="KPK110" s="139"/>
      <c r="KPL110" s="139"/>
      <c r="KPM110" s="139"/>
      <c r="KPN110" s="139"/>
      <c r="KPO110" s="139"/>
      <c r="KPP110" s="139"/>
      <c r="KPQ110" s="139"/>
      <c r="KPR110" s="139"/>
      <c r="KPS110" s="139"/>
      <c r="KPT110" s="139"/>
      <c r="KPU110" s="139"/>
      <c r="KPV110" s="139"/>
      <c r="KPW110" s="139"/>
      <c r="KPX110" s="139"/>
      <c r="KPY110" s="139"/>
      <c r="KPZ110" s="139"/>
      <c r="KQA110" s="139"/>
      <c r="KQB110" s="139"/>
      <c r="KQC110" s="139"/>
      <c r="KQD110" s="139"/>
      <c r="KQE110" s="139"/>
      <c r="KQF110" s="139"/>
      <c r="KQG110" s="139"/>
      <c r="KQH110" s="139"/>
      <c r="KQI110" s="139"/>
      <c r="KQJ110" s="139"/>
      <c r="KQK110" s="139"/>
      <c r="KQL110" s="139"/>
      <c r="KQM110" s="139"/>
      <c r="KQN110" s="139"/>
      <c r="KQO110" s="139"/>
      <c r="KQP110" s="139"/>
      <c r="KQQ110" s="139"/>
      <c r="KQR110" s="139"/>
      <c r="KQS110" s="139"/>
      <c r="KQT110" s="139"/>
      <c r="KQU110" s="139"/>
      <c r="KQV110" s="139"/>
      <c r="KQW110" s="139"/>
      <c r="KQX110" s="139"/>
      <c r="KQY110" s="139"/>
      <c r="KQZ110" s="139"/>
      <c r="KRA110" s="139"/>
      <c r="KRB110" s="139"/>
      <c r="KRC110" s="139"/>
      <c r="KRD110" s="139"/>
      <c r="KRE110" s="139"/>
      <c r="KRF110" s="139"/>
      <c r="KRG110" s="139"/>
      <c r="KRH110" s="139"/>
      <c r="KRI110" s="139"/>
      <c r="KRJ110" s="139"/>
      <c r="KRK110" s="139"/>
      <c r="KRL110" s="139"/>
      <c r="KRM110" s="139"/>
      <c r="KRN110" s="139"/>
      <c r="KRO110" s="139"/>
      <c r="KRP110" s="139"/>
      <c r="KRQ110" s="139"/>
      <c r="KRR110" s="139"/>
      <c r="KRS110" s="139"/>
      <c r="KRT110" s="139"/>
      <c r="KRU110" s="139"/>
      <c r="KRV110" s="139"/>
      <c r="KRW110" s="139"/>
      <c r="KRX110" s="139"/>
      <c r="KRY110" s="139"/>
      <c r="KRZ110" s="139"/>
      <c r="KSA110" s="139"/>
      <c r="KSB110" s="139"/>
      <c r="KSC110" s="139"/>
      <c r="KSD110" s="139"/>
      <c r="KSE110" s="139"/>
      <c r="KSF110" s="139"/>
      <c r="KSG110" s="139"/>
      <c r="KSH110" s="139"/>
      <c r="KSI110" s="139"/>
      <c r="KSJ110" s="139"/>
      <c r="KSK110" s="139"/>
      <c r="KSL110" s="139"/>
      <c r="KSM110" s="139"/>
      <c r="KSN110" s="139"/>
      <c r="KSO110" s="139"/>
      <c r="KSP110" s="139"/>
      <c r="KSQ110" s="139"/>
      <c r="KSR110" s="139"/>
      <c r="KSS110" s="139"/>
      <c r="KST110" s="139"/>
      <c r="KSU110" s="139"/>
      <c r="KSV110" s="139"/>
      <c r="KSW110" s="139"/>
      <c r="KSX110" s="139"/>
      <c r="KSY110" s="139"/>
      <c r="KSZ110" s="139"/>
      <c r="KTA110" s="139"/>
      <c r="KTB110" s="139"/>
      <c r="KTC110" s="139"/>
      <c r="KTD110" s="139"/>
      <c r="KTE110" s="139"/>
      <c r="KTF110" s="139"/>
      <c r="KTG110" s="139"/>
      <c r="KTH110" s="139"/>
      <c r="KTI110" s="139"/>
      <c r="KTJ110" s="139"/>
      <c r="KTK110" s="139"/>
      <c r="KTL110" s="139"/>
      <c r="KTM110" s="139"/>
      <c r="KTN110" s="139"/>
      <c r="KTO110" s="139"/>
      <c r="KTP110" s="139"/>
      <c r="KTQ110" s="139"/>
      <c r="KTR110" s="139"/>
      <c r="KTS110" s="139"/>
      <c r="KTT110" s="139"/>
      <c r="KTU110" s="139"/>
      <c r="KTV110" s="139"/>
      <c r="KTW110" s="139"/>
      <c r="KTX110" s="139"/>
      <c r="KTY110" s="139"/>
      <c r="KTZ110" s="139"/>
      <c r="KUA110" s="139"/>
      <c r="KUB110" s="139"/>
      <c r="KUC110" s="139"/>
      <c r="KUD110" s="139"/>
      <c r="KUE110" s="139"/>
      <c r="KUF110" s="139"/>
      <c r="KUG110" s="139"/>
      <c r="KUH110" s="139"/>
      <c r="KUI110" s="139"/>
      <c r="KUJ110" s="139"/>
      <c r="KUK110" s="139"/>
      <c r="KUL110" s="139"/>
      <c r="KUM110" s="139"/>
      <c r="KUN110" s="139"/>
      <c r="KUO110" s="139"/>
      <c r="KUP110" s="139"/>
      <c r="KUQ110" s="139"/>
      <c r="KUR110" s="139"/>
      <c r="KUS110" s="139"/>
      <c r="KUT110" s="139"/>
      <c r="KUU110" s="139"/>
      <c r="KUV110" s="139"/>
      <c r="KUW110" s="139"/>
      <c r="KUX110" s="139"/>
      <c r="KUY110" s="139"/>
      <c r="KUZ110" s="139"/>
      <c r="KVA110" s="139"/>
      <c r="KVB110" s="139"/>
      <c r="KVC110" s="139"/>
      <c r="KVD110" s="139"/>
      <c r="KVE110" s="139"/>
      <c r="KVF110" s="139"/>
      <c r="KVG110" s="139"/>
      <c r="KVH110" s="139"/>
      <c r="KVI110" s="139"/>
      <c r="KVJ110" s="139"/>
      <c r="KVK110" s="139"/>
      <c r="KVL110" s="139"/>
      <c r="KVM110" s="139"/>
      <c r="KVN110" s="139"/>
      <c r="KVO110" s="139"/>
      <c r="KVP110" s="139"/>
      <c r="KVQ110" s="139"/>
      <c r="KVR110" s="139"/>
      <c r="KVS110" s="139"/>
      <c r="KVT110" s="139"/>
      <c r="KVU110" s="139"/>
      <c r="KVV110" s="139"/>
      <c r="KVW110" s="139"/>
      <c r="KVX110" s="139"/>
      <c r="KVY110" s="139"/>
      <c r="KVZ110" s="139"/>
      <c r="KWA110" s="139"/>
      <c r="KWB110" s="139"/>
      <c r="KWC110" s="139"/>
      <c r="KWD110" s="139"/>
      <c r="KWE110" s="139"/>
      <c r="KWF110" s="139"/>
      <c r="KWG110" s="139"/>
      <c r="KWH110" s="139"/>
      <c r="KWI110" s="139"/>
      <c r="KWJ110" s="139"/>
      <c r="KWK110" s="139"/>
      <c r="KWL110" s="139"/>
      <c r="KWM110" s="139"/>
      <c r="KWN110" s="139"/>
      <c r="KWO110" s="139"/>
      <c r="KWP110" s="139"/>
      <c r="KWQ110" s="139"/>
      <c r="KWR110" s="139"/>
      <c r="KWS110" s="139"/>
      <c r="KWT110" s="139"/>
      <c r="KWU110" s="139"/>
      <c r="KWV110" s="139"/>
      <c r="KWW110" s="139"/>
      <c r="KWX110" s="139"/>
      <c r="KWY110" s="139"/>
      <c r="KWZ110" s="139"/>
      <c r="KXA110" s="139"/>
      <c r="KXB110" s="139"/>
      <c r="KXC110" s="139"/>
      <c r="KXD110" s="139"/>
      <c r="KXE110" s="139"/>
      <c r="KXF110" s="139"/>
      <c r="KXG110" s="139"/>
      <c r="KXH110" s="139"/>
      <c r="KXI110" s="139"/>
      <c r="KXJ110" s="139"/>
      <c r="KXK110" s="139"/>
      <c r="KXL110" s="139"/>
      <c r="KXM110" s="139"/>
      <c r="KXN110" s="139"/>
      <c r="KXO110" s="139"/>
      <c r="KXP110" s="139"/>
      <c r="KXQ110" s="139"/>
      <c r="KXR110" s="139"/>
      <c r="KXS110" s="139"/>
      <c r="KXT110" s="139"/>
      <c r="KXU110" s="139"/>
      <c r="KXV110" s="139"/>
      <c r="KXW110" s="139"/>
      <c r="KXX110" s="139"/>
      <c r="KXY110" s="139"/>
      <c r="KXZ110" s="139"/>
      <c r="KYA110" s="139"/>
      <c r="KYB110" s="139"/>
      <c r="KYC110" s="139"/>
      <c r="KYD110" s="139"/>
      <c r="KYE110" s="139"/>
      <c r="KYF110" s="139"/>
      <c r="KYG110" s="139"/>
      <c r="KYH110" s="139"/>
      <c r="KYI110" s="139"/>
      <c r="KYJ110" s="139"/>
      <c r="KYK110" s="139"/>
      <c r="KYL110" s="139"/>
      <c r="KYM110" s="139"/>
      <c r="KYN110" s="139"/>
      <c r="KYO110" s="139"/>
      <c r="KYP110" s="139"/>
      <c r="KYQ110" s="139"/>
      <c r="KYR110" s="139"/>
      <c r="KYS110" s="139"/>
      <c r="KYT110" s="139"/>
      <c r="KYU110" s="139"/>
      <c r="KYV110" s="139"/>
      <c r="KYW110" s="139"/>
      <c r="KYX110" s="139"/>
      <c r="KYY110" s="139"/>
      <c r="KYZ110" s="139"/>
      <c r="KZA110" s="139"/>
      <c r="KZB110" s="139"/>
      <c r="KZC110" s="139"/>
      <c r="KZD110" s="139"/>
      <c r="KZE110" s="139"/>
      <c r="KZF110" s="139"/>
      <c r="KZG110" s="139"/>
      <c r="KZH110" s="139"/>
      <c r="KZI110" s="139"/>
      <c r="KZJ110" s="139"/>
      <c r="KZK110" s="139"/>
      <c r="KZL110" s="139"/>
      <c r="KZM110" s="139"/>
      <c r="KZN110" s="139"/>
      <c r="KZO110" s="139"/>
      <c r="KZP110" s="139"/>
      <c r="KZQ110" s="139"/>
      <c r="KZR110" s="139"/>
      <c r="KZS110" s="139"/>
      <c r="KZT110" s="139"/>
      <c r="KZU110" s="139"/>
      <c r="KZV110" s="139"/>
      <c r="KZW110" s="139"/>
      <c r="KZX110" s="139"/>
      <c r="KZY110" s="139"/>
      <c r="KZZ110" s="139"/>
      <c r="LAA110" s="139"/>
      <c r="LAB110" s="139"/>
      <c r="LAC110" s="139"/>
      <c r="LAD110" s="139"/>
      <c r="LAE110" s="139"/>
      <c r="LAF110" s="139"/>
      <c r="LAG110" s="139"/>
      <c r="LAH110" s="139"/>
      <c r="LAI110" s="139"/>
      <c r="LAJ110" s="139"/>
      <c r="LAK110" s="139"/>
      <c r="LAL110" s="139"/>
      <c r="LAM110" s="139"/>
      <c r="LAN110" s="139"/>
      <c r="LAO110" s="139"/>
      <c r="LAP110" s="139"/>
      <c r="LAQ110" s="139"/>
      <c r="LAR110" s="139"/>
      <c r="LAS110" s="139"/>
      <c r="LAT110" s="139"/>
      <c r="LAU110" s="139"/>
      <c r="LAV110" s="139"/>
      <c r="LAW110" s="139"/>
      <c r="LAX110" s="139"/>
      <c r="LAY110" s="139"/>
      <c r="LAZ110" s="139"/>
      <c r="LBA110" s="139"/>
      <c r="LBB110" s="139"/>
      <c r="LBC110" s="139"/>
      <c r="LBD110" s="139"/>
      <c r="LBE110" s="139"/>
      <c r="LBF110" s="139"/>
      <c r="LBG110" s="139"/>
      <c r="LBH110" s="139"/>
      <c r="LBI110" s="139"/>
      <c r="LBJ110" s="139"/>
      <c r="LBK110" s="139"/>
      <c r="LBL110" s="139"/>
      <c r="LBM110" s="139"/>
      <c r="LBN110" s="139"/>
      <c r="LBO110" s="139"/>
      <c r="LBP110" s="139"/>
      <c r="LBQ110" s="139"/>
      <c r="LBR110" s="139"/>
      <c r="LBS110" s="139"/>
      <c r="LBT110" s="139"/>
      <c r="LBU110" s="139"/>
      <c r="LBV110" s="139"/>
      <c r="LBW110" s="139"/>
      <c r="LBX110" s="139"/>
      <c r="LBY110" s="139"/>
      <c r="LBZ110" s="139"/>
      <c r="LCA110" s="139"/>
      <c r="LCB110" s="139"/>
      <c r="LCC110" s="139"/>
      <c r="LCD110" s="139"/>
      <c r="LCE110" s="139"/>
      <c r="LCF110" s="139"/>
      <c r="LCG110" s="139"/>
      <c r="LCH110" s="139"/>
      <c r="LCI110" s="139"/>
      <c r="LCJ110" s="139"/>
      <c r="LCK110" s="139"/>
      <c r="LCL110" s="139"/>
      <c r="LCM110" s="139"/>
      <c r="LCN110" s="139"/>
      <c r="LCO110" s="139"/>
      <c r="LCP110" s="139"/>
      <c r="LCQ110" s="139"/>
      <c r="LCR110" s="139"/>
      <c r="LCS110" s="139"/>
      <c r="LCT110" s="139"/>
      <c r="LCU110" s="139"/>
      <c r="LCV110" s="139"/>
      <c r="LCW110" s="139"/>
      <c r="LCX110" s="139"/>
      <c r="LCY110" s="139"/>
      <c r="LCZ110" s="139"/>
      <c r="LDA110" s="139"/>
      <c r="LDB110" s="139"/>
      <c r="LDC110" s="139"/>
      <c r="LDD110" s="139"/>
      <c r="LDE110" s="139"/>
      <c r="LDF110" s="139"/>
      <c r="LDG110" s="139"/>
      <c r="LDH110" s="139"/>
      <c r="LDI110" s="139"/>
      <c r="LDJ110" s="139"/>
      <c r="LDK110" s="139"/>
      <c r="LDL110" s="139"/>
      <c r="LDM110" s="139"/>
      <c r="LDN110" s="139"/>
      <c r="LDO110" s="139"/>
      <c r="LDP110" s="139"/>
      <c r="LDQ110" s="139"/>
      <c r="LDR110" s="139"/>
      <c r="LDS110" s="139"/>
      <c r="LDT110" s="139"/>
      <c r="LDU110" s="139"/>
      <c r="LDV110" s="139"/>
      <c r="LDW110" s="139"/>
      <c r="LDX110" s="139"/>
      <c r="LDY110" s="139"/>
      <c r="LDZ110" s="139"/>
      <c r="LEA110" s="139"/>
      <c r="LEB110" s="139"/>
      <c r="LEC110" s="139"/>
      <c r="LED110" s="139"/>
      <c r="LEE110" s="139"/>
      <c r="LEF110" s="139"/>
      <c r="LEG110" s="139"/>
      <c r="LEH110" s="139"/>
      <c r="LEI110" s="139"/>
      <c r="LEJ110" s="139"/>
      <c r="LEK110" s="139"/>
      <c r="LEL110" s="139"/>
      <c r="LEM110" s="139"/>
      <c r="LEN110" s="139"/>
      <c r="LEO110" s="139"/>
      <c r="LEP110" s="139"/>
      <c r="LEQ110" s="139"/>
      <c r="LER110" s="139"/>
      <c r="LES110" s="139"/>
      <c r="LET110" s="139"/>
      <c r="LEU110" s="139"/>
      <c r="LEV110" s="139"/>
      <c r="LEW110" s="139"/>
      <c r="LEX110" s="139"/>
      <c r="LEY110" s="139"/>
      <c r="LEZ110" s="139"/>
      <c r="LFA110" s="139"/>
      <c r="LFB110" s="139"/>
      <c r="LFC110" s="139"/>
      <c r="LFD110" s="139"/>
      <c r="LFE110" s="139"/>
      <c r="LFF110" s="139"/>
      <c r="LFG110" s="139"/>
      <c r="LFH110" s="139"/>
      <c r="LFI110" s="139"/>
      <c r="LFJ110" s="139"/>
      <c r="LFK110" s="139"/>
      <c r="LFL110" s="139"/>
      <c r="LFM110" s="139"/>
      <c r="LFN110" s="139"/>
      <c r="LFO110" s="139"/>
      <c r="LFP110" s="139"/>
      <c r="LFQ110" s="139"/>
      <c r="LFR110" s="139"/>
      <c r="LFS110" s="139"/>
      <c r="LFT110" s="139"/>
      <c r="LFU110" s="139"/>
      <c r="LFV110" s="139"/>
      <c r="LFW110" s="139"/>
      <c r="LFX110" s="139"/>
      <c r="LFY110" s="139"/>
      <c r="LFZ110" s="139"/>
      <c r="LGA110" s="139"/>
      <c r="LGB110" s="139"/>
      <c r="LGC110" s="139"/>
      <c r="LGD110" s="139"/>
      <c r="LGE110" s="139"/>
      <c r="LGF110" s="139"/>
      <c r="LGG110" s="139"/>
      <c r="LGH110" s="139"/>
      <c r="LGI110" s="139"/>
      <c r="LGJ110" s="139"/>
      <c r="LGK110" s="139"/>
      <c r="LGL110" s="139"/>
      <c r="LGM110" s="139"/>
      <c r="LGN110" s="139"/>
      <c r="LGO110" s="139"/>
      <c r="LGP110" s="139"/>
      <c r="LGQ110" s="139"/>
      <c r="LGR110" s="139"/>
      <c r="LGS110" s="139"/>
      <c r="LGT110" s="139"/>
      <c r="LGU110" s="139"/>
      <c r="LGV110" s="139"/>
      <c r="LGW110" s="139"/>
      <c r="LGX110" s="139"/>
      <c r="LGY110" s="139"/>
      <c r="LGZ110" s="139"/>
      <c r="LHA110" s="139"/>
      <c r="LHB110" s="139"/>
      <c r="LHC110" s="139"/>
      <c r="LHD110" s="139"/>
      <c r="LHE110" s="139"/>
      <c r="LHF110" s="139"/>
      <c r="LHG110" s="139"/>
      <c r="LHH110" s="139"/>
      <c r="LHI110" s="139"/>
      <c r="LHJ110" s="139"/>
      <c r="LHK110" s="139"/>
      <c r="LHL110" s="139"/>
      <c r="LHM110" s="139"/>
      <c r="LHN110" s="139"/>
      <c r="LHO110" s="139"/>
      <c r="LHP110" s="139"/>
      <c r="LHQ110" s="139"/>
      <c r="LHR110" s="139"/>
      <c r="LHS110" s="139"/>
      <c r="LHT110" s="139"/>
      <c r="LHU110" s="139"/>
      <c r="LHV110" s="139"/>
      <c r="LHW110" s="139"/>
      <c r="LHX110" s="139"/>
      <c r="LHY110" s="139"/>
      <c r="LHZ110" s="139"/>
      <c r="LIA110" s="139"/>
      <c r="LIB110" s="139"/>
      <c r="LIC110" s="139"/>
      <c r="LID110" s="139"/>
      <c r="LIE110" s="139"/>
      <c r="LIF110" s="139"/>
      <c r="LIG110" s="139"/>
      <c r="LIH110" s="139"/>
      <c r="LII110" s="139"/>
      <c r="LIJ110" s="139"/>
      <c r="LIK110" s="139"/>
      <c r="LIL110" s="139"/>
      <c r="LIM110" s="139"/>
      <c r="LIN110" s="139"/>
      <c r="LIO110" s="139"/>
      <c r="LIP110" s="139"/>
      <c r="LIQ110" s="139"/>
      <c r="LIR110" s="139"/>
      <c r="LIS110" s="139"/>
      <c r="LIT110" s="139"/>
      <c r="LIU110" s="139"/>
      <c r="LIV110" s="139"/>
      <c r="LIW110" s="139"/>
      <c r="LIX110" s="139"/>
      <c r="LIY110" s="139"/>
      <c r="LIZ110" s="139"/>
      <c r="LJA110" s="139"/>
      <c r="LJB110" s="139"/>
      <c r="LJC110" s="139"/>
      <c r="LJD110" s="139"/>
      <c r="LJE110" s="139"/>
      <c r="LJF110" s="139"/>
      <c r="LJG110" s="139"/>
      <c r="LJH110" s="139"/>
      <c r="LJI110" s="139"/>
      <c r="LJJ110" s="139"/>
      <c r="LJK110" s="139"/>
      <c r="LJL110" s="139"/>
      <c r="LJM110" s="139"/>
      <c r="LJN110" s="139"/>
      <c r="LJO110" s="139"/>
      <c r="LJP110" s="139"/>
      <c r="LJQ110" s="139"/>
      <c r="LJR110" s="139"/>
      <c r="LJS110" s="139"/>
      <c r="LJT110" s="139"/>
      <c r="LJU110" s="139"/>
      <c r="LJV110" s="139"/>
      <c r="LJW110" s="139"/>
      <c r="LJX110" s="139"/>
      <c r="LJY110" s="139"/>
      <c r="LJZ110" s="139"/>
      <c r="LKA110" s="139"/>
      <c r="LKB110" s="139"/>
      <c r="LKC110" s="139"/>
      <c r="LKD110" s="139"/>
      <c r="LKE110" s="139"/>
      <c r="LKF110" s="139"/>
      <c r="LKG110" s="139"/>
      <c r="LKH110" s="139"/>
      <c r="LKI110" s="139"/>
      <c r="LKJ110" s="139"/>
      <c r="LKK110" s="139"/>
      <c r="LKL110" s="139"/>
      <c r="LKM110" s="139"/>
      <c r="LKN110" s="139"/>
      <c r="LKO110" s="139"/>
      <c r="LKP110" s="139"/>
      <c r="LKQ110" s="139"/>
      <c r="LKR110" s="139"/>
      <c r="LKS110" s="139"/>
      <c r="LKT110" s="139"/>
      <c r="LKU110" s="139"/>
      <c r="LKV110" s="139"/>
      <c r="LKW110" s="139"/>
      <c r="LKX110" s="139"/>
      <c r="LKY110" s="139"/>
      <c r="LKZ110" s="139"/>
      <c r="LLA110" s="139"/>
      <c r="LLB110" s="139"/>
      <c r="LLC110" s="139"/>
      <c r="LLD110" s="139"/>
      <c r="LLE110" s="139"/>
      <c r="LLF110" s="139"/>
      <c r="LLG110" s="139"/>
      <c r="LLH110" s="139"/>
      <c r="LLI110" s="139"/>
      <c r="LLJ110" s="139"/>
      <c r="LLK110" s="139"/>
      <c r="LLL110" s="139"/>
      <c r="LLM110" s="139"/>
      <c r="LLN110" s="139"/>
      <c r="LLO110" s="139"/>
      <c r="LLP110" s="139"/>
      <c r="LLQ110" s="139"/>
      <c r="LLR110" s="139"/>
      <c r="LLS110" s="139"/>
      <c r="LLT110" s="139"/>
      <c r="LLU110" s="139"/>
      <c r="LLV110" s="139"/>
      <c r="LLW110" s="139"/>
      <c r="LLX110" s="139"/>
      <c r="LLY110" s="139"/>
      <c r="LLZ110" s="139"/>
      <c r="LMA110" s="139"/>
      <c r="LMB110" s="139"/>
      <c r="LMC110" s="139"/>
      <c r="LMD110" s="139"/>
      <c r="LME110" s="139"/>
      <c r="LMF110" s="139"/>
      <c r="LMG110" s="139"/>
      <c r="LMH110" s="139"/>
      <c r="LMI110" s="139"/>
      <c r="LMJ110" s="139"/>
      <c r="LMK110" s="139"/>
      <c r="LML110" s="139"/>
      <c r="LMM110" s="139"/>
      <c r="LMN110" s="139"/>
      <c r="LMO110" s="139"/>
      <c r="LMP110" s="139"/>
      <c r="LMQ110" s="139"/>
      <c r="LMR110" s="139"/>
      <c r="LMS110" s="139"/>
      <c r="LMT110" s="139"/>
      <c r="LMU110" s="139"/>
      <c r="LMV110" s="139"/>
      <c r="LMW110" s="139"/>
      <c r="LMX110" s="139"/>
      <c r="LMY110" s="139"/>
      <c r="LMZ110" s="139"/>
      <c r="LNA110" s="139"/>
      <c r="LNB110" s="139"/>
      <c r="LNC110" s="139"/>
      <c r="LND110" s="139"/>
      <c r="LNE110" s="139"/>
      <c r="LNF110" s="139"/>
      <c r="LNG110" s="139"/>
      <c r="LNH110" s="139"/>
      <c r="LNI110" s="139"/>
      <c r="LNJ110" s="139"/>
      <c r="LNK110" s="139"/>
      <c r="LNL110" s="139"/>
      <c r="LNM110" s="139"/>
      <c r="LNN110" s="139"/>
      <c r="LNO110" s="139"/>
      <c r="LNP110" s="139"/>
      <c r="LNQ110" s="139"/>
      <c r="LNR110" s="139"/>
      <c r="LNS110" s="139"/>
      <c r="LNT110" s="139"/>
      <c r="LNU110" s="139"/>
      <c r="LNV110" s="139"/>
      <c r="LNW110" s="139"/>
      <c r="LNX110" s="139"/>
      <c r="LNY110" s="139"/>
      <c r="LNZ110" s="139"/>
      <c r="LOA110" s="139"/>
      <c r="LOB110" s="139"/>
      <c r="LOC110" s="139"/>
      <c r="LOD110" s="139"/>
      <c r="LOE110" s="139"/>
      <c r="LOF110" s="139"/>
      <c r="LOG110" s="139"/>
      <c r="LOH110" s="139"/>
      <c r="LOI110" s="139"/>
      <c r="LOJ110" s="139"/>
      <c r="LOK110" s="139"/>
      <c r="LOL110" s="139"/>
      <c r="LOM110" s="139"/>
      <c r="LON110" s="139"/>
      <c r="LOO110" s="139"/>
      <c r="LOP110" s="139"/>
      <c r="LOQ110" s="139"/>
      <c r="LOR110" s="139"/>
      <c r="LOS110" s="139"/>
      <c r="LOT110" s="139"/>
      <c r="LOU110" s="139"/>
      <c r="LOV110" s="139"/>
      <c r="LOW110" s="139"/>
      <c r="LOX110" s="139"/>
      <c r="LOY110" s="139"/>
      <c r="LOZ110" s="139"/>
      <c r="LPA110" s="139"/>
      <c r="LPB110" s="139"/>
      <c r="LPC110" s="139"/>
      <c r="LPD110" s="139"/>
      <c r="LPE110" s="139"/>
      <c r="LPF110" s="139"/>
      <c r="LPG110" s="139"/>
      <c r="LPH110" s="139"/>
      <c r="LPI110" s="139"/>
      <c r="LPJ110" s="139"/>
      <c r="LPK110" s="139"/>
      <c r="LPL110" s="139"/>
      <c r="LPM110" s="139"/>
      <c r="LPN110" s="139"/>
      <c r="LPO110" s="139"/>
      <c r="LPP110" s="139"/>
      <c r="LPQ110" s="139"/>
      <c r="LPR110" s="139"/>
      <c r="LPS110" s="139"/>
      <c r="LPT110" s="139"/>
      <c r="LPU110" s="139"/>
      <c r="LPV110" s="139"/>
      <c r="LPW110" s="139"/>
      <c r="LPX110" s="139"/>
      <c r="LPY110" s="139"/>
      <c r="LPZ110" s="139"/>
      <c r="LQA110" s="139"/>
      <c r="LQB110" s="139"/>
      <c r="LQC110" s="139"/>
      <c r="LQD110" s="139"/>
      <c r="LQE110" s="139"/>
      <c r="LQF110" s="139"/>
      <c r="LQG110" s="139"/>
      <c r="LQH110" s="139"/>
      <c r="LQI110" s="139"/>
      <c r="LQJ110" s="139"/>
      <c r="LQK110" s="139"/>
      <c r="LQL110" s="139"/>
      <c r="LQM110" s="139"/>
      <c r="LQN110" s="139"/>
      <c r="LQO110" s="139"/>
      <c r="LQP110" s="139"/>
      <c r="LQQ110" s="139"/>
      <c r="LQR110" s="139"/>
      <c r="LQS110" s="139"/>
      <c r="LQT110" s="139"/>
      <c r="LQU110" s="139"/>
      <c r="LQV110" s="139"/>
      <c r="LQW110" s="139"/>
      <c r="LQX110" s="139"/>
      <c r="LQY110" s="139"/>
      <c r="LQZ110" s="139"/>
      <c r="LRA110" s="139"/>
      <c r="LRB110" s="139"/>
      <c r="LRC110" s="139"/>
      <c r="LRD110" s="139"/>
      <c r="LRE110" s="139"/>
      <c r="LRF110" s="139"/>
      <c r="LRG110" s="139"/>
      <c r="LRH110" s="139"/>
      <c r="LRI110" s="139"/>
      <c r="LRJ110" s="139"/>
      <c r="LRK110" s="139"/>
      <c r="LRL110" s="139"/>
      <c r="LRM110" s="139"/>
      <c r="LRN110" s="139"/>
      <c r="LRO110" s="139"/>
      <c r="LRP110" s="139"/>
      <c r="LRQ110" s="139"/>
      <c r="LRR110" s="139"/>
      <c r="LRS110" s="139"/>
      <c r="LRT110" s="139"/>
      <c r="LRU110" s="139"/>
      <c r="LRV110" s="139"/>
      <c r="LRW110" s="139"/>
      <c r="LRX110" s="139"/>
      <c r="LRY110" s="139"/>
      <c r="LRZ110" s="139"/>
      <c r="LSA110" s="139"/>
      <c r="LSB110" s="139"/>
      <c r="LSC110" s="139"/>
      <c r="LSD110" s="139"/>
      <c r="LSE110" s="139"/>
      <c r="LSF110" s="139"/>
      <c r="LSG110" s="139"/>
      <c r="LSH110" s="139"/>
      <c r="LSI110" s="139"/>
      <c r="LSJ110" s="139"/>
      <c r="LSK110" s="139"/>
      <c r="LSL110" s="139"/>
      <c r="LSM110" s="139"/>
      <c r="LSN110" s="139"/>
      <c r="LSO110" s="139"/>
      <c r="LSP110" s="139"/>
      <c r="LSQ110" s="139"/>
      <c r="LSR110" s="139"/>
      <c r="LSS110" s="139"/>
      <c r="LST110" s="139"/>
      <c r="LSU110" s="139"/>
      <c r="LSV110" s="139"/>
      <c r="LSW110" s="139"/>
      <c r="LSX110" s="139"/>
      <c r="LSY110" s="139"/>
      <c r="LSZ110" s="139"/>
      <c r="LTA110" s="139"/>
      <c r="LTB110" s="139"/>
      <c r="LTC110" s="139"/>
      <c r="LTD110" s="139"/>
      <c r="LTE110" s="139"/>
      <c r="LTF110" s="139"/>
      <c r="LTG110" s="139"/>
      <c r="LTH110" s="139"/>
      <c r="LTI110" s="139"/>
      <c r="LTJ110" s="139"/>
      <c r="LTK110" s="139"/>
      <c r="LTL110" s="139"/>
      <c r="LTM110" s="139"/>
      <c r="LTN110" s="139"/>
      <c r="LTO110" s="139"/>
      <c r="LTP110" s="139"/>
      <c r="LTQ110" s="139"/>
      <c r="LTR110" s="139"/>
      <c r="LTS110" s="139"/>
      <c r="LTT110" s="139"/>
      <c r="LTU110" s="139"/>
      <c r="LTV110" s="139"/>
      <c r="LTW110" s="139"/>
      <c r="LTX110" s="139"/>
      <c r="LTY110" s="139"/>
      <c r="LTZ110" s="139"/>
      <c r="LUA110" s="139"/>
      <c r="LUB110" s="139"/>
      <c r="LUC110" s="139"/>
      <c r="LUD110" s="139"/>
      <c r="LUE110" s="139"/>
      <c r="LUF110" s="139"/>
      <c r="LUG110" s="139"/>
      <c r="LUH110" s="139"/>
      <c r="LUI110" s="139"/>
      <c r="LUJ110" s="139"/>
      <c r="LUK110" s="139"/>
      <c r="LUL110" s="139"/>
      <c r="LUM110" s="139"/>
      <c r="LUN110" s="139"/>
      <c r="LUO110" s="139"/>
      <c r="LUP110" s="139"/>
      <c r="LUQ110" s="139"/>
      <c r="LUR110" s="139"/>
      <c r="LUS110" s="139"/>
      <c r="LUT110" s="139"/>
      <c r="LUU110" s="139"/>
      <c r="LUV110" s="139"/>
      <c r="LUW110" s="139"/>
      <c r="LUX110" s="139"/>
      <c r="LUY110" s="139"/>
      <c r="LUZ110" s="139"/>
      <c r="LVA110" s="139"/>
      <c r="LVB110" s="139"/>
      <c r="LVC110" s="139"/>
      <c r="LVD110" s="139"/>
      <c r="LVE110" s="139"/>
      <c r="LVF110" s="139"/>
      <c r="LVG110" s="139"/>
      <c r="LVH110" s="139"/>
      <c r="LVI110" s="139"/>
      <c r="LVJ110" s="139"/>
      <c r="LVK110" s="139"/>
      <c r="LVL110" s="139"/>
      <c r="LVM110" s="139"/>
      <c r="LVN110" s="139"/>
      <c r="LVO110" s="139"/>
      <c r="LVP110" s="139"/>
      <c r="LVQ110" s="139"/>
      <c r="LVR110" s="139"/>
      <c r="LVS110" s="139"/>
      <c r="LVT110" s="139"/>
      <c r="LVU110" s="139"/>
      <c r="LVV110" s="139"/>
      <c r="LVW110" s="139"/>
      <c r="LVX110" s="139"/>
      <c r="LVY110" s="139"/>
      <c r="LVZ110" s="139"/>
      <c r="LWA110" s="139"/>
      <c r="LWB110" s="139"/>
      <c r="LWC110" s="139"/>
      <c r="LWD110" s="139"/>
      <c r="LWE110" s="139"/>
      <c r="LWF110" s="139"/>
      <c r="LWG110" s="139"/>
      <c r="LWH110" s="139"/>
      <c r="LWI110" s="139"/>
      <c r="LWJ110" s="139"/>
      <c r="LWK110" s="139"/>
      <c r="LWL110" s="139"/>
      <c r="LWM110" s="139"/>
      <c r="LWN110" s="139"/>
      <c r="LWO110" s="139"/>
      <c r="LWP110" s="139"/>
      <c r="LWQ110" s="139"/>
      <c r="LWR110" s="139"/>
      <c r="LWS110" s="139"/>
      <c r="LWT110" s="139"/>
      <c r="LWU110" s="139"/>
      <c r="LWV110" s="139"/>
      <c r="LWW110" s="139"/>
      <c r="LWX110" s="139"/>
      <c r="LWY110" s="139"/>
      <c r="LWZ110" s="139"/>
      <c r="LXA110" s="139"/>
      <c r="LXB110" s="139"/>
      <c r="LXC110" s="139"/>
      <c r="LXD110" s="139"/>
      <c r="LXE110" s="139"/>
      <c r="LXF110" s="139"/>
      <c r="LXG110" s="139"/>
      <c r="LXH110" s="139"/>
      <c r="LXI110" s="139"/>
      <c r="LXJ110" s="139"/>
      <c r="LXK110" s="139"/>
      <c r="LXL110" s="139"/>
      <c r="LXM110" s="139"/>
      <c r="LXN110" s="139"/>
      <c r="LXO110" s="139"/>
      <c r="LXP110" s="139"/>
      <c r="LXQ110" s="139"/>
      <c r="LXR110" s="139"/>
      <c r="LXS110" s="139"/>
      <c r="LXT110" s="139"/>
      <c r="LXU110" s="139"/>
      <c r="LXV110" s="139"/>
      <c r="LXW110" s="139"/>
      <c r="LXX110" s="139"/>
      <c r="LXY110" s="139"/>
      <c r="LXZ110" s="139"/>
      <c r="LYA110" s="139"/>
      <c r="LYB110" s="139"/>
      <c r="LYC110" s="139"/>
      <c r="LYD110" s="139"/>
      <c r="LYE110" s="139"/>
      <c r="LYF110" s="139"/>
      <c r="LYG110" s="139"/>
      <c r="LYH110" s="139"/>
      <c r="LYI110" s="139"/>
      <c r="LYJ110" s="139"/>
      <c r="LYK110" s="139"/>
      <c r="LYL110" s="139"/>
      <c r="LYM110" s="139"/>
      <c r="LYN110" s="139"/>
      <c r="LYO110" s="139"/>
      <c r="LYP110" s="139"/>
      <c r="LYQ110" s="139"/>
      <c r="LYR110" s="139"/>
      <c r="LYS110" s="139"/>
      <c r="LYT110" s="139"/>
      <c r="LYU110" s="139"/>
      <c r="LYV110" s="139"/>
      <c r="LYW110" s="139"/>
      <c r="LYX110" s="139"/>
      <c r="LYY110" s="139"/>
      <c r="LYZ110" s="139"/>
      <c r="LZA110" s="139"/>
      <c r="LZB110" s="139"/>
      <c r="LZC110" s="139"/>
      <c r="LZD110" s="139"/>
      <c r="LZE110" s="139"/>
      <c r="LZF110" s="139"/>
      <c r="LZG110" s="139"/>
      <c r="LZH110" s="139"/>
      <c r="LZI110" s="139"/>
      <c r="LZJ110" s="139"/>
      <c r="LZK110" s="139"/>
      <c r="LZL110" s="139"/>
      <c r="LZM110" s="139"/>
      <c r="LZN110" s="139"/>
      <c r="LZO110" s="139"/>
      <c r="LZP110" s="139"/>
      <c r="LZQ110" s="139"/>
      <c r="LZR110" s="139"/>
      <c r="LZS110" s="139"/>
      <c r="LZT110" s="139"/>
      <c r="LZU110" s="139"/>
      <c r="LZV110" s="139"/>
      <c r="LZW110" s="139"/>
      <c r="LZX110" s="139"/>
      <c r="LZY110" s="139"/>
      <c r="LZZ110" s="139"/>
      <c r="MAA110" s="139"/>
      <c r="MAB110" s="139"/>
      <c r="MAC110" s="139"/>
      <c r="MAD110" s="139"/>
      <c r="MAE110" s="139"/>
      <c r="MAF110" s="139"/>
      <c r="MAG110" s="139"/>
      <c r="MAH110" s="139"/>
      <c r="MAI110" s="139"/>
      <c r="MAJ110" s="139"/>
      <c r="MAK110" s="139"/>
      <c r="MAL110" s="139"/>
      <c r="MAM110" s="139"/>
      <c r="MAN110" s="139"/>
      <c r="MAO110" s="139"/>
      <c r="MAP110" s="139"/>
      <c r="MAQ110" s="139"/>
      <c r="MAR110" s="139"/>
      <c r="MAS110" s="139"/>
      <c r="MAT110" s="139"/>
      <c r="MAU110" s="139"/>
      <c r="MAV110" s="139"/>
      <c r="MAW110" s="139"/>
      <c r="MAX110" s="139"/>
      <c r="MAY110" s="139"/>
      <c r="MAZ110" s="139"/>
      <c r="MBA110" s="139"/>
      <c r="MBB110" s="139"/>
      <c r="MBC110" s="139"/>
      <c r="MBD110" s="139"/>
      <c r="MBE110" s="139"/>
      <c r="MBF110" s="139"/>
      <c r="MBG110" s="139"/>
      <c r="MBH110" s="139"/>
      <c r="MBI110" s="139"/>
      <c r="MBJ110" s="139"/>
      <c r="MBK110" s="139"/>
      <c r="MBL110" s="139"/>
      <c r="MBM110" s="139"/>
      <c r="MBN110" s="139"/>
      <c r="MBO110" s="139"/>
      <c r="MBP110" s="139"/>
      <c r="MBQ110" s="139"/>
      <c r="MBR110" s="139"/>
      <c r="MBS110" s="139"/>
      <c r="MBT110" s="139"/>
      <c r="MBU110" s="139"/>
      <c r="MBV110" s="139"/>
      <c r="MBW110" s="139"/>
      <c r="MBX110" s="139"/>
      <c r="MBY110" s="139"/>
      <c r="MBZ110" s="139"/>
      <c r="MCA110" s="139"/>
      <c r="MCB110" s="139"/>
      <c r="MCC110" s="139"/>
      <c r="MCD110" s="139"/>
      <c r="MCE110" s="139"/>
      <c r="MCF110" s="139"/>
      <c r="MCG110" s="139"/>
      <c r="MCH110" s="139"/>
      <c r="MCI110" s="139"/>
      <c r="MCJ110" s="139"/>
      <c r="MCK110" s="139"/>
      <c r="MCL110" s="139"/>
      <c r="MCM110" s="139"/>
      <c r="MCN110" s="139"/>
      <c r="MCO110" s="139"/>
      <c r="MCP110" s="139"/>
      <c r="MCQ110" s="139"/>
      <c r="MCR110" s="139"/>
      <c r="MCS110" s="139"/>
      <c r="MCT110" s="139"/>
      <c r="MCU110" s="139"/>
      <c r="MCV110" s="139"/>
      <c r="MCW110" s="139"/>
      <c r="MCX110" s="139"/>
      <c r="MCY110" s="139"/>
      <c r="MCZ110" s="139"/>
      <c r="MDA110" s="139"/>
      <c r="MDB110" s="139"/>
      <c r="MDC110" s="139"/>
      <c r="MDD110" s="139"/>
      <c r="MDE110" s="139"/>
      <c r="MDF110" s="139"/>
      <c r="MDG110" s="139"/>
      <c r="MDH110" s="139"/>
      <c r="MDI110" s="139"/>
      <c r="MDJ110" s="139"/>
      <c r="MDK110" s="139"/>
      <c r="MDL110" s="139"/>
      <c r="MDM110" s="139"/>
      <c r="MDN110" s="139"/>
      <c r="MDO110" s="139"/>
      <c r="MDP110" s="139"/>
      <c r="MDQ110" s="139"/>
      <c r="MDR110" s="139"/>
      <c r="MDS110" s="139"/>
      <c r="MDT110" s="139"/>
      <c r="MDU110" s="139"/>
      <c r="MDV110" s="139"/>
      <c r="MDW110" s="139"/>
      <c r="MDX110" s="139"/>
      <c r="MDY110" s="139"/>
      <c r="MDZ110" s="139"/>
      <c r="MEA110" s="139"/>
      <c r="MEB110" s="139"/>
      <c r="MEC110" s="139"/>
      <c r="MED110" s="139"/>
      <c r="MEE110" s="139"/>
      <c r="MEF110" s="139"/>
      <c r="MEG110" s="139"/>
      <c r="MEH110" s="139"/>
      <c r="MEI110" s="139"/>
      <c r="MEJ110" s="139"/>
      <c r="MEK110" s="139"/>
      <c r="MEL110" s="139"/>
      <c r="MEM110" s="139"/>
      <c r="MEN110" s="139"/>
      <c r="MEO110" s="139"/>
      <c r="MEP110" s="139"/>
      <c r="MEQ110" s="139"/>
      <c r="MER110" s="139"/>
      <c r="MES110" s="139"/>
      <c r="MET110" s="139"/>
      <c r="MEU110" s="139"/>
      <c r="MEV110" s="139"/>
      <c r="MEW110" s="139"/>
      <c r="MEX110" s="139"/>
      <c r="MEY110" s="139"/>
      <c r="MEZ110" s="139"/>
      <c r="MFA110" s="139"/>
      <c r="MFB110" s="139"/>
      <c r="MFC110" s="139"/>
      <c r="MFD110" s="139"/>
      <c r="MFE110" s="139"/>
      <c r="MFF110" s="139"/>
      <c r="MFG110" s="139"/>
      <c r="MFH110" s="139"/>
      <c r="MFI110" s="139"/>
      <c r="MFJ110" s="139"/>
      <c r="MFK110" s="139"/>
      <c r="MFL110" s="139"/>
      <c r="MFM110" s="139"/>
      <c r="MFN110" s="139"/>
      <c r="MFO110" s="139"/>
      <c r="MFP110" s="139"/>
      <c r="MFQ110" s="139"/>
      <c r="MFR110" s="139"/>
      <c r="MFS110" s="139"/>
      <c r="MFT110" s="139"/>
      <c r="MFU110" s="139"/>
      <c r="MFV110" s="139"/>
      <c r="MFW110" s="139"/>
      <c r="MFX110" s="139"/>
      <c r="MFY110" s="139"/>
      <c r="MFZ110" s="139"/>
      <c r="MGA110" s="139"/>
      <c r="MGB110" s="139"/>
      <c r="MGC110" s="139"/>
      <c r="MGD110" s="139"/>
      <c r="MGE110" s="139"/>
      <c r="MGF110" s="139"/>
      <c r="MGG110" s="139"/>
      <c r="MGH110" s="139"/>
      <c r="MGI110" s="139"/>
      <c r="MGJ110" s="139"/>
      <c r="MGK110" s="139"/>
      <c r="MGL110" s="139"/>
      <c r="MGM110" s="139"/>
      <c r="MGN110" s="139"/>
      <c r="MGO110" s="139"/>
      <c r="MGP110" s="139"/>
      <c r="MGQ110" s="139"/>
      <c r="MGR110" s="139"/>
      <c r="MGS110" s="139"/>
      <c r="MGT110" s="139"/>
      <c r="MGU110" s="139"/>
      <c r="MGV110" s="139"/>
      <c r="MGW110" s="139"/>
      <c r="MGX110" s="139"/>
      <c r="MGY110" s="139"/>
      <c r="MGZ110" s="139"/>
      <c r="MHA110" s="139"/>
      <c r="MHB110" s="139"/>
      <c r="MHC110" s="139"/>
      <c r="MHD110" s="139"/>
      <c r="MHE110" s="139"/>
      <c r="MHF110" s="139"/>
      <c r="MHG110" s="139"/>
      <c r="MHH110" s="139"/>
      <c r="MHI110" s="139"/>
      <c r="MHJ110" s="139"/>
      <c r="MHK110" s="139"/>
      <c r="MHL110" s="139"/>
      <c r="MHM110" s="139"/>
      <c r="MHN110" s="139"/>
      <c r="MHO110" s="139"/>
      <c r="MHP110" s="139"/>
      <c r="MHQ110" s="139"/>
      <c r="MHR110" s="139"/>
      <c r="MHS110" s="139"/>
      <c r="MHT110" s="139"/>
      <c r="MHU110" s="139"/>
      <c r="MHV110" s="139"/>
      <c r="MHW110" s="139"/>
      <c r="MHX110" s="139"/>
      <c r="MHY110" s="139"/>
      <c r="MHZ110" s="139"/>
      <c r="MIA110" s="139"/>
      <c r="MIB110" s="139"/>
      <c r="MIC110" s="139"/>
      <c r="MID110" s="139"/>
      <c r="MIE110" s="139"/>
      <c r="MIF110" s="139"/>
      <c r="MIG110" s="139"/>
      <c r="MIH110" s="139"/>
      <c r="MII110" s="139"/>
      <c r="MIJ110" s="139"/>
      <c r="MIK110" s="139"/>
      <c r="MIL110" s="139"/>
      <c r="MIM110" s="139"/>
      <c r="MIN110" s="139"/>
      <c r="MIO110" s="139"/>
      <c r="MIP110" s="139"/>
      <c r="MIQ110" s="139"/>
      <c r="MIR110" s="139"/>
      <c r="MIS110" s="139"/>
      <c r="MIT110" s="139"/>
      <c r="MIU110" s="139"/>
      <c r="MIV110" s="139"/>
      <c r="MIW110" s="139"/>
      <c r="MIX110" s="139"/>
      <c r="MIY110" s="139"/>
      <c r="MIZ110" s="139"/>
      <c r="MJA110" s="139"/>
      <c r="MJB110" s="139"/>
      <c r="MJC110" s="139"/>
      <c r="MJD110" s="139"/>
      <c r="MJE110" s="139"/>
      <c r="MJF110" s="139"/>
      <c r="MJG110" s="139"/>
      <c r="MJH110" s="139"/>
      <c r="MJI110" s="139"/>
      <c r="MJJ110" s="139"/>
      <c r="MJK110" s="139"/>
      <c r="MJL110" s="139"/>
      <c r="MJM110" s="139"/>
      <c r="MJN110" s="139"/>
      <c r="MJO110" s="139"/>
      <c r="MJP110" s="139"/>
      <c r="MJQ110" s="139"/>
      <c r="MJR110" s="139"/>
      <c r="MJS110" s="139"/>
      <c r="MJT110" s="139"/>
      <c r="MJU110" s="139"/>
      <c r="MJV110" s="139"/>
      <c r="MJW110" s="139"/>
      <c r="MJX110" s="139"/>
      <c r="MJY110" s="139"/>
      <c r="MJZ110" s="139"/>
      <c r="MKA110" s="139"/>
      <c r="MKB110" s="139"/>
      <c r="MKC110" s="139"/>
      <c r="MKD110" s="139"/>
      <c r="MKE110" s="139"/>
      <c r="MKF110" s="139"/>
      <c r="MKG110" s="139"/>
      <c r="MKH110" s="139"/>
      <c r="MKI110" s="139"/>
      <c r="MKJ110" s="139"/>
      <c r="MKK110" s="139"/>
      <c r="MKL110" s="139"/>
      <c r="MKM110" s="139"/>
      <c r="MKN110" s="139"/>
      <c r="MKO110" s="139"/>
      <c r="MKP110" s="139"/>
      <c r="MKQ110" s="139"/>
      <c r="MKR110" s="139"/>
      <c r="MKS110" s="139"/>
      <c r="MKT110" s="139"/>
      <c r="MKU110" s="139"/>
      <c r="MKV110" s="139"/>
      <c r="MKW110" s="139"/>
      <c r="MKX110" s="139"/>
      <c r="MKY110" s="139"/>
      <c r="MKZ110" s="139"/>
      <c r="MLA110" s="139"/>
      <c r="MLB110" s="139"/>
      <c r="MLC110" s="139"/>
      <c r="MLD110" s="139"/>
      <c r="MLE110" s="139"/>
      <c r="MLF110" s="139"/>
      <c r="MLG110" s="139"/>
      <c r="MLH110" s="139"/>
      <c r="MLI110" s="139"/>
      <c r="MLJ110" s="139"/>
      <c r="MLK110" s="139"/>
      <c r="MLL110" s="139"/>
      <c r="MLM110" s="139"/>
      <c r="MLN110" s="139"/>
      <c r="MLO110" s="139"/>
      <c r="MLP110" s="139"/>
      <c r="MLQ110" s="139"/>
      <c r="MLR110" s="139"/>
      <c r="MLS110" s="139"/>
      <c r="MLT110" s="139"/>
      <c r="MLU110" s="139"/>
      <c r="MLV110" s="139"/>
      <c r="MLW110" s="139"/>
      <c r="MLX110" s="139"/>
      <c r="MLY110" s="139"/>
      <c r="MLZ110" s="139"/>
      <c r="MMA110" s="139"/>
      <c r="MMB110" s="139"/>
      <c r="MMC110" s="139"/>
      <c r="MMD110" s="139"/>
      <c r="MME110" s="139"/>
      <c r="MMF110" s="139"/>
      <c r="MMG110" s="139"/>
      <c r="MMH110" s="139"/>
      <c r="MMI110" s="139"/>
      <c r="MMJ110" s="139"/>
      <c r="MMK110" s="139"/>
      <c r="MML110" s="139"/>
      <c r="MMM110" s="139"/>
      <c r="MMN110" s="139"/>
      <c r="MMO110" s="139"/>
      <c r="MMP110" s="139"/>
      <c r="MMQ110" s="139"/>
      <c r="MMR110" s="139"/>
      <c r="MMS110" s="139"/>
      <c r="MMT110" s="139"/>
      <c r="MMU110" s="139"/>
      <c r="MMV110" s="139"/>
      <c r="MMW110" s="139"/>
      <c r="MMX110" s="139"/>
      <c r="MMY110" s="139"/>
      <c r="MMZ110" s="139"/>
      <c r="MNA110" s="139"/>
      <c r="MNB110" s="139"/>
      <c r="MNC110" s="139"/>
      <c r="MND110" s="139"/>
      <c r="MNE110" s="139"/>
      <c r="MNF110" s="139"/>
      <c r="MNG110" s="139"/>
      <c r="MNH110" s="139"/>
      <c r="MNI110" s="139"/>
      <c r="MNJ110" s="139"/>
      <c r="MNK110" s="139"/>
      <c r="MNL110" s="139"/>
      <c r="MNM110" s="139"/>
      <c r="MNN110" s="139"/>
      <c r="MNO110" s="139"/>
      <c r="MNP110" s="139"/>
      <c r="MNQ110" s="139"/>
      <c r="MNR110" s="139"/>
      <c r="MNS110" s="139"/>
      <c r="MNT110" s="139"/>
      <c r="MNU110" s="139"/>
      <c r="MNV110" s="139"/>
      <c r="MNW110" s="139"/>
      <c r="MNX110" s="139"/>
      <c r="MNY110" s="139"/>
      <c r="MNZ110" s="139"/>
      <c r="MOA110" s="139"/>
      <c r="MOB110" s="139"/>
      <c r="MOC110" s="139"/>
      <c r="MOD110" s="139"/>
      <c r="MOE110" s="139"/>
      <c r="MOF110" s="139"/>
      <c r="MOG110" s="139"/>
      <c r="MOH110" s="139"/>
      <c r="MOI110" s="139"/>
      <c r="MOJ110" s="139"/>
      <c r="MOK110" s="139"/>
      <c r="MOL110" s="139"/>
      <c r="MOM110" s="139"/>
      <c r="MON110" s="139"/>
      <c r="MOO110" s="139"/>
      <c r="MOP110" s="139"/>
      <c r="MOQ110" s="139"/>
      <c r="MOR110" s="139"/>
      <c r="MOS110" s="139"/>
      <c r="MOT110" s="139"/>
      <c r="MOU110" s="139"/>
      <c r="MOV110" s="139"/>
      <c r="MOW110" s="139"/>
      <c r="MOX110" s="139"/>
      <c r="MOY110" s="139"/>
      <c r="MOZ110" s="139"/>
      <c r="MPA110" s="139"/>
      <c r="MPB110" s="139"/>
      <c r="MPC110" s="139"/>
      <c r="MPD110" s="139"/>
      <c r="MPE110" s="139"/>
      <c r="MPF110" s="139"/>
      <c r="MPG110" s="139"/>
      <c r="MPH110" s="139"/>
      <c r="MPI110" s="139"/>
      <c r="MPJ110" s="139"/>
      <c r="MPK110" s="139"/>
      <c r="MPL110" s="139"/>
      <c r="MPM110" s="139"/>
      <c r="MPN110" s="139"/>
      <c r="MPO110" s="139"/>
      <c r="MPP110" s="139"/>
      <c r="MPQ110" s="139"/>
      <c r="MPR110" s="139"/>
      <c r="MPS110" s="139"/>
      <c r="MPT110" s="139"/>
      <c r="MPU110" s="139"/>
      <c r="MPV110" s="139"/>
      <c r="MPW110" s="139"/>
      <c r="MPX110" s="139"/>
      <c r="MPY110" s="139"/>
      <c r="MPZ110" s="139"/>
      <c r="MQA110" s="139"/>
      <c r="MQB110" s="139"/>
      <c r="MQC110" s="139"/>
      <c r="MQD110" s="139"/>
      <c r="MQE110" s="139"/>
      <c r="MQF110" s="139"/>
      <c r="MQG110" s="139"/>
      <c r="MQH110" s="139"/>
      <c r="MQI110" s="139"/>
      <c r="MQJ110" s="139"/>
      <c r="MQK110" s="139"/>
      <c r="MQL110" s="139"/>
      <c r="MQM110" s="139"/>
      <c r="MQN110" s="139"/>
      <c r="MQO110" s="139"/>
      <c r="MQP110" s="139"/>
      <c r="MQQ110" s="139"/>
      <c r="MQR110" s="139"/>
      <c r="MQS110" s="139"/>
      <c r="MQT110" s="139"/>
      <c r="MQU110" s="139"/>
      <c r="MQV110" s="139"/>
      <c r="MQW110" s="139"/>
      <c r="MQX110" s="139"/>
      <c r="MQY110" s="139"/>
      <c r="MQZ110" s="139"/>
      <c r="MRA110" s="139"/>
      <c r="MRB110" s="139"/>
      <c r="MRC110" s="139"/>
      <c r="MRD110" s="139"/>
      <c r="MRE110" s="139"/>
      <c r="MRF110" s="139"/>
      <c r="MRG110" s="139"/>
      <c r="MRH110" s="139"/>
      <c r="MRI110" s="139"/>
      <c r="MRJ110" s="139"/>
      <c r="MRK110" s="139"/>
      <c r="MRL110" s="139"/>
      <c r="MRM110" s="139"/>
      <c r="MRN110" s="139"/>
      <c r="MRO110" s="139"/>
      <c r="MRP110" s="139"/>
      <c r="MRQ110" s="139"/>
      <c r="MRR110" s="139"/>
      <c r="MRS110" s="139"/>
      <c r="MRT110" s="139"/>
      <c r="MRU110" s="139"/>
      <c r="MRV110" s="139"/>
      <c r="MRW110" s="139"/>
      <c r="MRX110" s="139"/>
      <c r="MRY110" s="139"/>
      <c r="MRZ110" s="139"/>
      <c r="MSA110" s="139"/>
      <c r="MSB110" s="139"/>
      <c r="MSC110" s="139"/>
      <c r="MSD110" s="139"/>
      <c r="MSE110" s="139"/>
      <c r="MSF110" s="139"/>
      <c r="MSG110" s="139"/>
      <c r="MSH110" s="139"/>
      <c r="MSI110" s="139"/>
      <c r="MSJ110" s="139"/>
      <c r="MSK110" s="139"/>
      <c r="MSL110" s="139"/>
      <c r="MSM110" s="139"/>
      <c r="MSN110" s="139"/>
      <c r="MSO110" s="139"/>
      <c r="MSP110" s="139"/>
      <c r="MSQ110" s="139"/>
      <c r="MSR110" s="139"/>
      <c r="MSS110" s="139"/>
      <c r="MST110" s="139"/>
      <c r="MSU110" s="139"/>
      <c r="MSV110" s="139"/>
      <c r="MSW110" s="139"/>
      <c r="MSX110" s="139"/>
      <c r="MSY110" s="139"/>
      <c r="MSZ110" s="139"/>
      <c r="MTA110" s="139"/>
      <c r="MTB110" s="139"/>
      <c r="MTC110" s="139"/>
      <c r="MTD110" s="139"/>
      <c r="MTE110" s="139"/>
      <c r="MTF110" s="139"/>
      <c r="MTG110" s="139"/>
      <c r="MTH110" s="139"/>
      <c r="MTI110" s="139"/>
      <c r="MTJ110" s="139"/>
      <c r="MTK110" s="139"/>
      <c r="MTL110" s="139"/>
      <c r="MTM110" s="139"/>
      <c r="MTN110" s="139"/>
      <c r="MTO110" s="139"/>
      <c r="MTP110" s="139"/>
      <c r="MTQ110" s="139"/>
      <c r="MTR110" s="139"/>
      <c r="MTS110" s="139"/>
      <c r="MTT110" s="139"/>
      <c r="MTU110" s="139"/>
      <c r="MTV110" s="139"/>
      <c r="MTW110" s="139"/>
      <c r="MTX110" s="139"/>
      <c r="MTY110" s="139"/>
      <c r="MTZ110" s="139"/>
      <c r="MUA110" s="139"/>
      <c r="MUB110" s="139"/>
      <c r="MUC110" s="139"/>
      <c r="MUD110" s="139"/>
      <c r="MUE110" s="139"/>
      <c r="MUF110" s="139"/>
      <c r="MUG110" s="139"/>
      <c r="MUH110" s="139"/>
      <c r="MUI110" s="139"/>
      <c r="MUJ110" s="139"/>
      <c r="MUK110" s="139"/>
      <c r="MUL110" s="139"/>
      <c r="MUM110" s="139"/>
      <c r="MUN110" s="139"/>
      <c r="MUO110" s="139"/>
      <c r="MUP110" s="139"/>
      <c r="MUQ110" s="139"/>
      <c r="MUR110" s="139"/>
      <c r="MUS110" s="139"/>
      <c r="MUT110" s="139"/>
      <c r="MUU110" s="139"/>
      <c r="MUV110" s="139"/>
      <c r="MUW110" s="139"/>
      <c r="MUX110" s="139"/>
      <c r="MUY110" s="139"/>
      <c r="MUZ110" s="139"/>
      <c r="MVA110" s="139"/>
      <c r="MVB110" s="139"/>
      <c r="MVC110" s="139"/>
      <c r="MVD110" s="139"/>
      <c r="MVE110" s="139"/>
      <c r="MVF110" s="139"/>
      <c r="MVG110" s="139"/>
      <c r="MVH110" s="139"/>
      <c r="MVI110" s="139"/>
      <c r="MVJ110" s="139"/>
      <c r="MVK110" s="139"/>
      <c r="MVL110" s="139"/>
      <c r="MVM110" s="139"/>
      <c r="MVN110" s="139"/>
      <c r="MVO110" s="139"/>
      <c r="MVP110" s="139"/>
      <c r="MVQ110" s="139"/>
      <c r="MVR110" s="139"/>
      <c r="MVS110" s="139"/>
      <c r="MVT110" s="139"/>
      <c r="MVU110" s="139"/>
      <c r="MVV110" s="139"/>
      <c r="MVW110" s="139"/>
      <c r="MVX110" s="139"/>
      <c r="MVY110" s="139"/>
      <c r="MVZ110" s="139"/>
      <c r="MWA110" s="139"/>
      <c r="MWB110" s="139"/>
      <c r="MWC110" s="139"/>
      <c r="MWD110" s="139"/>
      <c r="MWE110" s="139"/>
      <c r="MWF110" s="139"/>
      <c r="MWG110" s="139"/>
      <c r="MWH110" s="139"/>
      <c r="MWI110" s="139"/>
      <c r="MWJ110" s="139"/>
      <c r="MWK110" s="139"/>
      <c r="MWL110" s="139"/>
      <c r="MWM110" s="139"/>
      <c r="MWN110" s="139"/>
      <c r="MWO110" s="139"/>
      <c r="MWP110" s="139"/>
      <c r="MWQ110" s="139"/>
      <c r="MWR110" s="139"/>
      <c r="MWS110" s="139"/>
      <c r="MWT110" s="139"/>
      <c r="MWU110" s="139"/>
      <c r="MWV110" s="139"/>
      <c r="MWW110" s="139"/>
      <c r="MWX110" s="139"/>
      <c r="MWY110" s="139"/>
      <c r="MWZ110" s="139"/>
      <c r="MXA110" s="139"/>
      <c r="MXB110" s="139"/>
      <c r="MXC110" s="139"/>
      <c r="MXD110" s="139"/>
      <c r="MXE110" s="139"/>
      <c r="MXF110" s="139"/>
      <c r="MXG110" s="139"/>
      <c r="MXH110" s="139"/>
      <c r="MXI110" s="139"/>
      <c r="MXJ110" s="139"/>
      <c r="MXK110" s="139"/>
      <c r="MXL110" s="139"/>
      <c r="MXM110" s="139"/>
      <c r="MXN110" s="139"/>
      <c r="MXO110" s="139"/>
      <c r="MXP110" s="139"/>
      <c r="MXQ110" s="139"/>
      <c r="MXR110" s="139"/>
      <c r="MXS110" s="139"/>
      <c r="MXT110" s="139"/>
      <c r="MXU110" s="139"/>
      <c r="MXV110" s="139"/>
      <c r="MXW110" s="139"/>
      <c r="MXX110" s="139"/>
      <c r="MXY110" s="139"/>
      <c r="MXZ110" s="139"/>
      <c r="MYA110" s="139"/>
      <c r="MYB110" s="139"/>
      <c r="MYC110" s="139"/>
      <c r="MYD110" s="139"/>
      <c r="MYE110" s="139"/>
      <c r="MYF110" s="139"/>
      <c r="MYG110" s="139"/>
      <c r="MYH110" s="139"/>
      <c r="MYI110" s="139"/>
      <c r="MYJ110" s="139"/>
      <c r="MYK110" s="139"/>
      <c r="MYL110" s="139"/>
      <c r="MYM110" s="139"/>
      <c r="MYN110" s="139"/>
      <c r="MYO110" s="139"/>
      <c r="MYP110" s="139"/>
      <c r="MYQ110" s="139"/>
      <c r="MYR110" s="139"/>
      <c r="MYS110" s="139"/>
      <c r="MYT110" s="139"/>
      <c r="MYU110" s="139"/>
      <c r="MYV110" s="139"/>
      <c r="MYW110" s="139"/>
      <c r="MYX110" s="139"/>
      <c r="MYY110" s="139"/>
      <c r="MYZ110" s="139"/>
      <c r="MZA110" s="139"/>
      <c r="MZB110" s="139"/>
      <c r="MZC110" s="139"/>
      <c r="MZD110" s="139"/>
      <c r="MZE110" s="139"/>
      <c r="MZF110" s="139"/>
      <c r="MZG110" s="139"/>
      <c r="MZH110" s="139"/>
      <c r="MZI110" s="139"/>
      <c r="MZJ110" s="139"/>
      <c r="MZK110" s="139"/>
      <c r="MZL110" s="139"/>
      <c r="MZM110" s="139"/>
      <c r="MZN110" s="139"/>
      <c r="MZO110" s="139"/>
      <c r="MZP110" s="139"/>
      <c r="MZQ110" s="139"/>
      <c r="MZR110" s="139"/>
      <c r="MZS110" s="139"/>
      <c r="MZT110" s="139"/>
      <c r="MZU110" s="139"/>
      <c r="MZV110" s="139"/>
      <c r="MZW110" s="139"/>
      <c r="MZX110" s="139"/>
      <c r="MZY110" s="139"/>
      <c r="MZZ110" s="139"/>
      <c r="NAA110" s="139"/>
      <c r="NAB110" s="139"/>
      <c r="NAC110" s="139"/>
      <c r="NAD110" s="139"/>
      <c r="NAE110" s="139"/>
      <c r="NAF110" s="139"/>
      <c r="NAG110" s="139"/>
      <c r="NAH110" s="139"/>
      <c r="NAI110" s="139"/>
      <c r="NAJ110" s="139"/>
      <c r="NAK110" s="139"/>
      <c r="NAL110" s="139"/>
      <c r="NAM110" s="139"/>
      <c r="NAN110" s="139"/>
      <c r="NAO110" s="139"/>
      <c r="NAP110" s="139"/>
      <c r="NAQ110" s="139"/>
      <c r="NAR110" s="139"/>
      <c r="NAS110" s="139"/>
      <c r="NAT110" s="139"/>
      <c r="NAU110" s="139"/>
      <c r="NAV110" s="139"/>
      <c r="NAW110" s="139"/>
      <c r="NAX110" s="139"/>
      <c r="NAY110" s="139"/>
      <c r="NAZ110" s="139"/>
      <c r="NBA110" s="139"/>
      <c r="NBB110" s="139"/>
      <c r="NBC110" s="139"/>
      <c r="NBD110" s="139"/>
      <c r="NBE110" s="139"/>
      <c r="NBF110" s="139"/>
      <c r="NBG110" s="139"/>
      <c r="NBH110" s="139"/>
      <c r="NBI110" s="139"/>
      <c r="NBJ110" s="139"/>
      <c r="NBK110" s="139"/>
      <c r="NBL110" s="139"/>
      <c r="NBM110" s="139"/>
      <c r="NBN110" s="139"/>
      <c r="NBO110" s="139"/>
      <c r="NBP110" s="139"/>
      <c r="NBQ110" s="139"/>
      <c r="NBR110" s="139"/>
      <c r="NBS110" s="139"/>
      <c r="NBT110" s="139"/>
      <c r="NBU110" s="139"/>
      <c r="NBV110" s="139"/>
      <c r="NBW110" s="139"/>
      <c r="NBX110" s="139"/>
      <c r="NBY110" s="139"/>
      <c r="NBZ110" s="139"/>
      <c r="NCA110" s="139"/>
      <c r="NCB110" s="139"/>
      <c r="NCC110" s="139"/>
      <c r="NCD110" s="139"/>
      <c r="NCE110" s="139"/>
      <c r="NCF110" s="139"/>
      <c r="NCG110" s="139"/>
      <c r="NCH110" s="139"/>
      <c r="NCI110" s="139"/>
      <c r="NCJ110" s="139"/>
      <c r="NCK110" s="139"/>
      <c r="NCL110" s="139"/>
      <c r="NCM110" s="139"/>
      <c r="NCN110" s="139"/>
      <c r="NCO110" s="139"/>
      <c r="NCP110" s="139"/>
      <c r="NCQ110" s="139"/>
      <c r="NCR110" s="139"/>
      <c r="NCS110" s="139"/>
      <c r="NCT110" s="139"/>
      <c r="NCU110" s="139"/>
      <c r="NCV110" s="139"/>
      <c r="NCW110" s="139"/>
      <c r="NCX110" s="139"/>
      <c r="NCY110" s="139"/>
      <c r="NCZ110" s="139"/>
      <c r="NDA110" s="139"/>
      <c r="NDB110" s="139"/>
      <c r="NDC110" s="139"/>
      <c r="NDD110" s="139"/>
      <c r="NDE110" s="139"/>
      <c r="NDF110" s="139"/>
      <c r="NDG110" s="139"/>
      <c r="NDH110" s="139"/>
      <c r="NDI110" s="139"/>
      <c r="NDJ110" s="139"/>
      <c r="NDK110" s="139"/>
      <c r="NDL110" s="139"/>
      <c r="NDM110" s="139"/>
      <c r="NDN110" s="139"/>
      <c r="NDO110" s="139"/>
      <c r="NDP110" s="139"/>
      <c r="NDQ110" s="139"/>
      <c r="NDR110" s="139"/>
      <c r="NDS110" s="139"/>
      <c r="NDT110" s="139"/>
      <c r="NDU110" s="139"/>
      <c r="NDV110" s="139"/>
      <c r="NDW110" s="139"/>
      <c r="NDX110" s="139"/>
      <c r="NDY110" s="139"/>
      <c r="NDZ110" s="139"/>
      <c r="NEA110" s="139"/>
      <c r="NEB110" s="139"/>
      <c r="NEC110" s="139"/>
      <c r="NED110" s="139"/>
      <c r="NEE110" s="139"/>
      <c r="NEF110" s="139"/>
      <c r="NEG110" s="139"/>
      <c r="NEH110" s="139"/>
      <c r="NEI110" s="139"/>
      <c r="NEJ110" s="139"/>
      <c r="NEK110" s="139"/>
      <c r="NEL110" s="139"/>
      <c r="NEM110" s="139"/>
      <c r="NEN110" s="139"/>
      <c r="NEO110" s="139"/>
      <c r="NEP110" s="139"/>
      <c r="NEQ110" s="139"/>
      <c r="NER110" s="139"/>
      <c r="NES110" s="139"/>
      <c r="NET110" s="139"/>
      <c r="NEU110" s="139"/>
      <c r="NEV110" s="139"/>
      <c r="NEW110" s="139"/>
      <c r="NEX110" s="139"/>
      <c r="NEY110" s="139"/>
      <c r="NEZ110" s="139"/>
      <c r="NFA110" s="139"/>
      <c r="NFB110" s="139"/>
      <c r="NFC110" s="139"/>
      <c r="NFD110" s="139"/>
      <c r="NFE110" s="139"/>
      <c r="NFF110" s="139"/>
      <c r="NFG110" s="139"/>
      <c r="NFH110" s="139"/>
      <c r="NFI110" s="139"/>
      <c r="NFJ110" s="139"/>
      <c r="NFK110" s="139"/>
      <c r="NFL110" s="139"/>
      <c r="NFM110" s="139"/>
      <c r="NFN110" s="139"/>
      <c r="NFO110" s="139"/>
      <c r="NFP110" s="139"/>
      <c r="NFQ110" s="139"/>
      <c r="NFR110" s="139"/>
      <c r="NFS110" s="139"/>
      <c r="NFT110" s="139"/>
      <c r="NFU110" s="139"/>
      <c r="NFV110" s="139"/>
      <c r="NFW110" s="139"/>
      <c r="NFX110" s="139"/>
      <c r="NFY110" s="139"/>
      <c r="NFZ110" s="139"/>
      <c r="NGA110" s="139"/>
      <c r="NGB110" s="139"/>
      <c r="NGC110" s="139"/>
      <c r="NGD110" s="139"/>
      <c r="NGE110" s="139"/>
      <c r="NGF110" s="139"/>
      <c r="NGG110" s="139"/>
      <c r="NGH110" s="139"/>
      <c r="NGI110" s="139"/>
      <c r="NGJ110" s="139"/>
      <c r="NGK110" s="139"/>
      <c r="NGL110" s="139"/>
      <c r="NGM110" s="139"/>
      <c r="NGN110" s="139"/>
      <c r="NGO110" s="139"/>
      <c r="NGP110" s="139"/>
      <c r="NGQ110" s="139"/>
      <c r="NGR110" s="139"/>
      <c r="NGS110" s="139"/>
      <c r="NGT110" s="139"/>
      <c r="NGU110" s="139"/>
      <c r="NGV110" s="139"/>
      <c r="NGW110" s="139"/>
      <c r="NGX110" s="139"/>
      <c r="NGY110" s="139"/>
      <c r="NGZ110" s="139"/>
      <c r="NHA110" s="139"/>
      <c r="NHB110" s="139"/>
      <c r="NHC110" s="139"/>
      <c r="NHD110" s="139"/>
      <c r="NHE110" s="139"/>
      <c r="NHF110" s="139"/>
      <c r="NHG110" s="139"/>
      <c r="NHH110" s="139"/>
      <c r="NHI110" s="139"/>
      <c r="NHJ110" s="139"/>
      <c r="NHK110" s="139"/>
      <c r="NHL110" s="139"/>
      <c r="NHM110" s="139"/>
      <c r="NHN110" s="139"/>
      <c r="NHO110" s="139"/>
      <c r="NHP110" s="139"/>
      <c r="NHQ110" s="139"/>
      <c r="NHR110" s="139"/>
      <c r="NHS110" s="139"/>
      <c r="NHT110" s="139"/>
      <c r="NHU110" s="139"/>
      <c r="NHV110" s="139"/>
      <c r="NHW110" s="139"/>
      <c r="NHX110" s="139"/>
      <c r="NHY110" s="139"/>
      <c r="NHZ110" s="139"/>
      <c r="NIA110" s="139"/>
      <c r="NIB110" s="139"/>
      <c r="NIC110" s="139"/>
      <c r="NID110" s="139"/>
      <c r="NIE110" s="139"/>
      <c r="NIF110" s="139"/>
      <c r="NIG110" s="139"/>
      <c r="NIH110" s="139"/>
      <c r="NII110" s="139"/>
      <c r="NIJ110" s="139"/>
      <c r="NIK110" s="139"/>
      <c r="NIL110" s="139"/>
      <c r="NIM110" s="139"/>
      <c r="NIN110" s="139"/>
      <c r="NIO110" s="139"/>
      <c r="NIP110" s="139"/>
      <c r="NIQ110" s="139"/>
      <c r="NIR110" s="139"/>
      <c r="NIS110" s="139"/>
      <c r="NIT110" s="139"/>
      <c r="NIU110" s="139"/>
      <c r="NIV110" s="139"/>
      <c r="NIW110" s="139"/>
      <c r="NIX110" s="139"/>
      <c r="NIY110" s="139"/>
      <c r="NIZ110" s="139"/>
      <c r="NJA110" s="139"/>
      <c r="NJB110" s="139"/>
      <c r="NJC110" s="139"/>
      <c r="NJD110" s="139"/>
      <c r="NJE110" s="139"/>
      <c r="NJF110" s="139"/>
      <c r="NJG110" s="139"/>
      <c r="NJH110" s="139"/>
      <c r="NJI110" s="139"/>
      <c r="NJJ110" s="139"/>
      <c r="NJK110" s="139"/>
      <c r="NJL110" s="139"/>
      <c r="NJM110" s="139"/>
      <c r="NJN110" s="139"/>
      <c r="NJO110" s="139"/>
      <c r="NJP110" s="139"/>
      <c r="NJQ110" s="139"/>
      <c r="NJR110" s="139"/>
      <c r="NJS110" s="139"/>
      <c r="NJT110" s="139"/>
      <c r="NJU110" s="139"/>
      <c r="NJV110" s="139"/>
      <c r="NJW110" s="139"/>
      <c r="NJX110" s="139"/>
      <c r="NJY110" s="139"/>
      <c r="NJZ110" s="139"/>
      <c r="NKA110" s="139"/>
      <c r="NKB110" s="139"/>
      <c r="NKC110" s="139"/>
      <c r="NKD110" s="139"/>
      <c r="NKE110" s="139"/>
      <c r="NKF110" s="139"/>
      <c r="NKG110" s="139"/>
      <c r="NKH110" s="139"/>
      <c r="NKI110" s="139"/>
      <c r="NKJ110" s="139"/>
      <c r="NKK110" s="139"/>
      <c r="NKL110" s="139"/>
      <c r="NKM110" s="139"/>
      <c r="NKN110" s="139"/>
      <c r="NKO110" s="139"/>
      <c r="NKP110" s="139"/>
      <c r="NKQ110" s="139"/>
      <c r="NKR110" s="139"/>
      <c r="NKS110" s="139"/>
      <c r="NKT110" s="139"/>
      <c r="NKU110" s="139"/>
      <c r="NKV110" s="139"/>
      <c r="NKW110" s="139"/>
      <c r="NKX110" s="139"/>
      <c r="NKY110" s="139"/>
      <c r="NKZ110" s="139"/>
      <c r="NLA110" s="139"/>
      <c r="NLB110" s="139"/>
      <c r="NLC110" s="139"/>
      <c r="NLD110" s="139"/>
      <c r="NLE110" s="139"/>
      <c r="NLF110" s="139"/>
      <c r="NLG110" s="139"/>
      <c r="NLH110" s="139"/>
      <c r="NLI110" s="139"/>
      <c r="NLJ110" s="139"/>
      <c r="NLK110" s="139"/>
      <c r="NLL110" s="139"/>
      <c r="NLM110" s="139"/>
      <c r="NLN110" s="139"/>
      <c r="NLO110" s="139"/>
      <c r="NLP110" s="139"/>
      <c r="NLQ110" s="139"/>
      <c r="NLR110" s="139"/>
      <c r="NLS110" s="139"/>
      <c r="NLT110" s="139"/>
      <c r="NLU110" s="139"/>
      <c r="NLV110" s="139"/>
      <c r="NLW110" s="139"/>
      <c r="NLX110" s="139"/>
      <c r="NLY110" s="139"/>
      <c r="NLZ110" s="139"/>
      <c r="NMA110" s="139"/>
      <c r="NMB110" s="139"/>
      <c r="NMC110" s="139"/>
      <c r="NMD110" s="139"/>
      <c r="NME110" s="139"/>
      <c r="NMF110" s="139"/>
      <c r="NMG110" s="139"/>
      <c r="NMH110" s="139"/>
      <c r="NMI110" s="139"/>
      <c r="NMJ110" s="139"/>
      <c r="NMK110" s="139"/>
      <c r="NML110" s="139"/>
      <c r="NMM110" s="139"/>
      <c r="NMN110" s="139"/>
      <c r="NMO110" s="139"/>
      <c r="NMP110" s="139"/>
      <c r="NMQ110" s="139"/>
      <c r="NMR110" s="139"/>
      <c r="NMS110" s="139"/>
      <c r="NMT110" s="139"/>
      <c r="NMU110" s="139"/>
      <c r="NMV110" s="139"/>
      <c r="NMW110" s="139"/>
      <c r="NMX110" s="139"/>
      <c r="NMY110" s="139"/>
      <c r="NMZ110" s="139"/>
      <c r="NNA110" s="139"/>
      <c r="NNB110" s="139"/>
      <c r="NNC110" s="139"/>
      <c r="NND110" s="139"/>
      <c r="NNE110" s="139"/>
      <c r="NNF110" s="139"/>
      <c r="NNG110" s="139"/>
      <c r="NNH110" s="139"/>
      <c r="NNI110" s="139"/>
      <c r="NNJ110" s="139"/>
      <c r="NNK110" s="139"/>
      <c r="NNL110" s="139"/>
      <c r="NNM110" s="139"/>
      <c r="NNN110" s="139"/>
      <c r="NNO110" s="139"/>
      <c r="NNP110" s="139"/>
      <c r="NNQ110" s="139"/>
      <c r="NNR110" s="139"/>
      <c r="NNS110" s="139"/>
      <c r="NNT110" s="139"/>
      <c r="NNU110" s="139"/>
      <c r="NNV110" s="139"/>
      <c r="NNW110" s="139"/>
      <c r="NNX110" s="139"/>
      <c r="NNY110" s="139"/>
      <c r="NNZ110" s="139"/>
      <c r="NOA110" s="139"/>
      <c r="NOB110" s="139"/>
      <c r="NOC110" s="139"/>
      <c r="NOD110" s="139"/>
      <c r="NOE110" s="139"/>
      <c r="NOF110" s="139"/>
      <c r="NOG110" s="139"/>
      <c r="NOH110" s="139"/>
      <c r="NOI110" s="139"/>
      <c r="NOJ110" s="139"/>
      <c r="NOK110" s="139"/>
      <c r="NOL110" s="139"/>
      <c r="NOM110" s="139"/>
      <c r="NON110" s="139"/>
      <c r="NOO110" s="139"/>
      <c r="NOP110" s="139"/>
      <c r="NOQ110" s="139"/>
      <c r="NOR110" s="139"/>
      <c r="NOS110" s="139"/>
      <c r="NOT110" s="139"/>
      <c r="NOU110" s="139"/>
      <c r="NOV110" s="139"/>
      <c r="NOW110" s="139"/>
      <c r="NOX110" s="139"/>
      <c r="NOY110" s="139"/>
      <c r="NOZ110" s="139"/>
      <c r="NPA110" s="139"/>
      <c r="NPB110" s="139"/>
      <c r="NPC110" s="139"/>
      <c r="NPD110" s="139"/>
      <c r="NPE110" s="139"/>
      <c r="NPF110" s="139"/>
      <c r="NPG110" s="139"/>
      <c r="NPH110" s="139"/>
      <c r="NPI110" s="139"/>
      <c r="NPJ110" s="139"/>
      <c r="NPK110" s="139"/>
      <c r="NPL110" s="139"/>
      <c r="NPM110" s="139"/>
      <c r="NPN110" s="139"/>
      <c r="NPO110" s="139"/>
      <c r="NPP110" s="139"/>
      <c r="NPQ110" s="139"/>
      <c r="NPR110" s="139"/>
      <c r="NPS110" s="139"/>
      <c r="NPT110" s="139"/>
      <c r="NPU110" s="139"/>
      <c r="NPV110" s="139"/>
      <c r="NPW110" s="139"/>
      <c r="NPX110" s="139"/>
      <c r="NPY110" s="139"/>
      <c r="NPZ110" s="139"/>
      <c r="NQA110" s="139"/>
      <c r="NQB110" s="139"/>
      <c r="NQC110" s="139"/>
      <c r="NQD110" s="139"/>
      <c r="NQE110" s="139"/>
      <c r="NQF110" s="139"/>
      <c r="NQG110" s="139"/>
      <c r="NQH110" s="139"/>
      <c r="NQI110" s="139"/>
      <c r="NQJ110" s="139"/>
      <c r="NQK110" s="139"/>
      <c r="NQL110" s="139"/>
      <c r="NQM110" s="139"/>
      <c r="NQN110" s="139"/>
      <c r="NQO110" s="139"/>
      <c r="NQP110" s="139"/>
      <c r="NQQ110" s="139"/>
      <c r="NQR110" s="139"/>
      <c r="NQS110" s="139"/>
      <c r="NQT110" s="139"/>
      <c r="NQU110" s="139"/>
      <c r="NQV110" s="139"/>
      <c r="NQW110" s="139"/>
      <c r="NQX110" s="139"/>
      <c r="NQY110" s="139"/>
      <c r="NQZ110" s="139"/>
      <c r="NRA110" s="139"/>
      <c r="NRB110" s="139"/>
      <c r="NRC110" s="139"/>
      <c r="NRD110" s="139"/>
      <c r="NRE110" s="139"/>
      <c r="NRF110" s="139"/>
      <c r="NRG110" s="139"/>
      <c r="NRH110" s="139"/>
      <c r="NRI110" s="139"/>
      <c r="NRJ110" s="139"/>
      <c r="NRK110" s="139"/>
      <c r="NRL110" s="139"/>
      <c r="NRM110" s="139"/>
      <c r="NRN110" s="139"/>
      <c r="NRO110" s="139"/>
      <c r="NRP110" s="139"/>
      <c r="NRQ110" s="139"/>
      <c r="NRR110" s="139"/>
      <c r="NRS110" s="139"/>
      <c r="NRT110" s="139"/>
      <c r="NRU110" s="139"/>
      <c r="NRV110" s="139"/>
      <c r="NRW110" s="139"/>
      <c r="NRX110" s="139"/>
      <c r="NRY110" s="139"/>
      <c r="NRZ110" s="139"/>
      <c r="NSA110" s="139"/>
      <c r="NSB110" s="139"/>
      <c r="NSC110" s="139"/>
      <c r="NSD110" s="139"/>
      <c r="NSE110" s="139"/>
      <c r="NSF110" s="139"/>
      <c r="NSG110" s="139"/>
      <c r="NSH110" s="139"/>
      <c r="NSI110" s="139"/>
      <c r="NSJ110" s="139"/>
      <c r="NSK110" s="139"/>
      <c r="NSL110" s="139"/>
      <c r="NSM110" s="139"/>
      <c r="NSN110" s="139"/>
      <c r="NSO110" s="139"/>
      <c r="NSP110" s="139"/>
      <c r="NSQ110" s="139"/>
      <c r="NSR110" s="139"/>
      <c r="NSS110" s="139"/>
      <c r="NST110" s="139"/>
      <c r="NSU110" s="139"/>
      <c r="NSV110" s="139"/>
      <c r="NSW110" s="139"/>
      <c r="NSX110" s="139"/>
      <c r="NSY110" s="139"/>
      <c r="NSZ110" s="139"/>
      <c r="NTA110" s="139"/>
      <c r="NTB110" s="139"/>
      <c r="NTC110" s="139"/>
      <c r="NTD110" s="139"/>
      <c r="NTE110" s="139"/>
      <c r="NTF110" s="139"/>
      <c r="NTG110" s="139"/>
      <c r="NTH110" s="139"/>
      <c r="NTI110" s="139"/>
      <c r="NTJ110" s="139"/>
      <c r="NTK110" s="139"/>
      <c r="NTL110" s="139"/>
      <c r="NTM110" s="139"/>
      <c r="NTN110" s="139"/>
      <c r="NTO110" s="139"/>
      <c r="NTP110" s="139"/>
      <c r="NTQ110" s="139"/>
      <c r="NTR110" s="139"/>
      <c r="NTS110" s="139"/>
      <c r="NTT110" s="139"/>
      <c r="NTU110" s="139"/>
      <c r="NTV110" s="139"/>
      <c r="NTW110" s="139"/>
      <c r="NTX110" s="139"/>
      <c r="NTY110" s="139"/>
      <c r="NTZ110" s="139"/>
      <c r="NUA110" s="139"/>
      <c r="NUB110" s="139"/>
      <c r="NUC110" s="139"/>
      <c r="NUD110" s="139"/>
      <c r="NUE110" s="139"/>
      <c r="NUF110" s="139"/>
      <c r="NUG110" s="139"/>
      <c r="NUH110" s="139"/>
      <c r="NUI110" s="139"/>
      <c r="NUJ110" s="139"/>
      <c r="NUK110" s="139"/>
      <c r="NUL110" s="139"/>
      <c r="NUM110" s="139"/>
      <c r="NUN110" s="139"/>
      <c r="NUO110" s="139"/>
      <c r="NUP110" s="139"/>
      <c r="NUQ110" s="139"/>
      <c r="NUR110" s="139"/>
      <c r="NUS110" s="139"/>
      <c r="NUT110" s="139"/>
      <c r="NUU110" s="139"/>
      <c r="NUV110" s="139"/>
      <c r="NUW110" s="139"/>
      <c r="NUX110" s="139"/>
      <c r="NUY110" s="139"/>
      <c r="NUZ110" s="139"/>
      <c r="NVA110" s="139"/>
      <c r="NVB110" s="139"/>
      <c r="NVC110" s="139"/>
      <c r="NVD110" s="139"/>
      <c r="NVE110" s="139"/>
      <c r="NVF110" s="139"/>
      <c r="NVG110" s="139"/>
      <c r="NVH110" s="139"/>
      <c r="NVI110" s="139"/>
      <c r="NVJ110" s="139"/>
      <c r="NVK110" s="139"/>
      <c r="NVL110" s="139"/>
      <c r="NVM110" s="139"/>
      <c r="NVN110" s="139"/>
      <c r="NVO110" s="139"/>
      <c r="NVP110" s="139"/>
      <c r="NVQ110" s="139"/>
      <c r="NVR110" s="139"/>
      <c r="NVS110" s="139"/>
      <c r="NVT110" s="139"/>
      <c r="NVU110" s="139"/>
      <c r="NVV110" s="139"/>
      <c r="NVW110" s="139"/>
      <c r="NVX110" s="139"/>
      <c r="NVY110" s="139"/>
      <c r="NVZ110" s="139"/>
      <c r="NWA110" s="139"/>
      <c r="NWB110" s="139"/>
      <c r="NWC110" s="139"/>
      <c r="NWD110" s="139"/>
      <c r="NWE110" s="139"/>
      <c r="NWF110" s="139"/>
      <c r="NWG110" s="139"/>
      <c r="NWH110" s="139"/>
      <c r="NWI110" s="139"/>
      <c r="NWJ110" s="139"/>
      <c r="NWK110" s="139"/>
      <c r="NWL110" s="139"/>
      <c r="NWM110" s="139"/>
      <c r="NWN110" s="139"/>
      <c r="NWO110" s="139"/>
      <c r="NWP110" s="139"/>
      <c r="NWQ110" s="139"/>
      <c r="NWR110" s="139"/>
      <c r="NWS110" s="139"/>
      <c r="NWT110" s="139"/>
      <c r="NWU110" s="139"/>
      <c r="NWV110" s="139"/>
      <c r="NWW110" s="139"/>
      <c r="NWX110" s="139"/>
      <c r="NWY110" s="139"/>
      <c r="NWZ110" s="139"/>
      <c r="NXA110" s="139"/>
      <c r="NXB110" s="139"/>
      <c r="NXC110" s="139"/>
      <c r="NXD110" s="139"/>
      <c r="NXE110" s="139"/>
      <c r="NXF110" s="139"/>
      <c r="NXG110" s="139"/>
      <c r="NXH110" s="139"/>
      <c r="NXI110" s="139"/>
      <c r="NXJ110" s="139"/>
      <c r="NXK110" s="139"/>
      <c r="NXL110" s="139"/>
      <c r="NXM110" s="139"/>
      <c r="NXN110" s="139"/>
      <c r="NXO110" s="139"/>
      <c r="NXP110" s="139"/>
      <c r="NXQ110" s="139"/>
      <c r="NXR110" s="139"/>
      <c r="NXS110" s="139"/>
      <c r="NXT110" s="139"/>
      <c r="NXU110" s="139"/>
      <c r="NXV110" s="139"/>
      <c r="NXW110" s="139"/>
      <c r="NXX110" s="139"/>
      <c r="NXY110" s="139"/>
      <c r="NXZ110" s="139"/>
      <c r="NYA110" s="139"/>
      <c r="NYB110" s="139"/>
      <c r="NYC110" s="139"/>
      <c r="NYD110" s="139"/>
      <c r="NYE110" s="139"/>
      <c r="NYF110" s="139"/>
      <c r="NYG110" s="139"/>
      <c r="NYH110" s="139"/>
      <c r="NYI110" s="139"/>
      <c r="NYJ110" s="139"/>
      <c r="NYK110" s="139"/>
      <c r="NYL110" s="139"/>
      <c r="NYM110" s="139"/>
      <c r="NYN110" s="139"/>
      <c r="NYO110" s="139"/>
      <c r="NYP110" s="139"/>
      <c r="NYQ110" s="139"/>
      <c r="NYR110" s="139"/>
      <c r="NYS110" s="139"/>
      <c r="NYT110" s="139"/>
      <c r="NYU110" s="139"/>
      <c r="NYV110" s="139"/>
      <c r="NYW110" s="139"/>
      <c r="NYX110" s="139"/>
      <c r="NYY110" s="139"/>
      <c r="NYZ110" s="139"/>
      <c r="NZA110" s="139"/>
      <c r="NZB110" s="139"/>
      <c r="NZC110" s="139"/>
      <c r="NZD110" s="139"/>
      <c r="NZE110" s="139"/>
      <c r="NZF110" s="139"/>
      <c r="NZG110" s="139"/>
      <c r="NZH110" s="139"/>
      <c r="NZI110" s="139"/>
      <c r="NZJ110" s="139"/>
      <c r="NZK110" s="139"/>
      <c r="NZL110" s="139"/>
      <c r="NZM110" s="139"/>
      <c r="NZN110" s="139"/>
      <c r="NZO110" s="139"/>
      <c r="NZP110" s="139"/>
      <c r="NZQ110" s="139"/>
      <c r="NZR110" s="139"/>
      <c r="NZS110" s="139"/>
      <c r="NZT110" s="139"/>
      <c r="NZU110" s="139"/>
      <c r="NZV110" s="139"/>
      <c r="NZW110" s="139"/>
      <c r="NZX110" s="139"/>
      <c r="NZY110" s="139"/>
      <c r="NZZ110" s="139"/>
      <c r="OAA110" s="139"/>
      <c r="OAB110" s="139"/>
      <c r="OAC110" s="139"/>
      <c r="OAD110" s="139"/>
      <c r="OAE110" s="139"/>
      <c r="OAF110" s="139"/>
      <c r="OAG110" s="139"/>
      <c r="OAH110" s="139"/>
      <c r="OAI110" s="139"/>
      <c r="OAJ110" s="139"/>
      <c r="OAK110" s="139"/>
      <c r="OAL110" s="139"/>
      <c r="OAM110" s="139"/>
      <c r="OAN110" s="139"/>
      <c r="OAO110" s="139"/>
      <c r="OAP110" s="139"/>
      <c r="OAQ110" s="139"/>
      <c r="OAR110" s="139"/>
      <c r="OAS110" s="139"/>
      <c r="OAT110" s="139"/>
      <c r="OAU110" s="139"/>
      <c r="OAV110" s="139"/>
      <c r="OAW110" s="139"/>
      <c r="OAX110" s="139"/>
      <c r="OAY110" s="139"/>
      <c r="OAZ110" s="139"/>
      <c r="OBA110" s="139"/>
      <c r="OBB110" s="139"/>
      <c r="OBC110" s="139"/>
      <c r="OBD110" s="139"/>
      <c r="OBE110" s="139"/>
      <c r="OBF110" s="139"/>
      <c r="OBG110" s="139"/>
      <c r="OBH110" s="139"/>
      <c r="OBI110" s="139"/>
      <c r="OBJ110" s="139"/>
      <c r="OBK110" s="139"/>
      <c r="OBL110" s="139"/>
      <c r="OBM110" s="139"/>
      <c r="OBN110" s="139"/>
      <c r="OBO110" s="139"/>
      <c r="OBP110" s="139"/>
      <c r="OBQ110" s="139"/>
      <c r="OBR110" s="139"/>
      <c r="OBS110" s="139"/>
      <c r="OBT110" s="139"/>
      <c r="OBU110" s="139"/>
      <c r="OBV110" s="139"/>
      <c r="OBW110" s="139"/>
      <c r="OBX110" s="139"/>
      <c r="OBY110" s="139"/>
      <c r="OBZ110" s="139"/>
      <c r="OCA110" s="139"/>
      <c r="OCB110" s="139"/>
      <c r="OCC110" s="139"/>
      <c r="OCD110" s="139"/>
      <c r="OCE110" s="139"/>
      <c r="OCF110" s="139"/>
      <c r="OCG110" s="139"/>
      <c r="OCH110" s="139"/>
      <c r="OCI110" s="139"/>
      <c r="OCJ110" s="139"/>
      <c r="OCK110" s="139"/>
      <c r="OCL110" s="139"/>
      <c r="OCM110" s="139"/>
      <c r="OCN110" s="139"/>
      <c r="OCO110" s="139"/>
      <c r="OCP110" s="139"/>
      <c r="OCQ110" s="139"/>
      <c r="OCR110" s="139"/>
      <c r="OCS110" s="139"/>
      <c r="OCT110" s="139"/>
      <c r="OCU110" s="139"/>
      <c r="OCV110" s="139"/>
      <c r="OCW110" s="139"/>
      <c r="OCX110" s="139"/>
      <c r="OCY110" s="139"/>
      <c r="OCZ110" s="139"/>
      <c r="ODA110" s="139"/>
      <c r="ODB110" s="139"/>
      <c r="ODC110" s="139"/>
      <c r="ODD110" s="139"/>
      <c r="ODE110" s="139"/>
      <c r="ODF110" s="139"/>
      <c r="ODG110" s="139"/>
      <c r="ODH110" s="139"/>
      <c r="ODI110" s="139"/>
      <c r="ODJ110" s="139"/>
      <c r="ODK110" s="139"/>
      <c r="ODL110" s="139"/>
      <c r="ODM110" s="139"/>
      <c r="ODN110" s="139"/>
      <c r="ODO110" s="139"/>
      <c r="ODP110" s="139"/>
      <c r="ODQ110" s="139"/>
      <c r="ODR110" s="139"/>
      <c r="ODS110" s="139"/>
      <c r="ODT110" s="139"/>
      <c r="ODU110" s="139"/>
      <c r="ODV110" s="139"/>
      <c r="ODW110" s="139"/>
      <c r="ODX110" s="139"/>
      <c r="ODY110" s="139"/>
      <c r="ODZ110" s="139"/>
      <c r="OEA110" s="139"/>
      <c r="OEB110" s="139"/>
      <c r="OEC110" s="139"/>
      <c r="OED110" s="139"/>
      <c r="OEE110" s="139"/>
      <c r="OEF110" s="139"/>
      <c r="OEG110" s="139"/>
      <c r="OEH110" s="139"/>
      <c r="OEI110" s="139"/>
      <c r="OEJ110" s="139"/>
      <c r="OEK110" s="139"/>
      <c r="OEL110" s="139"/>
      <c r="OEM110" s="139"/>
      <c r="OEN110" s="139"/>
      <c r="OEO110" s="139"/>
      <c r="OEP110" s="139"/>
      <c r="OEQ110" s="139"/>
      <c r="OER110" s="139"/>
      <c r="OES110" s="139"/>
      <c r="OET110" s="139"/>
      <c r="OEU110" s="139"/>
      <c r="OEV110" s="139"/>
      <c r="OEW110" s="139"/>
      <c r="OEX110" s="139"/>
      <c r="OEY110" s="139"/>
      <c r="OEZ110" s="139"/>
      <c r="OFA110" s="139"/>
      <c r="OFB110" s="139"/>
      <c r="OFC110" s="139"/>
      <c r="OFD110" s="139"/>
      <c r="OFE110" s="139"/>
      <c r="OFF110" s="139"/>
      <c r="OFG110" s="139"/>
      <c r="OFH110" s="139"/>
      <c r="OFI110" s="139"/>
      <c r="OFJ110" s="139"/>
      <c r="OFK110" s="139"/>
      <c r="OFL110" s="139"/>
      <c r="OFM110" s="139"/>
      <c r="OFN110" s="139"/>
      <c r="OFO110" s="139"/>
      <c r="OFP110" s="139"/>
      <c r="OFQ110" s="139"/>
      <c r="OFR110" s="139"/>
      <c r="OFS110" s="139"/>
      <c r="OFT110" s="139"/>
      <c r="OFU110" s="139"/>
      <c r="OFV110" s="139"/>
      <c r="OFW110" s="139"/>
      <c r="OFX110" s="139"/>
      <c r="OFY110" s="139"/>
      <c r="OFZ110" s="139"/>
      <c r="OGA110" s="139"/>
      <c r="OGB110" s="139"/>
      <c r="OGC110" s="139"/>
      <c r="OGD110" s="139"/>
      <c r="OGE110" s="139"/>
      <c r="OGF110" s="139"/>
      <c r="OGG110" s="139"/>
      <c r="OGH110" s="139"/>
      <c r="OGI110" s="139"/>
      <c r="OGJ110" s="139"/>
      <c r="OGK110" s="139"/>
      <c r="OGL110" s="139"/>
      <c r="OGM110" s="139"/>
      <c r="OGN110" s="139"/>
      <c r="OGO110" s="139"/>
      <c r="OGP110" s="139"/>
      <c r="OGQ110" s="139"/>
      <c r="OGR110" s="139"/>
      <c r="OGS110" s="139"/>
      <c r="OGT110" s="139"/>
      <c r="OGU110" s="139"/>
      <c r="OGV110" s="139"/>
      <c r="OGW110" s="139"/>
      <c r="OGX110" s="139"/>
      <c r="OGY110" s="139"/>
      <c r="OGZ110" s="139"/>
      <c r="OHA110" s="139"/>
      <c r="OHB110" s="139"/>
      <c r="OHC110" s="139"/>
      <c r="OHD110" s="139"/>
      <c r="OHE110" s="139"/>
      <c r="OHF110" s="139"/>
      <c r="OHG110" s="139"/>
      <c r="OHH110" s="139"/>
      <c r="OHI110" s="139"/>
      <c r="OHJ110" s="139"/>
      <c r="OHK110" s="139"/>
      <c r="OHL110" s="139"/>
      <c r="OHM110" s="139"/>
      <c r="OHN110" s="139"/>
      <c r="OHO110" s="139"/>
      <c r="OHP110" s="139"/>
      <c r="OHQ110" s="139"/>
      <c r="OHR110" s="139"/>
      <c r="OHS110" s="139"/>
      <c r="OHT110" s="139"/>
      <c r="OHU110" s="139"/>
      <c r="OHV110" s="139"/>
      <c r="OHW110" s="139"/>
      <c r="OHX110" s="139"/>
      <c r="OHY110" s="139"/>
      <c r="OHZ110" s="139"/>
      <c r="OIA110" s="139"/>
      <c r="OIB110" s="139"/>
      <c r="OIC110" s="139"/>
      <c r="OID110" s="139"/>
      <c r="OIE110" s="139"/>
      <c r="OIF110" s="139"/>
      <c r="OIG110" s="139"/>
      <c r="OIH110" s="139"/>
      <c r="OII110" s="139"/>
      <c r="OIJ110" s="139"/>
      <c r="OIK110" s="139"/>
      <c r="OIL110" s="139"/>
      <c r="OIM110" s="139"/>
      <c r="OIN110" s="139"/>
      <c r="OIO110" s="139"/>
      <c r="OIP110" s="139"/>
      <c r="OIQ110" s="139"/>
      <c r="OIR110" s="139"/>
      <c r="OIS110" s="139"/>
      <c r="OIT110" s="139"/>
      <c r="OIU110" s="139"/>
      <c r="OIV110" s="139"/>
      <c r="OIW110" s="139"/>
      <c r="OIX110" s="139"/>
      <c r="OIY110" s="139"/>
      <c r="OIZ110" s="139"/>
      <c r="OJA110" s="139"/>
      <c r="OJB110" s="139"/>
      <c r="OJC110" s="139"/>
      <c r="OJD110" s="139"/>
      <c r="OJE110" s="139"/>
      <c r="OJF110" s="139"/>
      <c r="OJG110" s="139"/>
      <c r="OJH110" s="139"/>
      <c r="OJI110" s="139"/>
      <c r="OJJ110" s="139"/>
      <c r="OJK110" s="139"/>
      <c r="OJL110" s="139"/>
      <c r="OJM110" s="139"/>
      <c r="OJN110" s="139"/>
      <c r="OJO110" s="139"/>
      <c r="OJP110" s="139"/>
      <c r="OJQ110" s="139"/>
      <c r="OJR110" s="139"/>
      <c r="OJS110" s="139"/>
      <c r="OJT110" s="139"/>
      <c r="OJU110" s="139"/>
      <c r="OJV110" s="139"/>
      <c r="OJW110" s="139"/>
      <c r="OJX110" s="139"/>
      <c r="OJY110" s="139"/>
      <c r="OJZ110" s="139"/>
      <c r="OKA110" s="139"/>
      <c r="OKB110" s="139"/>
      <c r="OKC110" s="139"/>
      <c r="OKD110" s="139"/>
      <c r="OKE110" s="139"/>
      <c r="OKF110" s="139"/>
      <c r="OKG110" s="139"/>
      <c r="OKH110" s="139"/>
      <c r="OKI110" s="139"/>
      <c r="OKJ110" s="139"/>
      <c r="OKK110" s="139"/>
      <c r="OKL110" s="139"/>
      <c r="OKM110" s="139"/>
      <c r="OKN110" s="139"/>
      <c r="OKO110" s="139"/>
      <c r="OKP110" s="139"/>
      <c r="OKQ110" s="139"/>
      <c r="OKR110" s="139"/>
      <c r="OKS110" s="139"/>
      <c r="OKT110" s="139"/>
      <c r="OKU110" s="139"/>
      <c r="OKV110" s="139"/>
      <c r="OKW110" s="139"/>
      <c r="OKX110" s="139"/>
      <c r="OKY110" s="139"/>
      <c r="OKZ110" s="139"/>
      <c r="OLA110" s="139"/>
      <c r="OLB110" s="139"/>
      <c r="OLC110" s="139"/>
      <c r="OLD110" s="139"/>
      <c r="OLE110" s="139"/>
      <c r="OLF110" s="139"/>
      <c r="OLG110" s="139"/>
      <c r="OLH110" s="139"/>
      <c r="OLI110" s="139"/>
      <c r="OLJ110" s="139"/>
      <c r="OLK110" s="139"/>
      <c r="OLL110" s="139"/>
      <c r="OLM110" s="139"/>
      <c r="OLN110" s="139"/>
      <c r="OLO110" s="139"/>
      <c r="OLP110" s="139"/>
      <c r="OLQ110" s="139"/>
      <c r="OLR110" s="139"/>
      <c r="OLS110" s="139"/>
      <c r="OLT110" s="139"/>
      <c r="OLU110" s="139"/>
      <c r="OLV110" s="139"/>
      <c r="OLW110" s="139"/>
      <c r="OLX110" s="139"/>
      <c r="OLY110" s="139"/>
      <c r="OLZ110" s="139"/>
      <c r="OMA110" s="139"/>
      <c r="OMB110" s="139"/>
      <c r="OMC110" s="139"/>
      <c r="OMD110" s="139"/>
      <c r="OME110" s="139"/>
      <c r="OMF110" s="139"/>
      <c r="OMG110" s="139"/>
      <c r="OMH110" s="139"/>
      <c r="OMI110" s="139"/>
      <c r="OMJ110" s="139"/>
      <c r="OMK110" s="139"/>
      <c r="OML110" s="139"/>
      <c r="OMM110" s="139"/>
      <c r="OMN110" s="139"/>
      <c r="OMO110" s="139"/>
      <c r="OMP110" s="139"/>
      <c r="OMQ110" s="139"/>
      <c r="OMR110" s="139"/>
      <c r="OMS110" s="139"/>
      <c r="OMT110" s="139"/>
      <c r="OMU110" s="139"/>
      <c r="OMV110" s="139"/>
      <c r="OMW110" s="139"/>
      <c r="OMX110" s="139"/>
      <c r="OMY110" s="139"/>
      <c r="OMZ110" s="139"/>
      <c r="ONA110" s="139"/>
      <c r="ONB110" s="139"/>
      <c r="ONC110" s="139"/>
      <c r="OND110" s="139"/>
      <c r="ONE110" s="139"/>
      <c r="ONF110" s="139"/>
      <c r="ONG110" s="139"/>
      <c r="ONH110" s="139"/>
      <c r="ONI110" s="139"/>
      <c r="ONJ110" s="139"/>
      <c r="ONK110" s="139"/>
      <c r="ONL110" s="139"/>
      <c r="ONM110" s="139"/>
      <c r="ONN110" s="139"/>
      <c r="ONO110" s="139"/>
      <c r="ONP110" s="139"/>
      <c r="ONQ110" s="139"/>
      <c r="ONR110" s="139"/>
      <c r="ONS110" s="139"/>
      <c r="ONT110" s="139"/>
      <c r="ONU110" s="139"/>
      <c r="ONV110" s="139"/>
      <c r="ONW110" s="139"/>
      <c r="ONX110" s="139"/>
      <c r="ONY110" s="139"/>
      <c r="ONZ110" s="139"/>
      <c r="OOA110" s="139"/>
      <c r="OOB110" s="139"/>
      <c r="OOC110" s="139"/>
      <c r="OOD110" s="139"/>
      <c r="OOE110" s="139"/>
      <c r="OOF110" s="139"/>
      <c r="OOG110" s="139"/>
      <c r="OOH110" s="139"/>
      <c r="OOI110" s="139"/>
      <c r="OOJ110" s="139"/>
      <c r="OOK110" s="139"/>
      <c r="OOL110" s="139"/>
      <c r="OOM110" s="139"/>
      <c r="OON110" s="139"/>
      <c r="OOO110" s="139"/>
      <c r="OOP110" s="139"/>
      <c r="OOQ110" s="139"/>
      <c r="OOR110" s="139"/>
      <c r="OOS110" s="139"/>
      <c r="OOT110" s="139"/>
      <c r="OOU110" s="139"/>
      <c r="OOV110" s="139"/>
      <c r="OOW110" s="139"/>
      <c r="OOX110" s="139"/>
      <c r="OOY110" s="139"/>
      <c r="OOZ110" s="139"/>
      <c r="OPA110" s="139"/>
      <c r="OPB110" s="139"/>
      <c r="OPC110" s="139"/>
      <c r="OPD110" s="139"/>
      <c r="OPE110" s="139"/>
      <c r="OPF110" s="139"/>
      <c r="OPG110" s="139"/>
      <c r="OPH110" s="139"/>
      <c r="OPI110" s="139"/>
      <c r="OPJ110" s="139"/>
      <c r="OPK110" s="139"/>
      <c r="OPL110" s="139"/>
      <c r="OPM110" s="139"/>
      <c r="OPN110" s="139"/>
      <c r="OPO110" s="139"/>
      <c r="OPP110" s="139"/>
      <c r="OPQ110" s="139"/>
      <c r="OPR110" s="139"/>
      <c r="OPS110" s="139"/>
      <c r="OPT110" s="139"/>
      <c r="OPU110" s="139"/>
      <c r="OPV110" s="139"/>
      <c r="OPW110" s="139"/>
      <c r="OPX110" s="139"/>
      <c r="OPY110" s="139"/>
      <c r="OPZ110" s="139"/>
      <c r="OQA110" s="139"/>
      <c r="OQB110" s="139"/>
      <c r="OQC110" s="139"/>
      <c r="OQD110" s="139"/>
      <c r="OQE110" s="139"/>
      <c r="OQF110" s="139"/>
      <c r="OQG110" s="139"/>
      <c r="OQH110" s="139"/>
      <c r="OQI110" s="139"/>
      <c r="OQJ110" s="139"/>
      <c r="OQK110" s="139"/>
      <c r="OQL110" s="139"/>
      <c r="OQM110" s="139"/>
      <c r="OQN110" s="139"/>
      <c r="OQO110" s="139"/>
      <c r="OQP110" s="139"/>
      <c r="OQQ110" s="139"/>
      <c r="OQR110" s="139"/>
      <c r="OQS110" s="139"/>
      <c r="OQT110" s="139"/>
      <c r="OQU110" s="139"/>
      <c r="OQV110" s="139"/>
      <c r="OQW110" s="139"/>
      <c r="OQX110" s="139"/>
      <c r="OQY110" s="139"/>
      <c r="OQZ110" s="139"/>
      <c r="ORA110" s="139"/>
      <c r="ORB110" s="139"/>
      <c r="ORC110" s="139"/>
      <c r="ORD110" s="139"/>
      <c r="ORE110" s="139"/>
      <c r="ORF110" s="139"/>
      <c r="ORG110" s="139"/>
      <c r="ORH110" s="139"/>
      <c r="ORI110" s="139"/>
      <c r="ORJ110" s="139"/>
      <c r="ORK110" s="139"/>
      <c r="ORL110" s="139"/>
      <c r="ORM110" s="139"/>
      <c r="ORN110" s="139"/>
      <c r="ORO110" s="139"/>
      <c r="ORP110" s="139"/>
      <c r="ORQ110" s="139"/>
      <c r="ORR110" s="139"/>
      <c r="ORS110" s="139"/>
      <c r="ORT110" s="139"/>
      <c r="ORU110" s="139"/>
      <c r="ORV110" s="139"/>
      <c r="ORW110" s="139"/>
      <c r="ORX110" s="139"/>
      <c r="ORY110" s="139"/>
      <c r="ORZ110" s="139"/>
      <c r="OSA110" s="139"/>
      <c r="OSB110" s="139"/>
      <c r="OSC110" s="139"/>
      <c r="OSD110" s="139"/>
      <c r="OSE110" s="139"/>
      <c r="OSF110" s="139"/>
      <c r="OSG110" s="139"/>
      <c r="OSH110" s="139"/>
      <c r="OSI110" s="139"/>
      <c r="OSJ110" s="139"/>
      <c r="OSK110" s="139"/>
      <c r="OSL110" s="139"/>
      <c r="OSM110" s="139"/>
      <c r="OSN110" s="139"/>
      <c r="OSO110" s="139"/>
      <c r="OSP110" s="139"/>
      <c r="OSQ110" s="139"/>
      <c r="OSR110" s="139"/>
      <c r="OSS110" s="139"/>
      <c r="OST110" s="139"/>
      <c r="OSU110" s="139"/>
      <c r="OSV110" s="139"/>
      <c r="OSW110" s="139"/>
      <c r="OSX110" s="139"/>
      <c r="OSY110" s="139"/>
      <c r="OSZ110" s="139"/>
      <c r="OTA110" s="139"/>
      <c r="OTB110" s="139"/>
      <c r="OTC110" s="139"/>
      <c r="OTD110" s="139"/>
      <c r="OTE110" s="139"/>
      <c r="OTF110" s="139"/>
      <c r="OTG110" s="139"/>
      <c r="OTH110" s="139"/>
      <c r="OTI110" s="139"/>
      <c r="OTJ110" s="139"/>
      <c r="OTK110" s="139"/>
      <c r="OTL110" s="139"/>
      <c r="OTM110" s="139"/>
      <c r="OTN110" s="139"/>
      <c r="OTO110" s="139"/>
      <c r="OTP110" s="139"/>
      <c r="OTQ110" s="139"/>
      <c r="OTR110" s="139"/>
      <c r="OTS110" s="139"/>
      <c r="OTT110" s="139"/>
      <c r="OTU110" s="139"/>
      <c r="OTV110" s="139"/>
      <c r="OTW110" s="139"/>
      <c r="OTX110" s="139"/>
      <c r="OTY110" s="139"/>
      <c r="OTZ110" s="139"/>
      <c r="OUA110" s="139"/>
      <c r="OUB110" s="139"/>
      <c r="OUC110" s="139"/>
      <c r="OUD110" s="139"/>
      <c r="OUE110" s="139"/>
      <c r="OUF110" s="139"/>
      <c r="OUG110" s="139"/>
      <c r="OUH110" s="139"/>
      <c r="OUI110" s="139"/>
      <c r="OUJ110" s="139"/>
      <c r="OUK110" s="139"/>
      <c r="OUL110" s="139"/>
      <c r="OUM110" s="139"/>
      <c r="OUN110" s="139"/>
      <c r="OUO110" s="139"/>
      <c r="OUP110" s="139"/>
      <c r="OUQ110" s="139"/>
      <c r="OUR110" s="139"/>
      <c r="OUS110" s="139"/>
      <c r="OUT110" s="139"/>
      <c r="OUU110" s="139"/>
      <c r="OUV110" s="139"/>
      <c r="OUW110" s="139"/>
      <c r="OUX110" s="139"/>
      <c r="OUY110" s="139"/>
      <c r="OUZ110" s="139"/>
      <c r="OVA110" s="139"/>
      <c r="OVB110" s="139"/>
      <c r="OVC110" s="139"/>
      <c r="OVD110" s="139"/>
      <c r="OVE110" s="139"/>
      <c r="OVF110" s="139"/>
      <c r="OVG110" s="139"/>
      <c r="OVH110" s="139"/>
      <c r="OVI110" s="139"/>
      <c r="OVJ110" s="139"/>
      <c r="OVK110" s="139"/>
      <c r="OVL110" s="139"/>
      <c r="OVM110" s="139"/>
      <c r="OVN110" s="139"/>
      <c r="OVO110" s="139"/>
      <c r="OVP110" s="139"/>
      <c r="OVQ110" s="139"/>
      <c r="OVR110" s="139"/>
      <c r="OVS110" s="139"/>
      <c r="OVT110" s="139"/>
      <c r="OVU110" s="139"/>
      <c r="OVV110" s="139"/>
      <c r="OVW110" s="139"/>
      <c r="OVX110" s="139"/>
      <c r="OVY110" s="139"/>
      <c r="OVZ110" s="139"/>
      <c r="OWA110" s="139"/>
      <c r="OWB110" s="139"/>
      <c r="OWC110" s="139"/>
      <c r="OWD110" s="139"/>
      <c r="OWE110" s="139"/>
      <c r="OWF110" s="139"/>
      <c r="OWG110" s="139"/>
      <c r="OWH110" s="139"/>
      <c r="OWI110" s="139"/>
      <c r="OWJ110" s="139"/>
      <c r="OWK110" s="139"/>
      <c r="OWL110" s="139"/>
      <c r="OWM110" s="139"/>
      <c r="OWN110" s="139"/>
      <c r="OWO110" s="139"/>
      <c r="OWP110" s="139"/>
      <c r="OWQ110" s="139"/>
      <c r="OWR110" s="139"/>
      <c r="OWS110" s="139"/>
      <c r="OWT110" s="139"/>
      <c r="OWU110" s="139"/>
      <c r="OWV110" s="139"/>
      <c r="OWW110" s="139"/>
      <c r="OWX110" s="139"/>
      <c r="OWY110" s="139"/>
      <c r="OWZ110" s="139"/>
      <c r="OXA110" s="139"/>
      <c r="OXB110" s="139"/>
      <c r="OXC110" s="139"/>
      <c r="OXD110" s="139"/>
      <c r="OXE110" s="139"/>
      <c r="OXF110" s="139"/>
      <c r="OXG110" s="139"/>
      <c r="OXH110" s="139"/>
      <c r="OXI110" s="139"/>
      <c r="OXJ110" s="139"/>
      <c r="OXK110" s="139"/>
      <c r="OXL110" s="139"/>
      <c r="OXM110" s="139"/>
      <c r="OXN110" s="139"/>
      <c r="OXO110" s="139"/>
      <c r="OXP110" s="139"/>
      <c r="OXQ110" s="139"/>
      <c r="OXR110" s="139"/>
      <c r="OXS110" s="139"/>
      <c r="OXT110" s="139"/>
      <c r="OXU110" s="139"/>
      <c r="OXV110" s="139"/>
      <c r="OXW110" s="139"/>
      <c r="OXX110" s="139"/>
      <c r="OXY110" s="139"/>
      <c r="OXZ110" s="139"/>
      <c r="OYA110" s="139"/>
      <c r="OYB110" s="139"/>
      <c r="OYC110" s="139"/>
      <c r="OYD110" s="139"/>
      <c r="OYE110" s="139"/>
      <c r="OYF110" s="139"/>
      <c r="OYG110" s="139"/>
      <c r="OYH110" s="139"/>
      <c r="OYI110" s="139"/>
      <c r="OYJ110" s="139"/>
      <c r="OYK110" s="139"/>
      <c r="OYL110" s="139"/>
      <c r="OYM110" s="139"/>
      <c r="OYN110" s="139"/>
      <c r="OYO110" s="139"/>
      <c r="OYP110" s="139"/>
      <c r="OYQ110" s="139"/>
      <c r="OYR110" s="139"/>
      <c r="OYS110" s="139"/>
      <c r="OYT110" s="139"/>
      <c r="OYU110" s="139"/>
      <c r="OYV110" s="139"/>
      <c r="OYW110" s="139"/>
      <c r="OYX110" s="139"/>
      <c r="OYY110" s="139"/>
      <c r="OYZ110" s="139"/>
      <c r="OZA110" s="139"/>
      <c r="OZB110" s="139"/>
      <c r="OZC110" s="139"/>
      <c r="OZD110" s="139"/>
      <c r="OZE110" s="139"/>
      <c r="OZF110" s="139"/>
      <c r="OZG110" s="139"/>
      <c r="OZH110" s="139"/>
      <c r="OZI110" s="139"/>
      <c r="OZJ110" s="139"/>
      <c r="OZK110" s="139"/>
      <c r="OZL110" s="139"/>
      <c r="OZM110" s="139"/>
      <c r="OZN110" s="139"/>
      <c r="OZO110" s="139"/>
      <c r="OZP110" s="139"/>
      <c r="OZQ110" s="139"/>
      <c r="OZR110" s="139"/>
      <c r="OZS110" s="139"/>
      <c r="OZT110" s="139"/>
      <c r="OZU110" s="139"/>
      <c r="OZV110" s="139"/>
      <c r="OZW110" s="139"/>
      <c r="OZX110" s="139"/>
      <c r="OZY110" s="139"/>
      <c r="OZZ110" s="139"/>
      <c r="PAA110" s="139"/>
      <c r="PAB110" s="139"/>
      <c r="PAC110" s="139"/>
      <c r="PAD110" s="139"/>
      <c r="PAE110" s="139"/>
      <c r="PAF110" s="139"/>
      <c r="PAG110" s="139"/>
      <c r="PAH110" s="139"/>
      <c r="PAI110" s="139"/>
      <c r="PAJ110" s="139"/>
      <c r="PAK110" s="139"/>
      <c r="PAL110" s="139"/>
      <c r="PAM110" s="139"/>
      <c r="PAN110" s="139"/>
      <c r="PAO110" s="139"/>
      <c r="PAP110" s="139"/>
      <c r="PAQ110" s="139"/>
      <c r="PAR110" s="139"/>
      <c r="PAS110" s="139"/>
      <c r="PAT110" s="139"/>
      <c r="PAU110" s="139"/>
      <c r="PAV110" s="139"/>
      <c r="PAW110" s="139"/>
      <c r="PAX110" s="139"/>
      <c r="PAY110" s="139"/>
      <c r="PAZ110" s="139"/>
      <c r="PBA110" s="139"/>
      <c r="PBB110" s="139"/>
      <c r="PBC110" s="139"/>
      <c r="PBD110" s="139"/>
      <c r="PBE110" s="139"/>
      <c r="PBF110" s="139"/>
      <c r="PBG110" s="139"/>
      <c r="PBH110" s="139"/>
      <c r="PBI110" s="139"/>
      <c r="PBJ110" s="139"/>
      <c r="PBK110" s="139"/>
      <c r="PBL110" s="139"/>
      <c r="PBM110" s="139"/>
      <c r="PBN110" s="139"/>
      <c r="PBO110" s="139"/>
      <c r="PBP110" s="139"/>
      <c r="PBQ110" s="139"/>
      <c r="PBR110" s="139"/>
      <c r="PBS110" s="139"/>
      <c r="PBT110" s="139"/>
      <c r="PBU110" s="139"/>
      <c r="PBV110" s="139"/>
      <c r="PBW110" s="139"/>
      <c r="PBX110" s="139"/>
      <c r="PBY110" s="139"/>
      <c r="PBZ110" s="139"/>
      <c r="PCA110" s="139"/>
      <c r="PCB110" s="139"/>
      <c r="PCC110" s="139"/>
      <c r="PCD110" s="139"/>
      <c r="PCE110" s="139"/>
      <c r="PCF110" s="139"/>
      <c r="PCG110" s="139"/>
      <c r="PCH110" s="139"/>
      <c r="PCI110" s="139"/>
      <c r="PCJ110" s="139"/>
      <c r="PCK110" s="139"/>
      <c r="PCL110" s="139"/>
      <c r="PCM110" s="139"/>
      <c r="PCN110" s="139"/>
      <c r="PCO110" s="139"/>
      <c r="PCP110" s="139"/>
      <c r="PCQ110" s="139"/>
      <c r="PCR110" s="139"/>
      <c r="PCS110" s="139"/>
      <c r="PCT110" s="139"/>
      <c r="PCU110" s="139"/>
      <c r="PCV110" s="139"/>
      <c r="PCW110" s="139"/>
      <c r="PCX110" s="139"/>
      <c r="PCY110" s="139"/>
      <c r="PCZ110" s="139"/>
      <c r="PDA110" s="139"/>
      <c r="PDB110" s="139"/>
      <c r="PDC110" s="139"/>
      <c r="PDD110" s="139"/>
      <c r="PDE110" s="139"/>
      <c r="PDF110" s="139"/>
      <c r="PDG110" s="139"/>
      <c r="PDH110" s="139"/>
      <c r="PDI110" s="139"/>
      <c r="PDJ110" s="139"/>
      <c r="PDK110" s="139"/>
      <c r="PDL110" s="139"/>
      <c r="PDM110" s="139"/>
      <c r="PDN110" s="139"/>
      <c r="PDO110" s="139"/>
      <c r="PDP110" s="139"/>
      <c r="PDQ110" s="139"/>
      <c r="PDR110" s="139"/>
      <c r="PDS110" s="139"/>
      <c r="PDT110" s="139"/>
      <c r="PDU110" s="139"/>
      <c r="PDV110" s="139"/>
      <c r="PDW110" s="139"/>
      <c r="PDX110" s="139"/>
      <c r="PDY110" s="139"/>
      <c r="PDZ110" s="139"/>
      <c r="PEA110" s="139"/>
      <c r="PEB110" s="139"/>
      <c r="PEC110" s="139"/>
      <c r="PED110" s="139"/>
      <c r="PEE110" s="139"/>
      <c r="PEF110" s="139"/>
      <c r="PEG110" s="139"/>
      <c r="PEH110" s="139"/>
      <c r="PEI110" s="139"/>
      <c r="PEJ110" s="139"/>
      <c r="PEK110" s="139"/>
      <c r="PEL110" s="139"/>
      <c r="PEM110" s="139"/>
      <c r="PEN110" s="139"/>
      <c r="PEO110" s="139"/>
      <c r="PEP110" s="139"/>
      <c r="PEQ110" s="139"/>
      <c r="PER110" s="139"/>
      <c r="PES110" s="139"/>
      <c r="PET110" s="139"/>
      <c r="PEU110" s="139"/>
      <c r="PEV110" s="139"/>
      <c r="PEW110" s="139"/>
      <c r="PEX110" s="139"/>
      <c r="PEY110" s="139"/>
      <c r="PEZ110" s="139"/>
      <c r="PFA110" s="139"/>
      <c r="PFB110" s="139"/>
      <c r="PFC110" s="139"/>
      <c r="PFD110" s="139"/>
      <c r="PFE110" s="139"/>
      <c r="PFF110" s="139"/>
      <c r="PFG110" s="139"/>
      <c r="PFH110" s="139"/>
      <c r="PFI110" s="139"/>
      <c r="PFJ110" s="139"/>
      <c r="PFK110" s="139"/>
      <c r="PFL110" s="139"/>
      <c r="PFM110" s="139"/>
      <c r="PFN110" s="139"/>
      <c r="PFO110" s="139"/>
      <c r="PFP110" s="139"/>
      <c r="PFQ110" s="139"/>
      <c r="PFR110" s="139"/>
      <c r="PFS110" s="139"/>
      <c r="PFT110" s="139"/>
      <c r="PFU110" s="139"/>
      <c r="PFV110" s="139"/>
      <c r="PFW110" s="139"/>
      <c r="PFX110" s="139"/>
      <c r="PFY110" s="139"/>
      <c r="PFZ110" s="139"/>
      <c r="PGA110" s="139"/>
      <c r="PGB110" s="139"/>
      <c r="PGC110" s="139"/>
      <c r="PGD110" s="139"/>
      <c r="PGE110" s="139"/>
      <c r="PGF110" s="139"/>
      <c r="PGG110" s="139"/>
      <c r="PGH110" s="139"/>
      <c r="PGI110" s="139"/>
      <c r="PGJ110" s="139"/>
      <c r="PGK110" s="139"/>
      <c r="PGL110" s="139"/>
      <c r="PGM110" s="139"/>
      <c r="PGN110" s="139"/>
      <c r="PGO110" s="139"/>
      <c r="PGP110" s="139"/>
      <c r="PGQ110" s="139"/>
      <c r="PGR110" s="139"/>
      <c r="PGS110" s="139"/>
      <c r="PGT110" s="139"/>
      <c r="PGU110" s="139"/>
      <c r="PGV110" s="139"/>
      <c r="PGW110" s="139"/>
      <c r="PGX110" s="139"/>
      <c r="PGY110" s="139"/>
      <c r="PGZ110" s="139"/>
      <c r="PHA110" s="139"/>
      <c r="PHB110" s="139"/>
      <c r="PHC110" s="139"/>
      <c r="PHD110" s="139"/>
      <c r="PHE110" s="139"/>
      <c r="PHF110" s="139"/>
      <c r="PHG110" s="139"/>
      <c r="PHH110" s="139"/>
      <c r="PHI110" s="139"/>
      <c r="PHJ110" s="139"/>
      <c r="PHK110" s="139"/>
      <c r="PHL110" s="139"/>
      <c r="PHM110" s="139"/>
      <c r="PHN110" s="139"/>
      <c r="PHO110" s="139"/>
      <c r="PHP110" s="139"/>
      <c r="PHQ110" s="139"/>
      <c r="PHR110" s="139"/>
      <c r="PHS110" s="139"/>
      <c r="PHT110" s="139"/>
      <c r="PHU110" s="139"/>
      <c r="PHV110" s="139"/>
      <c r="PHW110" s="139"/>
      <c r="PHX110" s="139"/>
      <c r="PHY110" s="139"/>
      <c r="PHZ110" s="139"/>
      <c r="PIA110" s="139"/>
      <c r="PIB110" s="139"/>
      <c r="PIC110" s="139"/>
      <c r="PID110" s="139"/>
      <c r="PIE110" s="139"/>
      <c r="PIF110" s="139"/>
      <c r="PIG110" s="139"/>
      <c r="PIH110" s="139"/>
      <c r="PII110" s="139"/>
      <c r="PIJ110" s="139"/>
      <c r="PIK110" s="139"/>
      <c r="PIL110" s="139"/>
      <c r="PIM110" s="139"/>
      <c r="PIN110" s="139"/>
      <c r="PIO110" s="139"/>
      <c r="PIP110" s="139"/>
      <c r="PIQ110" s="139"/>
      <c r="PIR110" s="139"/>
      <c r="PIS110" s="139"/>
      <c r="PIT110" s="139"/>
      <c r="PIU110" s="139"/>
      <c r="PIV110" s="139"/>
      <c r="PIW110" s="139"/>
      <c r="PIX110" s="139"/>
      <c r="PIY110" s="139"/>
      <c r="PIZ110" s="139"/>
      <c r="PJA110" s="139"/>
      <c r="PJB110" s="139"/>
      <c r="PJC110" s="139"/>
      <c r="PJD110" s="139"/>
      <c r="PJE110" s="139"/>
      <c r="PJF110" s="139"/>
      <c r="PJG110" s="139"/>
      <c r="PJH110" s="139"/>
      <c r="PJI110" s="139"/>
      <c r="PJJ110" s="139"/>
      <c r="PJK110" s="139"/>
      <c r="PJL110" s="139"/>
      <c r="PJM110" s="139"/>
      <c r="PJN110" s="139"/>
      <c r="PJO110" s="139"/>
      <c r="PJP110" s="139"/>
      <c r="PJQ110" s="139"/>
      <c r="PJR110" s="139"/>
      <c r="PJS110" s="139"/>
      <c r="PJT110" s="139"/>
      <c r="PJU110" s="139"/>
      <c r="PJV110" s="139"/>
      <c r="PJW110" s="139"/>
      <c r="PJX110" s="139"/>
      <c r="PJY110" s="139"/>
      <c r="PJZ110" s="139"/>
      <c r="PKA110" s="139"/>
      <c r="PKB110" s="139"/>
      <c r="PKC110" s="139"/>
      <c r="PKD110" s="139"/>
      <c r="PKE110" s="139"/>
      <c r="PKF110" s="139"/>
      <c r="PKG110" s="139"/>
      <c r="PKH110" s="139"/>
      <c r="PKI110" s="139"/>
      <c r="PKJ110" s="139"/>
      <c r="PKK110" s="139"/>
      <c r="PKL110" s="139"/>
      <c r="PKM110" s="139"/>
      <c r="PKN110" s="139"/>
      <c r="PKO110" s="139"/>
      <c r="PKP110" s="139"/>
      <c r="PKQ110" s="139"/>
      <c r="PKR110" s="139"/>
      <c r="PKS110" s="139"/>
      <c r="PKT110" s="139"/>
      <c r="PKU110" s="139"/>
      <c r="PKV110" s="139"/>
      <c r="PKW110" s="139"/>
      <c r="PKX110" s="139"/>
      <c r="PKY110" s="139"/>
      <c r="PKZ110" s="139"/>
      <c r="PLA110" s="139"/>
      <c r="PLB110" s="139"/>
      <c r="PLC110" s="139"/>
      <c r="PLD110" s="139"/>
      <c r="PLE110" s="139"/>
      <c r="PLF110" s="139"/>
      <c r="PLG110" s="139"/>
      <c r="PLH110" s="139"/>
      <c r="PLI110" s="139"/>
      <c r="PLJ110" s="139"/>
      <c r="PLK110" s="139"/>
      <c r="PLL110" s="139"/>
      <c r="PLM110" s="139"/>
      <c r="PLN110" s="139"/>
      <c r="PLO110" s="139"/>
      <c r="PLP110" s="139"/>
      <c r="PLQ110" s="139"/>
      <c r="PLR110" s="139"/>
      <c r="PLS110" s="139"/>
      <c r="PLT110" s="139"/>
      <c r="PLU110" s="139"/>
      <c r="PLV110" s="139"/>
      <c r="PLW110" s="139"/>
      <c r="PLX110" s="139"/>
      <c r="PLY110" s="139"/>
      <c r="PLZ110" s="139"/>
      <c r="PMA110" s="139"/>
      <c r="PMB110" s="139"/>
      <c r="PMC110" s="139"/>
      <c r="PMD110" s="139"/>
      <c r="PME110" s="139"/>
      <c r="PMF110" s="139"/>
      <c r="PMG110" s="139"/>
      <c r="PMH110" s="139"/>
      <c r="PMI110" s="139"/>
      <c r="PMJ110" s="139"/>
      <c r="PMK110" s="139"/>
      <c r="PML110" s="139"/>
      <c r="PMM110" s="139"/>
      <c r="PMN110" s="139"/>
      <c r="PMO110" s="139"/>
      <c r="PMP110" s="139"/>
      <c r="PMQ110" s="139"/>
      <c r="PMR110" s="139"/>
      <c r="PMS110" s="139"/>
      <c r="PMT110" s="139"/>
      <c r="PMU110" s="139"/>
      <c r="PMV110" s="139"/>
      <c r="PMW110" s="139"/>
      <c r="PMX110" s="139"/>
      <c r="PMY110" s="139"/>
      <c r="PMZ110" s="139"/>
      <c r="PNA110" s="139"/>
      <c r="PNB110" s="139"/>
      <c r="PNC110" s="139"/>
      <c r="PND110" s="139"/>
      <c r="PNE110" s="139"/>
      <c r="PNF110" s="139"/>
      <c r="PNG110" s="139"/>
      <c r="PNH110" s="139"/>
      <c r="PNI110" s="139"/>
      <c r="PNJ110" s="139"/>
      <c r="PNK110" s="139"/>
      <c r="PNL110" s="139"/>
      <c r="PNM110" s="139"/>
      <c r="PNN110" s="139"/>
      <c r="PNO110" s="139"/>
      <c r="PNP110" s="139"/>
      <c r="PNQ110" s="139"/>
      <c r="PNR110" s="139"/>
      <c r="PNS110" s="139"/>
      <c r="PNT110" s="139"/>
      <c r="PNU110" s="139"/>
      <c r="PNV110" s="139"/>
      <c r="PNW110" s="139"/>
      <c r="PNX110" s="139"/>
      <c r="PNY110" s="139"/>
      <c r="PNZ110" s="139"/>
      <c r="POA110" s="139"/>
      <c r="POB110" s="139"/>
      <c r="POC110" s="139"/>
      <c r="POD110" s="139"/>
      <c r="POE110" s="139"/>
      <c r="POF110" s="139"/>
      <c r="POG110" s="139"/>
      <c r="POH110" s="139"/>
      <c r="POI110" s="139"/>
      <c r="POJ110" s="139"/>
      <c r="POK110" s="139"/>
      <c r="POL110" s="139"/>
      <c r="POM110" s="139"/>
      <c r="PON110" s="139"/>
      <c r="POO110" s="139"/>
      <c r="POP110" s="139"/>
      <c r="POQ110" s="139"/>
      <c r="POR110" s="139"/>
      <c r="POS110" s="139"/>
      <c r="POT110" s="139"/>
      <c r="POU110" s="139"/>
      <c r="POV110" s="139"/>
      <c r="POW110" s="139"/>
      <c r="POX110" s="139"/>
      <c r="POY110" s="139"/>
      <c r="POZ110" s="139"/>
      <c r="PPA110" s="139"/>
      <c r="PPB110" s="139"/>
      <c r="PPC110" s="139"/>
      <c r="PPD110" s="139"/>
      <c r="PPE110" s="139"/>
      <c r="PPF110" s="139"/>
      <c r="PPG110" s="139"/>
      <c r="PPH110" s="139"/>
      <c r="PPI110" s="139"/>
      <c r="PPJ110" s="139"/>
      <c r="PPK110" s="139"/>
      <c r="PPL110" s="139"/>
      <c r="PPM110" s="139"/>
      <c r="PPN110" s="139"/>
      <c r="PPO110" s="139"/>
      <c r="PPP110" s="139"/>
      <c r="PPQ110" s="139"/>
      <c r="PPR110" s="139"/>
      <c r="PPS110" s="139"/>
      <c r="PPT110" s="139"/>
      <c r="PPU110" s="139"/>
      <c r="PPV110" s="139"/>
      <c r="PPW110" s="139"/>
      <c r="PPX110" s="139"/>
      <c r="PPY110" s="139"/>
      <c r="PPZ110" s="139"/>
      <c r="PQA110" s="139"/>
      <c r="PQB110" s="139"/>
      <c r="PQC110" s="139"/>
      <c r="PQD110" s="139"/>
      <c r="PQE110" s="139"/>
      <c r="PQF110" s="139"/>
      <c r="PQG110" s="139"/>
      <c r="PQH110" s="139"/>
      <c r="PQI110" s="139"/>
      <c r="PQJ110" s="139"/>
      <c r="PQK110" s="139"/>
      <c r="PQL110" s="139"/>
      <c r="PQM110" s="139"/>
      <c r="PQN110" s="139"/>
      <c r="PQO110" s="139"/>
      <c r="PQP110" s="139"/>
      <c r="PQQ110" s="139"/>
      <c r="PQR110" s="139"/>
      <c r="PQS110" s="139"/>
      <c r="PQT110" s="139"/>
      <c r="PQU110" s="139"/>
      <c r="PQV110" s="139"/>
      <c r="PQW110" s="139"/>
      <c r="PQX110" s="139"/>
      <c r="PQY110" s="139"/>
      <c r="PQZ110" s="139"/>
      <c r="PRA110" s="139"/>
      <c r="PRB110" s="139"/>
      <c r="PRC110" s="139"/>
      <c r="PRD110" s="139"/>
      <c r="PRE110" s="139"/>
      <c r="PRF110" s="139"/>
      <c r="PRG110" s="139"/>
      <c r="PRH110" s="139"/>
      <c r="PRI110" s="139"/>
      <c r="PRJ110" s="139"/>
      <c r="PRK110" s="139"/>
      <c r="PRL110" s="139"/>
      <c r="PRM110" s="139"/>
      <c r="PRN110" s="139"/>
      <c r="PRO110" s="139"/>
      <c r="PRP110" s="139"/>
      <c r="PRQ110" s="139"/>
      <c r="PRR110" s="139"/>
      <c r="PRS110" s="139"/>
      <c r="PRT110" s="139"/>
      <c r="PRU110" s="139"/>
      <c r="PRV110" s="139"/>
      <c r="PRW110" s="139"/>
      <c r="PRX110" s="139"/>
      <c r="PRY110" s="139"/>
      <c r="PRZ110" s="139"/>
      <c r="PSA110" s="139"/>
      <c r="PSB110" s="139"/>
      <c r="PSC110" s="139"/>
      <c r="PSD110" s="139"/>
      <c r="PSE110" s="139"/>
      <c r="PSF110" s="139"/>
      <c r="PSG110" s="139"/>
      <c r="PSH110" s="139"/>
      <c r="PSI110" s="139"/>
      <c r="PSJ110" s="139"/>
      <c r="PSK110" s="139"/>
      <c r="PSL110" s="139"/>
      <c r="PSM110" s="139"/>
      <c r="PSN110" s="139"/>
      <c r="PSO110" s="139"/>
      <c r="PSP110" s="139"/>
      <c r="PSQ110" s="139"/>
      <c r="PSR110" s="139"/>
      <c r="PSS110" s="139"/>
      <c r="PST110" s="139"/>
      <c r="PSU110" s="139"/>
      <c r="PSV110" s="139"/>
      <c r="PSW110" s="139"/>
      <c r="PSX110" s="139"/>
      <c r="PSY110" s="139"/>
      <c r="PSZ110" s="139"/>
      <c r="PTA110" s="139"/>
      <c r="PTB110" s="139"/>
      <c r="PTC110" s="139"/>
      <c r="PTD110" s="139"/>
      <c r="PTE110" s="139"/>
      <c r="PTF110" s="139"/>
      <c r="PTG110" s="139"/>
      <c r="PTH110" s="139"/>
      <c r="PTI110" s="139"/>
      <c r="PTJ110" s="139"/>
      <c r="PTK110" s="139"/>
      <c r="PTL110" s="139"/>
      <c r="PTM110" s="139"/>
      <c r="PTN110" s="139"/>
      <c r="PTO110" s="139"/>
      <c r="PTP110" s="139"/>
      <c r="PTQ110" s="139"/>
      <c r="PTR110" s="139"/>
      <c r="PTS110" s="139"/>
      <c r="PTT110" s="139"/>
      <c r="PTU110" s="139"/>
      <c r="PTV110" s="139"/>
      <c r="PTW110" s="139"/>
      <c r="PTX110" s="139"/>
      <c r="PTY110" s="139"/>
      <c r="PTZ110" s="139"/>
      <c r="PUA110" s="139"/>
      <c r="PUB110" s="139"/>
      <c r="PUC110" s="139"/>
      <c r="PUD110" s="139"/>
      <c r="PUE110" s="139"/>
      <c r="PUF110" s="139"/>
      <c r="PUG110" s="139"/>
      <c r="PUH110" s="139"/>
      <c r="PUI110" s="139"/>
      <c r="PUJ110" s="139"/>
      <c r="PUK110" s="139"/>
      <c r="PUL110" s="139"/>
      <c r="PUM110" s="139"/>
      <c r="PUN110" s="139"/>
      <c r="PUO110" s="139"/>
      <c r="PUP110" s="139"/>
      <c r="PUQ110" s="139"/>
      <c r="PUR110" s="139"/>
      <c r="PUS110" s="139"/>
      <c r="PUT110" s="139"/>
      <c r="PUU110" s="139"/>
      <c r="PUV110" s="139"/>
      <c r="PUW110" s="139"/>
      <c r="PUX110" s="139"/>
      <c r="PUY110" s="139"/>
      <c r="PUZ110" s="139"/>
      <c r="PVA110" s="139"/>
      <c r="PVB110" s="139"/>
      <c r="PVC110" s="139"/>
      <c r="PVD110" s="139"/>
      <c r="PVE110" s="139"/>
      <c r="PVF110" s="139"/>
      <c r="PVG110" s="139"/>
      <c r="PVH110" s="139"/>
      <c r="PVI110" s="139"/>
      <c r="PVJ110" s="139"/>
      <c r="PVK110" s="139"/>
      <c r="PVL110" s="139"/>
      <c r="PVM110" s="139"/>
      <c r="PVN110" s="139"/>
      <c r="PVO110" s="139"/>
      <c r="PVP110" s="139"/>
      <c r="PVQ110" s="139"/>
      <c r="PVR110" s="139"/>
      <c r="PVS110" s="139"/>
      <c r="PVT110" s="139"/>
      <c r="PVU110" s="139"/>
      <c r="PVV110" s="139"/>
      <c r="PVW110" s="139"/>
      <c r="PVX110" s="139"/>
      <c r="PVY110" s="139"/>
      <c r="PVZ110" s="139"/>
      <c r="PWA110" s="139"/>
      <c r="PWB110" s="139"/>
      <c r="PWC110" s="139"/>
      <c r="PWD110" s="139"/>
      <c r="PWE110" s="139"/>
      <c r="PWF110" s="139"/>
      <c r="PWG110" s="139"/>
      <c r="PWH110" s="139"/>
      <c r="PWI110" s="139"/>
      <c r="PWJ110" s="139"/>
      <c r="PWK110" s="139"/>
      <c r="PWL110" s="139"/>
      <c r="PWM110" s="139"/>
      <c r="PWN110" s="139"/>
      <c r="PWO110" s="139"/>
      <c r="PWP110" s="139"/>
      <c r="PWQ110" s="139"/>
      <c r="PWR110" s="139"/>
      <c r="PWS110" s="139"/>
      <c r="PWT110" s="139"/>
      <c r="PWU110" s="139"/>
      <c r="PWV110" s="139"/>
      <c r="PWW110" s="139"/>
      <c r="PWX110" s="139"/>
      <c r="PWY110" s="139"/>
      <c r="PWZ110" s="139"/>
      <c r="PXA110" s="139"/>
      <c r="PXB110" s="139"/>
      <c r="PXC110" s="139"/>
      <c r="PXD110" s="139"/>
      <c r="PXE110" s="139"/>
      <c r="PXF110" s="139"/>
      <c r="PXG110" s="139"/>
      <c r="PXH110" s="139"/>
      <c r="PXI110" s="139"/>
      <c r="PXJ110" s="139"/>
      <c r="PXK110" s="139"/>
      <c r="PXL110" s="139"/>
      <c r="PXM110" s="139"/>
      <c r="PXN110" s="139"/>
      <c r="PXO110" s="139"/>
      <c r="PXP110" s="139"/>
      <c r="PXQ110" s="139"/>
      <c r="PXR110" s="139"/>
      <c r="PXS110" s="139"/>
      <c r="PXT110" s="139"/>
      <c r="PXU110" s="139"/>
      <c r="PXV110" s="139"/>
      <c r="PXW110" s="139"/>
      <c r="PXX110" s="139"/>
      <c r="PXY110" s="139"/>
      <c r="PXZ110" s="139"/>
      <c r="PYA110" s="139"/>
      <c r="PYB110" s="139"/>
      <c r="PYC110" s="139"/>
      <c r="PYD110" s="139"/>
      <c r="PYE110" s="139"/>
      <c r="PYF110" s="139"/>
      <c r="PYG110" s="139"/>
      <c r="PYH110" s="139"/>
      <c r="PYI110" s="139"/>
      <c r="PYJ110" s="139"/>
      <c r="PYK110" s="139"/>
      <c r="PYL110" s="139"/>
      <c r="PYM110" s="139"/>
      <c r="PYN110" s="139"/>
      <c r="PYO110" s="139"/>
      <c r="PYP110" s="139"/>
      <c r="PYQ110" s="139"/>
      <c r="PYR110" s="139"/>
      <c r="PYS110" s="139"/>
      <c r="PYT110" s="139"/>
      <c r="PYU110" s="139"/>
      <c r="PYV110" s="139"/>
      <c r="PYW110" s="139"/>
      <c r="PYX110" s="139"/>
      <c r="PYY110" s="139"/>
      <c r="PYZ110" s="139"/>
      <c r="PZA110" s="139"/>
      <c r="PZB110" s="139"/>
      <c r="PZC110" s="139"/>
      <c r="PZD110" s="139"/>
      <c r="PZE110" s="139"/>
      <c r="PZF110" s="139"/>
      <c r="PZG110" s="139"/>
      <c r="PZH110" s="139"/>
      <c r="PZI110" s="139"/>
      <c r="PZJ110" s="139"/>
      <c r="PZK110" s="139"/>
      <c r="PZL110" s="139"/>
      <c r="PZM110" s="139"/>
      <c r="PZN110" s="139"/>
      <c r="PZO110" s="139"/>
      <c r="PZP110" s="139"/>
      <c r="PZQ110" s="139"/>
      <c r="PZR110" s="139"/>
      <c r="PZS110" s="139"/>
      <c r="PZT110" s="139"/>
      <c r="PZU110" s="139"/>
      <c r="PZV110" s="139"/>
      <c r="PZW110" s="139"/>
      <c r="PZX110" s="139"/>
      <c r="PZY110" s="139"/>
      <c r="PZZ110" s="139"/>
      <c r="QAA110" s="139"/>
      <c r="QAB110" s="139"/>
      <c r="QAC110" s="139"/>
      <c r="QAD110" s="139"/>
      <c r="QAE110" s="139"/>
      <c r="QAF110" s="139"/>
      <c r="QAG110" s="139"/>
      <c r="QAH110" s="139"/>
      <c r="QAI110" s="139"/>
      <c r="QAJ110" s="139"/>
      <c r="QAK110" s="139"/>
      <c r="QAL110" s="139"/>
      <c r="QAM110" s="139"/>
      <c r="QAN110" s="139"/>
      <c r="QAO110" s="139"/>
      <c r="QAP110" s="139"/>
      <c r="QAQ110" s="139"/>
      <c r="QAR110" s="139"/>
      <c r="QAS110" s="139"/>
      <c r="QAT110" s="139"/>
      <c r="QAU110" s="139"/>
      <c r="QAV110" s="139"/>
      <c r="QAW110" s="139"/>
      <c r="QAX110" s="139"/>
      <c r="QAY110" s="139"/>
      <c r="QAZ110" s="139"/>
      <c r="QBA110" s="139"/>
      <c r="QBB110" s="139"/>
      <c r="QBC110" s="139"/>
      <c r="QBD110" s="139"/>
      <c r="QBE110" s="139"/>
      <c r="QBF110" s="139"/>
      <c r="QBG110" s="139"/>
      <c r="QBH110" s="139"/>
      <c r="QBI110" s="139"/>
      <c r="QBJ110" s="139"/>
      <c r="QBK110" s="139"/>
      <c r="QBL110" s="139"/>
      <c r="QBM110" s="139"/>
      <c r="QBN110" s="139"/>
      <c r="QBO110" s="139"/>
      <c r="QBP110" s="139"/>
      <c r="QBQ110" s="139"/>
      <c r="QBR110" s="139"/>
      <c r="QBS110" s="139"/>
      <c r="QBT110" s="139"/>
      <c r="QBU110" s="139"/>
      <c r="QBV110" s="139"/>
      <c r="QBW110" s="139"/>
      <c r="QBX110" s="139"/>
      <c r="QBY110" s="139"/>
      <c r="QBZ110" s="139"/>
      <c r="QCA110" s="139"/>
      <c r="QCB110" s="139"/>
      <c r="QCC110" s="139"/>
      <c r="QCD110" s="139"/>
      <c r="QCE110" s="139"/>
      <c r="QCF110" s="139"/>
      <c r="QCG110" s="139"/>
      <c r="QCH110" s="139"/>
      <c r="QCI110" s="139"/>
      <c r="QCJ110" s="139"/>
      <c r="QCK110" s="139"/>
      <c r="QCL110" s="139"/>
      <c r="QCM110" s="139"/>
      <c r="QCN110" s="139"/>
      <c r="QCO110" s="139"/>
      <c r="QCP110" s="139"/>
      <c r="QCQ110" s="139"/>
      <c r="QCR110" s="139"/>
      <c r="QCS110" s="139"/>
      <c r="QCT110" s="139"/>
      <c r="QCU110" s="139"/>
      <c r="QCV110" s="139"/>
      <c r="QCW110" s="139"/>
      <c r="QCX110" s="139"/>
      <c r="QCY110" s="139"/>
      <c r="QCZ110" s="139"/>
      <c r="QDA110" s="139"/>
      <c r="QDB110" s="139"/>
      <c r="QDC110" s="139"/>
      <c r="QDD110" s="139"/>
      <c r="QDE110" s="139"/>
      <c r="QDF110" s="139"/>
      <c r="QDG110" s="139"/>
      <c r="QDH110" s="139"/>
      <c r="QDI110" s="139"/>
      <c r="QDJ110" s="139"/>
      <c r="QDK110" s="139"/>
      <c r="QDL110" s="139"/>
      <c r="QDM110" s="139"/>
      <c r="QDN110" s="139"/>
      <c r="QDO110" s="139"/>
      <c r="QDP110" s="139"/>
      <c r="QDQ110" s="139"/>
      <c r="QDR110" s="139"/>
      <c r="QDS110" s="139"/>
      <c r="QDT110" s="139"/>
      <c r="QDU110" s="139"/>
      <c r="QDV110" s="139"/>
      <c r="QDW110" s="139"/>
      <c r="QDX110" s="139"/>
      <c r="QDY110" s="139"/>
      <c r="QDZ110" s="139"/>
      <c r="QEA110" s="139"/>
      <c r="QEB110" s="139"/>
      <c r="QEC110" s="139"/>
      <c r="QED110" s="139"/>
      <c r="QEE110" s="139"/>
      <c r="QEF110" s="139"/>
      <c r="QEG110" s="139"/>
      <c r="QEH110" s="139"/>
      <c r="QEI110" s="139"/>
      <c r="QEJ110" s="139"/>
      <c r="QEK110" s="139"/>
      <c r="QEL110" s="139"/>
      <c r="QEM110" s="139"/>
      <c r="QEN110" s="139"/>
      <c r="QEO110" s="139"/>
      <c r="QEP110" s="139"/>
      <c r="QEQ110" s="139"/>
      <c r="QER110" s="139"/>
      <c r="QES110" s="139"/>
      <c r="QET110" s="139"/>
      <c r="QEU110" s="139"/>
      <c r="QEV110" s="139"/>
      <c r="QEW110" s="139"/>
      <c r="QEX110" s="139"/>
      <c r="QEY110" s="139"/>
      <c r="QEZ110" s="139"/>
      <c r="QFA110" s="139"/>
      <c r="QFB110" s="139"/>
      <c r="QFC110" s="139"/>
      <c r="QFD110" s="139"/>
      <c r="QFE110" s="139"/>
      <c r="QFF110" s="139"/>
      <c r="QFG110" s="139"/>
      <c r="QFH110" s="139"/>
      <c r="QFI110" s="139"/>
      <c r="QFJ110" s="139"/>
      <c r="QFK110" s="139"/>
      <c r="QFL110" s="139"/>
      <c r="QFM110" s="139"/>
      <c r="QFN110" s="139"/>
      <c r="QFO110" s="139"/>
      <c r="QFP110" s="139"/>
      <c r="QFQ110" s="139"/>
      <c r="QFR110" s="139"/>
      <c r="QFS110" s="139"/>
      <c r="QFT110" s="139"/>
      <c r="QFU110" s="139"/>
      <c r="QFV110" s="139"/>
      <c r="QFW110" s="139"/>
      <c r="QFX110" s="139"/>
      <c r="QFY110" s="139"/>
      <c r="QFZ110" s="139"/>
      <c r="QGA110" s="139"/>
      <c r="QGB110" s="139"/>
      <c r="QGC110" s="139"/>
      <c r="QGD110" s="139"/>
      <c r="QGE110" s="139"/>
      <c r="QGF110" s="139"/>
      <c r="QGG110" s="139"/>
      <c r="QGH110" s="139"/>
      <c r="QGI110" s="139"/>
      <c r="QGJ110" s="139"/>
      <c r="QGK110" s="139"/>
      <c r="QGL110" s="139"/>
      <c r="QGM110" s="139"/>
      <c r="QGN110" s="139"/>
      <c r="QGO110" s="139"/>
      <c r="QGP110" s="139"/>
      <c r="QGQ110" s="139"/>
      <c r="QGR110" s="139"/>
      <c r="QGS110" s="139"/>
      <c r="QGT110" s="139"/>
      <c r="QGU110" s="139"/>
      <c r="QGV110" s="139"/>
      <c r="QGW110" s="139"/>
      <c r="QGX110" s="139"/>
      <c r="QGY110" s="139"/>
      <c r="QGZ110" s="139"/>
      <c r="QHA110" s="139"/>
      <c r="QHB110" s="139"/>
      <c r="QHC110" s="139"/>
      <c r="QHD110" s="139"/>
      <c r="QHE110" s="139"/>
      <c r="QHF110" s="139"/>
      <c r="QHG110" s="139"/>
      <c r="QHH110" s="139"/>
      <c r="QHI110" s="139"/>
      <c r="QHJ110" s="139"/>
      <c r="QHK110" s="139"/>
      <c r="QHL110" s="139"/>
      <c r="QHM110" s="139"/>
      <c r="QHN110" s="139"/>
      <c r="QHO110" s="139"/>
      <c r="QHP110" s="139"/>
      <c r="QHQ110" s="139"/>
      <c r="QHR110" s="139"/>
      <c r="QHS110" s="139"/>
      <c r="QHT110" s="139"/>
      <c r="QHU110" s="139"/>
      <c r="QHV110" s="139"/>
      <c r="QHW110" s="139"/>
      <c r="QHX110" s="139"/>
      <c r="QHY110" s="139"/>
      <c r="QHZ110" s="139"/>
      <c r="QIA110" s="139"/>
      <c r="QIB110" s="139"/>
      <c r="QIC110" s="139"/>
      <c r="QID110" s="139"/>
      <c r="QIE110" s="139"/>
      <c r="QIF110" s="139"/>
      <c r="QIG110" s="139"/>
      <c r="QIH110" s="139"/>
      <c r="QII110" s="139"/>
      <c r="QIJ110" s="139"/>
      <c r="QIK110" s="139"/>
      <c r="QIL110" s="139"/>
      <c r="QIM110" s="139"/>
      <c r="QIN110" s="139"/>
      <c r="QIO110" s="139"/>
      <c r="QIP110" s="139"/>
      <c r="QIQ110" s="139"/>
      <c r="QIR110" s="139"/>
      <c r="QIS110" s="139"/>
      <c r="QIT110" s="139"/>
      <c r="QIU110" s="139"/>
      <c r="QIV110" s="139"/>
      <c r="QIW110" s="139"/>
      <c r="QIX110" s="139"/>
      <c r="QIY110" s="139"/>
      <c r="QIZ110" s="139"/>
      <c r="QJA110" s="139"/>
      <c r="QJB110" s="139"/>
      <c r="QJC110" s="139"/>
      <c r="QJD110" s="139"/>
      <c r="QJE110" s="139"/>
      <c r="QJF110" s="139"/>
      <c r="QJG110" s="139"/>
      <c r="QJH110" s="139"/>
      <c r="QJI110" s="139"/>
      <c r="QJJ110" s="139"/>
      <c r="QJK110" s="139"/>
      <c r="QJL110" s="139"/>
      <c r="QJM110" s="139"/>
      <c r="QJN110" s="139"/>
      <c r="QJO110" s="139"/>
      <c r="QJP110" s="139"/>
      <c r="QJQ110" s="139"/>
      <c r="QJR110" s="139"/>
      <c r="QJS110" s="139"/>
      <c r="QJT110" s="139"/>
      <c r="QJU110" s="139"/>
      <c r="QJV110" s="139"/>
      <c r="QJW110" s="139"/>
      <c r="QJX110" s="139"/>
      <c r="QJY110" s="139"/>
      <c r="QJZ110" s="139"/>
      <c r="QKA110" s="139"/>
      <c r="QKB110" s="139"/>
      <c r="QKC110" s="139"/>
      <c r="QKD110" s="139"/>
      <c r="QKE110" s="139"/>
      <c r="QKF110" s="139"/>
      <c r="QKG110" s="139"/>
      <c r="QKH110" s="139"/>
      <c r="QKI110" s="139"/>
      <c r="QKJ110" s="139"/>
      <c r="QKK110" s="139"/>
      <c r="QKL110" s="139"/>
      <c r="QKM110" s="139"/>
      <c r="QKN110" s="139"/>
      <c r="QKO110" s="139"/>
      <c r="QKP110" s="139"/>
      <c r="QKQ110" s="139"/>
      <c r="QKR110" s="139"/>
      <c r="QKS110" s="139"/>
      <c r="QKT110" s="139"/>
      <c r="QKU110" s="139"/>
      <c r="QKV110" s="139"/>
      <c r="QKW110" s="139"/>
      <c r="QKX110" s="139"/>
      <c r="QKY110" s="139"/>
      <c r="QKZ110" s="139"/>
      <c r="QLA110" s="139"/>
      <c r="QLB110" s="139"/>
      <c r="QLC110" s="139"/>
      <c r="QLD110" s="139"/>
      <c r="QLE110" s="139"/>
      <c r="QLF110" s="139"/>
      <c r="QLG110" s="139"/>
      <c r="QLH110" s="139"/>
      <c r="QLI110" s="139"/>
      <c r="QLJ110" s="139"/>
      <c r="QLK110" s="139"/>
      <c r="QLL110" s="139"/>
      <c r="QLM110" s="139"/>
      <c r="QLN110" s="139"/>
      <c r="QLO110" s="139"/>
      <c r="QLP110" s="139"/>
      <c r="QLQ110" s="139"/>
      <c r="QLR110" s="139"/>
      <c r="QLS110" s="139"/>
      <c r="QLT110" s="139"/>
      <c r="QLU110" s="139"/>
      <c r="QLV110" s="139"/>
      <c r="QLW110" s="139"/>
      <c r="QLX110" s="139"/>
      <c r="QLY110" s="139"/>
      <c r="QLZ110" s="139"/>
      <c r="QMA110" s="139"/>
      <c r="QMB110" s="139"/>
      <c r="QMC110" s="139"/>
      <c r="QMD110" s="139"/>
      <c r="QME110" s="139"/>
      <c r="QMF110" s="139"/>
      <c r="QMG110" s="139"/>
      <c r="QMH110" s="139"/>
      <c r="QMI110" s="139"/>
      <c r="QMJ110" s="139"/>
      <c r="QMK110" s="139"/>
      <c r="QML110" s="139"/>
      <c r="QMM110" s="139"/>
      <c r="QMN110" s="139"/>
      <c r="QMO110" s="139"/>
      <c r="QMP110" s="139"/>
      <c r="QMQ110" s="139"/>
      <c r="QMR110" s="139"/>
      <c r="QMS110" s="139"/>
      <c r="QMT110" s="139"/>
      <c r="QMU110" s="139"/>
      <c r="QMV110" s="139"/>
      <c r="QMW110" s="139"/>
      <c r="QMX110" s="139"/>
      <c r="QMY110" s="139"/>
      <c r="QMZ110" s="139"/>
      <c r="QNA110" s="139"/>
      <c r="QNB110" s="139"/>
      <c r="QNC110" s="139"/>
      <c r="QND110" s="139"/>
      <c r="QNE110" s="139"/>
      <c r="QNF110" s="139"/>
      <c r="QNG110" s="139"/>
      <c r="QNH110" s="139"/>
      <c r="QNI110" s="139"/>
      <c r="QNJ110" s="139"/>
      <c r="QNK110" s="139"/>
      <c r="QNL110" s="139"/>
      <c r="QNM110" s="139"/>
      <c r="QNN110" s="139"/>
      <c r="QNO110" s="139"/>
      <c r="QNP110" s="139"/>
      <c r="QNQ110" s="139"/>
      <c r="QNR110" s="139"/>
      <c r="QNS110" s="139"/>
      <c r="QNT110" s="139"/>
      <c r="QNU110" s="139"/>
      <c r="QNV110" s="139"/>
      <c r="QNW110" s="139"/>
      <c r="QNX110" s="139"/>
      <c r="QNY110" s="139"/>
      <c r="QNZ110" s="139"/>
      <c r="QOA110" s="139"/>
      <c r="QOB110" s="139"/>
      <c r="QOC110" s="139"/>
      <c r="QOD110" s="139"/>
      <c r="QOE110" s="139"/>
      <c r="QOF110" s="139"/>
      <c r="QOG110" s="139"/>
      <c r="QOH110" s="139"/>
      <c r="QOI110" s="139"/>
      <c r="QOJ110" s="139"/>
      <c r="QOK110" s="139"/>
      <c r="QOL110" s="139"/>
      <c r="QOM110" s="139"/>
      <c r="QON110" s="139"/>
      <c r="QOO110" s="139"/>
      <c r="QOP110" s="139"/>
      <c r="QOQ110" s="139"/>
      <c r="QOR110" s="139"/>
      <c r="QOS110" s="139"/>
      <c r="QOT110" s="139"/>
      <c r="QOU110" s="139"/>
      <c r="QOV110" s="139"/>
      <c r="QOW110" s="139"/>
      <c r="QOX110" s="139"/>
      <c r="QOY110" s="139"/>
      <c r="QOZ110" s="139"/>
      <c r="QPA110" s="139"/>
      <c r="QPB110" s="139"/>
      <c r="QPC110" s="139"/>
      <c r="QPD110" s="139"/>
      <c r="QPE110" s="139"/>
      <c r="QPF110" s="139"/>
      <c r="QPG110" s="139"/>
      <c r="QPH110" s="139"/>
      <c r="QPI110" s="139"/>
      <c r="QPJ110" s="139"/>
      <c r="QPK110" s="139"/>
      <c r="QPL110" s="139"/>
      <c r="QPM110" s="139"/>
      <c r="QPN110" s="139"/>
      <c r="QPO110" s="139"/>
      <c r="QPP110" s="139"/>
      <c r="QPQ110" s="139"/>
      <c r="QPR110" s="139"/>
      <c r="QPS110" s="139"/>
      <c r="QPT110" s="139"/>
      <c r="QPU110" s="139"/>
      <c r="QPV110" s="139"/>
      <c r="QPW110" s="139"/>
      <c r="QPX110" s="139"/>
      <c r="QPY110" s="139"/>
      <c r="QPZ110" s="139"/>
      <c r="QQA110" s="139"/>
      <c r="QQB110" s="139"/>
      <c r="QQC110" s="139"/>
      <c r="QQD110" s="139"/>
      <c r="QQE110" s="139"/>
      <c r="QQF110" s="139"/>
      <c r="QQG110" s="139"/>
      <c r="QQH110" s="139"/>
      <c r="QQI110" s="139"/>
      <c r="QQJ110" s="139"/>
      <c r="QQK110" s="139"/>
      <c r="QQL110" s="139"/>
      <c r="QQM110" s="139"/>
      <c r="QQN110" s="139"/>
      <c r="QQO110" s="139"/>
      <c r="QQP110" s="139"/>
      <c r="QQQ110" s="139"/>
      <c r="QQR110" s="139"/>
      <c r="QQS110" s="139"/>
      <c r="QQT110" s="139"/>
      <c r="QQU110" s="139"/>
      <c r="QQV110" s="139"/>
      <c r="QQW110" s="139"/>
      <c r="QQX110" s="139"/>
      <c r="QQY110" s="139"/>
      <c r="QQZ110" s="139"/>
      <c r="QRA110" s="139"/>
      <c r="QRB110" s="139"/>
      <c r="QRC110" s="139"/>
      <c r="QRD110" s="139"/>
      <c r="QRE110" s="139"/>
      <c r="QRF110" s="139"/>
      <c r="QRG110" s="139"/>
      <c r="QRH110" s="139"/>
      <c r="QRI110" s="139"/>
      <c r="QRJ110" s="139"/>
      <c r="QRK110" s="139"/>
      <c r="QRL110" s="139"/>
      <c r="QRM110" s="139"/>
      <c r="QRN110" s="139"/>
      <c r="QRO110" s="139"/>
      <c r="QRP110" s="139"/>
      <c r="QRQ110" s="139"/>
      <c r="QRR110" s="139"/>
      <c r="QRS110" s="139"/>
      <c r="QRT110" s="139"/>
      <c r="QRU110" s="139"/>
      <c r="QRV110" s="139"/>
      <c r="QRW110" s="139"/>
      <c r="QRX110" s="139"/>
      <c r="QRY110" s="139"/>
      <c r="QRZ110" s="139"/>
      <c r="QSA110" s="139"/>
      <c r="QSB110" s="139"/>
      <c r="QSC110" s="139"/>
      <c r="QSD110" s="139"/>
      <c r="QSE110" s="139"/>
      <c r="QSF110" s="139"/>
      <c r="QSG110" s="139"/>
      <c r="QSH110" s="139"/>
      <c r="QSI110" s="139"/>
      <c r="QSJ110" s="139"/>
      <c r="QSK110" s="139"/>
      <c r="QSL110" s="139"/>
      <c r="QSM110" s="139"/>
      <c r="QSN110" s="139"/>
      <c r="QSO110" s="139"/>
      <c r="QSP110" s="139"/>
      <c r="QSQ110" s="139"/>
      <c r="QSR110" s="139"/>
      <c r="QSS110" s="139"/>
      <c r="QST110" s="139"/>
      <c r="QSU110" s="139"/>
      <c r="QSV110" s="139"/>
      <c r="QSW110" s="139"/>
      <c r="QSX110" s="139"/>
      <c r="QSY110" s="139"/>
      <c r="QSZ110" s="139"/>
      <c r="QTA110" s="139"/>
      <c r="QTB110" s="139"/>
      <c r="QTC110" s="139"/>
      <c r="QTD110" s="139"/>
      <c r="QTE110" s="139"/>
      <c r="QTF110" s="139"/>
      <c r="QTG110" s="139"/>
      <c r="QTH110" s="139"/>
      <c r="QTI110" s="139"/>
      <c r="QTJ110" s="139"/>
      <c r="QTK110" s="139"/>
      <c r="QTL110" s="139"/>
      <c r="QTM110" s="139"/>
      <c r="QTN110" s="139"/>
      <c r="QTO110" s="139"/>
      <c r="QTP110" s="139"/>
      <c r="QTQ110" s="139"/>
      <c r="QTR110" s="139"/>
      <c r="QTS110" s="139"/>
      <c r="QTT110" s="139"/>
      <c r="QTU110" s="139"/>
      <c r="QTV110" s="139"/>
      <c r="QTW110" s="139"/>
      <c r="QTX110" s="139"/>
      <c r="QTY110" s="139"/>
      <c r="QTZ110" s="139"/>
      <c r="QUA110" s="139"/>
      <c r="QUB110" s="139"/>
      <c r="QUC110" s="139"/>
      <c r="QUD110" s="139"/>
      <c r="QUE110" s="139"/>
      <c r="QUF110" s="139"/>
      <c r="QUG110" s="139"/>
      <c r="QUH110" s="139"/>
      <c r="QUI110" s="139"/>
      <c r="QUJ110" s="139"/>
      <c r="QUK110" s="139"/>
      <c r="QUL110" s="139"/>
      <c r="QUM110" s="139"/>
      <c r="QUN110" s="139"/>
      <c r="QUO110" s="139"/>
      <c r="QUP110" s="139"/>
      <c r="QUQ110" s="139"/>
      <c r="QUR110" s="139"/>
      <c r="QUS110" s="139"/>
      <c r="QUT110" s="139"/>
      <c r="QUU110" s="139"/>
      <c r="QUV110" s="139"/>
      <c r="QUW110" s="139"/>
      <c r="QUX110" s="139"/>
      <c r="QUY110" s="139"/>
      <c r="QUZ110" s="139"/>
      <c r="QVA110" s="139"/>
      <c r="QVB110" s="139"/>
      <c r="QVC110" s="139"/>
      <c r="QVD110" s="139"/>
      <c r="QVE110" s="139"/>
      <c r="QVF110" s="139"/>
      <c r="QVG110" s="139"/>
      <c r="QVH110" s="139"/>
      <c r="QVI110" s="139"/>
      <c r="QVJ110" s="139"/>
      <c r="QVK110" s="139"/>
      <c r="QVL110" s="139"/>
      <c r="QVM110" s="139"/>
      <c r="QVN110" s="139"/>
      <c r="QVO110" s="139"/>
      <c r="QVP110" s="139"/>
      <c r="QVQ110" s="139"/>
      <c r="QVR110" s="139"/>
      <c r="QVS110" s="139"/>
      <c r="QVT110" s="139"/>
      <c r="QVU110" s="139"/>
      <c r="QVV110" s="139"/>
      <c r="QVW110" s="139"/>
      <c r="QVX110" s="139"/>
      <c r="QVY110" s="139"/>
      <c r="QVZ110" s="139"/>
      <c r="QWA110" s="139"/>
      <c r="QWB110" s="139"/>
      <c r="QWC110" s="139"/>
      <c r="QWD110" s="139"/>
      <c r="QWE110" s="139"/>
      <c r="QWF110" s="139"/>
      <c r="QWG110" s="139"/>
      <c r="QWH110" s="139"/>
      <c r="QWI110" s="139"/>
      <c r="QWJ110" s="139"/>
      <c r="QWK110" s="139"/>
      <c r="QWL110" s="139"/>
      <c r="QWM110" s="139"/>
      <c r="QWN110" s="139"/>
      <c r="QWO110" s="139"/>
      <c r="QWP110" s="139"/>
      <c r="QWQ110" s="139"/>
      <c r="QWR110" s="139"/>
      <c r="QWS110" s="139"/>
      <c r="QWT110" s="139"/>
      <c r="QWU110" s="139"/>
      <c r="QWV110" s="139"/>
      <c r="QWW110" s="139"/>
      <c r="QWX110" s="139"/>
      <c r="QWY110" s="139"/>
      <c r="QWZ110" s="139"/>
      <c r="QXA110" s="139"/>
      <c r="QXB110" s="139"/>
      <c r="QXC110" s="139"/>
      <c r="QXD110" s="139"/>
      <c r="QXE110" s="139"/>
      <c r="QXF110" s="139"/>
      <c r="QXG110" s="139"/>
      <c r="QXH110" s="139"/>
      <c r="QXI110" s="139"/>
      <c r="QXJ110" s="139"/>
      <c r="QXK110" s="139"/>
      <c r="QXL110" s="139"/>
      <c r="QXM110" s="139"/>
      <c r="QXN110" s="139"/>
      <c r="QXO110" s="139"/>
      <c r="QXP110" s="139"/>
      <c r="QXQ110" s="139"/>
      <c r="QXR110" s="139"/>
      <c r="QXS110" s="139"/>
      <c r="QXT110" s="139"/>
      <c r="QXU110" s="139"/>
      <c r="QXV110" s="139"/>
      <c r="QXW110" s="139"/>
      <c r="QXX110" s="139"/>
      <c r="QXY110" s="139"/>
      <c r="QXZ110" s="139"/>
      <c r="QYA110" s="139"/>
      <c r="QYB110" s="139"/>
      <c r="QYC110" s="139"/>
      <c r="QYD110" s="139"/>
      <c r="QYE110" s="139"/>
      <c r="QYF110" s="139"/>
      <c r="QYG110" s="139"/>
      <c r="QYH110" s="139"/>
      <c r="QYI110" s="139"/>
      <c r="QYJ110" s="139"/>
      <c r="QYK110" s="139"/>
      <c r="QYL110" s="139"/>
      <c r="QYM110" s="139"/>
      <c r="QYN110" s="139"/>
      <c r="QYO110" s="139"/>
      <c r="QYP110" s="139"/>
      <c r="QYQ110" s="139"/>
      <c r="QYR110" s="139"/>
      <c r="QYS110" s="139"/>
      <c r="QYT110" s="139"/>
      <c r="QYU110" s="139"/>
      <c r="QYV110" s="139"/>
      <c r="QYW110" s="139"/>
      <c r="QYX110" s="139"/>
      <c r="QYY110" s="139"/>
      <c r="QYZ110" s="139"/>
      <c r="QZA110" s="139"/>
      <c r="QZB110" s="139"/>
      <c r="QZC110" s="139"/>
      <c r="QZD110" s="139"/>
      <c r="QZE110" s="139"/>
      <c r="QZF110" s="139"/>
      <c r="QZG110" s="139"/>
      <c r="QZH110" s="139"/>
      <c r="QZI110" s="139"/>
      <c r="QZJ110" s="139"/>
      <c r="QZK110" s="139"/>
      <c r="QZL110" s="139"/>
      <c r="QZM110" s="139"/>
      <c r="QZN110" s="139"/>
      <c r="QZO110" s="139"/>
      <c r="QZP110" s="139"/>
      <c r="QZQ110" s="139"/>
      <c r="QZR110" s="139"/>
      <c r="QZS110" s="139"/>
      <c r="QZT110" s="139"/>
      <c r="QZU110" s="139"/>
      <c r="QZV110" s="139"/>
      <c r="QZW110" s="139"/>
      <c r="QZX110" s="139"/>
      <c r="QZY110" s="139"/>
      <c r="QZZ110" s="139"/>
      <c r="RAA110" s="139"/>
      <c r="RAB110" s="139"/>
      <c r="RAC110" s="139"/>
      <c r="RAD110" s="139"/>
      <c r="RAE110" s="139"/>
      <c r="RAF110" s="139"/>
      <c r="RAG110" s="139"/>
      <c r="RAH110" s="139"/>
      <c r="RAI110" s="139"/>
      <c r="RAJ110" s="139"/>
      <c r="RAK110" s="139"/>
      <c r="RAL110" s="139"/>
      <c r="RAM110" s="139"/>
      <c r="RAN110" s="139"/>
      <c r="RAO110" s="139"/>
      <c r="RAP110" s="139"/>
      <c r="RAQ110" s="139"/>
      <c r="RAR110" s="139"/>
      <c r="RAS110" s="139"/>
      <c r="RAT110" s="139"/>
      <c r="RAU110" s="139"/>
      <c r="RAV110" s="139"/>
      <c r="RAW110" s="139"/>
      <c r="RAX110" s="139"/>
      <c r="RAY110" s="139"/>
      <c r="RAZ110" s="139"/>
      <c r="RBA110" s="139"/>
      <c r="RBB110" s="139"/>
      <c r="RBC110" s="139"/>
      <c r="RBD110" s="139"/>
      <c r="RBE110" s="139"/>
      <c r="RBF110" s="139"/>
      <c r="RBG110" s="139"/>
      <c r="RBH110" s="139"/>
      <c r="RBI110" s="139"/>
      <c r="RBJ110" s="139"/>
      <c r="RBK110" s="139"/>
      <c r="RBL110" s="139"/>
      <c r="RBM110" s="139"/>
      <c r="RBN110" s="139"/>
      <c r="RBO110" s="139"/>
      <c r="RBP110" s="139"/>
      <c r="RBQ110" s="139"/>
      <c r="RBR110" s="139"/>
      <c r="RBS110" s="139"/>
      <c r="RBT110" s="139"/>
      <c r="RBU110" s="139"/>
      <c r="RBV110" s="139"/>
      <c r="RBW110" s="139"/>
      <c r="RBX110" s="139"/>
      <c r="RBY110" s="139"/>
      <c r="RBZ110" s="139"/>
      <c r="RCA110" s="139"/>
      <c r="RCB110" s="139"/>
      <c r="RCC110" s="139"/>
      <c r="RCD110" s="139"/>
      <c r="RCE110" s="139"/>
      <c r="RCF110" s="139"/>
      <c r="RCG110" s="139"/>
      <c r="RCH110" s="139"/>
      <c r="RCI110" s="139"/>
      <c r="RCJ110" s="139"/>
      <c r="RCK110" s="139"/>
      <c r="RCL110" s="139"/>
      <c r="RCM110" s="139"/>
      <c r="RCN110" s="139"/>
      <c r="RCO110" s="139"/>
      <c r="RCP110" s="139"/>
      <c r="RCQ110" s="139"/>
      <c r="RCR110" s="139"/>
      <c r="RCS110" s="139"/>
      <c r="RCT110" s="139"/>
      <c r="RCU110" s="139"/>
      <c r="RCV110" s="139"/>
      <c r="RCW110" s="139"/>
      <c r="RCX110" s="139"/>
      <c r="RCY110" s="139"/>
      <c r="RCZ110" s="139"/>
      <c r="RDA110" s="139"/>
      <c r="RDB110" s="139"/>
      <c r="RDC110" s="139"/>
      <c r="RDD110" s="139"/>
      <c r="RDE110" s="139"/>
      <c r="RDF110" s="139"/>
      <c r="RDG110" s="139"/>
      <c r="RDH110" s="139"/>
      <c r="RDI110" s="139"/>
      <c r="RDJ110" s="139"/>
      <c r="RDK110" s="139"/>
      <c r="RDL110" s="139"/>
      <c r="RDM110" s="139"/>
      <c r="RDN110" s="139"/>
      <c r="RDO110" s="139"/>
      <c r="RDP110" s="139"/>
      <c r="RDQ110" s="139"/>
      <c r="RDR110" s="139"/>
      <c r="RDS110" s="139"/>
      <c r="RDT110" s="139"/>
      <c r="RDU110" s="139"/>
      <c r="RDV110" s="139"/>
      <c r="RDW110" s="139"/>
      <c r="RDX110" s="139"/>
      <c r="RDY110" s="139"/>
      <c r="RDZ110" s="139"/>
      <c r="REA110" s="139"/>
      <c r="REB110" s="139"/>
      <c r="REC110" s="139"/>
      <c r="RED110" s="139"/>
      <c r="REE110" s="139"/>
      <c r="REF110" s="139"/>
      <c r="REG110" s="139"/>
      <c r="REH110" s="139"/>
      <c r="REI110" s="139"/>
      <c r="REJ110" s="139"/>
      <c r="REK110" s="139"/>
      <c r="REL110" s="139"/>
      <c r="REM110" s="139"/>
      <c r="REN110" s="139"/>
      <c r="REO110" s="139"/>
      <c r="REP110" s="139"/>
      <c r="REQ110" s="139"/>
      <c r="RER110" s="139"/>
      <c r="RES110" s="139"/>
      <c r="RET110" s="139"/>
      <c r="REU110" s="139"/>
      <c r="REV110" s="139"/>
      <c r="REW110" s="139"/>
      <c r="REX110" s="139"/>
      <c r="REY110" s="139"/>
      <c r="REZ110" s="139"/>
      <c r="RFA110" s="139"/>
      <c r="RFB110" s="139"/>
      <c r="RFC110" s="139"/>
      <c r="RFD110" s="139"/>
      <c r="RFE110" s="139"/>
      <c r="RFF110" s="139"/>
      <c r="RFG110" s="139"/>
      <c r="RFH110" s="139"/>
      <c r="RFI110" s="139"/>
      <c r="RFJ110" s="139"/>
      <c r="RFK110" s="139"/>
      <c r="RFL110" s="139"/>
      <c r="RFM110" s="139"/>
      <c r="RFN110" s="139"/>
      <c r="RFO110" s="139"/>
      <c r="RFP110" s="139"/>
      <c r="RFQ110" s="139"/>
      <c r="RFR110" s="139"/>
      <c r="RFS110" s="139"/>
      <c r="RFT110" s="139"/>
      <c r="RFU110" s="139"/>
      <c r="RFV110" s="139"/>
      <c r="RFW110" s="139"/>
      <c r="RFX110" s="139"/>
      <c r="RFY110" s="139"/>
      <c r="RFZ110" s="139"/>
      <c r="RGA110" s="139"/>
      <c r="RGB110" s="139"/>
      <c r="RGC110" s="139"/>
      <c r="RGD110" s="139"/>
      <c r="RGE110" s="139"/>
      <c r="RGF110" s="139"/>
      <c r="RGG110" s="139"/>
      <c r="RGH110" s="139"/>
      <c r="RGI110" s="139"/>
      <c r="RGJ110" s="139"/>
      <c r="RGK110" s="139"/>
      <c r="RGL110" s="139"/>
      <c r="RGM110" s="139"/>
      <c r="RGN110" s="139"/>
      <c r="RGO110" s="139"/>
      <c r="RGP110" s="139"/>
      <c r="RGQ110" s="139"/>
      <c r="RGR110" s="139"/>
      <c r="RGS110" s="139"/>
      <c r="RGT110" s="139"/>
      <c r="RGU110" s="139"/>
      <c r="RGV110" s="139"/>
      <c r="RGW110" s="139"/>
      <c r="RGX110" s="139"/>
      <c r="RGY110" s="139"/>
      <c r="RGZ110" s="139"/>
      <c r="RHA110" s="139"/>
      <c r="RHB110" s="139"/>
      <c r="RHC110" s="139"/>
      <c r="RHD110" s="139"/>
      <c r="RHE110" s="139"/>
      <c r="RHF110" s="139"/>
      <c r="RHG110" s="139"/>
      <c r="RHH110" s="139"/>
      <c r="RHI110" s="139"/>
      <c r="RHJ110" s="139"/>
      <c r="RHK110" s="139"/>
      <c r="RHL110" s="139"/>
      <c r="RHM110" s="139"/>
      <c r="RHN110" s="139"/>
      <c r="RHO110" s="139"/>
      <c r="RHP110" s="139"/>
      <c r="RHQ110" s="139"/>
      <c r="RHR110" s="139"/>
      <c r="RHS110" s="139"/>
      <c r="RHT110" s="139"/>
      <c r="RHU110" s="139"/>
      <c r="RHV110" s="139"/>
      <c r="RHW110" s="139"/>
      <c r="RHX110" s="139"/>
      <c r="RHY110" s="139"/>
      <c r="RHZ110" s="139"/>
      <c r="RIA110" s="139"/>
      <c r="RIB110" s="139"/>
      <c r="RIC110" s="139"/>
      <c r="RID110" s="139"/>
      <c r="RIE110" s="139"/>
      <c r="RIF110" s="139"/>
      <c r="RIG110" s="139"/>
      <c r="RIH110" s="139"/>
      <c r="RII110" s="139"/>
      <c r="RIJ110" s="139"/>
      <c r="RIK110" s="139"/>
      <c r="RIL110" s="139"/>
      <c r="RIM110" s="139"/>
      <c r="RIN110" s="139"/>
      <c r="RIO110" s="139"/>
      <c r="RIP110" s="139"/>
      <c r="RIQ110" s="139"/>
      <c r="RIR110" s="139"/>
      <c r="RIS110" s="139"/>
      <c r="RIT110" s="139"/>
      <c r="RIU110" s="139"/>
      <c r="RIV110" s="139"/>
      <c r="RIW110" s="139"/>
      <c r="RIX110" s="139"/>
      <c r="RIY110" s="139"/>
      <c r="RIZ110" s="139"/>
      <c r="RJA110" s="139"/>
      <c r="RJB110" s="139"/>
      <c r="RJC110" s="139"/>
      <c r="RJD110" s="139"/>
      <c r="RJE110" s="139"/>
      <c r="RJF110" s="139"/>
      <c r="RJG110" s="139"/>
      <c r="RJH110" s="139"/>
      <c r="RJI110" s="139"/>
      <c r="RJJ110" s="139"/>
      <c r="RJK110" s="139"/>
      <c r="RJL110" s="139"/>
      <c r="RJM110" s="139"/>
      <c r="RJN110" s="139"/>
      <c r="RJO110" s="139"/>
      <c r="RJP110" s="139"/>
      <c r="RJQ110" s="139"/>
      <c r="RJR110" s="139"/>
      <c r="RJS110" s="139"/>
      <c r="RJT110" s="139"/>
      <c r="RJU110" s="139"/>
      <c r="RJV110" s="139"/>
      <c r="RJW110" s="139"/>
      <c r="RJX110" s="139"/>
      <c r="RJY110" s="139"/>
      <c r="RJZ110" s="139"/>
      <c r="RKA110" s="139"/>
      <c r="RKB110" s="139"/>
      <c r="RKC110" s="139"/>
      <c r="RKD110" s="139"/>
      <c r="RKE110" s="139"/>
      <c r="RKF110" s="139"/>
      <c r="RKG110" s="139"/>
      <c r="RKH110" s="139"/>
      <c r="RKI110" s="139"/>
      <c r="RKJ110" s="139"/>
      <c r="RKK110" s="139"/>
      <c r="RKL110" s="139"/>
      <c r="RKM110" s="139"/>
      <c r="RKN110" s="139"/>
      <c r="RKO110" s="139"/>
      <c r="RKP110" s="139"/>
      <c r="RKQ110" s="139"/>
      <c r="RKR110" s="139"/>
      <c r="RKS110" s="139"/>
      <c r="RKT110" s="139"/>
      <c r="RKU110" s="139"/>
      <c r="RKV110" s="139"/>
      <c r="RKW110" s="139"/>
      <c r="RKX110" s="139"/>
      <c r="RKY110" s="139"/>
      <c r="RKZ110" s="139"/>
      <c r="RLA110" s="139"/>
      <c r="RLB110" s="139"/>
      <c r="RLC110" s="139"/>
      <c r="RLD110" s="139"/>
      <c r="RLE110" s="139"/>
      <c r="RLF110" s="139"/>
      <c r="RLG110" s="139"/>
      <c r="RLH110" s="139"/>
      <c r="RLI110" s="139"/>
      <c r="RLJ110" s="139"/>
      <c r="RLK110" s="139"/>
      <c r="RLL110" s="139"/>
      <c r="RLM110" s="139"/>
      <c r="RLN110" s="139"/>
      <c r="RLO110" s="139"/>
      <c r="RLP110" s="139"/>
      <c r="RLQ110" s="139"/>
      <c r="RLR110" s="139"/>
      <c r="RLS110" s="139"/>
      <c r="RLT110" s="139"/>
      <c r="RLU110" s="139"/>
      <c r="RLV110" s="139"/>
      <c r="RLW110" s="139"/>
      <c r="RLX110" s="139"/>
      <c r="RLY110" s="139"/>
      <c r="RLZ110" s="139"/>
      <c r="RMA110" s="139"/>
      <c r="RMB110" s="139"/>
      <c r="RMC110" s="139"/>
      <c r="RMD110" s="139"/>
      <c r="RME110" s="139"/>
      <c r="RMF110" s="139"/>
      <c r="RMG110" s="139"/>
      <c r="RMH110" s="139"/>
      <c r="RMI110" s="139"/>
      <c r="RMJ110" s="139"/>
      <c r="RMK110" s="139"/>
      <c r="RML110" s="139"/>
      <c r="RMM110" s="139"/>
      <c r="RMN110" s="139"/>
      <c r="RMO110" s="139"/>
      <c r="RMP110" s="139"/>
      <c r="RMQ110" s="139"/>
      <c r="RMR110" s="139"/>
      <c r="RMS110" s="139"/>
      <c r="RMT110" s="139"/>
      <c r="RMU110" s="139"/>
      <c r="RMV110" s="139"/>
      <c r="RMW110" s="139"/>
      <c r="RMX110" s="139"/>
      <c r="RMY110" s="139"/>
      <c r="RMZ110" s="139"/>
      <c r="RNA110" s="139"/>
      <c r="RNB110" s="139"/>
      <c r="RNC110" s="139"/>
      <c r="RND110" s="139"/>
      <c r="RNE110" s="139"/>
      <c r="RNF110" s="139"/>
      <c r="RNG110" s="139"/>
      <c r="RNH110" s="139"/>
      <c r="RNI110" s="139"/>
      <c r="RNJ110" s="139"/>
      <c r="RNK110" s="139"/>
      <c r="RNL110" s="139"/>
      <c r="RNM110" s="139"/>
      <c r="RNN110" s="139"/>
      <c r="RNO110" s="139"/>
      <c r="RNP110" s="139"/>
      <c r="RNQ110" s="139"/>
      <c r="RNR110" s="139"/>
      <c r="RNS110" s="139"/>
      <c r="RNT110" s="139"/>
      <c r="RNU110" s="139"/>
      <c r="RNV110" s="139"/>
      <c r="RNW110" s="139"/>
      <c r="RNX110" s="139"/>
      <c r="RNY110" s="139"/>
      <c r="RNZ110" s="139"/>
      <c r="ROA110" s="139"/>
      <c r="ROB110" s="139"/>
      <c r="ROC110" s="139"/>
      <c r="ROD110" s="139"/>
      <c r="ROE110" s="139"/>
      <c r="ROF110" s="139"/>
      <c r="ROG110" s="139"/>
      <c r="ROH110" s="139"/>
      <c r="ROI110" s="139"/>
      <c r="ROJ110" s="139"/>
      <c r="ROK110" s="139"/>
      <c r="ROL110" s="139"/>
      <c r="ROM110" s="139"/>
      <c r="RON110" s="139"/>
      <c r="ROO110" s="139"/>
      <c r="ROP110" s="139"/>
      <c r="ROQ110" s="139"/>
      <c r="ROR110" s="139"/>
      <c r="ROS110" s="139"/>
      <c r="ROT110" s="139"/>
      <c r="ROU110" s="139"/>
      <c r="ROV110" s="139"/>
      <c r="ROW110" s="139"/>
      <c r="ROX110" s="139"/>
      <c r="ROY110" s="139"/>
      <c r="ROZ110" s="139"/>
      <c r="RPA110" s="139"/>
      <c r="RPB110" s="139"/>
      <c r="RPC110" s="139"/>
      <c r="RPD110" s="139"/>
      <c r="RPE110" s="139"/>
      <c r="RPF110" s="139"/>
      <c r="RPG110" s="139"/>
      <c r="RPH110" s="139"/>
      <c r="RPI110" s="139"/>
      <c r="RPJ110" s="139"/>
      <c r="RPK110" s="139"/>
      <c r="RPL110" s="139"/>
      <c r="RPM110" s="139"/>
      <c r="RPN110" s="139"/>
      <c r="RPO110" s="139"/>
      <c r="RPP110" s="139"/>
      <c r="RPQ110" s="139"/>
      <c r="RPR110" s="139"/>
      <c r="RPS110" s="139"/>
      <c r="RPT110" s="139"/>
      <c r="RPU110" s="139"/>
      <c r="RPV110" s="139"/>
      <c r="RPW110" s="139"/>
      <c r="RPX110" s="139"/>
      <c r="RPY110" s="139"/>
      <c r="RPZ110" s="139"/>
      <c r="RQA110" s="139"/>
      <c r="RQB110" s="139"/>
      <c r="RQC110" s="139"/>
      <c r="RQD110" s="139"/>
      <c r="RQE110" s="139"/>
      <c r="RQF110" s="139"/>
      <c r="RQG110" s="139"/>
      <c r="RQH110" s="139"/>
      <c r="RQI110" s="139"/>
      <c r="RQJ110" s="139"/>
      <c r="RQK110" s="139"/>
      <c r="RQL110" s="139"/>
      <c r="RQM110" s="139"/>
      <c r="RQN110" s="139"/>
      <c r="RQO110" s="139"/>
      <c r="RQP110" s="139"/>
      <c r="RQQ110" s="139"/>
      <c r="RQR110" s="139"/>
      <c r="RQS110" s="139"/>
      <c r="RQT110" s="139"/>
      <c r="RQU110" s="139"/>
      <c r="RQV110" s="139"/>
      <c r="RQW110" s="139"/>
      <c r="RQX110" s="139"/>
      <c r="RQY110" s="139"/>
      <c r="RQZ110" s="139"/>
      <c r="RRA110" s="139"/>
      <c r="RRB110" s="139"/>
      <c r="RRC110" s="139"/>
      <c r="RRD110" s="139"/>
      <c r="RRE110" s="139"/>
      <c r="RRF110" s="139"/>
      <c r="RRG110" s="139"/>
      <c r="RRH110" s="139"/>
      <c r="RRI110" s="139"/>
      <c r="RRJ110" s="139"/>
      <c r="RRK110" s="139"/>
      <c r="RRL110" s="139"/>
      <c r="RRM110" s="139"/>
      <c r="RRN110" s="139"/>
      <c r="RRO110" s="139"/>
      <c r="RRP110" s="139"/>
      <c r="RRQ110" s="139"/>
      <c r="RRR110" s="139"/>
      <c r="RRS110" s="139"/>
      <c r="RRT110" s="139"/>
      <c r="RRU110" s="139"/>
      <c r="RRV110" s="139"/>
      <c r="RRW110" s="139"/>
      <c r="RRX110" s="139"/>
      <c r="RRY110" s="139"/>
      <c r="RRZ110" s="139"/>
      <c r="RSA110" s="139"/>
      <c r="RSB110" s="139"/>
      <c r="RSC110" s="139"/>
      <c r="RSD110" s="139"/>
      <c r="RSE110" s="139"/>
      <c r="RSF110" s="139"/>
      <c r="RSG110" s="139"/>
      <c r="RSH110" s="139"/>
      <c r="RSI110" s="139"/>
      <c r="RSJ110" s="139"/>
      <c r="RSK110" s="139"/>
      <c r="RSL110" s="139"/>
      <c r="RSM110" s="139"/>
      <c r="RSN110" s="139"/>
      <c r="RSO110" s="139"/>
      <c r="RSP110" s="139"/>
      <c r="RSQ110" s="139"/>
      <c r="RSR110" s="139"/>
      <c r="RSS110" s="139"/>
      <c r="RST110" s="139"/>
      <c r="RSU110" s="139"/>
      <c r="RSV110" s="139"/>
      <c r="RSW110" s="139"/>
      <c r="RSX110" s="139"/>
      <c r="RSY110" s="139"/>
      <c r="RSZ110" s="139"/>
      <c r="RTA110" s="139"/>
      <c r="RTB110" s="139"/>
      <c r="RTC110" s="139"/>
      <c r="RTD110" s="139"/>
      <c r="RTE110" s="139"/>
      <c r="RTF110" s="139"/>
      <c r="RTG110" s="139"/>
      <c r="RTH110" s="139"/>
      <c r="RTI110" s="139"/>
      <c r="RTJ110" s="139"/>
      <c r="RTK110" s="139"/>
      <c r="RTL110" s="139"/>
      <c r="RTM110" s="139"/>
      <c r="RTN110" s="139"/>
      <c r="RTO110" s="139"/>
      <c r="RTP110" s="139"/>
      <c r="RTQ110" s="139"/>
      <c r="RTR110" s="139"/>
      <c r="RTS110" s="139"/>
      <c r="RTT110" s="139"/>
      <c r="RTU110" s="139"/>
      <c r="RTV110" s="139"/>
      <c r="RTW110" s="139"/>
      <c r="RTX110" s="139"/>
      <c r="RTY110" s="139"/>
      <c r="RTZ110" s="139"/>
      <c r="RUA110" s="139"/>
      <c r="RUB110" s="139"/>
      <c r="RUC110" s="139"/>
      <c r="RUD110" s="139"/>
      <c r="RUE110" s="139"/>
      <c r="RUF110" s="139"/>
      <c r="RUG110" s="139"/>
      <c r="RUH110" s="139"/>
      <c r="RUI110" s="139"/>
      <c r="RUJ110" s="139"/>
      <c r="RUK110" s="139"/>
      <c r="RUL110" s="139"/>
      <c r="RUM110" s="139"/>
      <c r="RUN110" s="139"/>
      <c r="RUO110" s="139"/>
      <c r="RUP110" s="139"/>
      <c r="RUQ110" s="139"/>
      <c r="RUR110" s="139"/>
      <c r="RUS110" s="139"/>
      <c r="RUT110" s="139"/>
      <c r="RUU110" s="139"/>
      <c r="RUV110" s="139"/>
      <c r="RUW110" s="139"/>
      <c r="RUX110" s="139"/>
      <c r="RUY110" s="139"/>
      <c r="RUZ110" s="139"/>
      <c r="RVA110" s="139"/>
      <c r="RVB110" s="139"/>
      <c r="RVC110" s="139"/>
      <c r="RVD110" s="139"/>
      <c r="RVE110" s="139"/>
      <c r="RVF110" s="139"/>
      <c r="RVG110" s="139"/>
      <c r="RVH110" s="139"/>
      <c r="RVI110" s="139"/>
      <c r="RVJ110" s="139"/>
      <c r="RVK110" s="139"/>
      <c r="RVL110" s="139"/>
      <c r="RVM110" s="139"/>
      <c r="RVN110" s="139"/>
      <c r="RVO110" s="139"/>
      <c r="RVP110" s="139"/>
      <c r="RVQ110" s="139"/>
      <c r="RVR110" s="139"/>
      <c r="RVS110" s="139"/>
      <c r="RVT110" s="139"/>
      <c r="RVU110" s="139"/>
      <c r="RVV110" s="139"/>
      <c r="RVW110" s="139"/>
      <c r="RVX110" s="139"/>
      <c r="RVY110" s="139"/>
      <c r="RVZ110" s="139"/>
      <c r="RWA110" s="139"/>
      <c r="RWB110" s="139"/>
      <c r="RWC110" s="139"/>
      <c r="RWD110" s="139"/>
      <c r="RWE110" s="139"/>
      <c r="RWF110" s="139"/>
      <c r="RWG110" s="139"/>
      <c r="RWH110" s="139"/>
      <c r="RWI110" s="139"/>
      <c r="RWJ110" s="139"/>
      <c r="RWK110" s="139"/>
      <c r="RWL110" s="139"/>
      <c r="RWM110" s="139"/>
      <c r="RWN110" s="139"/>
      <c r="RWO110" s="139"/>
      <c r="RWP110" s="139"/>
      <c r="RWQ110" s="139"/>
      <c r="RWR110" s="139"/>
      <c r="RWS110" s="139"/>
      <c r="RWT110" s="139"/>
      <c r="RWU110" s="139"/>
      <c r="RWV110" s="139"/>
      <c r="RWW110" s="139"/>
      <c r="RWX110" s="139"/>
      <c r="RWY110" s="139"/>
      <c r="RWZ110" s="139"/>
      <c r="RXA110" s="139"/>
      <c r="RXB110" s="139"/>
      <c r="RXC110" s="139"/>
      <c r="RXD110" s="139"/>
      <c r="RXE110" s="139"/>
      <c r="RXF110" s="139"/>
      <c r="RXG110" s="139"/>
      <c r="RXH110" s="139"/>
      <c r="RXI110" s="139"/>
      <c r="RXJ110" s="139"/>
      <c r="RXK110" s="139"/>
      <c r="RXL110" s="139"/>
      <c r="RXM110" s="139"/>
      <c r="RXN110" s="139"/>
      <c r="RXO110" s="139"/>
      <c r="RXP110" s="139"/>
      <c r="RXQ110" s="139"/>
      <c r="RXR110" s="139"/>
      <c r="RXS110" s="139"/>
      <c r="RXT110" s="139"/>
      <c r="RXU110" s="139"/>
      <c r="RXV110" s="139"/>
      <c r="RXW110" s="139"/>
      <c r="RXX110" s="139"/>
      <c r="RXY110" s="139"/>
      <c r="RXZ110" s="139"/>
      <c r="RYA110" s="139"/>
      <c r="RYB110" s="139"/>
      <c r="RYC110" s="139"/>
      <c r="RYD110" s="139"/>
      <c r="RYE110" s="139"/>
      <c r="RYF110" s="139"/>
      <c r="RYG110" s="139"/>
      <c r="RYH110" s="139"/>
      <c r="RYI110" s="139"/>
      <c r="RYJ110" s="139"/>
      <c r="RYK110" s="139"/>
      <c r="RYL110" s="139"/>
      <c r="RYM110" s="139"/>
      <c r="RYN110" s="139"/>
      <c r="RYO110" s="139"/>
      <c r="RYP110" s="139"/>
      <c r="RYQ110" s="139"/>
      <c r="RYR110" s="139"/>
      <c r="RYS110" s="139"/>
      <c r="RYT110" s="139"/>
      <c r="RYU110" s="139"/>
      <c r="RYV110" s="139"/>
      <c r="RYW110" s="139"/>
      <c r="RYX110" s="139"/>
      <c r="RYY110" s="139"/>
      <c r="RYZ110" s="139"/>
      <c r="RZA110" s="139"/>
      <c r="RZB110" s="139"/>
      <c r="RZC110" s="139"/>
      <c r="RZD110" s="139"/>
      <c r="RZE110" s="139"/>
      <c r="RZF110" s="139"/>
      <c r="RZG110" s="139"/>
      <c r="RZH110" s="139"/>
      <c r="RZI110" s="139"/>
      <c r="RZJ110" s="139"/>
      <c r="RZK110" s="139"/>
      <c r="RZL110" s="139"/>
      <c r="RZM110" s="139"/>
      <c r="RZN110" s="139"/>
      <c r="RZO110" s="139"/>
      <c r="RZP110" s="139"/>
      <c r="RZQ110" s="139"/>
      <c r="RZR110" s="139"/>
      <c r="RZS110" s="139"/>
      <c r="RZT110" s="139"/>
      <c r="RZU110" s="139"/>
      <c r="RZV110" s="139"/>
      <c r="RZW110" s="139"/>
      <c r="RZX110" s="139"/>
      <c r="RZY110" s="139"/>
      <c r="RZZ110" s="139"/>
      <c r="SAA110" s="139"/>
      <c r="SAB110" s="139"/>
      <c r="SAC110" s="139"/>
      <c r="SAD110" s="139"/>
      <c r="SAE110" s="139"/>
      <c r="SAF110" s="139"/>
      <c r="SAG110" s="139"/>
      <c r="SAH110" s="139"/>
      <c r="SAI110" s="139"/>
      <c r="SAJ110" s="139"/>
      <c r="SAK110" s="139"/>
      <c r="SAL110" s="139"/>
      <c r="SAM110" s="139"/>
      <c r="SAN110" s="139"/>
      <c r="SAO110" s="139"/>
      <c r="SAP110" s="139"/>
      <c r="SAQ110" s="139"/>
      <c r="SAR110" s="139"/>
      <c r="SAS110" s="139"/>
      <c r="SAT110" s="139"/>
      <c r="SAU110" s="139"/>
      <c r="SAV110" s="139"/>
      <c r="SAW110" s="139"/>
      <c r="SAX110" s="139"/>
      <c r="SAY110" s="139"/>
      <c r="SAZ110" s="139"/>
      <c r="SBA110" s="139"/>
      <c r="SBB110" s="139"/>
      <c r="SBC110" s="139"/>
      <c r="SBD110" s="139"/>
      <c r="SBE110" s="139"/>
      <c r="SBF110" s="139"/>
      <c r="SBG110" s="139"/>
      <c r="SBH110" s="139"/>
      <c r="SBI110" s="139"/>
      <c r="SBJ110" s="139"/>
      <c r="SBK110" s="139"/>
      <c r="SBL110" s="139"/>
      <c r="SBM110" s="139"/>
      <c r="SBN110" s="139"/>
      <c r="SBO110" s="139"/>
      <c r="SBP110" s="139"/>
      <c r="SBQ110" s="139"/>
      <c r="SBR110" s="139"/>
      <c r="SBS110" s="139"/>
      <c r="SBT110" s="139"/>
      <c r="SBU110" s="139"/>
      <c r="SBV110" s="139"/>
      <c r="SBW110" s="139"/>
      <c r="SBX110" s="139"/>
      <c r="SBY110" s="139"/>
      <c r="SBZ110" s="139"/>
      <c r="SCA110" s="139"/>
      <c r="SCB110" s="139"/>
      <c r="SCC110" s="139"/>
      <c r="SCD110" s="139"/>
      <c r="SCE110" s="139"/>
      <c r="SCF110" s="139"/>
      <c r="SCG110" s="139"/>
      <c r="SCH110" s="139"/>
      <c r="SCI110" s="139"/>
      <c r="SCJ110" s="139"/>
      <c r="SCK110" s="139"/>
      <c r="SCL110" s="139"/>
      <c r="SCM110" s="139"/>
      <c r="SCN110" s="139"/>
      <c r="SCO110" s="139"/>
      <c r="SCP110" s="139"/>
      <c r="SCQ110" s="139"/>
      <c r="SCR110" s="139"/>
      <c r="SCS110" s="139"/>
      <c r="SCT110" s="139"/>
      <c r="SCU110" s="139"/>
      <c r="SCV110" s="139"/>
      <c r="SCW110" s="139"/>
      <c r="SCX110" s="139"/>
      <c r="SCY110" s="139"/>
      <c r="SCZ110" s="139"/>
      <c r="SDA110" s="139"/>
      <c r="SDB110" s="139"/>
      <c r="SDC110" s="139"/>
      <c r="SDD110" s="139"/>
      <c r="SDE110" s="139"/>
      <c r="SDF110" s="139"/>
      <c r="SDG110" s="139"/>
      <c r="SDH110" s="139"/>
      <c r="SDI110" s="139"/>
      <c r="SDJ110" s="139"/>
      <c r="SDK110" s="139"/>
      <c r="SDL110" s="139"/>
      <c r="SDM110" s="139"/>
      <c r="SDN110" s="139"/>
      <c r="SDO110" s="139"/>
      <c r="SDP110" s="139"/>
      <c r="SDQ110" s="139"/>
      <c r="SDR110" s="139"/>
      <c r="SDS110" s="139"/>
      <c r="SDT110" s="139"/>
      <c r="SDU110" s="139"/>
      <c r="SDV110" s="139"/>
      <c r="SDW110" s="139"/>
      <c r="SDX110" s="139"/>
      <c r="SDY110" s="139"/>
      <c r="SDZ110" s="139"/>
      <c r="SEA110" s="139"/>
      <c r="SEB110" s="139"/>
      <c r="SEC110" s="139"/>
      <c r="SED110" s="139"/>
      <c r="SEE110" s="139"/>
      <c r="SEF110" s="139"/>
      <c r="SEG110" s="139"/>
      <c r="SEH110" s="139"/>
      <c r="SEI110" s="139"/>
      <c r="SEJ110" s="139"/>
      <c r="SEK110" s="139"/>
      <c r="SEL110" s="139"/>
      <c r="SEM110" s="139"/>
      <c r="SEN110" s="139"/>
      <c r="SEO110" s="139"/>
      <c r="SEP110" s="139"/>
      <c r="SEQ110" s="139"/>
      <c r="SER110" s="139"/>
      <c r="SES110" s="139"/>
      <c r="SET110" s="139"/>
      <c r="SEU110" s="139"/>
      <c r="SEV110" s="139"/>
      <c r="SEW110" s="139"/>
      <c r="SEX110" s="139"/>
      <c r="SEY110" s="139"/>
      <c r="SEZ110" s="139"/>
      <c r="SFA110" s="139"/>
      <c r="SFB110" s="139"/>
      <c r="SFC110" s="139"/>
      <c r="SFD110" s="139"/>
      <c r="SFE110" s="139"/>
      <c r="SFF110" s="139"/>
      <c r="SFG110" s="139"/>
      <c r="SFH110" s="139"/>
      <c r="SFI110" s="139"/>
      <c r="SFJ110" s="139"/>
      <c r="SFK110" s="139"/>
      <c r="SFL110" s="139"/>
      <c r="SFM110" s="139"/>
      <c r="SFN110" s="139"/>
      <c r="SFO110" s="139"/>
      <c r="SFP110" s="139"/>
      <c r="SFQ110" s="139"/>
      <c r="SFR110" s="139"/>
      <c r="SFS110" s="139"/>
      <c r="SFT110" s="139"/>
      <c r="SFU110" s="139"/>
      <c r="SFV110" s="139"/>
      <c r="SFW110" s="139"/>
      <c r="SFX110" s="139"/>
      <c r="SFY110" s="139"/>
      <c r="SFZ110" s="139"/>
      <c r="SGA110" s="139"/>
      <c r="SGB110" s="139"/>
      <c r="SGC110" s="139"/>
      <c r="SGD110" s="139"/>
      <c r="SGE110" s="139"/>
      <c r="SGF110" s="139"/>
      <c r="SGG110" s="139"/>
      <c r="SGH110" s="139"/>
      <c r="SGI110" s="139"/>
      <c r="SGJ110" s="139"/>
      <c r="SGK110" s="139"/>
      <c r="SGL110" s="139"/>
      <c r="SGM110" s="139"/>
      <c r="SGN110" s="139"/>
      <c r="SGO110" s="139"/>
      <c r="SGP110" s="139"/>
      <c r="SGQ110" s="139"/>
      <c r="SGR110" s="139"/>
      <c r="SGS110" s="139"/>
      <c r="SGT110" s="139"/>
      <c r="SGU110" s="139"/>
      <c r="SGV110" s="139"/>
      <c r="SGW110" s="139"/>
      <c r="SGX110" s="139"/>
      <c r="SGY110" s="139"/>
      <c r="SGZ110" s="139"/>
      <c r="SHA110" s="139"/>
      <c r="SHB110" s="139"/>
      <c r="SHC110" s="139"/>
      <c r="SHD110" s="139"/>
      <c r="SHE110" s="139"/>
      <c r="SHF110" s="139"/>
      <c r="SHG110" s="139"/>
      <c r="SHH110" s="139"/>
      <c r="SHI110" s="139"/>
      <c r="SHJ110" s="139"/>
      <c r="SHK110" s="139"/>
      <c r="SHL110" s="139"/>
      <c r="SHM110" s="139"/>
      <c r="SHN110" s="139"/>
      <c r="SHO110" s="139"/>
      <c r="SHP110" s="139"/>
      <c r="SHQ110" s="139"/>
      <c r="SHR110" s="139"/>
      <c r="SHS110" s="139"/>
      <c r="SHT110" s="139"/>
      <c r="SHU110" s="139"/>
      <c r="SHV110" s="139"/>
      <c r="SHW110" s="139"/>
      <c r="SHX110" s="139"/>
      <c r="SHY110" s="139"/>
      <c r="SHZ110" s="139"/>
      <c r="SIA110" s="139"/>
      <c r="SIB110" s="139"/>
      <c r="SIC110" s="139"/>
      <c r="SID110" s="139"/>
      <c r="SIE110" s="139"/>
      <c r="SIF110" s="139"/>
      <c r="SIG110" s="139"/>
      <c r="SIH110" s="139"/>
      <c r="SII110" s="139"/>
      <c r="SIJ110" s="139"/>
      <c r="SIK110" s="139"/>
      <c r="SIL110" s="139"/>
      <c r="SIM110" s="139"/>
      <c r="SIN110" s="139"/>
      <c r="SIO110" s="139"/>
      <c r="SIP110" s="139"/>
      <c r="SIQ110" s="139"/>
      <c r="SIR110" s="139"/>
      <c r="SIS110" s="139"/>
      <c r="SIT110" s="139"/>
      <c r="SIU110" s="139"/>
      <c r="SIV110" s="139"/>
      <c r="SIW110" s="139"/>
      <c r="SIX110" s="139"/>
      <c r="SIY110" s="139"/>
      <c r="SIZ110" s="139"/>
      <c r="SJA110" s="139"/>
      <c r="SJB110" s="139"/>
      <c r="SJC110" s="139"/>
      <c r="SJD110" s="139"/>
      <c r="SJE110" s="139"/>
      <c r="SJF110" s="139"/>
      <c r="SJG110" s="139"/>
      <c r="SJH110" s="139"/>
      <c r="SJI110" s="139"/>
      <c r="SJJ110" s="139"/>
      <c r="SJK110" s="139"/>
      <c r="SJL110" s="139"/>
      <c r="SJM110" s="139"/>
      <c r="SJN110" s="139"/>
      <c r="SJO110" s="139"/>
      <c r="SJP110" s="139"/>
      <c r="SJQ110" s="139"/>
      <c r="SJR110" s="139"/>
      <c r="SJS110" s="139"/>
      <c r="SJT110" s="139"/>
      <c r="SJU110" s="139"/>
      <c r="SJV110" s="139"/>
      <c r="SJW110" s="139"/>
      <c r="SJX110" s="139"/>
      <c r="SJY110" s="139"/>
      <c r="SJZ110" s="139"/>
      <c r="SKA110" s="139"/>
      <c r="SKB110" s="139"/>
      <c r="SKC110" s="139"/>
      <c r="SKD110" s="139"/>
      <c r="SKE110" s="139"/>
      <c r="SKF110" s="139"/>
      <c r="SKG110" s="139"/>
      <c r="SKH110" s="139"/>
      <c r="SKI110" s="139"/>
      <c r="SKJ110" s="139"/>
      <c r="SKK110" s="139"/>
      <c r="SKL110" s="139"/>
      <c r="SKM110" s="139"/>
      <c r="SKN110" s="139"/>
      <c r="SKO110" s="139"/>
      <c r="SKP110" s="139"/>
      <c r="SKQ110" s="139"/>
      <c r="SKR110" s="139"/>
      <c r="SKS110" s="139"/>
      <c r="SKT110" s="139"/>
      <c r="SKU110" s="139"/>
      <c r="SKV110" s="139"/>
      <c r="SKW110" s="139"/>
      <c r="SKX110" s="139"/>
      <c r="SKY110" s="139"/>
      <c r="SKZ110" s="139"/>
      <c r="SLA110" s="139"/>
      <c r="SLB110" s="139"/>
      <c r="SLC110" s="139"/>
      <c r="SLD110" s="139"/>
      <c r="SLE110" s="139"/>
      <c r="SLF110" s="139"/>
      <c r="SLG110" s="139"/>
      <c r="SLH110" s="139"/>
      <c r="SLI110" s="139"/>
      <c r="SLJ110" s="139"/>
      <c r="SLK110" s="139"/>
      <c r="SLL110" s="139"/>
      <c r="SLM110" s="139"/>
      <c r="SLN110" s="139"/>
      <c r="SLO110" s="139"/>
      <c r="SLP110" s="139"/>
      <c r="SLQ110" s="139"/>
      <c r="SLR110" s="139"/>
      <c r="SLS110" s="139"/>
      <c r="SLT110" s="139"/>
      <c r="SLU110" s="139"/>
      <c r="SLV110" s="139"/>
      <c r="SLW110" s="139"/>
      <c r="SLX110" s="139"/>
      <c r="SLY110" s="139"/>
      <c r="SLZ110" s="139"/>
      <c r="SMA110" s="139"/>
      <c r="SMB110" s="139"/>
      <c r="SMC110" s="139"/>
      <c r="SMD110" s="139"/>
      <c r="SME110" s="139"/>
      <c r="SMF110" s="139"/>
      <c r="SMG110" s="139"/>
      <c r="SMH110" s="139"/>
      <c r="SMI110" s="139"/>
      <c r="SMJ110" s="139"/>
      <c r="SMK110" s="139"/>
      <c r="SML110" s="139"/>
      <c r="SMM110" s="139"/>
      <c r="SMN110" s="139"/>
      <c r="SMO110" s="139"/>
      <c r="SMP110" s="139"/>
      <c r="SMQ110" s="139"/>
      <c r="SMR110" s="139"/>
      <c r="SMS110" s="139"/>
      <c r="SMT110" s="139"/>
      <c r="SMU110" s="139"/>
      <c r="SMV110" s="139"/>
      <c r="SMW110" s="139"/>
      <c r="SMX110" s="139"/>
      <c r="SMY110" s="139"/>
      <c r="SMZ110" s="139"/>
      <c r="SNA110" s="139"/>
      <c r="SNB110" s="139"/>
      <c r="SNC110" s="139"/>
      <c r="SND110" s="139"/>
      <c r="SNE110" s="139"/>
      <c r="SNF110" s="139"/>
      <c r="SNG110" s="139"/>
      <c r="SNH110" s="139"/>
      <c r="SNI110" s="139"/>
      <c r="SNJ110" s="139"/>
      <c r="SNK110" s="139"/>
      <c r="SNL110" s="139"/>
      <c r="SNM110" s="139"/>
      <c r="SNN110" s="139"/>
      <c r="SNO110" s="139"/>
      <c r="SNP110" s="139"/>
      <c r="SNQ110" s="139"/>
      <c r="SNR110" s="139"/>
      <c r="SNS110" s="139"/>
      <c r="SNT110" s="139"/>
      <c r="SNU110" s="139"/>
      <c r="SNV110" s="139"/>
      <c r="SNW110" s="139"/>
      <c r="SNX110" s="139"/>
      <c r="SNY110" s="139"/>
      <c r="SNZ110" s="139"/>
      <c r="SOA110" s="139"/>
      <c r="SOB110" s="139"/>
      <c r="SOC110" s="139"/>
      <c r="SOD110" s="139"/>
      <c r="SOE110" s="139"/>
      <c r="SOF110" s="139"/>
      <c r="SOG110" s="139"/>
      <c r="SOH110" s="139"/>
      <c r="SOI110" s="139"/>
      <c r="SOJ110" s="139"/>
      <c r="SOK110" s="139"/>
      <c r="SOL110" s="139"/>
      <c r="SOM110" s="139"/>
      <c r="SON110" s="139"/>
      <c r="SOO110" s="139"/>
      <c r="SOP110" s="139"/>
      <c r="SOQ110" s="139"/>
      <c r="SOR110" s="139"/>
      <c r="SOS110" s="139"/>
      <c r="SOT110" s="139"/>
      <c r="SOU110" s="139"/>
      <c r="SOV110" s="139"/>
      <c r="SOW110" s="139"/>
      <c r="SOX110" s="139"/>
      <c r="SOY110" s="139"/>
      <c r="SOZ110" s="139"/>
      <c r="SPA110" s="139"/>
      <c r="SPB110" s="139"/>
      <c r="SPC110" s="139"/>
      <c r="SPD110" s="139"/>
      <c r="SPE110" s="139"/>
      <c r="SPF110" s="139"/>
      <c r="SPG110" s="139"/>
      <c r="SPH110" s="139"/>
      <c r="SPI110" s="139"/>
      <c r="SPJ110" s="139"/>
      <c r="SPK110" s="139"/>
      <c r="SPL110" s="139"/>
      <c r="SPM110" s="139"/>
      <c r="SPN110" s="139"/>
      <c r="SPO110" s="139"/>
      <c r="SPP110" s="139"/>
      <c r="SPQ110" s="139"/>
      <c r="SPR110" s="139"/>
      <c r="SPS110" s="139"/>
      <c r="SPT110" s="139"/>
      <c r="SPU110" s="139"/>
      <c r="SPV110" s="139"/>
      <c r="SPW110" s="139"/>
      <c r="SPX110" s="139"/>
      <c r="SPY110" s="139"/>
      <c r="SPZ110" s="139"/>
      <c r="SQA110" s="139"/>
      <c r="SQB110" s="139"/>
      <c r="SQC110" s="139"/>
      <c r="SQD110" s="139"/>
      <c r="SQE110" s="139"/>
      <c r="SQF110" s="139"/>
      <c r="SQG110" s="139"/>
      <c r="SQH110" s="139"/>
      <c r="SQI110" s="139"/>
      <c r="SQJ110" s="139"/>
      <c r="SQK110" s="139"/>
      <c r="SQL110" s="139"/>
      <c r="SQM110" s="139"/>
      <c r="SQN110" s="139"/>
      <c r="SQO110" s="139"/>
      <c r="SQP110" s="139"/>
      <c r="SQQ110" s="139"/>
      <c r="SQR110" s="139"/>
      <c r="SQS110" s="139"/>
      <c r="SQT110" s="139"/>
      <c r="SQU110" s="139"/>
      <c r="SQV110" s="139"/>
      <c r="SQW110" s="139"/>
      <c r="SQX110" s="139"/>
      <c r="SQY110" s="139"/>
      <c r="SQZ110" s="139"/>
      <c r="SRA110" s="139"/>
      <c r="SRB110" s="139"/>
      <c r="SRC110" s="139"/>
      <c r="SRD110" s="139"/>
      <c r="SRE110" s="139"/>
      <c r="SRF110" s="139"/>
      <c r="SRG110" s="139"/>
      <c r="SRH110" s="139"/>
      <c r="SRI110" s="139"/>
      <c r="SRJ110" s="139"/>
      <c r="SRK110" s="139"/>
      <c r="SRL110" s="139"/>
      <c r="SRM110" s="139"/>
      <c r="SRN110" s="139"/>
      <c r="SRO110" s="139"/>
      <c r="SRP110" s="139"/>
      <c r="SRQ110" s="139"/>
      <c r="SRR110" s="139"/>
      <c r="SRS110" s="139"/>
      <c r="SRT110" s="139"/>
      <c r="SRU110" s="139"/>
      <c r="SRV110" s="139"/>
      <c r="SRW110" s="139"/>
      <c r="SRX110" s="139"/>
      <c r="SRY110" s="139"/>
      <c r="SRZ110" s="139"/>
      <c r="SSA110" s="139"/>
      <c r="SSB110" s="139"/>
      <c r="SSC110" s="139"/>
      <c r="SSD110" s="139"/>
      <c r="SSE110" s="139"/>
      <c r="SSF110" s="139"/>
      <c r="SSG110" s="139"/>
      <c r="SSH110" s="139"/>
      <c r="SSI110" s="139"/>
      <c r="SSJ110" s="139"/>
      <c r="SSK110" s="139"/>
      <c r="SSL110" s="139"/>
      <c r="SSM110" s="139"/>
      <c r="SSN110" s="139"/>
      <c r="SSO110" s="139"/>
      <c r="SSP110" s="139"/>
      <c r="SSQ110" s="139"/>
      <c r="SSR110" s="139"/>
      <c r="SSS110" s="139"/>
      <c r="SST110" s="139"/>
      <c r="SSU110" s="139"/>
      <c r="SSV110" s="139"/>
      <c r="SSW110" s="139"/>
      <c r="SSX110" s="139"/>
      <c r="SSY110" s="139"/>
      <c r="SSZ110" s="139"/>
      <c r="STA110" s="139"/>
      <c r="STB110" s="139"/>
      <c r="STC110" s="139"/>
      <c r="STD110" s="139"/>
      <c r="STE110" s="139"/>
      <c r="STF110" s="139"/>
      <c r="STG110" s="139"/>
      <c r="STH110" s="139"/>
      <c r="STI110" s="139"/>
      <c r="STJ110" s="139"/>
      <c r="STK110" s="139"/>
      <c r="STL110" s="139"/>
      <c r="STM110" s="139"/>
      <c r="STN110" s="139"/>
      <c r="STO110" s="139"/>
      <c r="STP110" s="139"/>
      <c r="STQ110" s="139"/>
      <c r="STR110" s="139"/>
      <c r="STS110" s="139"/>
      <c r="STT110" s="139"/>
      <c r="STU110" s="139"/>
      <c r="STV110" s="139"/>
      <c r="STW110" s="139"/>
      <c r="STX110" s="139"/>
      <c r="STY110" s="139"/>
      <c r="STZ110" s="139"/>
      <c r="SUA110" s="139"/>
      <c r="SUB110" s="139"/>
      <c r="SUC110" s="139"/>
      <c r="SUD110" s="139"/>
      <c r="SUE110" s="139"/>
      <c r="SUF110" s="139"/>
      <c r="SUG110" s="139"/>
      <c r="SUH110" s="139"/>
      <c r="SUI110" s="139"/>
      <c r="SUJ110" s="139"/>
      <c r="SUK110" s="139"/>
      <c r="SUL110" s="139"/>
      <c r="SUM110" s="139"/>
      <c r="SUN110" s="139"/>
      <c r="SUO110" s="139"/>
      <c r="SUP110" s="139"/>
      <c r="SUQ110" s="139"/>
      <c r="SUR110" s="139"/>
      <c r="SUS110" s="139"/>
      <c r="SUT110" s="139"/>
      <c r="SUU110" s="139"/>
      <c r="SUV110" s="139"/>
      <c r="SUW110" s="139"/>
      <c r="SUX110" s="139"/>
      <c r="SUY110" s="139"/>
      <c r="SUZ110" s="139"/>
      <c r="SVA110" s="139"/>
      <c r="SVB110" s="139"/>
      <c r="SVC110" s="139"/>
      <c r="SVD110" s="139"/>
      <c r="SVE110" s="139"/>
      <c r="SVF110" s="139"/>
      <c r="SVG110" s="139"/>
      <c r="SVH110" s="139"/>
      <c r="SVI110" s="139"/>
      <c r="SVJ110" s="139"/>
      <c r="SVK110" s="139"/>
      <c r="SVL110" s="139"/>
      <c r="SVM110" s="139"/>
      <c r="SVN110" s="139"/>
      <c r="SVO110" s="139"/>
      <c r="SVP110" s="139"/>
      <c r="SVQ110" s="139"/>
      <c r="SVR110" s="139"/>
      <c r="SVS110" s="139"/>
      <c r="SVT110" s="139"/>
      <c r="SVU110" s="139"/>
      <c r="SVV110" s="139"/>
      <c r="SVW110" s="139"/>
      <c r="SVX110" s="139"/>
      <c r="SVY110" s="139"/>
      <c r="SVZ110" s="139"/>
      <c r="SWA110" s="139"/>
      <c r="SWB110" s="139"/>
      <c r="SWC110" s="139"/>
      <c r="SWD110" s="139"/>
      <c r="SWE110" s="139"/>
      <c r="SWF110" s="139"/>
      <c r="SWG110" s="139"/>
      <c r="SWH110" s="139"/>
      <c r="SWI110" s="139"/>
      <c r="SWJ110" s="139"/>
      <c r="SWK110" s="139"/>
      <c r="SWL110" s="139"/>
      <c r="SWM110" s="139"/>
      <c r="SWN110" s="139"/>
      <c r="SWO110" s="139"/>
      <c r="SWP110" s="139"/>
      <c r="SWQ110" s="139"/>
      <c r="SWR110" s="139"/>
      <c r="SWS110" s="139"/>
      <c r="SWT110" s="139"/>
      <c r="SWU110" s="139"/>
      <c r="SWV110" s="139"/>
      <c r="SWW110" s="139"/>
      <c r="SWX110" s="139"/>
      <c r="SWY110" s="139"/>
      <c r="SWZ110" s="139"/>
      <c r="SXA110" s="139"/>
      <c r="SXB110" s="139"/>
      <c r="SXC110" s="139"/>
      <c r="SXD110" s="139"/>
      <c r="SXE110" s="139"/>
      <c r="SXF110" s="139"/>
      <c r="SXG110" s="139"/>
      <c r="SXH110" s="139"/>
      <c r="SXI110" s="139"/>
      <c r="SXJ110" s="139"/>
      <c r="SXK110" s="139"/>
      <c r="SXL110" s="139"/>
      <c r="SXM110" s="139"/>
      <c r="SXN110" s="139"/>
      <c r="SXO110" s="139"/>
      <c r="SXP110" s="139"/>
      <c r="SXQ110" s="139"/>
      <c r="SXR110" s="139"/>
      <c r="SXS110" s="139"/>
      <c r="SXT110" s="139"/>
      <c r="SXU110" s="139"/>
      <c r="SXV110" s="139"/>
      <c r="SXW110" s="139"/>
      <c r="SXX110" s="139"/>
      <c r="SXY110" s="139"/>
      <c r="SXZ110" s="139"/>
      <c r="SYA110" s="139"/>
      <c r="SYB110" s="139"/>
      <c r="SYC110" s="139"/>
      <c r="SYD110" s="139"/>
      <c r="SYE110" s="139"/>
      <c r="SYF110" s="139"/>
      <c r="SYG110" s="139"/>
      <c r="SYH110" s="139"/>
      <c r="SYI110" s="139"/>
      <c r="SYJ110" s="139"/>
      <c r="SYK110" s="139"/>
      <c r="SYL110" s="139"/>
      <c r="SYM110" s="139"/>
      <c r="SYN110" s="139"/>
      <c r="SYO110" s="139"/>
      <c r="SYP110" s="139"/>
      <c r="SYQ110" s="139"/>
      <c r="SYR110" s="139"/>
      <c r="SYS110" s="139"/>
      <c r="SYT110" s="139"/>
      <c r="SYU110" s="139"/>
      <c r="SYV110" s="139"/>
      <c r="SYW110" s="139"/>
      <c r="SYX110" s="139"/>
      <c r="SYY110" s="139"/>
      <c r="SYZ110" s="139"/>
      <c r="SZA110" s="139"/>
      <c r="SZB110" s="139"/>
      <c r="SZC110" s="139"/>
      <c r="SZD110" s="139"/>
      <c r="SZE110" s="139"/>
      <c r="SZF110" s="139"/>
      <c r="SZG110" s="139"/>
      <c r="SZH110" s="139"/>
      <c r="SZI110" s="139"/>
      <c r="SZJ110" s="139"/>
      <c r="SZK110" s="139"/>
      <c r="SZL110" s="139"/>
      <c r="SZM110" s="139"/>
      <c r="SZN110" s="139"/>
      <c r="SZO110" s="139"/>
      <c r="SZP110" s="139"/>
      <c r="SZQ110" s="139"/>
      <c r="SZR110" s="139"/>
      <c r="SZS110" s="139"/>
      <c r="SZT110" s="139"/>
      <c r="SZU110" s="139"/>
      <c r="SZV110" s="139"/>
      <c r="SZW110" s="139"/>
      <c r="SZX110" s="139"/>
      <c r="SZY110" s="139"/>
      <c r="SZZ110" s="139"/>
      <c r="TAA110" s="139"/>
      <c r="TAB110" s="139"/>
      <c r="TAC110" s="139"/>
      <c r="TAD110" s="139"/>
      <c r="TAE110" s="139"/>
      <c r="TAF110" s="139"/>
      <c r="TAG110" s="139"/>
      <c r="TAH110" s="139"/>
      <c r="TAI110" s="139"/>
      <c r="TAJ110" s="139"/>
      <c r="TAK110" s="139"/>
      <c r="TAL110" s="139"/>
      <c r="TAM110" s="139"/>
      <c r="TAN110" s="139"/>
      <c r="TAO110" s="139"/>
      <c r="TAP110" s="139"/>
      <c r="TAQ110" s="139"/>
      <c r="TAR110" s="139"/>
      <c r="TAS110" s="139"/>
      <c r="TAT110" s="139"/>
      <c r="TAU110" s="139"/>
      <c r="TAV110" s="139"/>
      <c r="TAW110" s="139"/>
      <c r="TAX110" s="139"/>
      <c r="TAY110" s="139"/>
      <c r="TAZ110" s="139"/>
      <c r="TBA110" s="139"/>
      <c r="TBB110" s="139"/>
      <c r="TBC110" s="139"/>
      <c r="TBD110" s="139"/>
      <c r="TBE110" s="139"/>
      <c r="TBF110" s="139"/>
      <c r="TBG110" s="139"/>
      <c r="TBH110" s="139"/>
      <c r="TBI110" s="139"/>
      <c r="TBJ110" s="139"/>
      <c r="TBK110" s="139"/>
      <c r="TBL110" s="139"/>
      <c r="TBM110" s="139"/>
      <c r="TBN110" s="139"/>
      <c r="TBO110" s="139"/>
      <c r="TBP110" s="139"/>
      <c r="TBQ110" s="139"/>
      <c r="TBR110" s="139"/>
      <c r="TBS110" s="139"/>
      <c r="TBT110" s="139"/>
      <c r="TBU110" s="139"/>
      <c r="TBV110" s="139"/>
      <c r="TBW110" s="139"/>
      <c r="TBX110" s="139"/>
      <c r="TBY110" s="139"/>
      <c r="TBZ110" s="139"/>
      <c r="TCA110" s="139"/>
      <c r="TCB110" s="139"/>
      <c r="TCC110" s="139"/>
      <c r="TCD110" s="139"/>
      <c r="TCE110" s="139"/>
      <c r="TCF110" s="139"/>
      <c r="TCG110" s="139"/>
      <c r="TCH110" s="139"/>
      <c r="TCI110" s="139"/>
      <c r="TCJ110" s="139"/>
      <c r="TCK110" s="139"/>
      <c r="TCL110" s="139"/>
      <c r="TCM110" s="139"/>
      <c r="TCN110" s="139"/>
      <c r="TCO110" s="139"/>
      <c r="TCP110" s="139"/>
      <c r="TCQ110" s="139"/>
      <c r="TCR110" s="139"/>
      <c r="TCS110" s="139"/>
      <c r="TCT110" s="139"/>
      <c r="TCU110" s="139"/>
      <c r="TCV110" s="139"/>
      <c r="TCW110" s="139"/>
      <c r="TCX110" s="139"/>
      <c r="TCY110" s="139"/>
      <c r="TCZ110" s="139"/>
      <c r="TDA110" s="139"/>
      <c r="TDB110" s="139"/>
      <c r="TDC110" s="139"/>
      <c r="TDD110" s="139"/>
      <c r="TDE110" s="139"/>
      <c r="TDF110" s="139"/>
      <c r="TDG110" s="139"/>
      <c r="TDH110" s="139"/>
      <c r="TDI110" s="139"/>
      <c r="TDJ110" s="139"/>
      <c r="TDK110" s="139"/>
      <c r="TDL110" s="139"/>
      <c r="TDM110" s="139"/>
      <c r="TDN110" s="139"/>
      <c r="TDO110" s="139"/>
      <c r="TDP110" s="139"/>
      <c r="TDQ110" s="139"/>
      <c r="TDR110" s="139"/>
      <c r="TDS110" s="139"/>
      <c r="TDT110" s="139"/>
      <c r="TDU110" s="139"/>
      <c r="TDV110" s="139"/>
      <c r="TDW110" s="139"/>
      <c r="TDX110" s="139"/>
      <c r="TDY110" s="139"/>
      <c r="TDZ110" s="139"/>
      <c r="TEA110" s="139"/>
      <c r="TEB110" s="139"/>
      <c r="TEC110" s="139"/>
      <c r="TED110" s="139"/>
      <c r="TEE110" s="139"/>
      <c r="TEF110" s="139"/>
      <c r="TEG110" s="139"/>
      <c r="TEH110" s="139"/>
      <c r="TEI110" s="139"/>
      <c r="TEJ110" s="139"/>
      <c r="TEK110" s="139"/>
      <c r="TEL110" s="139"/>
      <c r="TEM110" s="139"/>
      <c r="TEN110" s="139"/>
      <c r="TEO110" s="139"/>
      <c r="TEP110" s="139"/>
      <c r="TEQ110" s="139"/>
      <c r="TER110" s="139"/>
      <c r="TES110" s="139"/>
      <c r="TET110" s="139"/>
      <c r="TEU110" s="139"/>
      <c r="TEV110" s="139"/>
      <c r="TEW110" s="139"/>
      <c r="TEX110" s="139"/>
      <c r="TEY110" s="139"/>
      <c r="TEZ110" s="139"/>
      <c r="TFA110" s="139"/>
      <c r="TFB110" s="139"/>
      <c r="TFC110" s="139"/>
      <c r="TFD110" s="139"/>
      <c r="TFE110" s="139"/>
      <c r="TFF110" s="139"/>
      <c r="TFG110" s="139"/>
      <c r="TFH110" s="139"/>
      <c r="TFI110" s="139"/>
      <c r="TFJ110" s="139"/>
      <c r="TFK110" s="139"/>
      <c r="TFL110" s="139"/>
      <c r="TFM110" s="139"/>
      <c r="TFN110" s="139"/>
      <c r="TFO110" s="139"/>
      <c r="TFP110" s="139"/>
      <c r="TFQ110" s="139"/>
      <c r="TFR110" s="139"/>
      <c r="TFS110" s="139"/>
      <c r="TFT110" s="139"/>
      <c r="TFU110" s="139"/>
      <c r="TFV110" s="139"/>
      <c r="TFW110" s="139"/>
      <c r="TFX110" s="139"/>
      <c r="TFY110" s="139"/>
      <c r="TFZ110" s="139"/>
      <c r="TGA110" s="139"/>
      <c r="TGB110" s="139"/>
      <c r="TGC110" s="139"/>
      <c r="TGD110" s="139"/>
      <c r="TGE110" s="139"/>
      <c r="TGF110" s="139"/>
      <c r="TGG110" s="139"/>
      <c r="TGH110" s="139"/>
      <c r="TGI110" s="139"/>
      <c r="TGJ110" s="139"/>
      <c r="TGK110" s="139"/>
      <c r="TGL110" s="139"/>
      <c r="TGM110" s="139"/>
      <c r="TGN110" s="139"/>
      <c r="TGO110" s="139"/>
      <c r="TGP110" s="139"/>
      <c r="TGQ110" s="139"/>
      <c r="TGR110" s="139"/>
      <c r="TGS110" s="139"/>
      <c r="TGT110" s="139"/>
      <c r="TGU110" s="139"/>
      <c r="TGV110" s="139"/>
      <c r="TGW110" s="139"/>
      <c r="TGX110" s="139"/>
      <c r="TGY110" s="139"/>
      <c r="TGZ110" s="139"/>
      <c r="THA110" s="139"/>
      <c r="THB110" s="139"/>
      <c r="THC110" s="139"/>
      <c r="THD110" s="139"/>
      <c r="THE110" s="139"/>
      <c r="THF110" s="139"/>
      <c r="THG110" s="139"/>
      <c r="THH110" s="139"/>
      <c r="THI110" s="139"/>
      <c r="THJ110" s="139"/>
      <c r="THK110" s="139"/>
      <c r="THL110" s="139"/>
      <c r="THM110" s="139"/>
      <c r="THN110" s="139"/>
      <c r="THO110" s="139"/>
      <c r="THP110" s="139"/>
      <c r="THQ110" s="139"/>
      <c r="THR110" s="139"/>
      <c r="THS110" s="139"/>
      <c r="THT110" s="139"/>
      <c r="THU110" s="139"/>
      <c r="THV110" s="139"/>
      <c r="THW110" s="139"/>
      <c r="THX110" s="139"/>
      <c r="THY110" s="139"/>
      <c r="THZ110" s="139"/>
      <c r="TIA110" s="139"/>
      <c r="TIB110" s="139"/>
      <c r="TIC110" s="139"/>
      <c r="TID110" s="139"/>
      <c r="TIE110" s="139"/>
      <c r="TIF110" s="139"/>
      <c r="TIG110" s="139"/>
      <c r="TIH110" s="139"/>
      <c r="TII110" s="139"/>
      <c r="TIJ110" s="139"/>
      <c r="TIK110" s="139"/>
      <c r="TIL110" s="139"/>
      <c r="TIM110" s="139"/>
      <c r="TIN110" s="139"/>
      <c r="TIO110" s="139"/>
      <c r="TIP110" s="139"/>
      <c r="TIQ110" s="139"/>
      <c r="TIR110" s="139"/>
      <c r="TIS110" s="139"/>
      <c r="TIT110" s="139"/>
      <c r="TIU110" s="139"/>
      <c r="TIV110" s="139"/>
      <c r="TIW110" s="139"/>
      <c r="TIX110" s="139"/>
      <c r="TIY110" s="139"/>
      <c r="TIZ110" s="139"/>
      <c r="TJA110" s="139"/>
      <c r="TJB110" s="139"/>
      <c r="TJC110" s="139"/>
      <c r="TJD110" s="139"/>
      <c r="TJE110" s="139"/>
      <c r="TJF110" s="139"/>
      <c r="TJG110" s="139"/>
      <c r="TJH110" s="139"/>
      <c r="TJI110" s="139"/>
      <c r="TJJ110" s="139"/>
      <c r="TJK110" s="139"/>
      <c r="TJL110" s="139"/>
      <c r="TJM110" s="139"/>
      <c r="TJN110" s="139"/>
      <c r="TJO110" s="139"/>
      <c r="TJP110" s="139"/>
      <c r="TJQ110" s="139"/>
      <c r="TJR110" s="139"/>
      <c r="TJS110" s="139"/>
      <c r="TJT110" s="139"/>
      <c r="TJU110" s="139"/>
      <c r="TJV110" s="139"/>
      <c r="TJW110" s="139"/>
      <c r="TJX110" s="139"/>
      <c r="TJY110" s="139"/>
      <c r="TJZ110" s="139"/>
      <c r="TKA110" s="139"/>
      <c r="TKB110" s="139"/>
      <c r="TKC110" s="139"/>
      <c r="TKD110" s="139"/>
      <c r="TKE110" s="139"/>
      <c r="TKF110" s="139"/>
      <c r="TKG110" s="139"/>
      <c r="TKH110" s="139"/>
      <c r="TKI110" s="139"/>
      <c r="TKJ110" s="139"/>
      <c r="TKK110" s="139"/>
      <c r="TKL110" s="139"/>
      <c r="TKM110" s="139"/>
      <c r="TKN110" s="139"/>
      <c r="TKO110" s="139"/>
      <c r="TKP110" s="139"/>
      <c r="TKQ110" s="139"/>
      <c r="TKR110" s="139"/>
      <c r="TKS110" s="139"/>
      <c r="TKT110" s="139"/>
      <c r="TKU110" s="139"/>
      <c r="TKV110" s="139"/>
      <c r="TKW110" s="139"/>
      <c r="TKX110" s="139"/>
      <c r="TKY110" s="139"/>
      <c r="TKZ110" s="139"/>
      <c r="TLA110" s="139"/>
      <c r="TLB110" s="139"/>
      <c r="TLC110" s="139"/>
      <c r="TLD110" s="139"/>
      <c r="TLE110" s="139"/>
      <c r="TLF110" s="139"/>
      <c r="TLG110" s="139"/>
      <c r="TLH110" s="139"/>
      <c r="TLI110" s="139"/>
      <c r="TLJ110" s="139"/>
      <c r="TLK110" s="139"/>
      <c r="TLL110" s="139"/>
      <c r="TLM110" s="139"/>
      <c r="TLN110" s="139"/>
      <c r="TLO110" s="139"/>
      <c r="TLP110" s="139"/>
      <c r="TLQ110" s="139"/>
      <c r="TLR110" s="139"/>
      <c r="TLS110" s="139"/>
      <c r="TLT110" s="139"/>
      <c r="TLU110" s="139"/>
      <c r="TLV110" s="139"/>
      <c r="TLW110" s="139"/>
      <c r="TLX110" s="139"/>
      <c r="TLY110" s="139"/>
      <c r="TLZ110" s="139"/>
      <c r="TMA110" s="139"/>
      <c r="TMB110" s="139"/>
      <c r="TMC110" s="139"/>
      <c r="TMD110" s="139"/>
      <c r="TME110" s="139"/>
      <c r="TMF110" s="139"/>
      <c r="TMG110" s="139"/>
      <c r="TMH110" s="139"/>
      <c r="TMI110" s="139"/>
      <c r="TMJ110" s="139"/>
      <c r="TMK110" s="139"/>
      <c r="TML110" s="139"/>
      <c r="TMM110" s="139"/>
      <c r="TMN110" s="139"/>
      <c r="TMO110" s="139"/>
      <c r="TMP110" s="139"/>
      <c r="TMQ110" s="139"/>
      <c r="TMR110" s="139"/>
      <c r="TMS110" s="139"/>
      <c r="TMT110" s="139"/>
      <c r="TMU110" s="139"/>
      <c r="TMV110" s="139"/>
      <c r="TMW110" s="139"/>
      <c r="TMX110" s="139"/>
      <c r="TMY110" s="139"/>
      <c r="TMZ110" s="139"/>
      <c r="TNA110" s="139"/>
      <c r="TNB110" s="139"/>
      <c r="TNC110" s="139"/>
      <c r="TND110" s="139"/>
      <c r="TNE110" s="139"/>
      <c r="TNF110" s="139"/>
      <c r="TNG110" s="139"/>
      <c r="TNH110" s="139"/>
      <c r="TNI110" s="139"/>
      <c r="TNJ110" s="139"/>
      <c r="TNK110" s="139"/>
      <c r="TNL110" s="139"/>
      <c r="TNM110" s="139"/>
      <c r="TNN110" s="139"/>
      <c r="TNO110" s="139"/>
      <c r="TNP110" s="139"/>
      <c r="TNQ110" s="139"/>
      <c r="TNR110" s="139"/>
      <c r="TNS110" s="139"/>
      <c r="TNT110" s="139"/>
      <c r="TNU110" s="139"/>
      <c r="TNV110" s="139"/>
      <c r="TNW110" s="139"/>
      <c r="TNX110" s="139"/>
      <c r="TNY110" s="139"/>
      <c r="TNZ110" s="139"/>
      <c r="TOA110" s="139"/>
      <c r="TOB110" s="139"/>
      <c r="TOC110" s="139"/>
      <c r="TOD110" s="139"/>
      <c r="TOE110" s="139"/>
      <c r="TOF110" s="139"/>
      <c r="TOG110" s="139"/>
      <c r="TOH110" s="139"/>
      <c r="TOI110" s="139"/>
      <c r="TOJ110" s="139"/>
      <c r="TOK110" s="139"/>
      <c r="TOL110" s="139"/>
      <c r="TOM110" s="139"/>
      <c r="TON110" s="139"/>
      <c r="TOO110" s="139"/>
      <c r="TOP110" s="139"/>
      <c r="TOQ110" s="139"/>
      <c r="TOR110" s="139"/>
      <c r="TOS110" s="139"/>
      <c r="TOT110" s="139"/>
      <c r="TOU110" s="139"/>
      <c r="TOV110" s="139"/>
      <c r="TOW110" s="139"/>
      <c r="TOX110" s="139"/>
      <c r="TOY110" s="139"/>
      <c r="TOZ110" s="139"/>
      <c r="TPA110" s="139"/>
      <c r="TPB110" s="139"/>
      <c r="TPC110" s="139"/>
      <c r="TPD110" s="139"/>
      <c r="TPE110" s="139"/>
      <c r="TPF110" s="139"/>
      <c r="TPG110" s="139"/>
      <c r="TPH110" s="139"/>
      <c r="TPI110" s="139"/>
      <c r="TPJ110" s="139"/>
      <c r="TPK110" s="139"/>
      <c r="TPL110" s="139"/>
      <c r="TPM110" s="139"/>
      <c r="TPN110" s="139"/>
      <c r="TPO110" s="139"/>
      <c r="TPP110" s="139"/>
      <c r="TPQ110" s="139"/>
      <c r="TPR110" s="139"/>
      <c r="TPS110" s="139"/>
      <c r="TPT110" s="139"/>
      <c r="TPU110" s="139"/>
      <c r="TPV110" s="139"/>
      <c r="TPW110" s="139"/>
      <c r="TPX110" s="139"/>
      <c r="TPY110" s="139"/>
      <c r="TPZ110" s="139"/>
      <c r="TQA110" s="139"/>
      <c r="TQB110" s="139"/>
      <c r="TQC110" s="139"/>
      <c r="TQD110" s="139"/>
      <c r="TQE110" s="139"/>
      <c r="TQF110" s="139"/>
      <c r="TQG110" s="139"/>
      <c r="TQH110" s="139"/>
      <c r="TQI110" s="139"/>
      <c r="TQJ110" s="139"/>
      <c r="TQK110" s="139"/>
      <c r="TQL110" s="139"/>
      <c r="TQM110" s="139"/>
      <c r="TQN110" s="139"/>
      <c r="TQO110" s="139"/>
      <c r="TQP110" s="139"/>
      <c r="TQQ110" s="139"/>
      <c r="TQR110" s="139"/>
      <c r="TQS110" s="139"/>
      <c r="TQT110" s="139"/>
      <c r="TQU110" s="139"/>
      <c r="TQV110" s="139"/>
      <c r="TQW110" s="139"/>
      <c r="TQX110" s="139"/>
      <c r="TQY110" s="139"/>
      <c r="TQZ110" s="139"/>
      <c r="TRA110" s="139"/>
      <c r="TRB110" s="139"/>
      <c r="TRC110" s="139"/>
      <c r="TRD110" s="139"/>
      <c r="TRE110" s="139"/>
      <c r="TRF110" s="139"/>
      <c r="TRG110" s="139"/>
      <c r="TRH110" s="139"/>
      <c r="TRI110" s="139"/>
      <c r="TRJ110" s="139"/>
      <c r="TRK110" s="139"/>
      <c r="TRL110" s="139"/>
      <c r="TRM110" s="139"/>
      <c r="TRN110" s="139"/>
      <c r="TRO110" s="139"/>
      <c r="TRP110" s="139"/>
      <c r="TRQ110" s="139"/>
      <c r="TRR110" s="139"/>
      <c r="TRS110" s="139"/>
      <c r="TRT110" s="139"/>
      <c r="TRU110" s="139"/>
      <c r="TRV110" s="139"/>
      <c r="TRW110" s="139"/>
      <c r="TRX110" s="139"/>
      <c r="TRY110" s="139"/>
      <c r="TRZ110" s="139"/>
      <c r="TSA110" s="139"/>
      <c r="TSB110" s="139"/>
      <c r="TSC110" s="139"/>
      <c r="TSD110" s="139"/>
      <c r="TSE110" s="139"/>
      <c r="TSF110" s="139"/>
      <c r="TSG110" s="139"/>
      <c r="TSH110" s="139"/>
      <c r="TSI110" s="139"/>
      <c r="TSJ110" s="139"/>
      <c r="TSK110" s="139"/>
      <c r="TSL110" s="139"/>
      <c r="TSM110" s="139"/>
      <c r="TSN110" s="139"/>
      <c r="TSO110" s="139"/>
      <c r="TSP110" s="139"/>
      <c r="TSQ110" s="139"/>
      <c r="TSR110" s="139"/>
      <c r="TSS110" s="139"/>
      <c r="TST110" s="139"/>
      <c r="TSU110" s="139"/>
      <c r="TSV110" s="139"/>
      <c r="TSW110" s="139"/>
      <c r="TSX110" s="139"/>
      <c r="TSY110" s="139"/>
      <c r="TSZ110" s="139"/>
      <c r="TTA110" s="139"/>
      <c r="TTB110" s="139"/>
      <c r="TTC110" s="139"/>
      <c r="TTD110" s="139"/>
      <c r="TTE110" s="139"/>
      <c r="TTF110" s="139"/>
      <c r="TTG110" s="139"/>
      <c r="TTH110" s="139"/>
      <c r="TTI110" s="139"/>
      <c r="TTJ110" s="139"/>
      <c r="TTK110" s="139"/>
      <c r="TTL110" s="139"/>
      <c r="TTM110" s="139"/>
      <c r="TTN110" s="139"/>
      <c r="TTO110" s="139"/>
      <c r="TTP110" s="139"/>
      <c r="TTQ110" s="139"/>
      <c r="TTR110" s="139"/>
      <c r="TTS110" s="139"/>
      <c r="TTT110" s="139"/>
      <c r="TTU110" s="139"/>
      <c r="TTV110" s="139"/>
      <c r="TTW110" s="139"/>
      <c r="TTX110" s="139"/>
      <c r="TTY110" s="139"/>
      <c r="TTZ110" s="139"/>
      <c r="TUA110" s="139"/>
      <c r="TUB110" s="139"/>
      <c r="TUC110" s="139"/>
      <c r="TUD110" s="139"/>
      <c r="TUE110" s="139"/>
      <c r="TUF110" s="139"/>
      <c r="TUG110" s="139"/>
      <c r="TUH110" s="139"/>
      <c r="TUI110" s="139"/>
      <c r="TUJ110" s="139"/>
      <c r="TUK110" s="139"/>
      <c r="TUL110" s="139"/>
      <c r="TUM110" s="139"/>
      <c r="TUN110" s="139"/>
      <c r="TUO110" s="139"/>
      <c r="TUP110" s="139"/>
      <c r="TUQ110" s="139"/>
      <c r="TUR110" s="139"/>
      <c r="TUS110" s="139"/>
      <c r="TUT110" s="139"/>
      <c r="TUU110" s="139"/>
      <c r="TUV110" s="139"/>
      <c r="TUW110" s="139"/>
      <c r="TUX110" s="139"/>
      <c r="TUY110" s="139"/>
      <c r="TUZ110" s="139"/>
      <c r="TVA110" s="139"/>
      <c r="TVB110" s="139"/>
      <c r="TVC110" s="139"/>
      <c r="TVD110" s="139"/>
      <c r="TVE110" s="139"/>
      <c r="TVF110" s="139"/>
      <c r="TVG110" s="139"/>
      <c r="TVH110" s="139"/>
      <c r="TVI110" s="139"/>
      <c r="TVJ110" s="139"/>
      <c r="TVK110" s="139"/>
      <c r="TVL110" s="139"/>
      <c r="TVM110" s="139"/>
      <c r="TVN110" s="139"/>
      <c r="TVO110" s="139"/>
      <c r="TVP110" s="139"/>
      <c r="TVQ110" s="139"/>
      <c r="TVR110" s="139"/>
      <c r="TVS110" s="139"/>
      <c r="TVT110" s="139"/>
      <c r="TVU110" s="139"/>
      <c r="TVV110" s="139"/>
      <c r="TVW110" s="139"/>
      <c r="TVX110" s="139"/>
      <c r="TVY110" s="139"/>
      <c r="TVZ110" s="139"/>
      <c r="TWA110" s="139"/>
      <c r="TWB110" s="139"/>
      <c r="TWC110" s="139"/>
      <c r="TWD110" s="139"/>
      <c r="TWE110" s="139"/>
      <c r="TWF110" s="139"/>
      <c r="TWG110" s="139"/>
      <c r="TWH110" s="139"/>
      <c r="TWI110" s="139"/>
      <c r="TWJ110" s="139"/>
      <c r="TWK110" s="139"/>
      <c r="TWL110" s="139"/>
      <c r="TWM110" s="139"/>
      <c r="TWN110" s="139"/>
      <c r="TWO110" s="139"/>
      <c r="TWP110" s="139"/>
      <c r="TWQ110" s="139"/>
      <c r="TWR110" s="139"/>
      <c r="TWS110" s="139"/>
      <c r="TWT110" s="139"/>
      <c r="TWU110" s="139"/>
      <c r="TWV110" s="139"/>
      <c r="TWW110" s="139"/>
      <c r="TWX110" s="139"/>
      <c r="TWY110" s="139"/>
      <c r="TWZ110" s="139"/>
      <c r="TXA110" s="139"/>
      <c r="TXB110" s="139"/>
      <c r="TXC110" s="139"/>
      <c r="TXD110" s="139"/>
      <c r="TXE110" s="139"/>
      <c r="TXF110" s="139"/>
      <c r="TXG110" s="139"/>
      <c r="TXH110" s="139"/>
      <c r="TXI110" s="139"/>
      <c r="TXJ110" s="139"/>
      <c r="TXK110" s="139"/>
      <c r="TXL110" s="139"/>
      <c r="TXM110" s="139"/>
      <c r="TXN110" s="139"/>
      <c r="TXO110" s="139"/>
      <c r="TXP110" s="139"/>
      <c r="TXQ110" s="139"/>
      <c r="TXR110" s="139"/>
      <c r="TXS110" s="139"/>
      <c r="TXT110" s="139"/>
      <c r="TXU110" s="139"/>
      <c r="TXV110" s="139"/>
      <c r="TXW110" s="139"/>
      <c r="TXX110" s="139"/>
      <c r="TXY110" s="139"/>
      <c r="TXZ110" s="139"/>
      <c r="TYA110" s="139"/>
      <c r="TYB110" s="139"/>
      <c r="TYC110" s="139"/>
      <c r="TYD110" s="139"/>
      <c r="TYE110" s="139"/>
      <c r="TYF110" s="139"/>
      <c r="TYG110" s="139"/>
      <c r="TYH110" s="139"/>
      <c r="TYI110" s="139"/>
      <c r="TYJ110" s="139"/>
      <c r="TYK110" s="139"/>
      <c r="TYL110" s="139"/>
      <c r="TYM110" s="139"/>
      <c r="TYN110" s="139"/>
      <c r="TYO110" s="139"/>
      <c r="TYP110" s="139"/>
      <c r="TYQ110" s="139"/>
      <c r="TYR110" s="139"/>
      <c r="TYS110" s="139"/>
      <c r="TYT110" s="139"/>
      <c r="TYU110" s="139"/>
      <c r="TYV110" s="139"/>
      <c r="TYW110" s="139"/>
      <c r="TYX110" s="139"/>
      <c r="TYY110" s="139"/>
      <c r="TYZ110" s="139"/>
      <c r="TZA110" s="139"/>
      <c r="TZB110" s="139"/>
      <c r="TZC110" s="139"/>
      <c r="TZD110" s="139"/>
      <c r="TZE110" s="139"/>
      <c r="TZF110" s="139"/>
      <c r="TZG110" s="139"/>
      <c r="TZH110" s="139"/>
      <c r="TZI110" s="139"/>
      <c r="TZJ110" s="139"/>
      <c r="TZK110" s="139"/>
      <c r="TZL110" s="139"/>
      <c r="TZM110" s="139"/>
      <c r="TZN110" s="139"/>
      <c r="TZO110" s="139"/>
      <c r="TZP110" s="139"/>
      <c r="TZQ110" s="139"/>
      <c r="TZR110" s="139"/>
      <c r="TZS110" s="139"/>
      <c r="TZT110" s="139"/>
      <c r="TZU110" s="139"/>
      <c r="TZV110" s="139"/>
      <c r="TZW110" s="139"/>
      <c r="TZX110" s="139"/>
      <c r="TZY110" s="139"/>
      <c r="TZZ110" s="139"/>
      <c r="UAA110" s="139"/>
      <c r="UAB110" s="139"/>
      <c r="UAC110" s="139"/>
      <c r="UAD110" s="139"/>
      <c r="UAE110" s="139"/>
      <c r="UAF110" s="139"/>
      <c r="UAG110" s="139"/>
      <c r="UAH110" s="139"/>
      <c r="UAI110" s="139"/>
      <c r="UAJ110" s="139"/>
      <c r="UAK110" s="139"/>
      <c r="UAL110" s="139"/>
      <c r="UAM110" s="139"/>
      <c r="UAN110" s="139"/>
      <c r="UAO110" s="139"/>
      <c r="UAP110" s="139"/>
      <c r="UAQ110" s="139"/>
      <c r="UAR110" s="139"/>
      <c r="UAS110" s="139"/>
      <c r="UAT110" s="139"/>
      <c r="UAU110" s="139"/>
      <c r="UAV110" s="139"/>
      <c r="UAW110" s="139"/>
      <c r="UAX110" s="139"/>
      <c r="UAY110" s="139"/>
      <c r="UAZ110" s="139"/>
      <c r="UBA110" s="139"/>
      <c r="UBB110" s="139"/>
      <c r="UBC110" s="139"/>
      <c r="UBD110" s="139"/>
      <c r="UBE110" s="139"/>
      <c r="UBF110" s="139"/>
      <c r="UBG110" s="139"/>
      <c r="UBH110" s="139"/>
      <c r="UBI110" s="139"/>
      <c r="UBJ110" s="139"/>
      <c r="UBK110" s="139"/>
      <c r="UBL110" s="139"/>
      <c r="UBM110" s="139"/>
      <c r="UBN110" s="139"/>
      <c r="UBO110" s="139"/>
      <c r="UBP110" s="139"/>
      <c r="UBQ110" s="139"/>
      <c r="UBR110" s="139"/>
      <c r="UBS110" s="139"/>
      <c r="UBT110" s="139"/>
      <c r="UBU110" s="139"/>
      <c r="UBV110" s="139"/>
      <c r="UBW110" s="139"/>
      <c r="UBX110" s="139"/>
      <c r="UBY110" s="139"/>
      <c r="UBZ110" s="139"/>
      <c r="UCA110" s="139"/>
      <c r="UCB110" s="139"/>
      <c r="UCC110" s="139"/>
      <c r="UCD110" s="139"/>
      <c r="UCE110" s="139"/>
      <c r="UCF110" s="139"/>
      <c r="UCG110" s="139"/>
      <c r="UCH110" s="139"/>
      <c r="UCI110" s="139"/>
      <c r="UCJ110" s="139"/>
      <c r="UCK110" s="139"/>
      <c r="UCL110" s="139"/>
      <c r="UCM110" s="139"/>
      <c r="UCN110" s="139"/>
      <c r="UCO110" s="139"/>
      <c r="UCP110" s="139"/>
      <c r="UCQ110" s="139"/>
      <c r="UCR110" s="139"/>
      <c r="UCS110" s="139"/>
      <c r="UCT110" s="139"/>
      <c r="UCU110" s="139"/>
      <c r="UCV110" s="139"/>
      <c r="UCW110" s="139"/>
      <c r="UCX110" s="139"/>
      <c r="UCY110" s="139"/>
      <c r="UCZ110" s="139"/>
      <c r="UDA110" s="139"/>
      <c r="UDB110" s="139"/>
      <c r="UDC110" s="139"/>
      <c r="UDD110" s="139"/>
      <c r="UDE110" s="139"/>
      <c r="UDF110" s="139"/>
      <c r="UDG110" s="139"/>
      <c r="UDH110" s="139"/>
      <c r="UDI110" s="139"/>
      <c r="UDJ110" s="139"/>
      <c r="UDK110" s="139"/>
      <c r="UDL110" s="139"/>
      <c r="UDM110" s="139"/>
      <c r="UDN110" s="139"/>
      <c r="UDO110" s="139"/>
      <c r="UDP110" s="139"/>
      <c r="UDQ110" s="139"/>
      <c r="UDR110" s="139"/>
      <c r="UDS110" s="139"/>
      <c r="UDT110" s="139"/>
      <c r="UDU110" s="139"/>
      <c r="UDV110" s="139"/>
      <c r="UDW110" s="139"/>
      <c r="UDX110" s="139"/>
      <c r="UDY110" s="139"/>
      <c r="UDZ110" s="139"/>
      <c r="UEA110" s="139"/>
      <c r="UEB110" s="139"/>
      <c r="UEC110" s="139"/>
      <c r="UED110" s="139"/>
      <c r="UEE110" s="139"/>
      <c r="UEF110" s="139"/>
      <c r="UEG110" s="139"/>
      <c r="UEH110" s="139"/>
      <c r="UEI110" s="139"/>
      <c r="UEJ110" s="139"/>
      <c r="UEK110" s="139"/>
      <c r="UEL110" s="139"/>
      <c r="UEM110" s="139"/>
      <c r="UEN110" s="139"/>
      <c r="UEO110" s="139"/>
      <c r="UEP110" s="139"/>
      <c r="UEQ110" s="139"/>
      <c r="UER110" s="139"/>
      <c r="UES110" s="139"/>
      <c r="UET110" s="139"/>
      <c r="UEU110" s="139"/>
      <c r="UEV110" s="139"/>
      <c r="UEW110" s="139"/>
      <c r="UEX110" s="139"/>
      <c r="UEY110" s="139"/>
      <c r="UEZ110" s="139"/>
      <c r="UFA110" s="139"/>
      <c r="UFB110" s="139"/>
      <c r="UFC110" s="139"/>
      <c r="UFD110" s="139"/>
      <c r="UFE110" s="139"/>
      <c r="UFF110" s="139"/>
      <c r="UFG110" s="139"/>
      <c r="UFH110" s="139"/>
      <c r="UFI110" s="139"/>
      <c r="UFJ110" s="139"/>
      <c r="UFK110" s="139"/>
      <c r="UFL110" s="139"/>
      <c r="UFM110" s="139"/>
      <c r="UFN110" s="139"/>
      <c r="UFO110" s="139"/>
      <c r="UFP110" s="139"/>
      <c r="UFQ110" s="139"/>
      <c r="UFR110" s="139"/>
      <c r="UFS110" s="139"/>
      <c r="UFT110" s="139"/>
      <c r="UFU110" s="139"/>
      <c r="UFV110" s="139"/>
      <c r="UFW110" s="139"/>
      <c r="UFX110" s="139"/>
      <c r="UFY110" s="139"/>
      <c r="UFZ110" s="139"/>
      <c r="UGA110" s="139"/>
      <c r="UGB110" s="139"/>
      <c r="UGC110" s="139"/>
      <c r="UGD110" s="139"/>
      <c r="UGE110" s="139"/>
      <c r="UGF110" s="139"/>
      <c r="UGG110" s="139"/>
      <c r="UGH110" s="139"/>
      <c r="UGI110" s="139"/>
      <c r="UGJ110" s="139"/>
      <c r="UGK110" s="139"/>
      <c r="UGL110" s="139"/>
      <c r="UGM110" s="139"/>
      <c r="UGN110" s="139"/>
      <c r="UGO110" s="139"/>
      <c r="UGP110" s="139"/>
      <c r="UGQ110" s="139"/>
      <c r="UGR110" s="139"/>
      <c r="UGS110" s="139"/>
      <c r="UGT110" s="139"/>
      <c r="UGU110" s="139"/>
      <c r="UGV110" s="139"/>
      <c r="UGW110" s="139"/>
      <c r="UGX110" s="139"/>
      <c r="UGY110" s="139"/>
      <c r="UGZ110" s="139"/>
      <c r="UHA110" s="139"/>
      <c r="UHB110" s="139"/>
      <c r="UHC110" s="139"/>
      <c r="UHD110" s="139"/>
      <c r="UHE110" s="139"/>
      <c r="UHF110" s="139"/>
      <c r="UHG110" s="139"/>
      <c r="UHH110" s="139"/>
      <c r="UHI110" s="139"/>
      <c r="UHJ110" s="139"/>
      <c r="UHK110" s="139"/>
      <c r="UHL110" s="139"/>
      <c r="UHM110" s="139"/>
      <c r="UHN110" s="139"/>
      <c r="UHO110" s="139"/>
      <c r="UHP110" s="139"/>
      <c r="UHQ110" s="139"/>
      <c r="UHR110" s="139"/>
      <c r="UHS110" s="139"/>
      <c r="UHT110" s="139"/>
      <c r="UHU110" s="139"/>
      <c r="UHV110" s="139"/>
      <c r="UHW110" s="139"/>
      <c r="UHX110" s="139"/>
      <c r="UHY110" s="139"/>
      <c r="UHZ110" s="139"/>
      <c r="UIA110" s="139"/>
      <c r="UIB110" s="139"/>
      <c r="UIC110" s="139"/>
      <c r="UID110" s="139"/>
      <c r="UIE110" s="139"/>
      <c r="UIF110" s="139"/>
      <c r="UIG110" s="139"/>
      <c r="UIH110" s="139"/>
      <c r="UII110" s="139"/>
      <c r="UIJ110" s="139"/>
      <c r="UIK110" s="139"/>
      <c r="UIL110" s="139"/>
      <c r="UIM110" s="139"/>
      <c r="UIN110" s="139"/>
      <c r="UIO110" s="139"/>
      <c r="UIP110" s="139"/>
      <c r="UIQ110" s="139"/>
      <c r="UIR110" s="139"/>
      <c r="UIS110" s="139"/>
      <c r="UIT110" s="139"/>
      <c r="UIU110" s="139"/>
      <c r="UIV110" s="139"/>
      <c r="UIW110" s="139"/>
      <c r="UIX110" s="139"/>
      <c r="UIY110" s="139"/>
      <c r="UIZ110" s="139"/>
      <c r="UJA110" s="139"/>
      <c r="UJB110" s="139"/>
      <c r="UJC110" s="139"/>
      <c r="UJD110" s="139"/>
      <c r="UJE110" s="139"/>
      <c r="UJF110" s="139"/>
      <c r="UJG110" s="139"/>
      <c r="UJH110" s="139"/>
      <c r="UJI110" s="139"/>
      <c r="UJJ110" s="139"/>
      <c r="UJK110" s="139"/>
      <c r="UJL110" s="139"/>
      <c r="UJM110" s="139"/>
      <c r="UJN110" s="139"/>
      <c r="UJO110" s="139"/>
      <c r="UJP110" s="139"/>
      <c r="UJQ110" s="139"/>
      <c r="UJR110" s="139"/>
      <c r="UJS110" s="139"/>
      <c r="UJT110" s="139"/>
      <c r="UJU110" s="139"/>
      <c r="UJV110" s="139"/>
      <c r="UJW110" s="139"/>
      <c r="UJX110" s="139"/>
      <c r="UJY110" s="139"/>
      <c r="UJZ110" s="139"/>
      <c r="UKA110" s="139"/>
      <c r="UKB110" s="139"/>
      <c r="UKC110" s="139"/>
      <c r="UKD110" s="139"/>
      <c r="UKE110" s="139"/>
      <c r="UKF110" s="139"/>
      <c r="UKG110" s="139"/>
      <c r="UKH110" s="139"/>
      <c r="UKI110" s="139"/>
      <c r="UKJ110" s="139"/>
      <c r="UKK110" s="139"/>
      <c r="UKL110" s="139"/>
      <c r="UKM110" s="139"/>
      <c r="UKN110" s="139"/>
      <c r="UKO110" s="139"/>
      <c r="UKP110" s="139"/>
      <c r="UKQ110" s="139"/>
      <c r="UKR110" s="139"/>
      <c r="UKS110" s="139"/>
      <c r="UKT110" s="139"/>
      <c r="UKU110" s="139"/>
      <c r="UKV110" s="139"/>
      <c r="UKW110" s="139"/>
      <c r="UKX110" s="139"/>
      <c r="UKY110" s="139"/>
      <c r="UKZ110" s="139"/>
      <c r="ULA110" s="139"/>
      <c r="ULB110" s="139"/>
      <c r="ULC110" s="139"/>
      <c r="ULD110" s="139"/>
      <c r="ULE110" s="139"/>
      <c r="ULF110" s="139"/>
      <c r="ULG110" s="139"/>
      <c r="ULH110" s="139"/>
      <c r="ULI110" s="139"/>
      <c r="ULJ110" s="139"/>
      <c r="ULK110" s="139"/>
      <c r="ULL110" s="139"/>
      <c r="ULM110" s="139"/>
      <c r="ULN110" s="139"/>
      <c r="ULO110" s="139"/>
      <c r="ULP110" s="139"/>
      <c r="ULQ110" s="139"/>
      <c r="ULR110" s="139"/>
      <c r="ULS110" s="139"/>
      <c r="ULT110" s="139"/>
      <c r="ULU110" s="139"/>
      <c r="ULV110" s="139"/>
      <c r="ULW110" s="139"/>
      <c r="ULX110" s="139"/>
      <c r="ULY110" s="139"/>
      <c r="ULZ110" s="139"/>
      <c r="UMA110" s="139"/>
      <c r="UMB110" s="139"/>
      <c r="UMC110" s="139"/>
      <c r="UMD110" s="139"/>
      <c r="UME110" s="139"/>
      <c r="UMF110" s="139"/>
      <c r="UMG110" s="139"/>
      <c r="UMH110" s="139"/>
      <c r="UMI110" s="139"/>
      <c r="UMJ110" s="139"/>
      <c r="UMK110" s="139"/>
      <c r="UML110" s="139"/>
      <c r="UMM110" s="139"/>
      <c r="UMN110" s="139"/>
      <c r="UMO110" s="139"/>
      <c r="UMP110" s="139"/>
      <c r="UMQ110" s="139"/>
      <c r="UMR110" s="139"/>
      <c r="UMS110" s="139"/>
      <c r="UMT110" s="139"/>
      <c r="UMU110" s="139"/>
      <c r="UMV110" s="139"/>
      <c r="UMW110" s="139"/>
      <c r="UMX110" s="139"/>
      <c r="UMY110" s="139"/>
      <c r="UMZ110" s="139"/>
      <c r="UNA110" s="139"/>
      <c r="UNB110" s="139"/>
      <c r="UNC110" s="139"/>
      <c r="UND110" s="139"/>
      <c r="UNE110" s="139"/>
      <c r="UNF110" s="139"/>
      <c r="UNG110" s="139"/>
      <c r="UNH110" s="139"/>
      <c r="UNI110" s="139"/>
      <c r="UNJ110" s="139"/>
      <c r="UNK110" s="139"/>
      <c r="UNL110" s="139"/>
      <c r="UNM110" s="139"/>
      <c r="UNN110" s="139"/>
      <c r="UNO110" s="139"/>
      <c r="UNP110" s="139"/>
      <c r="UNQ110" s="139"/>
      <c r="UNR110" s="139"/>
      <c r="UNS110" s="139"/>
      <c r="UNT110" s="139"/>
      <c r="UNU110" s="139"/>
      <c r="UNV110" s="139"/>
      <c r="UNW110" s="139"/>
      <c r="UNX110" s="139"/>
      <c r="UNY110" s="139"/>
      <c r="UNZ110" s="139"/>
      <c r="UOA110" s="139"/>
      <c r="UOB110" s="139"/>
      <c r="UOC110" s="139"/>
      <c r="UOD110" s="139"/>
      <c r="UOE110" s="139"/>
      <c r="UOF110" s="139"/>
      <c r="UOG110" s="139"/>
      <c r="UOH110" s="139"/>
      <c r="UOI110" s="139"/>
      <c r="UOJ110" s="139"/>
      <c r="UOK110" s="139"/>
      <c r="UOL110" s="139"/>
      <c r="UOM110" s="139"/>
      <c r="UON110" s="139"/>
      <c r="UOO110" s="139"/>
      <c r="UOP110" s="139"/>
      <c r="UOQ110" s="139"/>
      <c r="UOR110" s="139"/>
      <c r="UOS110" s="139"/>
      <c r="UOT110" s="139"/>
      <c r="UOU110" s="139"/>
      <c r="UOV110" s="139"/>
      <c r="UOW110" s="139"/>
      <c r="UOX110" s="139"/>
      <c r="UOY110" s="139"/>
      <c r="UOZ110" s="139"/>
      <c r="UPA110" s="139"/>
      <c r="UPB110" s="139"/>
      <c r="UPC110" s="139"/>
      <c r="UPD110" s="139"/>
      <c r="UPE110" s="139"/>
      <c r="UPF110" s="139"/>
      <c r="UPG110" s="139"/>
      <c r="UPH110" s="139"/>
      <c r="UPI110" s="139"/>
      <c r="UPJ110" s="139"/>
      <c r="UPK110" s="139"/>
      <c r="UPL110" s="139"/>
      <c r="UPM110" s="139"/>
      <c r="UPN110" s="139"/>
      <c r="UPO110" s="139"/>
      <c r="UPP110" s="139"/>
      <c r="UPQ110" s="139"/>
      <c r="UPR110" s="139"/>
      <c r="UPS110" s="139"/>
      <c r="UPT110" s="139"/>
      <c r="UPU110" s="139"/>
      <c r="UPV110" s="139"/>
      <c r="UPW110" s="139"/>
      <c r="UPX110" s="139"/>
      <c r="UPY110" s="139"/>
      <c r="UPZ110" s="139"/>
      <c r="UQA110" s="139"/>
      <c r="UQB110" s="139"/>
      <c r="UQC110" s="139"/>
      <c r="UQD110" s="139"/>
      <c r="UQE110" s="139"/>
      <c r="UQF110" s="139"/>
      <c r="UQG110" s="139"/>
      <c r="UQH110" s="139"/>
      <c r="UQI110" s="139"/>
      <c r="UQJ110" s="139"/>
      <c r="UQK110" s="139"/>
      <c r="UQL110" s="139"/>
      <c r="UQM110" s="139"/>
      <c r="UQN110" s="139"/>
      <c r="UQO110" s="139"/>
      <c r="UQP110" s="139"/>
      <c r="UQQ110" s="139"/>
      <c r="UQR110" s="139"/>
      <c r="UQS110" s="139"/>
      <c r="UQT110" s="139"/>
      <c r="UQU110" s="139"/>
      <c r="UQV110" s="139"/>
      <c r="UQW110" s="139"/>
      <c r="UQX110" s="139"/>
      <c r="UQY110" s="139"/>
      <c r="UQZ110" s="139"/>
      <c r="URA110" s="139"/>
      <c r="URB110" s="139"/>
      <c r="URC110" s="139"/>
      <c r="URD110" s="139"/>
      <c r="URE110" s="139"/>
      <c r="URF110" s="139"/>
      <c r="URG110" s="139"/>
      <c r="URH110" s="139"/>
      <c r="URI110" s="139"/>
      <c r="URJ110" s="139"/>
      <c r="URK110" s="139"/>
      <c r="URL110" s="139"/>
      <c r="URM110" s="139"/>
      <c r="URN110" s="139"/>
      <c r="URO110" s="139"/>
      <c r="URP110" s="139"/>
      <c r="URQ110" s="139"/>
      <c r="URR110" s="139"/>
      <c r="URS110" s="139"/>
      <c r="URT110" s="139"/>
      <c r="URU110" s="139"/>
      <c r="URV110" s="139"/>
      <c r="URW110" s="139"/>
      <c r="URX110" s="139"/>
      <c r="URY110" s="139"/>
      <c r="URZ110" s="139"/>
      <c r="USA110" s="139"/>
      <c r="USB110" s="139"/>
      <c r="USC110" s="139"/>
      <c r="USD110" s="139"/>
      <c r="USE110" s="139"/>
      <c r="USF110" s="139"/>
      <c r="USG110" s="139"/>
      <c r="USH110" s="139"/>
      <c r="USI110" s="139"/>
      <c r="USJ110" s="139"/>
      <c r="USK110" s="139"/>
      <c r="USL110" s="139"/>
      <c r="USM110" s="139"/>
      <c r="USN110" s="139"/>
      <c r="USO110" s="139"/>
      <c r="USP110" s="139"/>
      <c r="USQ110" s="139"/>
      <c r="USR110" s="139"/>
      <c r="USS110" s="139"/>
      <c r="UST110" s="139"/>
      <c r="USU110" s="139"/>
      <c r="USV110" s="139"/>
      <c r="USW110" s="139"/>
      <c r="USX110" s="139"/>
      <c r="USY110" s="139"/>
      <c r="USZ110" s="139"/>
      <c r="UTA110" s="139"/>
      <c r="UTB110" s="139"/>
      <c r="UTC110" s="139"/>
      <c r="UTD110" s="139"/>
      <c r="UTE110" s="139"/>
      <c r="UTF110" s="139"/>
      <c r="UTG110" s="139"/>
      <c r="UTH110" s="139"/>
      <c r="UTI110" s="139"/>
      <c r="UTJ110" s="139"/>
      <c r="UTK110" s="139"/>
      <c r="UTL110" s="139"/>
      <c r="UTM110" s="139"/>
      <c r="UTN110" s="139"/>
      <c r="UTO110" s="139"/>
      <c r="UTP110" s="139"/>
      <c r="UTQ110" s="139"/>
      <c r="UTR110" s="139"/>
      <c r="UTS110" s="139"/>
      <c r="UTT110" s="139"/>
      <c r="UTU110" s="139"/>
      <c r="UTV110" s="139"/>
      <c r="UTW110" s="139"/>
      <c r="UTX110" s="139"/>
      <c r="UTY110" s="139"/>
      <c r="UTZ110" s="139"/>
      <c r="UUA110" s="139"/>
      <c r="UUB110" s="139"/>
      <c r="UUC110" s="139"/>
      <c r="UUD110" s="139"/>
      <c r="UUE110" s="139"/>
      <c r="UUF110" s="139"/>
      <c r="UUG110" s="139"/>
      <c r="UUH110" s="139"/>
      <c r="UUI110" s="139"/>
      <c r="UUJ110" s="139"/>
      <c r="UUK110" s="139"/>
      <c r="UUL110" s="139"/>
      <c r="UUM110" s="139"/>
      <c r="UUN110" s="139"/>
      <c r="UUO110" s="139"/>
      <c r="UUP110" s="139"/>
      <c r="UUQ110" s="139"/>
      <c r="UUR110" s="139"/>
      <c r="UUS110" s="139"/>
      <c r="UUT110" s="139"/>
      <c r="UUU110" s="139"/>
      <c r="UUV110" s="139"/>
      <c r="UUW110" s="139"/>
      <c r="UUX110" s="139"/>
      <c r="UUY110" s="139"/>
      <c r="UUZ110" s="139"/>
      <c r="UVA110" s="139"/>
      <c r="UVB110" s="139"/>
      <c r="UVC110" s="139"/>
      <c r="UVD110" s="139"/>
      <c r="UVE110" s="139"/>
      <c r="UVF110" s="139"/>
      <c r="UVG110" s="139"/>
      <c r="UVH110" s="139"/>
      <c r="UVI110" s="139"/>
      <c r="UVJ110" s="139"/>
      <c r="UVK110" s="139"/>
      <c r="UVL110" s="139"/>
      <c r="UVM110" s="139"/>
      <c r="UVN110" s="139"/>
      <c r="UVO110" s="139"/>
      <c r="UVP110" s="139"/>
      <c r="UVQ110" s="139"/>
      <c r="UVR110" s="139"/>
      <c r="UVS110" s="139"/>
      <c r="UVT110" s="139"/>
      <c r="UVU110" s="139"/>
      <c r="UVV110" s="139"/>
      <c r="UVW110" s="139"/>
      <c r="UVX110" s="139"/>
      <c r="UVY110" s="139"/>
      <c r="UVZ110" s="139"/>
      <c r="UWA110" s="139"/>
      <c r="UWB110" s="139"/>
      <c r="UWC110" s="139"/>
      <c r="UWD110" s="139"/>
      <c r="UWE110" s="139"/>
      <c r="UWF110" s="139"/>
      <c r="UWG110" s="139"/>
      <c r="UWH110" s="139"/>
      <c r="UWI110" s="139"/>
      <c r="UWJ110" s="139"/>
      <c r="UWK110" s="139"/>
      <c r="UWL110" s="139"/>
      <c r="UWM110" s="139"/>
      <c r="UWN110" s="139"/>
      <c r="UWO110" s="139"/>
      <c r="UWP110" s="139"/>
      <c r="UWQ110" s="139"/>
      <c r="UWR110" s="139"/>
      <c r="UWS110" s="139"/>
      <c r="UWT110" s="139"/>
      <c r="UWU110" s="139"/>
      <c r="UWV110" s="139"/>
      <c r="UWW110" s="139"/>
      <c r="UWX110" s="139"/>
      <c r="UWY110" s="139"/>
      <c r="UWZ110" s="139"/>
      <c r="UXA110" s="139"/>
      <c r="UXB110" s="139"/>
      <c r="UXC110" s="139"/>
      <c r="UXD110" s="139"/>
      <c r="UXE110" s="139"/>
      <c r="UXF110" s="139"/>
      <c r="UXG110" s="139"/>
      <c r="UXH110" s="139"/>
      <c r="UXI110" s="139"/>
      <c r="UXJ110" s="139"/>
      <c r="UXK110" s="139"/>
      <c r="UXL110" s="139"/>
      <c r="UXM110" s="139"/>
      <c r="UXN110" s="139"/>
      <c r="UXO110" s="139"/>
      <c r="UXP110" s="139"/>
      <c r="UXQ110" s="139"/>
      <c r="UXR110" s="139"/>
      <c r="UXS110" s="139"/>
      <c r="UXT110" s="139"/>
      <c r="UXU110" s="139"/>
      <c r="UXV110" s="139"/>
      <c r="UXW110" s="139"/>
      <c r="UXX110" s="139"/>
      <c r="UXY110" s="139"/>
      <c r="UXZ110" s="139"/>
      <c r="UYA110" s="139"/>
      <c r="UYB110" s="139"/>
      <c r="UYC110" s="139"/>
      <c r="UYD110" s="139"/>
      <c r="UYE110" s="139"/>
      <c r="UYF110" s="139"/>
      <c r="UYG110" s="139"/>
      <c r="UYH110" s="139"/>
      <c r="UYI110" s="139"/>
      <c r="UYJ110" s="139"/>
      <c r="UYK110" s="139"/>
      <c r="UYL110" s="139"/>
      <c r="UYM110" s="139"/>
      <c r="UYN110" s="139"/>
      <c r="UYO110" s="139"/>
      <c r="UYP110" s="139"/>
      <c r="UYQ110" s="139"/>
      <c r="UYR110" s="139"/>
      <c r="UYS110" s="139"/>
      <c r="UYT110" s="139"/>
      <c r="UYU110" s="139"/>
      <c r="UYV110" s="139"/>
      <c r="UYW110" s="139"/>
      <c r="UYX110" s="139"/>
      <c r="UYY110" s="139"/>
      <c r="UYZ110" s="139"/>
      <c r="UZA110" s="139"/>
      <c r="UZB110" s="139"/>
      <c r="UZC110" s="139"/>
      <c r="UZD110" s="139"/>
      <c r="UZE110" s="139"/>
      <c r="UZF110" s="139"/>
      <c r="UZG110" s="139"/>
      <c r="UZH110" s="139"/>
      <c r="UZI110" s="139"/>
      <c r="UZJ110" s="139"/>
      <c r="UZK110" s="139"/>
      <c r="UZL110" s="139"/>
      <c r="UZM110" s="139"/>
      <c r="UZN110" s="139"/>
      <c r="UZO110" s="139"/>
      <c r="UZP110" s="139"/>
      <c r="UZQ110" s="139"/>
      <c r="UZR110" s="139"/>
      <c r="UZS110" s="139"/>
      <c r="UZT110" s="139"/>
      <c r="UZU110" s="139"/>
      <c r="UZV110" s="139"/>
      <c r="UZW110" s="139"/>
      <c r="UZX110" s="139"/>
      <c r="UZY110" s="139"/>
      <c r="UZZ110" s="139"/>
      <c r="VAA110" s="139"/>
      <c r="VAB110" s="139"/>
      <c r="VAC110" s="139"/>
      <c r="VAD110" s="139"/>
      <c r="VAE110" s="139"/>
      <c r="VAF110" s="139"/>
      <c r="VAG110" s="139"/>
      <c r="VAH110" s="139"/>
      <c r="VAI110" s="139"/>
      <c r="VAJ110" s="139"/>
      <c r="VAK110" s="139"/>
      <c r="VAL110" s="139"/>
      <c r="VAM110" s="139"/>
      <c r="VAN110" s="139"/>
      <c r="VAO110" s="139"/>
      <c r="VAP110" s="139"/>
      <c r="VAQ110" s="139"/>
      <c r="VAR110" s="139"/>
      <c r="VAS110" s="139"/>
      <c r="VAT110" s="139"/>
      <c r="VAU110" s="139"/>
      <c r="VAV110" s="139"/>
      <c r="VAW110" s="139"/>
      <c r="VAX110" s="139"/>
      <c r="VAY110" s="139"/>
      <c r="VAZ110" s="139"/>
      <c r="VBA110" s="139"/>
      <c r="VBB110" s="139"/>
      <c r="VBC110" s="139"/>
      <c r="VBD110" s="139"/>
      <c r="VBE110" s="139"/>
      <c r="VBF110" s="139"/>
      <c r="VBG110" s="139"/>
      <c r="VBH110" s="139"/>
      <c r="VBI110" s="139"/>
      <c r="VBJ110" s="139"/>
      <c r="VBK110" s="139"/>
      <c r="VBL110" s="139"/>
      <c r="VBM110" s="139"/>
      <c r="VBN110" s="139"/>
      <c r="VBO110" s="139"/>
      <c r="VBP110" s="139"/>
      <c r="VBQ110" s="139"/>
      <c r="VBR110" s="139"/>
      <c r="VBS110" s="139"/>
      <c r="VBT110" s="139"/>
      <c r="VBU110" s="139"/>
      <c r="VBV110" s="139"/>
      <c r="VBW110" s="139"/>
      <c r="VBX110" s="139"/>
      <c r="VBY110" s="139"/>
      <c r="VBZ110" s="139"/>
      <c r="VCA110" s="139"/>
      <c r="VCB110" s="139"/>
      <c r="VCC110" s="139"/>
      <c r="VCD110" s="139"/>
      <c r="VCE110" s="139"/>
      <c r="VCF110" s="139"/>
      <c r="VCG110" s="139"/>
      <c r="VCH110" s="139"/>
      <c r="VCI110" s="139"/>
      <c r="VCJ110" s="139"/>
      <c r="VCK110" s="139"/>
      <c r="VCL110" s="139"/>
      <c r="VCM110" s="139"/>
      <c r="VCN110" s="139"/>
      <c r="VCO110" s="139"/>
      <c r="VCP110" s="139"/>
      <c r="VCQ110" s="139"/>
      <c r="VCR110" s="139"/>
      <c r="VCS110" s="139"/>
      <c r="VCT110" s="139"/>
      <c r="VCU110" s="139"/>
      <c r="VCV110" s="139"/>
      <c r="VCW110" s="139"/>
      <c r="VCX110" s="139"/>
      <c r="VCY110" s="139"/>
      <c r="VCZ110" s="139"/>
      <c r="VDA110" s="139"/>
      <c r="VDB110" s="139"/>
      <c r="VDC110" s="139"/>
      <c r="VDD110" s="139"/>
      <c r="VDE110" s="139"/>
      <c r="VDF110" s="139"/>
      <c r="VDG110" s="139"/>
      <c r="VDH110" s="139"/>
      <c r="VDI110" s="139"/>
      <c r="VDJ110" s="139"/>
      <c r="VDK110" s="139"/>
      <c r="VDL110" s="139"/>
      <c r="VDM110" s="139"/>
      <c r="VDN110" s="139"/>
      <c r="VDO110" s="139"/>
      <c r="VDP110" s="139"/>
      <c r="VDQ110" s="139"/>
      <c r="VDR110" s="139"/>
      <c r="VDS110" s="139"/>
      <c r="VDT110" s="139"/>
      <c r="VDU110" s="139"/>
      <c r="VDV110" s="139"/>
      <c r="VDW110" s="139"/>
      <c r="VDX110" s="139"/>
      <c r="VDY110" s="139"/>
      <c r="VDZ110" s="139"/>
      <c r="VEA110" s="139"/>
      <c r="VEB110" s="139"/>
      <c r="VEC110" s="139"/>
      <c r="VED110" s="139"/>
      <c r="VEE110" s="139"/>
      <c r="VEF110" s="139"/>
      <c r="VEG110" s="139"/>
      <c r="VEH110" s="139"/>
      <c r="VEI110" s="139"/>
      <c r="VEJ110" s="139"/>
      <c r="VEK110" s="139"/>
      <c r="VEL110" s="139"/>
      <c r="VEM110" s="139"/>
      <c r="VEN110" s="139"/>
      <c r="VEO110" s="139"/>
      <c r="VEP110" s="139"/>
      <c r="VEQ110" s="139"/>
      <c r="VER110" s="139"/>
      <c r="VES110" s="139"/>
      <c r="VET110" s="139"/>
      <c r="VEU110" s="139"/>
      <c r="VEV110" s="139"/>
      <c r="VEW110" s="139"/>
      <c r="VEX110" s="139"/>
      <c r="VEY110" s="139"/>
      <c r="VEZ110" s="139"/>
      <c r="VFA110" s="139"/>
      <c r="VFB110" s="139"/>
      <c r="VFC110" s="139"/>
      <c r="VFD110" s="139"/>
      <c r="VFE110" s="139"/>
      <c r="VFF110" s="139"/>
      <c r="VFG110" s="139"/>
      <c r="VFH110" s="139"/>
      <c r="VFI110" s="139"/>
      <c r="VFJ110" s="139"/>
      <c r="VFK110" s="139"/>
      <c r="VFL110" s="139"/>
      <c r="VFM110" s="139"/>
      <c r="VFN110" s="139"/>
      <c r="VFO110" s="139"/>
      <c r="VFP110" s="139"/>
      <c r="VFQ110" s="139"/>
      <c r="VFR110" s="139"/>
      <c r="VFS110" s="139"/>
      <c r="VFT110" s="139"/>
      <c r="VFU110" s="139"/>
      <c r="VFV110" s="139"/>
      <c r="VFW110" s="139"/>
      <c r="VFX110" s="139"/>
      <c r="VFY110" s="139"/>
      <c r="VFZ110" s="139"/>
      <c r="VGA110" s="139"/>
      <c r="VGB110" s="139"/>
      <c r="VGC110" s="139"/>
      <c r="VGD110" s="139"/>
      <c r="VGE110" s="139"/>
      <c r="VGF110" s="139"/>
      <c r="VGG110" s="139"/>
      <c r="VGH110" s="139"/>
      <c r="VGI110" s="139"/>
      <c r="VGJ110" s="139"/>
      <c r="VGK110" s="139"/>
      <c r="VGL110" s="139"/>
      <c r="VGM110" s="139"/>
      <c r="VGN110" s="139"/>
      <c r="VGO110" s="139"/>
      <c r="VGP110" s="139"/>
      <c r="VGQ110" s="139"/>
      <c r="VGR110" s="139"/>
      <c r="VGS110" s="139"/>
      <c r="VGT110" s="139"/>
      <c r="VGU110" s="139"/>
      <c r="VGV110" s="139"/>
      <c r="VGW110" s="139"/>
      <c r="VGX110" s="139"/>
      <c r="VGY110" s="139"/>
      <c r="VGZ110" s="139"/>
      <c r="VHA110" s="139"/>
      <c r="VHB110" s="139"/>
      <c r="VHC110" s="139"/>
      <c r="VHD110" s="139"/>
      <c r="VHE110" s="139"/>
      <c r="VHF110" s="139"/>
      <c r="VHG110" s="139"/>
      <c r="VHH110" s="139"/>
      <c r="VHI110" s="139"/>
      <c r="VHJ110" s="139"/>
      <c r="VHK110" s="139"/>
      <c r="VHL110" s="139"/>
      <c r="VHM110" s="139"/>
      <c r="VHN110" s="139"/>
      <c r="VHO110" s="139"/>
      <c r="VHP110" s="139"/>
      <c r="VHQ110" s="139"/>
      <c r="VHR110" s="139"/>
      <c r="VHS110" s="139"/>
      <c r="VHT110" s="139"/>
      <c r="VHU110" s="139"/>
      <c r="VHV110" s="139"/>
      <c r="VHW110" s="139"/>
      <c r="VHX110" s="139"/>
      <c r="VHY110" s="139"/>
      <c r="VHZ110" s="139"/>
      <c r="VIA110" s="139"/>
      <c r="VIB110" s="139"/>
      <c r="VIC110" s="139"/>
      <c r="VID110" s="139"/>
      <c r="VIE110" s="139"/>
      <c r="VIF110" s="139"/>
      <c r="VIG110" s="139"/>
      <c r="VIH110" s="139"/>
      <c r="VII110" s="139"/>
      <c r="VIJ110" s="139"/>
      <c r="VIK110" s="139"/>
      <c r="VIL110" s="139"/>
      <c r="VIM110" s="139"/>
      <c r="VIN110" s="139"/>
      <c r="VIO110" s="139"/>
      <c r="VIP110" s="139"/>
      <c r="VIQ110" s="139"/>
      <c r="VIR110" s="139"/>
      <c r="VIS110" s="139"/>
      <c r="VIT110" s="139"/>
      <c r="VIU110" s="139"/>
      <c r="VIV110" s="139"/>
      <c r="VIW110" s="139"/>
      <c r="VIX110" s="139"/>
      <c r="VIY110" s="139"/>
      <c r="VIZ110" s="139"/>
      <c r="VJA110" s="139"/>
      <c r="VJB110" s="139"/>
      <c r="VJC110" s="139"/>
      <c r="VJD110" s="139"/>
      <c r="VJE110" s="139"/>
      <c r="VJF110" s="139"/>
      <c r="VJG110" s="139"/>
      <c r="VJH110" s="139"/>
      <c r="VJI110" s="139"/>
      <c r="VJJ110" s="139"/>
      <c r="VJK110" s="139"/>
      <c r="VJL110" s="139"/>
      <c r="VJM110" s="139"/>
      <c r="VJN110" s="139"/>
      <c r="VJO110" s="139"/>
      <c r="VJP110" s="139"/>
      <c r="VJQ110" s="139"/>
      <c r="VJR110" s="139"/>
      <c r="VJS110" s="139"/>
      <c r="VJT110" s="139"/>
      <c r="VJU110" s="139"/>
      <c r="VJV110" s="139"/>
      <c r="VJW110" s="139"/>
      <c r="VJX110" s="139"/>
      <c r="VJY110" s="139"/>
      <c r="VJZ110" s="139"/>
      <c r="VKA110" s="139"/>
      <c r="VKB110" s="139"/>
      <c r="VKC110" s="139"/>
      <c r="VKD110" s="139"/>
      <c r="VKE110" s="139"/>
      <c r="VKF110" s="139"/>
      <c r="VKG110" s="139"/>
      <c r="VKH110" s="139"/>
      <c r="VKI110" s="139"/>
      <c r="VKJ110" s="139"/>
      <c r="VKK110" s="139"/>
      <c r="VKL110" s="139"/>
      <c r="VKM110" s="139"/>
      <c r="VKN110" s="139"/>
      <c r="VKO110" s="139"/>
      <c r="VKP110" s="139"/>
      <c r="VKQ110" s="139"/>
      <c r="VKR110" s="139"/>
      <c r="VKS110" s="139"/>
      <c r="VKT110" s="139"/>
      <c r="VKU110" s="139"/>
      <c r="VKV110" s="139"/>
      <c r="VKW110" s="139"/>
      <c r="VKX110" s="139"/>
      <c r="VKY110" s="139"/>
      <c r="VKZ110" s="139"/>
      <c r="VLA110" s="139"/>
      <c r="VLB110" s="139"/>
      <c r="VLC110" s="139"/>
      <c r="VLD110" s="139"/>
      <c r="VLE110" s="139"/>
      <c r="VLF110" s="139"/>
      <c r="VLG110" s="139"/>
      <c r="VLH110" s="139"/>
      <c r="VLI110" s="139"/>
      <c r="VLJ110" s="139"/>
      <c r="VLK110" s="139"/>
      <c r="VLL110" s="139"/>
      <c r="VLM110" s="139"/>
      <c r="VLN110" s="139"/>
      <c r="VLO110" s="139"/>
      <c r="VLP110" s="139"/>
      <c r="VLQ110" s="139"/>
      <c r="VLR110" s="139"/>
      <c r="VLS110" s="139"/>
      <c r="VLT110" s="139"/>
      <c r="VLU110" s="139"/>
      <c r="VLV110" s="139"/>
      <c r="VLW110" s="139"/>
      <c r="VLX110" s="139"/>
      <c r="VLY110" s="139"/>
      <c r="VLZ110" s="139"/>
      <c r="VMA110" s="139"/>
      <c r="VMB110" s="139"/>
      <c r="VMC110" s="139"/>
      <c r="VMD110" s="139"/>
      <c r="VME110" s="139"/>
      <c r="VMF110" s="139"/>
      <c r="VMG110" s="139"/>
      <c r="VMH110" s="139"/>
      <c r="VMI110" s="139"/>
      <c r="VMJ110" s="139"/>
      <c r="VMK110" s="139"/>
      <c r="VML110" s="139"/>
      <c r="VMM110" s="139"/>
      <c r="VMN110" s="139"/>
      <c r="VMO110" s="139"/>
      <c r="VMP110" s="139"/>
      <c r="VMQ110" s="139"/>
      <c r="VMR110" s="139"/>
      <c r="VMS110" s="139"/>
      <c r="VMT110" s="139"/>
      <c r="VMU110" s="139"/>
      <c r="VMV110" s="139"/>
      <c r="VMW110" s="139"/>
      <c r="VMX110" s="139"/>
      <c r="VMY110" s="139"/>
      <c r="VMZ110" s="139"/>
      <c r="VNA110" s="139"/>
      <c r="VNB110" s="139"/>
      <c r="VNC110" s="139"/>
      <c r="VND110" s="139"/>
      <c r="VNE110" s="139"/>
      <c r="VNF110" s="139"/>
      <c r="VNG110" s="139"/>
      <c r="VNH110" s="139"/>
      <c r="VNI110" s="139"/>
      <c r="VNJ110" s="139"/>
      <c r="VNK110" s="139"/>
      <c r="VNL110" s="139"/>
      <c r="VNM110" s="139"/>
      <c r="VNN110" s="139"/>
      <c r="VNO110" s="139"/>
      <c r="VNP110" s="139"/>
      <c r="VNQ110" s="139"/>
      <c r="VNR110" s="139"/>
      <c r="VNS110" s="139"/>
      <c r="VNT110" s="139"/>
      <c r="VNU110" s="139"/>
      <c r="VNV110" s="139"/>
      <c r="VNW110" s="139"/>
      <c r="VNX110" s="139"/>
      <c r="VNY110" s="139"/>
      <c r="VNZ110" s="139"/>
      <c r="VOA110" s="139"/>
      <c r="VOB110" s="139"/>
      <c r="VOC110" s="139"/>
      <c r="VOD110" s="139"/>
      <c r="VOE110" s="139"/>
      <c r="VOF110" s="139"/>
      <c r="VOG110" s="139"/>
      <c r="VOH110" s="139"/>
      <c r="VOI110" s="139"/>
      <c r="VOJ110" s="139"/>
      <c r="VOK110" s="139"/>
      <c r="VOL110" s="139"/>
      <c r="VOM110" s="139"/>
      <c r="VON110" s="139"/>
      <c r="VOO110" s="139"/>
      <c r="VOP110" s="139"/>
      <c r="VOQ110" s="139"/>
      <c r="VOR110" s="139"/>
      <c r="VOS110" s="139"/>
      <c r="VOT110" s="139"/>
      <c r="VOU110" s="139"/>
      <c r="VOV110" s="139"/>
      <c r="VOW110" s="139"/>
      <c r="VOX110" s="139"/>
      <c r="VOY110" s="139"/>
      <c r="VOZ110" s="139"/>
      <c r="VPA110" s="139"/>
      <c r="VPB110" s="139"/>
      <c r="VPC110" s="139"/>
      <c r="VPD110" s="139"/>
      <c r="VPE110" s="139"/>
      <c r="VPF110" s="139"/>
      <c r="VPG110" s="139"/>
      <c r="VPH110" s="139"/>
      <c r="VPI110" s="139"/>
      <c r="VPJ110" s="139"/>
      <c r="VPK110" s="139"/>
      <c r="VPL110" s="139"/>
      <c r="VPM110" s="139"/>
      <c r="VPN110" s="139"/>
      <c r="VPO110" s="139"/>
      <c r="VPP110" s="139"/>
      <c r="VPQ110" s="139"/>
      <c r="VPR110" s="139"/>
      <c r="VPS110" s="139"/>
      <c r="VPT110" s="139"/>
      <c r="VPU110" s="139"/>
      <c r="VPV110" s="139"/>
      <c r="VPW110" s="139"/>
      <c r="VPX110" s="139"/>
      <c r="VPY110" s="139"/>
      <c r="VPZ110" s="139"/>
      <c r="VQA110" s="139"/>
      <c r="VQB110" s="139"/>
      <c r="VQC110" s="139"/>
      <c r="VQD110" s="139"/>
      <c r="VQE110" s="139"/>
      <c r="VQF110" s="139"/>
      <c r="VQG110" s="139"/>
      <c r="VQH110" s="139"/>
      <c r="VQI110" s="139"/>
      <c r="VQJ110" s="139"/>
      <c r="VQK110" s="139"/>
      <c r="VQL110" s="139"/>
      <c r="VQM110" s="139"/>
      <c r="VQN110" s="139"/>
      <c r="VQO110" s="139"/>
      <c r="VQP110" s="139"/>
      <c r="VQQ110" s="139"/>
      <c r="VQR110" s="139"/>
      <c r="VQS110" s="139"/>
      <c r="VQT110" s="139"/>
      <c r="VQU110" s="139"/>
      <c r="VQV110" s="139"/>
      <c r="VQW110" s="139"/>
      <c r="VQX110" s="139"/>
      <c r="VQY110" s="139"/>
      <c r="VQZ110" s="139"/>
      <c r="VRA110" s="139"/>
      <c r="VRB110" s="139"/>
      <c r="VRC110" s="139"/>
      <c r="VRD110" s="139"/>
      <c r="VRE110" s="139"/>
      <c r="VRF110" s="139"/>
      <c r="VRG110" s="139"/>
      <c r="VRH110" s="139"/>
      <c r="VRI110" s="139"/>
      <c r="VRJ110" s="139"/>
      <c r="VRK110" s="139"/>
      <c r="VRL110" s="139"/>
      <c r="VRM110" s="139"/>
      <c r="VRN110" s="139"/>
      <c r="VRO110" s="139"/>
      <c r="VRP110" s="139"/>
      <c r="VRQ110" s="139"/>
      <c r="VRR110" s="139"/>
      <c r="VRS110" s="139"/>
      <c r="VRT110" s="139"/>
      <c r="VRU110" s="139"/>
      <c r="VRV110" s="139"/>
      <c r="VRW110" s="139"/>
      <c r="VRX110" s="139"/>
      <c r="VRY110" s="139"/>
      <c r="VRZ110" s="139"/>
      <c r="VSA110" s="139"/>
      <c r="VSB110" s="139"/>
      <c r="VSC110" s="139"/>
      <c r="VSD110" s="139"/>
      <c r="VSE110" s="139"/>
      <c r="VSF110" s="139"/>
      <c r="VSG110" s="139"/>
      <c r="VSH110" s="139"/>
      <c r="VSI110" s="139"/>
      <c r="VSJ110" s="139"/>
      <c r="VSK110" s="139"/>
      <c r="VSL110" s="139"/>
      <c r="VSM110" s="139"/>
      <c r="VSN110" s="139"/>
      <c r="VSO110" s="139"/>
      <c r="VSP110" s="139"/>
      <c r="VSQ110" s="139"/>
      <c r="VSR110" s="139"/>
      <c r="VSS110" s="139"/>
      <c r="VST110" s="139"/>
      <c r="VSU110" s="139"/>
      <c r="VSV110" s="139"/>
      <c r="VSW110" s="139"/>
      <c r="VSX110" s="139"/>
      <c r="VSY110" s="139"/>
      <c r="VSZ110" s="139"/>
      <c r="VTA110" s="139"/>
      <c r="VTB110" s="139"/>
      <c r="VTC110" s="139"/>
      <c r="VTD110" s="139"/>
      <c r="VTE110" s="139"/>
      <c r="VTF110" s="139"/>
      <c r="VTG110" s="139"/>
      <c r="VTH110" s="139"/>
      <c r="VTI110" s="139"/>
      <c r="VTJ110" s="139"/>
      <c r="VTK110" s="139"/>
      <c r="VTL110" s="139"/>
      <c r="VTM110" s="139"/>
      <c r="VTN110" s="139"/>
      <c r="VTO110" s="139"/>
      <c r="VTP110" s="139"/>
      <c r="VTQ110" s="139"/>
      <c r="VTR110" s="139"/>
      <c r="VTS110" s="139"/>
      <c r="VTT110" s="139"/>
      <c r="VTU110" s="139"/>
      <c r="VTV110" s="139"/>
      <c r="VTW110" s="139"/>
      <c r="VTX110" s="139"/>
      <c r="VTY110" s="139"/>
      <c r="VTZ110" s="139"/>
      <c r="VUA110" s="139"/>
      <c r="VUB110" s="139"/>
      <c r="VUC110" s="139"/>
      <c r="VUD110" s="139"/>
      <c r="VUE110" s="139"/>
      <c r="VUF110" s="139"/>
      <c r="VUG110" s="139"/>
      <c r="VUH110" s="139"/>
      <c r="VUI110" s="139"/>
      <c r="VUJ110" s="139"/>
      <c r="VUK110" s="139"/>
      <c r="VUL110" s="139"/>
      <c r="VUM110" s="139"/>
      <c r="VUN110" s="139"/>
      <c r="VUO110" s="139"/>
      <c r="VUP110" s="139"/>
      <c r="VUQ110" s="139"/>
      <c r="VUR110" s="139"/>
      <c r="VUS110" s="139"/>
      <c r="VUT110" s="139"/>
      <c r="VUU110" s="139"/>
      <c r="VUV110" s="139"/>
      <c r="VUW110" s="139"/>
      <c r="VUX110" s="139"/>
      <c r="VUY110" s="139"/>
      <c r="VUZ110" s="139"/>
      <c r="VVA110" s="139"/>
      <c r="VVB110" s="139"/>
      <c r="VVC110" s="139"/>
      <c r="VVD110" s="139"/>
      <c r="VVE110" s="139"/>
      <c r="VVF110" s="139"/>
      <c r="VVG110" s="139"/>
      <c r="VVH110" s="139"/>
      <c r="VVI110" s="139"/>
      <c r="VVJ110" s="139"/>
      <c r="VVK110" s="139"/>
      <c r="VVL110" s="139"/>
      <c r="VVM110" s="139"/>
      <c r="VVN110" s="139"/>
      <c r="VVO110" s="139"/>
      <c r="VVP110" s="139"/>
      <c r="VVQ110" s="139"/>
      <c r="VVR110" s="139"/>
      <c r="VVS110" s="139"/>
      <c r="VVT110" s="139"/>
      <c r="VVU110" s="139"/>
      <c r="VVV110" s="139"/>
      <c r="VVW110" s="139"/>
      <c r="VVX110" s="139"/>
      <c r="VVY110" s="139"/>
      <c r="VVZ110" s="139"/>
      <c r="VWA110" s="139"/>
      <c r="VWB110" s="139"/>
      <c r="VWC110" s="139"/>
      <c r="VWD110" s="139"/>
      <c r="VWE110" s="139"/>
      <c r="VWF110" s="139"/>
      <c r="VWG110" s="139"/>
      <c r="VWH110" s="139"/>
      <c r="VWI110" s="139"/>
      <c r="VWJ110" s="139"/>
      <c r="VWK110" s="139"/>
      <c r="VWL110" s="139"/>
      <c r="VWM110" s="139"/>
      <c r="VWN110" s="139"/>
      <c r="VWO110" s="139"/>
      <c r="VWP110" s="139"/>
      <c r="VWQ110" s="139"/>
      <c r="VWR110" s="139"/>
      <c r="VWS110" s="139"/>
      <c r="VWT110" s="139"/>
      <c r="VWU110" s="139"/>
      <c r="VWV110" s="139"/>
      <c r="VWW110" s="139"/>
      <c r="VWX110" s="139"/>
      <c r="VWY110" s="139"/>
      <c r="VWZ110" s="139"/>
      <c r="VXA110" s="139"/>
      <c r="VXB110" s="139"/>
      <c r="VXC110" s="139"/>
      <c r="VXD110" s="139"/>
      <c r="VXE110" s="139"/>
      <c r="VXF110" s="139"/>
      <c r="VXG110" s="139"/>
      <c r="VXH110" s="139"/>
      <c r="VXI110" s="139"/>
      <c r="VXJ110" s="139"/>
      <c r="VXK110" s="139"/>
      <c r="VXL110" s="139"/>
      <c r="VXM110" s="139"/>
      <c r="VXN110" s="139"/>
      <c r="VXO110" s="139"/>
      <c r="VXP110" s="139"/>
      <c r="VXQ110" s="139"/>
      <c r="VXR110" s="139"/>
      <c r="VXS110" s="139"/>
      <c r="VXT110" s="139"/>
      <c r="VXU110" s="139"/>
      <c r="VXV110" s="139"/>
      <c r="VXW110" s="139"/>
      <c r="VXX110" s="139"/>
      <c r="VXY110" s="139"/>
      <c r="VXZ110" s="139"/>
      <c r="VYA110" s="139"/>
      <c r="VYB110" s="139"/>
      <c r="VYC110" s="139"/>
      <c r="VYD110" s="139"/>
      <c r="VYE110" s="139"/>
      <c r="VYF110" s="139"/>
      <c r="VYG110" s="139"/>
      <c r="VYH110" s="139"/>
      <c r="VYI110" s="139"/>
      <c r="VYJ110" s="139"/>
      <c r="VYK110" s="139"/>
      <c r="VYL110" s="139"/>
      <c r="VYM110" s="139"/>
      <c r="VYN110" s="139"/>
      <c r="VYO110" s="139"/>
      <c r="VYP110" s="139"/>
      <c r="VYQ110" s="139"/>
      <c r="VYR110" s="139"/>
      <c r="VYS110" s="139"/>
      <c r="VYT110" s="139"/>
      <c r="VYU110" s="139"/>
      <c r="VYV110" s="139"/>
      <c r="VYW110" s="139"/>
      <c r="VYX110" s="139"/>
      <c r="VYY110" s="139"/>
      <c r="VYZ110" s="139"/>
      <c r="VZA110" s="139"/>
      <c r="VZB110" s="139"/>
      <c r="VZC110" s="139"/>
      <c r="VZD110" s="139"/>
      <c r="VZE110" s="139"/>
      <c r="VZF110" s="139"/>
      <c r="VZG110" s="139"/>
      <c r="VZH110" s="139"/>
      <c r="VZI110" s="139"/>
      <c r="VZJ110" s="139"/>
      <c r="VZK110" s="139"/>
      <c r="VZL110" s="139"/>
      <c r="VZM110" s="139"/>
      <c r="VZN110" s="139"/>
      <c r="VZO110" s="139"/>
      <c r="VZP110" s="139"/>
      <c r="VZQ110" s="139"/>
      <c r="VZR110" s="139"/>
      <c r="VZS110" s="139"/>
      <c r="VZT110" s="139"/>
      <c r="VZU110" s="139"/>
      <c r="VZV110" s="139"/>
      <c r="VZW110" s="139"/>
      <c r="VZX110" s="139"/>
      <c r="VZY110" s="139"/>
      <c r="VZZ110" s="139"/>
      <c r="WAA110" s="139"/>
      <c r="WAB110" s="139"/>
      <c r="WAC110" s="139"/>
      <c r="WAD110" s="139"/>
      <c r="WAE110" s="139"/>
      <c r="WAF110" s="139"/>
      <c r="WAG110" s="139"/>
      <c r="WAH110" s="139"/>
      <c r="WAI110" s="139"/>
      <c r="WAJ110" s="139"/>
      <c r="WAK110" s="139"/>
      <c r="WAL110" s="139"/>
      <c r="WAM110" s="139"/>
      <c r="WAN110" s="139"/>
      <c r="WAO110" s="139"/>
      <c r="WAP110" s="139"/>
      <c r="WAQ110" s="139"/>
      <c r="WAR110" s="139"/>
      <c r="WAS110" s="139"/>
      <c r="WAT110" s="139"/>
      <c r="WAU110" s="139"/>
      <c r="WAV110" s="139"/>
      <c r="WAW110" s="139"/>
      <c r="WAX110" s="139"/>
      <c r="WAY110" s="139"/>
      <c r="WAZ110" s="139"/>
      <c r="WBA110" s="139"/>
      <c r="WBB110" s="139"/>
      <c r="WBC110" s="139"/>
      <c r="WBD110" s="139"/>
      <c r="WBE110" s="139"/>
      <c r="WBF110" s="139"/>
      <c r="WBG110" s="139"/>
      <c r="WBH110" s="139"/>
      <c r="WBI110" s="139"/>
      <c r="WBJ110" s="139"/>
      <c r="WBK110" s="139"/>
      <c r="WBL110" s="139"/>
      <c r="WBM110" s="139"/>
      <c r="WBN110" s="139"/>
      <c r="WBO110" s="139"/>
      <c r="WBP110" s="139"/>
      <c r="WBQ110" s="139"/>
      <c r="WBR110" s="139"/>
      <c r="WBS110" s="139"/>
      <c r="WBT110" s="139"/>
      <c r="WBU110" s="139"/>
      <c r="WBV110" s="139"/>
      <c r="WBW110" s="139"/>
      <c r="WBX110" s="139"/>
      <c r="WBY110" s="139"/>
      <c r="WBZ110" s="139"/>
      <c r="WCA110" s="139"/>
      <c r="WCB110" s="139"/>
      <c r="WCC110" s="139"/>
      <c r="WCD110" s="139"/>
      <c r="WCE110" s="139"/>
      <c r="WCF110" s="139"/>
      <c r="WCG110" s="139"/>
      <c r="WCH110" s="139"/>
      <c r="WCI110" s="139"/>
      <c r="WCJ110" s="139"/>
      <c r="WCK110" s="139"/>
      <c r="WCL110" s="139"/>
      <c r="WCM110" s="139"/>
      <c r="WCN110" s="139"/>
      <c r="WCO110" s="139"/>
      <c r="WCP110" s="139"/>
      <c r="WCQ110" s="139"/>
      <c r="WCR110" s="139"/>
      <c r="WCS110" s="139"/>
      <c r="WCT110" s="139"/>
      <c r="WCU110" s="139"/>
      <c r="WCV110" s="139"/>
      <c r="WCW110" s="139"/>
      <c r="WCX110" s="139"/>
      <c r="WCY110" s="139"/>
      <c r="WCZ110" s="139"/>
      <c r="WDA110" s="139"/>
      <c r="WDB110" s="139"/>
      <c r="WDC110" s="139"/>
      <c r="WDD110" s="139"/>
      <c r="WDE110" s="139"/>
      <c r="WDF110" s="139"/>
      <c r="WDG110" s="139"/>
      <c r="WDH110" s="139"/>
      <c r="WDI110" s="139"/>
      <c r="WDJ110" s="139"/>
      <c r="WDK110" s="139"/>
      <c r="WDL110" s="139"/>
      <c r="WDM110" s="139"/>
      <c r="WDN110" s="139"/>
      <c r="WDO110" s="139"/>
      <c r="WDP110" s="139"/>
      <c r="WDQ110" s="139"/>
      <c r="WDR110" s="139"/>
      <c r="WDS110" s="139"/>
      <c r="WDT110" s="139"/>
      <c r="WDU110" s="139"/>
      <c r="WDV110" s="139"/>
      <c r="WDW110" s="139"/>
      <c r="WDX110" s="139"/>
      <c r="WDY110" s="139"/>
      <c r="WDZ110" s="139"/>
      <c r="WEA110" s="139"/>
      <c r="WEB110" s="139"/>
      <c r="WEC110" s="139"/>
      <c r="WED110" s="139"/>
      <c r="WEE110" s="139"/>
      <c r="WEF110" s="139"/>
      <c r="WEG110" s="139"/>
      <c r="WEH110" s="139"/>
      <c r="WEI110" s="139"/>
      <c r="WEJ110" s="139"/>
      <c r="WEK110" s="139"/>
      <c r="WEL110" s="139"/>
      <c r="WEM110" s="139"/>
      <c r="WEN110" s="139"/>
      <c r="WEO110" s="139"/>
      <c r="WEP110" s="139"/>
      <c r="WEQ110" s="139"/>
      <c r="WER110" s="139"/>
      <c r="WES110" s="139"/>
      <c r="WET110" s="139"/>
      <c r="WEU110" s="139"/>
      <c r="WEV110" s="139"/>
      <c r="WEW110" s="139"/>
      <c r="WEX110" s="139"/>
      <c r="WEY110" s="139"/>
      <c r="WEZ110" s="139"/>
      <c r="WFA110" s="139"/>
      <c r="WFB110" s="139"/>
      <c r="WFC110" s="139"/>
      <c r="WFD110" s="139"/>
      <c r="WFE110" s="139"/>
      <c r="WFF110" s="139"/>
      <c r="WFG110" s="139"/>
      <c r="WFH110" s="139"/>
      <c r="WFI110" s="139"/>
      <c r="WFJ110" s="139"/>
      <c r="WFK110" s="139"/>
      <c r="WFL110" s="139"/>
      <c r="WFM110" s="139"/>
      <c r="WFN110" s="139"/>
      <c r="WFO110" s="139"/>
      <c r="WFP110" s="139"/>
      <c r="WFQ110" s="139"/>
      <c r="WFR110" s="139"/>
      <c r="WFS110" s="139"/>
      <c r="WFT110" s="139"/>
      <c r="WFU110" s="139"/>
      <c r="WFV110" s="139"/>
      <c r="WFW110" s="139"/>
      <c r="WFX110" s="139"/>
      <c r="WFY110" s="139"/>
      <c r="WFZ110" s="139"/>
      <c r="WGA110" s="139"/>
      <c r="WGB110" s="139"/>
      <c r="WGC110" s="139"/>
      <c r="WGD110" s="139"/>
      <c r="WGE110" s="139"/>
      <c r="WGF110" s="139"/>
      <c r="WGG110" s="139"/>
      <c r="WGH110" s="139"/>
      <c r="WGI110" s="139"/>
      <c r="WGJ110" s="139"/>
      <c r="WGK110" s="139"/>
      <c r="WGL110" s="139"/>
      <c r="WGM110" s="139"/>
      <c r="WGN110" s="139"/>
      <c r="WGO110" s="139"/>
      <c r="WGP110" s="139"/>
      <c r="WGQ110" s="139"/>
      <c r="WGR110" s="139"/>
      <c r="WGS110" s="139"/>
      <c r="WGT110" s="139"/>
      <c r="WGU110" s="139"/>
      <c r="WGV110" s="139"/>
      <c r="WGW110" s="139"/>
      <c r="WGX110" s="139"/>
      <c r="WGY110" s="139"/>
      <c r="WGZ110" s="139"/>
      <c r="WHA110" s="139"/>
      <c r="WHB110" s="139"/>
      <c r="WHC110" s="139"/>
      <c r="WHD110" s="139"/>
      <c r="WHE110" s="139"/>
      <c r="WHF110" s="139"/>
      <c r="WHG110" s="139"/>
      <c r="WHH110" s="139"/>
      <c r="WHI110" s="139"/>
      <c r="WHJ110" s="139"/>
      <c r="WHK110" s="139"/>
      <c r="WHL110" s="139"/>
      <c r="WHM110" s="139"/>
      <c r="WHN110" s="139"/>
      <c r="WHO110" s="139"/>
      <c r="WHP110" s="139"/>
      <c r="WHQ110" s="139"/>
      <c r="WHR110" s="139"/>
      <c r="WHS110" s="139"/>
      <c r="WHT110" s="139"/>
      <c r="WHU110" s="139"/>
      <c r="WHV110" s="139"/>
      <c r="WHW110" s="139"/>
      <c r="WHX110" s="139"/>
      <c r="WHY110" s="139"/>
      <c r="WHZ110" s="139"/>
      <c r="WIA110" s="139"/>
      <c r="WIB110" s="139"/>
      <c r="WIC110" s="139"/>
      <c r="WID110" s="139"/>
      <c r="WIE110" s="139"/>
      <c r="WIF110" s="139"/>
      <c r="WIG110" s="139"/>
      <c r="WIH110" s="139"/>
      <c r="WII110" s="139"/>
      <c r="WIJ110" s="139"/>
      <c r="WIK110" s="139"/>
      <c r="WIL110" s="139"/>
      <c r="WIM110" s="139"/>
      <c r="WIN110" s="139"/>
      <c r="WIO110" s="139"/>
      <c r="WIP110" s="139"/>
      <c r="WIQ110" s="139"/>
      <c r="WIR110" s="139"/>
      <c r="WIS110" s="139"/>
      <c r="WIT110" s="139"/>
      <c r="WIU110" s="139"/>
      <c r="WIV110" s="139"/>
      <c r="WIW110" s="139"/>
      <c r="WIX110" s="139"/>
      <c r="WIY110" s="139"/>
      <c r="WIZ110" s="139"/>
      <c r="WJA110" s="139"/>
      <c r="WJB110" s="139"/>
      <c r="WJC110" s="139"/>
      <c r="WJD110" s="139"/>
      <c r="WJE110" s="139"/>
      <c r="WJF110" s="139"/>
      <c r="WJG110" s="139"/>
      <c r="WJH110" s="139"/>
      <c r="WJI110" s="139"/>
      <c r="WJJ110" s="139"/>
      <c r="WJK110" s="139"/>
      <c r="WJL110" s="139"/>
      <c r="WJM110" s="139"/>
      <c r="WJN110" s="139"/>
      <c r="WJO110" s="139"/>
      <c r="WJP110" s="139"/>
      <c r="WJQ110" s="139"/>
      <c r="WJR110" s="139"/>
      <c r="WJS110" s="139"/>
      <c r="WJT110" s="139"/>
      <c r="WJU110" s="139"/>
      <c r="WJV110" s="139"/>
      <c r="WJW110" s="139"/>
      <c r="WJX110" s="139"/>
      <c r="WJY110" s="139"/>
      <c r="WJZ110" s="139"/>
      <c r="WKA110" s="139"/>
      <c r="WKB110" s="139"/>
      <c r="WKC110" s="139"/>
      <c r="WKD110" s="139"/>
      <c r="WKE110" s="139"/>
      <c r="WKF110" s="139"/>
      <c r="WKG110" s="139"/>
      <c r="WKH110" s="139"/>
      <c r="WKI110" s="139"/>
      <c r="WKJ110" s="139"/>
      <c r="WKK110" s="139"/>
      <c r="WKL110" s="139"/>
      <c r="WKM110" s="139"/>
      <c r="WKN110" s="139"/>
      <c r="WKO110" s="139"/>
      <c r="WKP110" s="139"/>
      <c r="WKQ110" s="139"/>
      <c r="WKR110" s="139"/>
      <c r="WKS110" s="139"/>
      <c r="WKT110" s="139"/>
      <c r="WKU110" s="139"/>
      <c r="WKV110" s="139"/>
      <c r="WKW110" s="139"/>
      <c r="WKX110" s="139"/>
      <c r="WKY110" s="139"/>
      <c r="WKZ110" s="139"/>
      <c r="WLA110" s="139"/>
      <c r="WLB110" s="139"/>
      <c r="WLC110" s="139"/>
      <c r="WLD110" s="139"/>
      <c r="WLE110" s="139"/>
      <c r="WLF110" s="139"/>
      <c r="WLG110" s="139"/>
      <c r="WLH110" s="139"/>
      <c r="WLI110" s="139"/>
      <c r="WLJ110" s="139"/>
      <c r="WLK110" s="139"/>
      <c r="WLL110" s="139"/>
      <c r="WLM110" s="139"/>
      <c r="WLN110" s="139"/>
      <c r="WLO110" s="139"/>
      <c r="WLP110" s="139"/>
      <c r="WLQ110" s="139"/>
      <c r="WLR110" s="139"/>
      <c r="WLS110" s="139"/>
      <c r="WLT110" s="139"/>
      <c r="WLU110" s="139"/>
      <c r="WLV110" s="139"/>
      <c r="WLW110" s="139"/>
      <c r="WLX110" s="139"/>
      <c r="WLY110" s="139"/>
      <c r="WLZ110" s="139"/>
      <c r="WMA110" s="139"/>
      <c r="WMB110" s="139"/>
      <c r="WMC110" s="139"/>
      <c r="WMD110" s="139"/>
      <c r="WME110" s="139"/>
      <c r="WMF110" s="139"/>
      <c r="WMG110" s="139"/>
      <c r="WMH110" s="139"/>
      <c r="WMI110" s="139"/>
      <c r="WMJ110" s="139"/>
      <c r="WMK110" s="139"/>
      <c r="WML110" s="139"/>
      <c r="WMM110" s="139"/>
      <c r="WMN110" s="139"/>
      <c r="WMO110" s="139"/>
      <c r="WMP110" s="139"/>
      <c r="WMQ110" s="139"/>
      <c r="WMR110" s="139"/>
      <c r="WMS110" s="139"/>
      <c r="WMT110" s="139"/>
      <c r="WMU110" s="139"/>
      <c r="WMV110" s="139"/>
      <c r="WMW110" s="139"/>
      <c r="WMX110" s="139"/>
      <c r="WMY110" s="139"/>
      <c r="WMZ110" s="139"/>
      <c r="WNA110" s="139"/>
      <c r="WNB110" s="139"/>
      <c r="WNC110" s="139"/>
      <c r="WND110" s="139"/>
      <c r="WNE110" s="139"/>
      <c r="WNF110" s="139"/>
      <c r="WNG110" s="139"/>
      <c r="WNH110" s="139"/>
      <c r="WNI110" s="139"/>
      <c r="WNJ110" s="139"/>
      <c r="WNK110" s="139"/>
      <c r="WNL110" s="139"/>
      <c r="WNM110" s="139"/>
      <c r="WNN110" s="139"/>
      <c r="WNO110" s="139"/>
      <c r="WNP110" s="139"/>
      <c r="WNQ110" s="139"/>
      <c r="WNR110" s="139"/>
      <c r="WNS110" s="139"/>
      <c r="WNT110" s="139"/>
      <c r="WNU110" s="139"/>
      <c r="WNV110" s="139"/>
      <c r="WNW110" s="139"/>
      <c r="WNX110" s="139"/>
      <c r="WNY110" s="139"/>
      <c r="WNZ110" s="139"/>
      <c r="WOA110" s="139"/>
      <c r="WOB110" s="139"/>
      <c r="WOC110" s="139"/>
      <c r="WOD110" s="139"/>
      <c r="WOE110" s="139"/>
      <c r="WOF110" s="139"/>
      <c r="WOG110" s="139"/>
      <c r="WOH110" s="139"/>
      <c r="WOI110" s="139"/>
      <c r="WOJ110" s="139"/>
      <c r="WOK110" s="139"/>
      <c r="WOL110" s="139"/>
      <c r="WOM110" s="139"/>
      <c r="WON110" s="139"/>
      <c r="WOO110" s="139"/>
      <c r="WOP110" s="139"/>
      <c r="WOQ110" s="139"/>
      <c r="WOR110" s="139"/>
      <c r="WOS110" s="139"/>
      <c r="WOT110" s="139"/>
      <c r="WOU110" s="139"/>
      <c r="WOV110" s="139"/>
      <c r="WOW110" s="139"/>
      <c r="WOX110" s="139"/>
      <c r="WOY110" s="139"/>
      <c r="WOZ110" s="139"/>
      <c r="WPA110" s="139"/>
      <c r="WPB110" s="139"/>
      <c r="WPC110" s="139"/>
      <c r="WPD110" s="139"/>
      <c r="WPE110" s="139"/>
      <c r="WPF110" s="139"/>
      <c r="WPG110" s="139"/>
      <c r="WPH110" s="139"/>
      <c r="WPI110" s="139"/>
      <c r="WPJ110" s="139"/>
      <c r="WPK110" s="139"/>
      <c r="WPL110" s="139"/>
      <c r="WPM110" s="139"/>
      <c r="WPN110" s="139"/>
      <c r="WPO110" s="139"/>
      <c r="WPP110" s="139"/>
      <c r="WPQ110" s="139"/>
      <c r="WPR110" s="139"/>
      <c r="WPS110" s="139"/>
      <c r="WPT110" s="139"/>
      <c r="WPU110" s="139"/>
      <c r="WPV110" s="139"/>
      <c r="WPW110" s="139"/>
      <c r="WPX110" s="139"/>
      <c r="WPY110" s="139"/>
      <c r="WPZ110" s="139"/>
      <c r="WQA110" s="139"/>
      <c r="WQB110" s="139"/>
      <c r="WQC110" s="139"/>
      <c r="WQD110" s="139"/>
      <c r="WQE110" s="139"/>
      <c r="WQF110" s="139"/>
      <c r="WQG110" s="139"/>
      <c r="WQH110" s="139"/>
      <c r="WQI110" s="139"/>
      <c r="WQJ110" s="139"/>
      <c r="WQK110" s="139"/>
      <c r="WQL110" s="139"/>
      <c r="WQM110" s="139"/>
      <c r="WQN110" s="139"/>
      <c r="WQO110" s="139"/>
      <c r="WQP110" s="139"/>
      <c r="WQQ110" s="139"/>
      <c r="WQR110" s="139"/>
      <c r="WQS110" s="139"/>
      <c r="WQT110" s="139"/>
      <c r="WQU110" s="139"/>
      <c r="WQV110" s="139"/>
      <c r="WQW110" s="139"/>
      <c r="WQX110" s="139"/>
      <c r="WQY110" s="139"/>
      <c r="WQZ110" s="139"/>
      <c r="WRA110" s="139"/>
      <c r="WRB110" s="139"/>
      <c r="WRC110" s="139"/>
      <c r="WRD110" s="139"/>
      <c r="WRE110" s="139"/>
      <c r="WRF110" s="139"/>
      <c r="WRG110" s="139"/>
      <c r="WRH110" s="139"/>
      <c r="WRI110" s="139"/>
      <c r="WRJ110" s="139"/>
      <c r="WRK110" s="139"/>
      <c r="WRL110" s="139"/>
      <c r="WRM110" s="139"/>
      <c r="WRN110" s="139"/>
      <c r="WRO110" s="139"/>
      <c r="WRP110" s="139"/>
      <c r="WRQ110" s="139"/>
      <c r="WRR110" s="139"/>
      <c r="WRS110" s="139"/>
      <c r="WRT110" s="139"/>
      <c r="WRU110" s="139"/>
      <c r="WRV110" s="139"/>
      <c r="WRW110" s="139"/>
      <c r="WRX110" s="139"/>
      <c r="WRY110" s="139"/>
      <c r="WRZ110" s="139"/>
      <c r="WSA110" s="139"/>
      <c r="WSB110" s="139"/>
      <c r="WSC110" s="139"/>
      <c r="WSD110" s="139"/>
      <c r="WSE110" s="139"/>
      <c r="WSF110" s="139"/>
      <c r="WSG110" s="139"/>
      <c r="WSH110" s="139"/>
      <c r="WSI110" s="139"/>
      <c r="WSJ110" s="139"/>
      <c r="WSK110" s="139"/>
      <c r="WSL110" s="139"/>
      <c r="WSM110" s="139"/>
      <c r="WSN110" s="139"/>
      <c r="WSO110" s="139"/>
      <c r="WSP110" s="139"/>
      <c r="WSQ110" s="139"/>
      <c r="WSR110" s="139"/>
      <c r="WSS110" s="139"/>
      <c r="WST110" s="139"/>
      <c r="WSU110" s="139"/>
      <c r="WSV110" s="139"/>
      <c r="WSW110" s="139"/>
      <c r="WSX110" s="139"/>
      <c r="WSY110" s="139"/>
      <c r="WSZ110" s="139"/>
      <c r="WTA110" s="139"/>
      <c r="WTB110" s="139"/>
      <c r="WTC110" s="139"/>
      <c r="WTD110" s="139"/>
      <c r="WTE110" s="139"/>
      <c r="WTF110" s="139"/>
      <c r="WTG110" s="139"/>
      <c r="WTH110" s="139"/>
      <c r="WTI110" s="139"/>
      <c r="WTJ110" s="139"/>
      <c r="WTK110" s="139"/>
      <c r="WTL110" s="139"/>
      <c r="WTM110" s="139"/>
      <c r="WTN110" s="139"/>
      <c r="WTO110" s="139"/>
      <c r="WTP110" s="139"/>
      <c r="WTQ110" s="139"/>
      <c r="WTR110" s="139"/>
      <c r="WTS110" s="139"/>
      <c r="WTT110" s="139"/>
      <c r="WTU110" s="139"/>
      <c r="WTV110" s="139"/>
      <c r="WTW110" s="139"/>
      <c r="WTX110" s="139"/>
      <c r="WTY110" s="139"/>
      <c r="WTZ110" s="139"/>
      <c r="WUA110" s="139"/>
      <c r="WUB110" s="139"/>
      <c r="WUC110" s="139"/>
      <c r="WUD110" s="139"/>
      <c r="WUE110" s="139"/>
      <c r="WUF110" s="139"/>
      <c r="WUG110" s="139"/>
      <c r="WUH110" s="139"/>
      <c r="WUI110" s="139"/>
      <c r="WUJ110" s="139"/>
      <c r="WUK110" s="139"/>
      <c r="WUL110" s="139"/>
      <c r="WUM110" s="139"/>
      <c r="WUN110" s="139"/>
      <c r="WUO110" s="139"/>
      <c r="WUP110" s="139"/>
      <c r="WUQ110" s="139"/>
      <c r="WUR110" s="139"/>
      <c r="WUS110" s="139"/>
      <c r="WUT110" s="139"/>
      <c r="WUU110" s="139"/>
      <c r="WUV110" s="139"/>
      <c r="WUW110" s="139"/>
      <c r="WUX110" s="139"/>
      <c r="WUY110" s="139"/>
      <c r="WUZ110" s="139"/>
      <c r="WVA110" s="139"/>
      <c r="WVB110" s="139"/>
      <c r="WVC110" s="139"/>
      <c r="WVD110" s="139"/>
      <c r="WVE110" s="139"/>
      <c r="WVF110" s="139"/>
      <c r="WVG110" s="139"/>
      <c r="WVH110" s="139"/>
      <c r="WVI110" s="139"/>
      <c r="WVJ110" s="139"/>
      <c r="WVK110" s="139"/>
      <c r="WVL110" s="139"/>
      <c r="WVM110" s="139"/>
      <c r="WVN110" s="139"/>
      <c r="WVO110" s="139"/>
      <c r="WVP110" s="139"/>
      <c r="WVQ110" s="139"/>
      <c r="WVR110" s="139"/>
      <c r="WVS110" s="139"/>
      <c r="WVT110" s="139"/>
      <c r="WVU110" s="139"/>
      <c r="WVV110" s="139"/>
      <c r="WVW110" s="139"/>
    </row>
    <row r="111" spans="1:16143" s="140" customFormat="1" x14ac:dyDescent="0.2">
      <c r="A111" s="139"/>
      <c r="B111" s="635" t="s">
        <v>358</v>
      </c>
      <c r="C111" s="338" t="str">
        <f t="shared" ref="C111:N111" si="29">+IF(C6&lt;&gt;0,"Ok","")</f>
        <v>Ok</v>
      </c>
      <c r="D111" s="338" t="str">
        <f t="shared" si="29"/>
        <v>Ok</v>
      </c>
      <c r="E111" s="338" t="str">
        <f t="shared" si="29"/>
        <v>Ok</v>
      </c>
      <c r="F111" s="338" t="str">
        <f t="shared" si="29"/>
        <v>Ok</v>
      </c>
      <c r="G111" s="338" t="str">
        <f t="shared" si="29"/>
        <v>Ok</v>
      </c>
      <c r="H111" s="338" t="str">
        <f t="shared" si="29"/>
        <v>Ok</v>
      </c>
      <c r="I111" s="338" t="str">
        <f t="shared" si="29"/>
        <v>Ok</v>
      </c>
      <c r="J111" s="338" t="str">
        <f t="shared" si="29"/>
        <v/>
      </c>
      <c r="K111" s="338" t="str">
        <f t="shared" si="29"/>
        <v/>
      </c>
      <c r="L111" s="338" t="str">
        <f t="shared" si="29"/>
        <v/>
      </c>
      <c r="M111" s="338" t="str">
        <f t="shared" si="29"/>
        <v/>
      </c>
      <c r="N111" s="338" t="str">
        <f t="shared" si="29"/>
        <v/>
      </c>
      <c r="Q111" s="171"/>
      <c r="R111" s="171"/>
      <c r="S111" s="139"/>
      <c r="T111" s="139"/>
      <c r="U111" s="139"/>
      <c r="V111" s="139"/>
      <c r="W111" s="139"/>
      <c r="X111" s="139"/>
      <c r="Y111" s="139"/>
      <c r="Z111" s="139"/>
      <c r="AA111" s="139"/>
      <c r="AB111" s="139"/>
      <c r="AC111" s="139"/>
      <c r="AD111" s="139"/>
      <c r="AE111" s="139"/>
      <c r="AF111" s="139"/>
      <c r="AG111" s="139"/>
      <c r="AH111" s="139"/>
      <c r="AI111" s="139"/>
      <c r="AJ111" s="139"/>
      <c r="AK111" s="139"/>
      <c r="AL111" s="139"/>
      <c r="AM111" s="139"/>
      <c r="AN111" s="139"/>
      <c r="AO111" s="139"/>
      <c r="AP111" s="139"/>
      <c r="AQ111" s="139"/>
      <c r="AR111" s="139"/>
      <c r="AS111" s="139"/>
      <c r="AT111" s="139"/>
      <c r="AU111" s="139"/>
      <c r="AV111" s="139"/>
      <c r="AW111" s="139"/>
      <c r="AX111" s="139"/>
      <c r="AY111" s="139"/>
      <c r="AZ111" s="139"/>
      <c r="BA111" s="139"/>
      <c r="BB111" s="139"/>
      <c r="BC111" s="139"/>
      <c r="BD111" s="139"/>
      <c r="BE111" s="139"/>
      <c r="BF111" s="139"/>
      <c r="BG111" s="139"/>
      <c r="BH111" s="139"/>
      <c r="BI111" s="139"/>
      <c r="BJ111" s="139"/>
      <c r="BK111" s="139"/>
      <c r="BL111" s="139"/>
      <c r="BM111" s="139"/>
      <c r="BN111" s="139"/>
      <c r="BO111" s="139"/>
      <c r="BP111" s="139"/>
      <c r="BQ111" s="139"/>
      <c r="BR111" s="139"/>
      <c r="BS111" s="139"/>
      <c r="BT111" s="139"/>
      <c r="BU111" s="139"/>
      <c r="BV111" s="139"/>
      <c r="BW111" s="139"/>
      <c r="BX111" s="139"/>
      <c r="BY111" s="139"/>
      <c r="BZ111" s="139"/>
      <c r="CA111" s="139"/>
      <c r="CB111" s="139"/>
      <c r="CC111" s="139"/>
      <c r="CD111" s="139"/>
      <c r="CE111" s="139"/>
      <c r="CF111" s="139"/>
      <c r="CG111" s="139"/>
      <c r="CH111" s="139"/>
      <c r="CI111" s="139"/>
      <c r="CJ111" s="139"/>
      <c r="CK111" s="139"/>
      <c r="CL111" s="139"/>
      <c r="CM111" s="139"/>
      <c r="CN111" s="139"/>
      <c r="CO111" s="139"/>
      <c r="CP111" s="139"/>
      <c r="CQ111" s="139"/>
      <c r="CR111" s="139"/>
      <c r="CS111" s="139"/>
      <c r="CT111" s="139"/>
      <c r="CU111" s="139"/>
      <c r="CV111" s="139"/>
      <c r="CW111" s="139"/>
      <c r="CX111" s="139"/>
      <c r="CY111" s="139"/>
      <c r="CZ111" s="139"/>
      <c r="DA111" s="139"/>
      <c r="DB111" s="139"/>
      <c r="DC111" s="139"/>
      <c r="DD111" s="139"/>
      <c r="DE111" s="139"/>
      <c r="DF111" s="139"/>
      <c r="DG111" s="139"/>
      <c r="DH111" s="139"/>
      <c r="DI111" s="139"/>
      <c r="DJ111" s="139"/>
      <c r="DK111" s="139"/>
      <c r="DL111" s="139"/>
      <c r="DM111" s="139"/>
      <c r="DN111" s="139"/>
      <c r="DO111" s="139"/>
      <c r="DP111" s="139"/>
      <c r="DQ111" s="139"/>
      <c r="DR111" s="139"/>
      <c r="DS111" s="139"/>
      <c r="DT111" s="139"/>
      <c r="DU111" s="139"/>
      <c r="DV111" s="139"/>
      <c r="DW111" s="139"/>
      <c r="DX111" s="139"/>
      <c r="DY111" s="139"/>
      <c r="DZ111" s="139"/>
      <c r="EA111" s="139"/>
      <c r="EB111" s="139"/>
      <c r="EC111" s="139"/>
      <c r="ED111" s="139"/>
      <c r="EE111" s="139"/>
      <c r="EF111" s="139"/>
      <c r="EG111" s="139"/>
      <c r="EH111" s="139"/>
      <c r="EI111" s="139"/>
      <c r="EJ111" s="139"/>
      <c r="EK111" s="139"/>
      <c r="EL111" s="139"/>
      <c r="EM111" s="139"/>
      <c r="EN111" s="139"/>
      <c r="EO111" s="139"/>
      <c r="EP111" s="139"/>
      <c r="EQ111" s="139"/>
      <c r="ER111" s="139"/>
      <c r="ES111" s="139"/>
      <c r="ET111" s="139"/>
      <c r="EU111" s="139"/>
      <c r="EV111" s="139"/>
      <c r="EW111" s="139"/>
      <c r="EX111" s="139"/>
      <c r="EY111" s="139"/>
      <c r="EZ111" s="139"/>
      <c r="FA111" s="139"/>
      <c r="FB111" s="139"/>
      <c r="FC111" s="139"/>
      <c r="FD111" s="139"/>
      <c r="FE111" s="139"/>
      <c r="FF111" s="139"/>
      <c r="FG111" s="139"/>
      <c r="FH111" s="139"/>
      <c r="FI111" s="139"/>
      <c r="FJ111" s="139"/>
      <c r="FK111" s="139"/>
      <c r="FL111" s="139"/>
      <c r="FM111" s="139"/>
      <c r="FN111" s="139"/>
      <c r="FO111" s="139"/>
      <c r="FP111" s="139"/>
      <c r="FQ111" s="139"/>
      <c r="FR111" s="139"/>
      <c r="FS111" s="139"/>
      <c r="FT111" s="139"/>
      <c r="FU111" s="139"/>
      <c r="FV111" s="139"/>
      <c r="FW111" s="139"/>
      <c r="FX111" s="139"/>
      <c r="FY111" s="139"/>
      <c r="FZ111" s="139"/>
      <c r="GA111" s="139"/>
      <c r="GB111" s="139"/>
      <c r="GC111" s="139"/>
      <c r="GD111" s="139"/>
      <c r="GE111" s="139"/>
      <c r="GF111" s="139"/>
      <c r="GG111" s="139"/>
      <c r="GH111" s="139"/>
      <c r="GI111" s="139"/>
      <c r="GJ111" s="139"/>
      <c r="GK111" s="139"/>
      <c r="GL111" s="139"/>
      <c r="GM111" s="139"/>
      <c r="GN111" s="139"/>
      <c r="GO111" s="139"/>
      <c r="GP111" s="139"/>
      <c r="GQ111" s="139"/>
      <c r="GR111" s="139"/>
      <c r="GS111" s="139"/>
      <c r="GT111" s="139"/>
      <c r="GU111" s="139"/>
      <c r="GV111" s="139"/>
      <c r="GW111" s="139"/>
      <c r="GX111" s="139"/>
      <c r="GY111" s="139"/>
      <c r="GZ111" s="139"/>
      <c r="HA111" s="139"/>
      <c r="HB111" s="139"/>
      <c r="HC111" s="139"/>
      <c r="HD111" s="139"/>
      <c r="HE111" s="139"/>
      <c r="HF111" s="139"/>
      <c r="HG111" s="139"/>
      <c r="HH111" s="139"/>
      <c r="HI111" s="139"/>
      <c r="HJ111" s="139"/>
      <c r="HK111" s="139"/>
      <c r="HL111" s="139"/>
      <c r="HM111" s="139"/>
      <c r="HN111" s="139"/>
      <c r="HO111" s="139"/>
      <c r="HP111" s="139"/>
      <c r="HQ111" s="139"/>
      <c r="HR111" s="139"/>
      <c r="HS111" s="139"/>
      <c r="HT111" s="139"/>
      <c r="HU111" s="139"/>
      <c r="HV111" s="139"/>
      <c r="HW111" s="139"/>
      <c r="HX111" s="139"/>
      <c r="HY111" s="139"/>
      <c r="HZ111" s="139"/>
      <c r="IA111" s="139"/>
      <c r="IB111" s="139"/>
      <c r="IC111" s="139"/>
      <c r="ID111" s="139"/>
      <c r="IE111" s="139"/>
      <c r="IF111" s="139"/>
      <c r="IG111" s="139"/>
      <c r="IH111" s="139"/>
      <c r="II111" s="139"/>
      <c r="IJ111" s="139"/>
      <c r="IK111" s="139"/>
      <c r="IL111" s="139"/>
      <c r="IM111" s="139"/>
      <c r="IN111" s="139"/>
      <c r="IO111" s="139"/>
      <c r="IP111" s="139"/>
      <c r="IQ111" s="139"/>
      <c r="IR111" s="139"/>
      <c r="IS111" s="139"/>
      <c r="IT111" s="139"/>
      <c r="IU111" s="139"/>
      <c r="IV111" s="139"/>
      <c r="IW111" s="139"/>
      <c r="IX111" s="139"/>
      <c r="IY111" s="139"/>
      <c r="IZ111" s="139"/>
      <c r="JA111" s="139"/>
      <c r="JB111" s="139"/>
      <c r="JC111" s="139"/>
      <c r="JD111" s="139"/>
      <c r="JE111" s="139"/>
      <c r="JF111" s="139"/>
      <c r="JG111" s="139"/>
      <c r="JH111" s="139"/>
      <c r="JI111" s="139"/>
      <c r="JJ111" s="139"/>
      <c r="JK111" s="139"/>
      <c r="JL111" s="139"/>
      <c r="JM111" s="139"/>
      <c r="JN111" s="139"/>
      <c r="JO111" s="139"/>
      <c r="JP111" s="139"/>
      <c r="JQ111" s="139"/>
      <c r="JR111" s="139"/>
      <c r="JS111" s="139"/>
      <c r="JT111" s="139"/>
      <c r="JU111" s="139"/>
      <c r="JV111" s="139"/>
      <c r="JW111" s="139"/>
      <c r="JX111" s="139"/>
      <c r="JY111" s="139"/>
      <c r="JZ111" s="139"/>
      <c r="KA111" s="139"/>
      <c r="KB111" s="139"/>
      <c r="KC111" s="139"/>
      <c r="KD111" s="139"/>
      <c r="KE111" s="139"/>
      <c r="KF111" s="139"/>
      <c r="KG111" s="139"/>
      <c r="KH111" s="139"/>
      <c r="KI111" s="139"/>
      <c r="KJ111" s="139"/>
      <c r="KK111" s="139"/>
      <c r="KL111" s="139"/>
      <c r="KM111" s="139"/>
      <c r="KN111" s="139"/>
      <c r="KO111" s="139"/>
      <c r="KP111" s="139"/>
      <c r="KQ111" s="139"/>
      <c r="KR111" s="139"/>
      <c r="KS111" s="139"/>
      <c r="KT111" s="139"/>
      <c r="KU111" s="139"/>
      <c r="KV111" s="139"/>
      <c r="KW111" s="139"/>
      <c r="KX111" s="139"/>
      <c r="KY111" s="139"/>
      <c r="KZ111" s="139"/>
      <c r="LA111" s="139"/>
      <c r="LB111" s="139"/>
      <c r="LC111" s="139"/>
      <c r="LD111" s="139"/>
      <c r="LE111" s="139"/>
      <c r="LF111" s="139"/>
      <c r="LG111" s="139"/>
      <c r="LH111" s="139"/>
      <c r="LI111" s="139"/>
      <c r="LJ111" s="139"/>
      <c r="LK111" s="139"/>
      <c r="LL111" s="139"/>
      <c r="LM111" s="139"/>
      <c r="LN111" s="139"/>
      <c r="LO111" s="139"/>
      <c r="LP111" s="139"/>
      <c r="LQ111" s="139"/>
      <c r="LR111" s="139"/>
      <c r="LS111" s="139"/>
      <c r="LT111" s="139"/>
      <c r="LU111" s="139"/>
      <c r="LV111" s="139"/>
      <c r="LW111" s="139"/>
      <c r="LX111" s="139"/>
      <c r="LY111" s="139"/>
      <c r="LZ111" s="139"/>
      <c r="MA111" s="139"/>
      <c r="MB111" s="139"/>
      <c r="MC111" s="139"/>
      <c r="MD111" s="139"/>
      <c r="ME111" s="139"/>
      <c r="MF111" s="139"/>
      <c r="MG111" s="139"/>
      <c r="MH111" s="139"/>
      <c r="MI111" s="139"/>
      <c r="MJ111" s="139"/>
      <c r="MK111" s="139"/>
      <c r="ML111" s="139"/>
      <c r="MM111" s="139"/>
      <c r="MN111" s="139"/>
      <c r="MO111" s="139"/>
      <c r="MP111" s="139"/>
      <c r="MQ111" s="139"/>
      <c r="MR111" s="139"/>
      <c r="MS111" s="139"/>
      <c r="MT111" s="139"/>
      <c r="MU111" s="139"/>
      <c r="MV111" s="139"/>
      <c r="MW111" s="139"/>
      <c r="MX111" s="139"/>
      <c r="MY111" s="139"/>
      <c r="MZ111" s="139"/>
      <c r="NA111" s="139"/>
      <c r="NB111" s="139"/>
      <c r="NC111" s="139"/>
      <c r="ND111" s="139"/>
      <c r="NE111" s="139"/>
      <c r="NF111" s="139"/>
      <c r="NG111" s="139"/>
      <c r="NH111" s="139"/>
      <c r="NI111" s="139"/>
      <c r="NJ111" s="139"/>
      <c r="NK111" s="139"/>
      <c r="NL111" s="139"/>
      <c r="NM111" s="139"/>
      <c r="NN111" s="139"/>
      <c r="NO111" s="139"/>
      <c r="NP111" s="139"/>
      <c r="NQ111" s="139"/>
      <c r="NR111" s="139"/>
      <c r="NS111" s="139"/>
      <c r="NT111" s="139"/>
      <c r="NU111" s="139"/>
      <c r="NV111" s="139"/>
      <c r="NW111" s="139"/>
      <c r="NX111" s="139"/>
      <c r="NY111" s="139"/>
      <c r="NZ111" s="139"/>
      <c r="OA111" s="139"/>
      <c r="OB111" s="139"/>
      <c r="OC111" s="139"/>
      <c r="OD111" s="139"/>
      <c r="OE111" s="139"/>
      <c r="OF111" s="139"/>
      <c r="OG111" s="139"/>
      <c r="OH111" s="139"/>
      <c r="OI111" s="139"/>
      <c r="OJ111" s="139"/>
      <c r="OK111" s="139"/>
      <c r="OL111" s="139"/>
      <c r="OM111" s="139"/>
      <c r="ON111" s="139"/>
      <c r="OO111" s="139"/>
      <c r="OP111" s="139"/>
      <c r="OQ111" s="139"/>
      <c r="OR111" s="139"/>
      <c r="OS111" s="139"/>
      <c r="OT111" s="139"/>
      <c r="OU111" s="139"/>
      <c r="OV111" s="139"/>
      <c r="OW111" s="139"/>
      <c r="OX111" s="139"/>
      <c r="OY111" s="139"/>
      <c r="OZ111" s="139"/>
      <c r="PA111" s="139"/>
      <c r="PB111" s="139"/>
      <c r="PC111" s="139"/>
      <c r="PD111" s="139"/>
      <c r="PE111" s="139"/>
      <c r="PF111" s="139"/>
      <c r="PG111" s="139"/>
      <c r="PH111" s="139"/>
      <c r="PI111" s="139"/>
      <c r="PJ111" s="139"/>
      <c r="PK111" s="139"/>
      <c r="PL111" s="139"/>
      <c r="PM111" s="139"/>
      <c r="PN111" s="139"/>
      <c r="PO111" s="139"/>
      <c r="PP111" s="139"/>
      <c r="PQ111" s="139"/>
      <c r="PR111" s="139"/>
      <c r="PS111" s="139"/>
      <c r="PT111" s="139"/>
      <c r="PU111" s="139"/>
      <c r="PV111" s="139"/>
      <c r="PW111" s="139"/>
      <c r="PX111" s="139"/>
      <c r="PY111" s="139"/>
      <c r="PZ111" s="139"/>
      <c r="QA111" s="139"/>
      <c r="QB111" s="139"/>
      <c r="QC111" s="139"/>
      <c r="QD111" s="139"/>
      <c r="QE111" s="139"/>
      <c r="QF111" s="139"/>
      <c r="QG111" s="139"/>
      <c r="QH111" s="139"/>
      <c r="QI111" s="139"/>
      <c r="QJ111" s="139"/>
      <c r="QK111" s="139"/>
      <c r="QL111" s="139"/>
      <c r="QM111" s="139"/>
      <c r="QN111" s="139"/>
      <c r="QO111" s="139"/>
      <c r="QP111" s="139"/>
      <c r="QQ111" s="139"/>
      <c r="QR111" s="139"/>
      <c r="QS111" s="139"/>
      <c r="QT111" s="139"/>
      <c r="QU111" s="139"/>
      <c r="QV111" s="139"/>
      <c r="QW111" s="139"/>
      <c r="QX111" s="139"/>
      <c r="QY111" s="139"/>
      <c r="QZ111" s="139"/>
      <c r="RA111" s="139"/>
      <c r="RB111" s="139"/>
      <c r="RC111" s="139"/>
      <c r="RD111" s="139"/>
      <c r="RE111" s="139"/>
      <c r="RF111" s="139"/>
      <c r="RG111" s="139"/>
      <c r="RH111" s="139"/>
      <c r="RI111" s="139"/>
      <c r="RJ111" s="139"/>
      <c r="RK111" s="139"/>
      <c r="RL111" s="139"/>
      <c r="RM111" s="139"/>
      <c r="RN111" s="139"/>
      <c r="RO111" s="139"/>
      <c r="RP111" s="139"/>
      <c r="RQ111" s="139"/>
      <c r="RR111" s="139"/>
      <c r="RS111" s="139"/>
      <c r="RT111" s="139"/>
      <c r="RU111" s="139"/>
      <c r="RV111" s="139"/>
      <c r="RW111" s="139"/>
      <c r="RX111" s="139"/>
      <c r="RY111" s="139"/>
      <c r="RZ111" s="139"/>
      <c r="SA111" s="139"/>
      <c r="SB111" s="139"/>
      <c r="SC111" s="139"/>
      <c r="SD111" s="139"/>
      <c r="SE111" s="139"/>
      <c r="SF111" s="139"/>
      <c r="SG111" s="139"/>
      <c r="SH111" s="139"/>
      <c r="SI111" s="139"/>
      <c r="SJ111" s="139"/>
      <c r="SK111" s="139"/>
      <c r="SL111" s="139"/>
      <c r="SM111" s="139"/>
      <c r="SN111" s="139"/>
      <c r="SO111" s="139"/>
      <c r="SP111" s="139"/>
      <c r="SQ111" s="139"/>
      <c r="SR111" s="139"/>
      <c r="SS111" s="139"/>
      <c r="ST111" s="139"/>
      <c r="SU111" s="139"/>
      <c r="SV111" s="139"/>
      <c r="SW111" s="139"/>
      <c r="SX111" s="139"/>
      <c r="SY111" s="139"/>
      <c r="SZ111" s="139"/>
      <c r="TA111" s="139"/>
      <c r="TB111" s="139"/>
      <c r="TC111" s="139"/>
      <c r="TD111" s="139"/>
      <c r="TE111" s="139"/>
      <c r="TF111" s="139"/>
      <c r="TG111" s="139"/>
      <c r="TH111" s="139"/>
      <c r="TI111" s="139"/>
      <c r="TJ111" s="139"/>
      <c r="TK111" s="139"/>
      <c r="TL111" s="139"/>
      <c r="TM111" s="139"/>
      <c r="TN111" s="139"/>
      <c r="TO111" s="139"/>
      <c r="TP111" s="139"/>
      <c r="TQ111" s="139"/>
      <c r="TR111" s="139"/>
      <c r="TS111" s="139"/>
      <c r="TT111" s="139"/>
      <c r="TU111" s="139"/>
      <c r="TV111" s="139"/>
      <c r="TW111" s="139"/>
      <c r="TX111" s="139"/>
      <c r="TY111" s="139"/>
      <c r="TZ111" s="139"/>
      <c r="UA111" s="139"/>
      <c r="UB111" s="139"/>
      <c r="UC111" s="139"/>
      <c r="UD111" s="139"/>
      <c r="UE111" s="139"/>
      <c r="UF111" s="139"/>
      <c r="UG111" s="139"/>
      <c r="UH111" s="139"/>
      <c r="UI111" s="139"/>
      <c r="UJ111" s="139"/>
      <c r="UK111" s="139"/>
      <c r="UL111" s="139"/>
      <c r="UM111" s="139"/>
      <c r="UN111" s="139"/>
      <c r="UO111" s="139"/>
      <c r="UP111" s="139"/>
      <c r="UQ111" s="139"/>
      <c r="UR111" s="139"/>
      <c r="US111" s="139"/>
      <c r="UT111" s="139"/>
      <c r="UU111" s="139"/>
      <c r="UV111" s="139"/>
      <c r="UW111" s="139"/>
      <c r="UX111" s="139"/>
      <c r="UY111" s="139"/>
      <c r="UZ111" s="139"/>
      <c r="VA111" s="139"/>
      <c r="VB111" s="139"/>
      <c r="VC111" s="139"/>
      <c r="VD111" s="139"/>
      <c r="VE111" s="139"/>
      <c r="VF111" s="139"/>
      <c r="VG111" s="139"/>
      <c r="VH111" s="139"/>
      <c r="VI111" s="139"/>
      <c r="VJ111" s="139"/>
      <c r="VK111" s="139"/>
      <c r="VL111" s="139"/>
      <c r="VM111" s="139"/>
      <c r="VN111" s="139"/>
      <c r="VO111" s="139"/>
      <c r="VP111" s="139"/>
      <c r="VQ111" s="139"/>
      <c r="VR111" s="139"/>
      <c r="VS111" s="139"/>
      <c r="VT111" s="139"/>
      <c r="VU111" s="139"/>
      <c r="VV111" s="139"/>
      <c r="VW111" s="139"/>
      <c r="VX111" s="139"/>
      <c r="VY111" s="139"/>
      <c r="VZ111" s="139"/>
      <c r="WA111" s="139"/>
      <c r="WB111" s="139"/>
      <c r="WC111" s="139"/>
      <c r="WD111" s="139"/>
      <c r="WE111" s="139"/>
      <c r="WF111" s="139"/>
      <c r="WG111" s="139"/>
      <c r="WH111" s="139"/>
      <c r="WI111" s="139"/>
      <c r="WJ111" s="139"/>
      <c r="WK111" s="139"/>
      <c r="WL111" s="139"/>
      <c r="WM111" s="139"/>
      <c r="WN111" s="139"/>
      <c r="WO111" s="139"/>
      <c r="WP111" s="139"/>
      <c r="WQ111" s="139"/>
      <c r="WR111" s="139"/>
      <c r="WS111" s="139"/>
      <c r="WT111" s="139"/>
      <c r="WU111" s="139"/>
      <c r="WV111" s="139"/>
      <c r="WW111" s="139"/>
      <c r="WX111" s="139"/>
      <c r="WY111" s="139"/>
      <c r="WZ111" s="139"/>
      <c r="XA111" s="139"/>
      <c r="XB111" s="139"/>
      <c r="XC111" s="139"/>
      <c r="XD111" s="139"/>
      <c r="XE111" s="139"/>
      <c r="XF111" s="139"/>
      <c r="XG111" s="139"/>
      <c r="XH111" s="139"/>
      <c r="XI111" s="139"/>
      <c r="XJ111" s="139"/>
      <c r="XK111" s="139"/>
      <c r="XL111" s="139"/>
      <c r="XM111" s="139"/>
      <c r="XN111" s="139"/>
      <c r="XO111" s="139"/>
      <c r="XP111" s="139"/>
      <c r="XQ111" s="139"/>
      <c r="XR111" s="139"/>
      <c r="XS111" s="139"/>
      <c r="XT111" s="139"/>
      <c r="XU111" s="139"/>
      <c r="XV111" s="139"/>
      <c r="XW111" s="139"/>
      <c r="XX111" s="139"/>
      <c r="XY111" s="139"/>
      <c r="XZ111" s="139"/>
      <c r="YA111" s="139"/>
      <c r="YB111" s="139"/>
      <c r="YC111" s="139"/>
      <c r="YD111" s="139"/>
      <c r="YE111" s="139"/>
      <c r="YF111" s="139"/>
      <c r="YG111" s="139"/>
      <c r="YH111" s="139"/>
      <c r="YI111" s="139"/>
      <c r="YJ111" s="139"/>
      <c r="YK111" s="139"/>
      <c r="YL111" s="139"/>
      <c r="YM111" s="139"/>
      <c r="YN111" s="139"/>
      <c r="YO111" s="139"/>
      <c r="YP111" s="139"/>
      <c r="YQ111" s="139"/>
      <c r="YR111" s="139"/>
      <c r="YS111" s="139"/>
      <c r="YT111" s="139"/>
      <c r="YU111" s="139"/>
      <c r="YV111" s="139"/>
      <c r="YW111" s="139"/>
      <c r="YX111" s="139"/>
      <c r="YY111" s="139"/>
      <c r="YZ111" s="139"/>
      <c r="ZA111" s="139"/>
      <c r="ZB111" s="139"/>
      <c r="ZC111" s="139"/>
      <c r="ZD111" s="139"/>
      <c r="ZE111" s="139"/>
      <c r="ZF111" s="139"/>
      <c r="ZG111" s="139"/>
      <c r="ZH111" s="139"/>
      <c r="ZI111" s="139"/>
      <c r="ZJ111" s="139"/>
      <c r="ZK111" s="139"/>
      <c r="ZL111" s="139"/>
      <c r="ZM111" s="139"/>
      <c r="ZN111" s="139"/>
      <c r="ZO111" s="139"/>
      <c r="ZP111" s="139"/>
      <c r="ZQ111" s="139"/>
      <c r="ZR111" s="139"/>
      <c r="ZS111" s="139"/>
      <c r="ZT111" s="139"/>
      <c r="ZU111" s="139"/>
      <c r="ZV111" s="139"/>
      <c r="ZW111" s="139"/>
      <c r="ZX111" s="139"/>
      <c r="ZY111" s="139"/>
      <c r="ZZ111" s="139"/>
      <c r="AAA111" s="139"/>
      <c r="AAB111" s="139"/>
      <c r="AAC111" s="139"/>
      <c r="AAD111" s="139"/>
      <c r="AAE111" s="139"/>
      <c r="AAF111" s="139"/>
      <c r="AAG111" s="139"/>
      <c r="AAH111" s="139"/>
      <c r="AAI111" s="139"/>
      <c r="AAJ111" s="139"/>
      <c r="AAK111" s="139"/>
      <c r="AAL111" s="139"/>
      <c r="AAM111" s="139"/>
      <c r="AAN111" s="139"/>
      <c r="AAO111" s="139"/>
      <c r="AAP111" s="139"/>
      <c r="AAQ111" s="139"/>
      <c r="AAR111" s="139"/>
      <c r="AAS111" s="139"/>
      <c r="AAT111" s="139"/>
      <c r="AAU111" s="139"/>
      <c r="AAV111" s="139"/>
      <c r="AAW111" s="139"/>
      <c r="AAX111" s="139"/>
      <c r="AAY111" s="139"/>
      <c r="AAZ111" s="139"/>
      <c r="ABA111" s="139"/>
      <c r="ABB111" s="139"/>
      <c r="ABC111" s="139"/>
      <c r="ABD111" s="139"/>
      <c r="ABE111" s="139"/>
      <c r="ABF111" s="139"/>
      <c r="ABG111" s="139"/>
      <c r="ABH111" s="139"/>
      <c r="ABI111" s="139"/>
      <c r="ABJ111" s="139"/>
      <c r="ABK111" s="139"/>
      <c r="ABL111" s="139"/>
      <c r="ABM111" s="139"/>
      <c r="ABN111" s="139"/>
      <c r="ABO111" s="139"/>
      <c r="ABP111" s="139"/>
      <c r="ABQ111" s="139"/>
      <c r="ABR111" s="139"/>
      <c r="ABS111" s="139"/>
      <c r="ABT111" s="139"/>
      <c r="ABU111" s="139"/>
      <c r="ABV111" s="139"/>
      <c r="ABW111" s="139"/>
      <c r="ABX111" s="139"/>
      <c r="ABY111" s="139"/>
      <c r="ABZ111" s="139"/>
      <c r="ACA111" s="139"/>
      <c r="ACB111" s="139"/>
      <c r="ACC111" s="139"/>
      <c r="ACD111" s="139"/>
      <c r="ACE111" s="139"/>
      <c r="ACF111" s="139"/>
      <c r="ACG111" s="139"/>
      <c r="ACH111" s="139"/>
      <c r="ACI111" s="139"/>
      <c r="ACJ111" s="139"/>
      <c r="ACK111" s="139"/>
      <c r="ACL111" s="139"/>
      <c r="ACM111" s="139"/>
      <c r="ACN111" s="139"/>
      <c r="ACO111" s="139"/>
      <c r="ACP111" s="139"/>
      <c r="ACQ111" s="139"/>
      <c r="ACR111" s="139"/>
      <c r="ACS111" s="139"/>
      <c r="ACT111" s="139"/>
      <c r="ACU111" s="139"/>
      <c r="ACV111" s="139"/>
      <c r="ACW111" s="139"/>
      <c r="ACX111" s="139"/>
      <c r="ACY111" s="139"/>
      <c r="ACZ111" s="139"/>
      <c r="ADA111" s="139"/>
      <c r="ADB111" s="139"/>
      <c r="ADC111" s="139"/>
      <c r="ADD111" s="139"/>
      <c r="ADE111" s="139"/>
      <c r="ADF111" s="139"/>
      <c r="ADG111" s="139"/>
      <c r="ADH111" s="139"/>
      <c r="ADI111" s="139"/>
      <c r="ADJ111" s="139"/>
      <c r="ADK111" s="139"/>
      <c r="ADL111" s="139"/>
      <c r="ADM111" s="139"/>
      <c r="ADN111" s="139"/>
      <c r="ADO111" s="139"/>
      <c r="ADP111" s="139"/>
      <c r="ADQ111" s="139"/>
      <c r="ADR111" s="139"/>
      <c r="ADS111" s="139"/>
      <c r="ADT111" s="139"/>
      <c r="ADU111" s="139"/>
      <c r="ADV111" s="139"/>
      <c r="ADW111" s="139"/>
      <c r="ADX111" s="139"/>
      <c r="ADY111" s="139"/>
      <c r="ADZ111" s="139"/>
      <c r="AEA111" s="139"/>
      <c r="AEB111" s="139"/>
      <c r="AEC111" s="139"/>
      <c r="AED111" s="139"/>
      <c r="AEE111" s="139"/>
      <c r="AEF111" s="139"/>
      <c r="AEG111" s="139"/>
      <c r="AEH111" s="139"/>
      <c r="AEI111" s="139"/>
      <c r="AEJ111" s="139"/>
      <c r="AEK111" s="139"/>
      <c r="AEL111" s="139"/>
      <c r="AEM111" s="139"/>
      <c r="AEN111" s="139"/>
      <c r="AEO111" s="139"/>
      <c r="AEP111" s="139"/>
      <c r="AEQ111" s="139"/>
      <c r="AER111" s="139"/>
      <c r="AES111" s="139"/>
      <c r="AET111" s="139"/>
      <c r="AEU111" s="139"/>
      <c r="AEV111" s="139"/>
      <c r="AEW111" s="139"/>
      <c r="AEX111" s="139"/>
      <c r="AEY111" s="139"/>
      <c r="AEZ111" s="139"/>
      <c r="AFA111" s="139"/>
      <c r="AFB111" s="139"/>
      <c r="AFC111" s="139"/>
      <c r="AFD111" s="139"/>
      <c r="AFE111" s="139"/>
      <c r="AFF111" s="139"/>
      <c r="AFG111" s="139"/>
      <c r="AFH111" s="139"/>
      <c r="AFI111" s="139"/>
      <c r="AFJ111" s="139"/>
      <c r="AFK111" s="139"/>
      <c r="AFL111" s="139"/>
      <c r="AFM111" s="139"/>
      <c r="AFN111" s="139"/>
      <c r="AFO111" s="139"/>
      <c r="AFP111" s="139"/>
      <c r="AFQ111" s="139"/>
      <c r="AFR111" s="139"/>
      <c r="AFS111" s="139"/>
      <c r="AFT111" s="139"/>
      <c r="AFU111" s="139"/>
      <c r="AFV111" s="139"/>
      <c r="AFW111" s="139"/>
      <c r="AFX111" s="139"/>
      <c r="AFY111" s="139"/>
      <c r="AFZ111" s="139"/>
      <c r="AGA111" s="139"/>
      <c r="AGB111" s="139"/>
      <c r="AGC111" s="139"/>
      <c r="AGD111" s="139"/>
      <c r="AGE111" s="139"/>
      <c r="AGF111" s="139"/>
      <c r="AGG111" s="139"/>
      <c r="AGH111" s="139"/>
      <c r="AGI111" s="139"/>
      <c r="AGJ111" s="139"/>
      <c r="AGK111" s="139"/>
      <c r="AGL111" s="139"/>
      <c r="AGM111" s="139"/>
      <c r="AGN111" s="139"/>
      <c r="AGO111" s="139"/>
      <c r="AGP111" s="139"/>
      <c r="AGQ111" s="139"/>
      <c r="AGR111" s="139"/>
      <c r="AGS111" s="139"/>
      <c r="AGT111" s="139"/>
      <c r="AGU111" s="139"/>
      <c r="AGV111" s="139"/>
      <c r="AGW111" s="139"/>
      <c r="AGX111" s="139"/>
      <c r="AGY111" s="139"/>
      <c r="AGZ111" s="139"/>
      <c r="AHA111" s="139"/>
      <c r="AHB111" s="139"/>
      <c r="AHC111" s="139"/>
      <c r="AHD111" s="139"/>
      <c r="AHE111" s="139"/>
      <c r="AHF111" s="139"/>
      <c r="AHG111" s="139"/>
      <c r="AHH111" s="139"/>
      <c r="AHI111" s="139"/>
      <c r="AHJ111" s="139"/>
      <c r="AHK111" s="139"/>
      <c r="AHL111" s="139"/>
      <c r="AHM111" s="139"/>
      <c r="AHN111" s="139"/>
      <c r="AHO111" s="139"/>
      <c r="AHP111" s="139"/>
      <c r="AHQ111" s="139"/>
      <c r="AHR111" s="139"/>
      <c r="AHS111" s="139"/>
      <c r="AHT111" s="139"/>
      <c r="AHU111" s="139"/>
      <c r="AHV111" s="139"/>
      <c r="AHW111" s="139"/>
      <c r="AHX111" s="139"/>
      <c r="AHY111" s="139"/>
      <c r="AHZ111" s="139"/>
      <c r="AIA111" s="139"/>
      <c r="AIB111" s="139"/>
      <c r="AIC111" s="139"/>
      <c r="AID111" s="139"/>
      <c r="AIE111" s="139"/>
      <c r="AIF111" s="139"/>
      <c r="AIG111" s="139"/>
      <c r="AIH111" s="139"/>
      <c r="AII111" s="139"/>
      <c r="AIJ111" s="139"/>
      <c r="AIK111" s="139"/>
      <c r="AIL111" s="139"/>
      <c r="AIM111" s="139"/>
      <c r="AIN111" s="139"/>
      <c r="AIO111" s="139"/>
      <c r="AIP111" s="139"/>
      <c r="AIQ111" s="139"/>
      <c r="AIR111" s="139"/>
      <c r="AIS111" s="139"/>
      <c r="AIT111" s="139"/>
      <c r="AIU111" s="139"/>
      <c r="AIV111" s="139"/>
      <c r="AIW111" s="139"/>
      <c r="AIX111" s="139"/>
      <c r="AIY111" s="139"/>
      <c r="AIZ111" s="139"/>
      <c r="AJA111" s="139"/>
      <c r="AJB111" s="139"/>
      <c r="AJC111" s="139"/>
      <c r="AJD111" s="139"/>
      <c r="AJE111" s="139"/>
      <c r="AJF111" s="139"/>
      <c r="AJG111" s="139"/>
      <c r="AJH111" s="139"/>
      <c r="AJI111" s="139"/>
      <c r="AJJ111" s="139"/>
      <c r="AJK111" s="139"/>
      <c r="AJL111" s="139"/>
      <c r="AJM111" s="139"/>
      <c r="AJN111" s="139"/>
      <c r="AJO111" s="139"/>
      <c r="AJP111" s="139"/>
      <c r="AJQ111" s="139"/>
      <c r="AJR111" s="139"/>
      <c r="AJS111" s="139"/>
      <c r="AJT111" s="139"/>
      <c r="AJU111" s="139"/>
      <c r="AJV111" s="139"/>
      <c r="AJW111" s="139"/>
      <c r="AJX111" s="139"/>
      <c r="AJY111" s="139"/>
      <c r="AJZ111" s="139"/>
      <c r="AKA111" s="139"/>
      <c r="AKB111" s="139"/>
      <c r="AKC111" s="139"/>
      <c r="AKD111" s="139"/>
      <c r="AKE111" s="139"/>
      <c r="AKF111" s="139"/>
      <c r="AKG111" s="139"/>
      <c r="AKH111" s="139"/>
      <c r="AKI111" s="139"/>
      <c r="AKJ111" s="139"/>
      <c r="AKK111" s="139"/>
      <c r="AKL111" s="139"/>
      <c r="AKM111" s="139"/>
      <c r="AKN111" s="139"/>
      <c r="AKO111" s="139"/>
      <c r="AKP111" s="139"/>
      <c r="AKQ111" s="139"/>
      <c r="AKR111" s="139"/>
      <c r="AKS111" s="139"/>
      <c r="AKT111" s="139"/>
      <c r="AKU111" s="139"/>
      <c r="AKV111" s="139"/>
      <c r="AKW111" s="139"/>
      <c r="AKX111" s="139"/>
      <c r="AKY111" s="139"/>
      <c r="AKZ111" s="139"/>
      <c r="ALA111" s="139"/>
      <c r="ALB111" s="139"/>
      <c r="ALC111" s="139"/>
      <c r="ALD111" s="139"/>
      <c r="ALE111" s="139"/>
      <c r="ALF111" s="139"/>
      <c r="ALG111" s="139"/>
      <c r="ALH111" s="139"/>
      <c r="ALI111" s="139"/>
      <c r="ALJ111" s="139"/>
      <c r="ALK111" s="139"/>
      <c r="ALL111" s="139"/>
      <c r="ALM111" s="139"/>
      <c r="ALN111" s="139"/>
      <c r="ALO111" s="139"/>
      <c r="ALP111" s="139"/>
      <c r="ALQ111" s="139"/>
      <c r="ALR111" s="139"/>
      <c r="ALS111" s="139"/>
      <c r="ALT111" s="139"/>
      <c r="ALU111" s="139"/>
      <c r="ALV111" s="139"/>
      <c r="ALW111" s="139"/>
      <c r="ALX111" s="139"/>
      <c r="ALY111" s="139"/>
      <c r="ALZ111" s="139"/>
      <c r="AMA111" s="139"/>
      <c r="AMB111" s="139"/>
      <c r="AMC111" s="139"/>
      <c r="AMD111" s="139"/>
      <c r="AME111" s="139"/>
      <c r="AMF111" s="139"/>
      <c r="AMG111" s="139"/>
      <c r="AMH111" s="139"/>
      <c r="AMI111" s="139"/>
      <c r="AMJ111" s="139"/>
      <c r="AMK111" s="139"/>
      <c r="AML111" s="139"/>
      <c r="AMM111" s="139"/>
      <c r="AMN111" s="139"/>
      <c r="AMO111" s="139"/>
      <c r="AMP111" s="139"/>
      <c r="AMQ111" s="139"/>
      <c r="AMR111" s="139"/>
      <c r="AMS111" s="139"/>
      <c r="AMT111" s="139"/>
      <c r="AMU111" s="139"/>
      <c r="AMV111" s="139"/>
      <c r="AMW111" s="139"/>
      <c r="AMX111" s="139"/>
      <c r="AMY111" s="139"/>
      <c r="AMZ111" s="139"/>
      <c r="ANA111" s="139"/>
      <c r="ANB111" s="139"/>
      <c r="ANC111" s="139"/>
      <c r="AND111" s="139"/>
      <c r="ANE111" s="139"/>
      <c r="ANF111" s="139"/>
      <c r="ANG111" s="139"/>
      <c r="ANH111" s="139"/>
      <c r="ANI111" s="139"/>
      <c r="ANJ111" s="139"/>
      <c r="ANK111" s="139"/>
      <c r="ANL111" s="139"/>
      <c r="ANM111" s="139"/>
      <c r="ANN111" s="139"/>
      <c r="ANO111" s="139"/>
      <c r="ANP111" s="139"/>
      <c r="ANQ111" s="139"/>
      <c r="ANR111" s="139"/>
      <c r="ANS111" s="139"/>
      <c r="ANT111" s="139"/>
      <c r="ANU111" s="139"/>
      <c r="ANV111" s="139"/>
      <c r="ANW111" s="139"/>
      <c r="ANX111" s="139"/>
      <c r="ANY111" s="139"/>
      <c r="ANZ111" s="139"/>
      <c r="AOA111" s="139"/>
      <c r="AOB111" s="139"/>
      <c r="AOC111" s="139"/>
      <c r="AOD111" s="139"/>
      <c r="AOE111" s="139"/>
      <c r="AOF111" s="139"/>
      <c r="AOG111" s="139"/>
      <c r="AOH111" s="139"/>
      <c r="AOI111" s="139"/>
      <c r="AOJ111" s="139"/>
      <c r="AOK111" s="139"/>
      <c r="AOL111" s="139"/>
      <c r="AOM111" s="139"/>
      <c r="AON111" s="139"/>
      <c r="AOO111" s="139"/>
      <c r="AOP111" s="139"/>
      <c r="AOQ111" s="139"/>
      <c r="AOR111" s="139"/>
      <c r="AOS111" s="139"/>
      <c r="AOT111" s="139"/>
      <c r="AOU111" s="139"/>
      <c r="AOV111" s="139"/>
      <c r="AOW111" s="139"/>
      <c r="AOX111" s="139"/>
      <c r="AOY111" s="139"/>
      <c r="AOZ111" s="139"/>
      <c r="APA111" s="139"/>
      <c r="APB111" s="139"/>
      <c r="APC111" s="139"/>
      <c r="APD111" s="139"/>
      <c r="APE111" s="139"/>
      <c r="APF111" s="139"/>
      <c r="APG111" s="139"/>
      <c r="APH111" s="139"/>
      <c r="API111" s="139"/>
      <c r="APJ111" s="139"/>
      <c r="APK111" s="139"/>
      <c r="APL111" s="139"/>
      <c r="APM111" s="139"/>
      <c r="APN111" s="139"/>
      <c r="APO111" s="139"/>
      <c r="APP111" s="139"/>
      <c r="APQ111" s="139"/>
      <c r="APR111" s="139"/>
      <c r="APS111" s="139"/>
      <c r="APT111" s="139"/>
      <c r="APU111" s="139"/>
      <c r="APV111" s="139"/>
      <c r="APW111" s="139"/>
      <c r="APX111" s="139"/>
      <c r="APY111" s="139"/>
      <c r="APZ111" s="139"/>
      <c r="AQA111" s="139"/>
      <c r="AQB111" s="139"/>
      <c r="AQC111" s="139"/>
      <c r="AQD111" s="139"/>
      <c r="AQE111" s="139"/>
      <c r="AQF111" s="139"/>
      <c r="AQG111" s="139"/>
      <c r="AQH111" s="139"/>
      <c r="AQI111" s="139"/>
      <c r="AQJ111" s="139"/>
      <c r="AQK111" s="139"/>
      <c r="AQL111" s="139"/>
      <c r="AQM111" s="139"/>
      <c r="AQN111" s="139"/>
      <c r="AQO111" s="139"/>
      <c r="AQP111" s="139"/>
      <c r="AQQ111" s="139"/>
      <c r="AQR111" s="139"/>
      <c r="AQS111" s="139"/>
      <c r="AQT111" s="139"/>
      <c r="AQU111" s="139"/>
      <c r="AQV111" s="139"/>
      <c r="AQW111" s="139"/>
      <c r="AQX111" s="139"/>
      <c r="AQY111" s="139"/>
      <c r="AQZ111" s="139"/>
      <c r="ARA111" s="139"/>
      <c r="ARB111" s="139"/>
      <c r="ARC111" s="139"/>
      <c r="ARD111" s="139"/>
      <c r="ARE111" s="139"/>
      <c r="ARF111" s="139"/>
      <c r="ARG111" s="139"/>
      <c r="ARH111" s="139"/>
      <c r="ARI111" s="139"/>
      <c r="ARJ111" s="139"/>
      <c r="ARK111" s="139"/>
      <c r="ARL111" s="139"/>
      <c r="ARM111" s="139"/>
      <c r="ARN111" s="139"/>
      <c r="ARO111" s="139"/>
      <c r="ARP111" s="139"/>
      <c r="ARQ111" s="139"/>
      <c r="ARR111" s="139"/>
      <c r="ARS111" s="139"/>
      <c r="ART111" s="139"/>
      <c r="ARU111" s="139"/>
      <c r="ARV111" s="139"/>
      <c r="ARW111" s="139"/>
      <c r="ARX111" s="139"/>
      <c r="ARY111" s="139"/>
      <c r="ARZ111" s="139"/>
      <c r="ASA111" s="139"/>
      <c r="ASB111" s="139"/>
      <c r="ASC111" s="139"/>
      <c r="ASD111" s="139"/>
      <c r="ASE111" s="139"/>
      <c r="ASF111" s="139"/>
      <c r="ASG111" s="139"/>
      <c r="ASH111" s="139"/>
      <c r="ASI111" s="139"/>
      <c r="ASJ111" s="139"/>
      <c r="ASK111" s="139"/>
      <c r="ASL111" s="139"/>
      <c r="ASM111" s="139"/>
      <c r="ASN111" s="139"/>
      <c r="ASO111" s="139"/>
      <c r="ASP111" s="139"/>
      <c r="ASQ111" s="139"/>
      <c r="ASR111" s="139"/>
      <c r="ASS111" s="139"/>
      <c r="AST111" s="139"/>
      <c r="ASU111" s="139"/>
      <c r="ASV111" s="139"/>
      <c r="ASW111" s="139"/>
      <c r="ASX111" s="139"/>
      <c r="ASY111" s="139"/>
      <c r="ASZ111" s="139"/>
      <c r="ATA111" s="139"/>
      <c r="ATB111" s="139"/>
      <c r="ATC111" s="139"/>
      <c r="ATD111" s="139"/>
      <c r="ATE111" s="139"/>
      <c r="ATF111" s="139"/>
      <c r="ATG111" s="139"/>
      <c r="ATH111" s="139"/>
      <c r="ATI111" s="139"/>
      <c r="ATJ111" s="139"/>
      <c r="ATK111" s="139"/>
      <c r="ATL111" s="139"/>
      <c r="ATM111" s="139"/>
      <c r="ATN111" s="139"/>
      <c r="ATO111" s="139"/>
      <c r="ATP111" s="139"/>
      <c r="ATQ111" s="139"/>
      <c r="ATR111" s="139"/>
      <c r="ATS111" s="139"/>
      <c r="ATT111" s="139"/>
      <c r="ATU111" s="139"/>
      <c r="ATV111" s="139"/>
      <c r="ATW111" s="139"/>
      <c r="ATX111" s="139"/>
      <c r="ATY111" s="139"/>
      <c r="ATZ111" s="139"/>
      <c r="AUA111" s="139"/>
      <c r="AUB111" s="139"/>
      <c r="AUC111" s="139"/>
      <c r="AUD111" s="139"/>
      <c r="AUE111" s="139"/>
      <c r="AUF111" s="139"/>
      <c r="AUG111" s="139"/>
      <c r="AUH111" s="139"/>
      <c r="AUI111" s="139"/>
      <c r="AUJ111" s="139"/>
      <c r="AUK111" s="139"/>
      <c r="AUL111" s="139"/>
      <c r="AUM111" s="139"/>
      <c r="AUN111" s="139"/>
      <c r="AUO111" s="139"/>
      <c r="AUP111" s="139"/>
      <c r="AUQ111" s="139"/>
      <c r="AUR111" s="139"/>
      <c r="AUS111" s="139"/>
      <c r="AUT111" s="139"/>
      <c r="AUU111" s="139"/>
      <c r="AUV111" s="139"/>
      <c r="AUW111" s="139"/>
      <c r="AUX111" s="139"/>
      <c r="AUY111" s="139"/>
      <c r="AUZ111" s="139"/>
      <c r="AVA111" s="139"/>
      <c r="AVB111" s="139"/>
      <c r="AVC111" s="139"/>
      <c r="AVD111" s="139"/>
      <c r="AVE111" s="139"/>
      <c r="AVF111" s="139"/>
      <c r="AVG111" s="139"/>
      <c r="AVH111" s="139"/>
      <c r="AVI111" s="139"/>
      <c r="AVJ111" s="139"/>
      <c r="AVK111" s="139"/>
      <c r="AVL111" s="139"/>
      <c r="AVM111" s="139"/>
      <c r="AVN111" s="139"/>
      <c r="AVO111" s="139"/>
      <c r="AVP111" s="139"/>
      <c r="AVQ111" s="139"/>
      <c r="AVR111" s="139"/>
      <c r="AVS111" s="139"/>
      <c r="AVT111" s="139"/>
      <c r="AVU111" s="139"/>
      <c r="AVV111" s="139"/>
      <c r="AVW111" s="139"/>
      <c r="AVX111" s="139"/>
      <c r="AVY111" s="139"/>
      <c r="AVZ111" s="139"/>
      <c r="AWA111" s="139"/>
      <c r="AWB111" s="139"/>
      <c r="AWC111" s="139"/>
      <c r="AWD111" s="139"/>
      <c r="AWE111" s="139"/>
      <c r="AWF111" s="139"/>
      <c r="AWG111" s="139"/>
      <c r="AWH111" s="139"/>
      <c r="AWI111" s="139"/>
      <c r="AWJ111" s="139"/>
      <c r="AWK111" s="139"/>
      <c r="AWL111" s="139"/>
      <c r="AWM111" s="139"/>
      <c r="AWN111" s="139"/>
      <c r="AWO111" s="139"/>
      <c r="AWP111" s="139"/>
      <c r="AWQ111" s="139"/>
      <c r="AWR111" s="139"/>
      <c r="AWS111" s="139"/>
      <c r="AWT111" s="139"/>
      <c r="AWU111" s="139"/>
      <c r="AWV111" s="139"/>
      <c r="AWW111" s="139"/>
      <c r="AWX111" s="139"/>
      <c r="AWY111" s="139"/>
      <c r="AWZ111" s="139"/>
      <c r="AXA111" s="139"/>
      <c r="AXB111" s="139"/>
      <c r="AXC111" s="139"/>
      <c r="AXD111" s="139"/>
      <c r="AXE111" s="139"/>
      <c r="AXF111" s="139"/>
      <c r="AXG111" s="139"/>
      <c r="AXH111" s="139"/>
      <c r="AXI111" s="139"/>
      <c r="AXJ111" s="139"/>
      <c r="AXK111" s="139"/>
      <c r="AXL111" s="139"/>
      <c r="AXM111" s="139"/>
      <c r="AXN111" s="139"/>
      <c r="AXO111" s="139"/>
      <c r="AXP111" s="139"/>
      <c r="AXQ111" s="139"/>
      <c r="AXR111" s="139"/>
      <c r="AXS111" s="139"/>
      <c r="AXT111" s="139"/>
      <c r="AXU111" s="139"/>
      <c r="AXV111" s="139"/>
      <c r="AXW111" s="139"/>
      <c r="AXX111" s="139"/>
      <c r="AXY111" s="139"/>
      <c r="AXZ111" s="139"/>
      <c r="AYA111" s="139"/>
      <c r="AYB111" s="139"/>
      <c r="AYC111" s="139"/>
      <c r="AYD111" s="139"/>
      <c r="AYE111" s="139"/>
      <c r="AYF111" s="139"/>
      <c r="AYG111" s="139"/>
      <c r="AYH111" s="139"/>
      <c r="AYI111" s="139"/>
      <c r="AYJ111" s="139"/>
      <c r="AYK111" s="139"/>
      <c r="AYL111" s="139"/>
      <c r="AYM111" s="139"/>
      <c r="AYN111" s="139"/>
      <c r="AYO111" s="139"/>
      <c r="AYP111" s="139"/>
      <c r="AYQ111" s="139"/>
      <c r="AYR111" s="139"/>
      <c r="AYS111" s="139"/>
      <c r="AYT111" s="139"/>
      <c r="AYU111" s="139"/>
      <c r="AYV111" s="139"/>
      <c r="AYW111" s="139"/>
      <c r="AYX111" s="139"/>
      <c r="AYY111" s="139"/>
      <c r="AYZ111" s="139"/>
      <c r="AZA111" s="139"/>
      <c r="AZB111" s="139"/>
      <c r="AZC111" s="139"/>
      <c r="AZD111" s="139"/>
      <c r="AZE111" s="139"/>
      <c r="AZF111" s="139"/>
      <c r="AZG111" s="139"/>
      <c r="AZH111" s="139"/>
      <c r="AZI111" s="139"/>
      <c r="AZJ111" s="139"/>
      <c r="AZK111" s="139"/>
      <c r="AZL111" s="139"/>
      <c r="AZM111" s="139"/>
      <c r="AZN111" s="139"/>
      <c r="AZO111" s="139"/>
      <c r="AZP111" s="139"/>
      <c r="AZQ111" s="139"/>
      <c r="AZR111" s="139"/>
      <c r="AZS111" s="139"/>
      <c r="AZT111" s="139"/>
      <c r="AZU111" s="139"/>
      <c r="AZV111" s="139"/>
      <c r="AZW111" s="139"/>
      <c r="AZX111" s="139"/>
      <c r="AZY111" s="139"/>
      <c r="AZZ111" s="139"/>
      <c r="BAA111" s="139"/>
      <c r="BAB111" s="139"/>
      <c r="BAC111" s="139"/>
      <c r="BAD111" s="139"/>
      <c r="BAE111" s="139"/>
      <c r="BAF111" s="139"/>
      <c r="BAG111" s="139"/>
      <c r="BAH111" s="139"/>
      <c r="BAI111" s="139"/>
      <c r="BAJ111" s="139"/>
      <c r="BAK111" s="139"/>
      <c r="BAL111" s="139"/>
      <c r="BAM111" s="139"/>
      <c r="BAN111" s="139"/>
      <c r="BAO111" s="139"/>
      <c r="BAP111" s="139"/>
      <c r="BAQ111" s="139"/>
      <c r="BAR111" s="139"/>
      <c r="BAS111" s="139"/>
      <c r="BAT111" s="139"/>
      <c r="BAU111" s="139"/>
      <c r="BAV111" s="139"/>
      <c r="BAW111" s="139"/>
      <c r="BAX111" s="139"/>
      <c r="BAY111" s="139"/>
      <c r="BAZ111" s="139"/>
      <c r="BBA111" s="139"/>
      <c r="BBB111" s="139"/>
      <c r="BBC111" s="139"/>
      <c r="BBD111" s="139"/>
      <c r="BBE111" s="139"/>
      <c r="BBF111" s="139"/>
      <c r="BBG111" s="139"/>
      <c r="BBH111" s="139"/>
      <c r="BBI111" s="139"/>
      <c r="BBJ111" s="139"/>
      <c r="BBK111" s="139"/>
      <c r="BBL111" s="139"/>
      <c r="BBM111" s="139"/>
      <c r="BBN111" s="139"/>
      <c r="BBO111" s="139"/>
      <c r="BBP111" s="139"/>
      <c r="BBQ111" s="139"/>
      <c r="BBR111" s="139"/>
      <c r="BBS111" s="139"/>
      <c r="BBT111" s="139"/>
      <c r="BBU111" s="139"/>
      <c r="BBV111" s="139"/>
      <c r="BBW111" s="139"/>
      <c r="BBX111" s="139"/>
      <c r="BBY111" s="139"/>
      <c r="BBZ111" s="139"/>
      <c r="BCA111" s="139"/>
      <c r="BCB111" s="139"/>
      <c r="BCC111" s="139"/>
      <c r="BCD111" s="139"/>
      <c r="BCE111" s="139"/>
      <c r="BCF111" s="139"/>
      <c r="BCG111" s="139"/>
      <c r="BCH111" s="139"/>
      <c r="BCI111" s="139"/>
      <c r="BCJ111" s="139"/>
      <c r="BCK111" s="139"/>
      <c r="BCL111" s="139"/>
      <c r="BCM111" s="139"/>
      <c r="BCN111" s="139"/>
      <c r="BCO111" s="139"/>
      <c r="BCP111" s="139"/>
      <c r="BCQ111" s="139"/>
      <c r="BCR111" s="139"/>
      <c r="BCS111" s="139"/>
      <c r="BCT111" s="139"/>
      <c r="BCU111" s="139"/>
      <c r="BCV111" s="139"/>
      <c r="BCW111" s="139"/>
      <c r="BCX111" s="139"/>
      <c r="BCY111" s="139"/>
      <c r="BCZ111" s="139"/>
      <c r="BDA111" s="139"/>
      <c r="BDB111" s="139"/>
      <c r="BDC111" s="139"/>
      <c r="BDD111" s="139"/>
      <c r="BDE111" s="139"/>
      <c r="BDF111" s="139"/>
      <c r="BDG111" s="139"/>
      <c r="BDH111" s="139"/>
      <c r="BDI111" s="139"/>
      <c r="BDJ111" s="139"/>
      <c r="BDK111" s="139"/>
      <c r="BDL111" s="139"/>
      <c r="BDM111" s="139"/>
      <c r="BDN111" s="139"/>
      <c r="BDO111" s="139"/>
      <c r="BDP111" s="139"/>
      <c r="BDQ111" s="139"/>
      <c r="BDR111" s="139"/>
      <c r="BDS111" s="139"/>
      <c r="BDT111" s="139"/>
      <c r="BDU111" s="139"/>
      <c r="BDV111" s="139"/>
      <c r="BDW111" s="139"/>
      <c r="BDX111" s="139"/>
      <c r="BDY111" s="139"/>
      <c r="BDZ111" s="139"/>
      <c r="BEA111" s="139"/>
      <c r="BEB111" s="139"/>
      <c r="BEC111" s="139"/>
      <c r="BED111" s="139"/>
      <c r="BEE111" s="139"/>
      <c r="BEF111" s="139"/>
      <c r="BEG111" s="139"/>
      <c r="BEH111" s="139"/>
      <c r="BEI111" s="139"/>
      <c r="BEJ111" s="139"/>
      <c r="BEK111" s="139"/>
      <c r="BEL111" s="139"/>
      <c r="BEM111" s="139"/>
      <c r="BEN111" s="139"/>
      <c r="BEO111" s="139"/>
      <c r="BEP111" s="139"/>
      <c r="BEQ111" s="139"/>
      <c r="BER111" s="139"/>
      <c r="BES111" s="139"/>
      <c r="BET111" s="139"/>
      <c r="BEU111" s="139"/>
      <c r="BEV111" s="139"/>
      <c r="BEW111" s="139"/>
      <c r="BEX111" s="139"/>
      <c r="BEY111" s="139"/>
      <c r="BEZ111" s="139"/>
      <c r="BFA111" s="139"/>
      <c r="BFB111" s="139"/>
      <c r="BFC111" s="139"/>
      <c r="BFD111" s="139"/>
      <c r="BFE111" s="139"/>
      <c r="BFF111" s="139"/>
      <c r="BFG111" s="139"/>
      <c r="BFH111" s="139"/>
      <c r="BFI111" s="139"/>
      <c r="BFJ111" s="139"/>
      <c r="BFK111" s="139"/>
      <c r="BFL111" s="139"/>
      <c r="BFM111" s="139"/>
      <c r="BFN111" s="139"/>
      <c r="BFO111" s="139"/>
      <c r="BFP111" s="139"/>
      <c r="BFQ111" s="139"/>
      <c r="BFR111" s="139"/>
      <c r="BFS111" s="139"/>
      <c r="BFT111" s="139"/>
      <c r="BFU111" s="139"/>
      <c r="BFV111" s="139"/>
      <c r="BFW111" s="139"/>
      <c r="BFX111" s="139"/>
      <c r="BFY111" s="139"/>
      <c r="BFZ111" s="139"/>
      <c r="BGA111" s="139"/>
      <c r="BGB111" s="139"/>
      <c r="BGC111" s="139"/>
      <c r="BGD111" s="139"/>
      <c r="BGE111" s="139"/>
      <c r="BGF111" s="139"/>
      <c r="BGG111" s="139"/>
      <c r="BGH111" s="139"/>
      <c r="BGI111" s="139"/>
      <c r="BGJ111" s="139"/>
      <c r="BGK111" s="139"/>
      <c r="BGL111" s="139"/>
      <c r="BGM111" s="139"/>
      <c r="BGN111" s="139"/>
      <c r="BGO111" s="139"/>
      <c r="BGP111" s="139"/>
      <c r="BGQ111" s="139"/>
      <c r="BGR111" s="139"/>
      <c r="BGS111" s="139"/>
      <c r="BGT111" s="139"/>
      <c r="BGU111" s="139"/>
      <c r="BGV111" s="139"/>
      <c r="BGW111" s="139"/>
      <c r="BGX111" s="139"/>
      <c r="BGY111" s="139"/>
      <c r="BGZ111" s="139"/>
      <c r="BHA111" s="139"/>
      <c r="BHB111" s="139"/>
      <c r="BHC111" s="139"/>
      <c r="BHD111" s="139"/>
      <c r="BHE111" s="139"/>
      <c r="BHF111" s="139"/>
      <c r="BHG111" s="139"/>
      <c r="BHH111" s="139"/>
      <c r="BHI111" s="139"/>
      <c r="BHJ111" s="139"/>
      <c r="BHK111" s="139"/>
      <c r="BHL111" s="139"/>
      <c r="BHM111" s="139"/>
      <c r="BHN111" s="139"/>
      <c r="BHO111" s="139"/>
      <c r="BHP111" s="139"/>
      <c r="BHQ111" s="139"/>
      <c r="BHR111" s="139"/>
      <c r="BHS111" s="139"/>
      <c r="BHT111" s="139"/>
      <c r="BHU111" s="139"/>
      <c r="BHV111" s="139"/>
      <c r="BHW111" s="139"/>
      <c r="BHX111" s="139"/>
      <c r="BHY111" s="139"/>
      <c r="BHZ111" s="139"/>
      <c r="BIA111" s="139"/>
      <c r="BIB111" s="139"/>
      <c r="BIC111" s="139"/>
      <c r="BID111" s="139"/>
      <c r="BIE111" s="139"/>
      <c r="BIF111" s="139"/>
      <c r="BIG111" s="139"/>
      <c r="BIH111" s="139"/>
      <c r="BII111" s="139"/>
      <c r="BIJ111" s="139"/>
      <c r="BIK111" s="139"/>
      <c r="BIL111" s="139"/>
      <c r="BIM111" s="139"/>
      <c r="BIN111" s="139"/>
      <c r="BIO111" s="139"/>
      <c r="BIP111" s="139"/>
      <c r="BIQ111" s="139"/>
      <c r="BIR111" s="139"/>
      <c r="BIS111" s="139"/>
      <c r="BIT111" s="139"/>
      <c r="BIU111" s="139"/>
      <c r="BIV111" s="139"/>
      <c r="BIW111" s="139"/>
      <c r="BIX111" s="139"/>
      <c r="BIY111" s="139"/>
      <c r="BIZ111" s="139"/>
      <c r="BJA111" s="139"/>
      <c r="BJB111" s="139"/>
      <c r="BJC111" s="139"/>
      <c r="BJD111" s="139"/>
      <c r="BJE111" s="139"/>
      <c r="BJF111" s="139"/>
      <c r="BJG111" s="139"/>
      <c r="BJH111" s="139"/>
      <c r="BJI111" s="139"/>
      <c r="BJJ111" s="139"/>
      <c r="BJK111" s="139"/>
      <c r="BJL111" s="139"/>
      <c r="BJM111" s="139"/>
      <c r="BJN111" s="139"/>
      <c r="BJO111" s="139"/>
      <c r="BJP111" s="139"/>
      <c r="BJQ111" s="139"/>
      <c r="BJR111" s="139"/>
      <c r="BJS111" s="139"/>
      <c r="BJT111" s="139"/>
      <c r="BJU111" s="139"/>
      <c r="BJV111" s="139"/>
      <c r="BJW111" s="139"/>
      <c r="BJX111" s="139"/>
      <c r="BJY111" s="139"/>
      <c r="BJZ111" s="139"/>
      <c r="BKA111" s="139"/>
      <c r="BKB111" s="139"/>
      <c r="BKC111" s="139"/>
      <c r="BKD111" s="139"/>
      <c r="BKE111" s="139"/>
      <c r="BKF111" s="139"/>
      <c r="BKG111" s="139"/>
      <c r="BKH111" s="139"/>
      <c r="BKI111" s="139"/>
      <c r="BKJ111" s="139"/>
      <c r="BKK111" s="139"/>
      <c r="BKL111" s="139"/>
      <c r="BKM111" s="139"/>
      <c r="BKN111" s="139"/>
      <c r="BKO111" s="139"/>
      <c r="BKP111" s="139"/>
      <c r="BKQ111" s="139"/>
      <c r="BKR111" s="139"/>
      <c r="BKS111" s="139"/>
      <c r="BKT111" s="139"/>
      <c r="BKU111" s="139"/>
      <c r="BKV111" s="139"/>
      <c r="BKW111" s="139"/>
      <c r="BKX111" s="139"/>
      <c r="BKY111" s="139"/>
      <c r="BKZ111" s="139"/>
      <c r="BLA111" s="139"/>
      <c r="BLB111" s="139"/>
      <c r="BLC111" s="139"/>
      <c r="BLD111" s="139"/>
      <c r="BLE111" s="139"/>
      <c r="BLF111" s="139"/>
      <c r="BLG111" s="139"/>
      <c r="BLH111" s="139"/>
      <c r="BLI111" s="139"/>
      <c r="BLJ111" s="139"/>
      <c r="BLK111" s="139"/>
      <c r="BLL111" s="139"/>
      <c r="BLM111" s="139"/>
      <c r="BLN111" s="139"/>
      <c r="BLO111" s="139"/>
      <c r="BLP111" s="139"/>
      <c r="BLQ111" s="139"/>
      <c r="BLR111" s="139"/>
      <c r="BLS111" s="139"/>
      <c r="BLT111" s="139"/>
      <c r="BLU111" s="139"/>
      <c r="BLV111" s="139"/>
      <c r="BLW111" s="139"/>
      <c r="BLX111" s="139"/>
      <c r="BLY111" s="139"/>
      <c r="BLZ111" s="139"/>
      <c r="BMA111" s="139"/>
      <c r="BMB111" s="139"/>
      <c r="BMC111" s="139"/>
      <c r="BMD111" s="139"/>
      <c r="BME111" s="139"/>
      <c r="BMF111" s="139"/>
      <c r="BMG111" s="139"/>
      <c r="BMH111" s="139"/>
      <c r="BMI111" s="139"/>
      <c r="BMJ111" s="139"/>
      <c r="BMK111" s="139"/>
      <c r="BML111" s="139"/>
      <c r="BMM111" s="139"/>
      <c r="BMN111" s="139"/>
      <c r="BMO111" s="139"/>
      <c r="BMP111" s="139"/>
      <c r="BMQ111" s="139"/>
      <c r="BMR111" s="139"/>
      <c r="BMS111" s="139"/>
      <c r="BMT111" s="139"/>
      <c r="BMU111" s="139"/>
      <c r="BMV111" s="139"/>
      <c r="BMW111" s="139"/>
      <c r="BMX111" s="139"/>
      <c r="BMY111" s="139"/>
      <c r="BMZ111" s="139"/>
      <c r="BNA111" s="139"/>
      <c r="BNB111" s="139"/>
      <c r="BNC111" s="139"/>
      <c r="BND111" s="139"/>
      <c r="BNE111" s="139"/>
      <c r="BNF111" s="139"/>
      <c r="BNG111" s="139"/>
      <c r="BNH111" s="139"/>
      <c r="BNI111" s="139"/>
      <c r="BNJ111" s="139"/>
      <c r="BNK111" s="139"/>
      <c r="BNL111" s="139"/>
      <c r="BNM111" s="139"/>
      <c r="BNN111" s="139"/>
      <c r="BNO111" s="139"/>
      <c r="BNP111" s="139"/>
      <c r="BNQ111" s="139"/>
      <c r="BNR111" s="139"/>
      <c r="BNS111" s="139"/>
      <c r="BNT111" s="139"/>
      <c r="BNU111" s="139"/>
      <c r="BNV111" s="139"/>
      <c r="BNW111" s="139"/>
      <c r="BNX111" s="139"/>
      <c r="BNY111" s="139"/>
      <c r="BNZ111" s="139"/>
      <c r="BOA111" s="139"/>
      <c r="BOB111" s="139"/>
      <c r="BOC111" s="139"/>
      <c r="BOD111" s="139"/>
      <c r="BOE111" s="139"/>
      <c r="BOF111" s="139"/>
      <c r="BOG111" s="139"/>
      <c r="BOH111" s="139"/>
      <c r="BOI111" s="139"/>
      <c r="BOJ111" s="139"/>
      <c r="BOK111" s="139"/>
      <c r="BOL111" s="139"/>
      <c r="BOM111" s="139"/>
      <c r="BON111" s="139"/>
      <c r="BOO111" s="139"/>
      <c r="BOP111" s="139"/>
      <c r="BOQ111" s="139"/>
      <c r="BOR111" s="139"/>
      <c r="BOS111" s="139"/>
      <c r="BOT111" s="139"/>
      <c r="BOU111" s="139"/>
      <c r="BOV111" s="139"/>
      <c r="BOW111" s="139"/>
      <c r="BOX111" s="139"/>
      <c r="BOY111" s="139"/>
      <c r="BOZ111" s="139"/>
      <c r="BPA111" s="139"/>
      <c r="BPB111" s="139"/>
      <c r="BPC111" s="139"/>
      <c r="BPD111" s="139"/>
      <c r="BPE111" s="139"/>
      <c r="BPF111" s="139"/>
      <c r="BPG111" s="139"/>
      <c r="BPH111" s="139"/>
      <c r="BPI111" s="139"/>
      <c r="BPJ111" s="139"/>
      <c r="BPK111" s="139"/>
      <c r="BPL111" s="139"/>
      <c r="BPM111" s="139"/>
      <c r="BPN111" s="139"/>
      <c r="BPO111" s="139"/>
      <c r="BPP111" s="139"/>
      <c r="BPQ111" s="139"/>
      <c r="BPR111" s="139"/>
      <c r="BPS111" s="139"/>
      <c r="BPT111" s="139"/>
      <c r="BPU111" s="139"/>
      <c r="BPV111" s="139"/>
      <c r="BPW111" s="139"/>
      <c r="BPX111" s="139"/>
      <c r="BPY111" s="139"/>
      <c r="BPZ111" s="139"/>
      <c r="BQA111" s="139"/>
      <c r="BQB111" s="139"/>
      <c r="BQC111" s="139"/>
      <c r="BQD111" s="139"/>
      <c r="BQE111" s="139"/>
      <c r="BQF111" s="139"/>
      <c r="BQG111" s="139"/>
      <c r="BQH111" s="139"/>
      <c r="BQI111" s="139"/>
      <c r="BQJ111" s="139"/>
      <c r="BQK111" s="139"/>
      <c r="BQL111" s="139"/>
      <c r="BQM111" s="139"/>
      <c r="BQN111" s="139"/>
      <c r="BQO111" s="139"/>
      <c r="BQP111" s="139"/>
      <c r="BQQ111" s="139"/>
      <c r="BQR111" s="139"/>
      <c r="BQS111" s="139"/>
      <c r="BQT111" s="139"/>
      <c r="BQU111" s="139"/>
      <c r="BQV111" s="139"/>
      <c r="BQW111" s="139"/>
      <c r="BQX111" s="139"/>
      <c r="BQY111" s="139"/>
      <c r="BQZ111" s="139"/>
      <c r="BRA111" s="139"/>
      <c r="BRB111" s="139"/>
      <c r="BRC111" s="139"/>
      <c r="BRD111" s="139"/>
      <c r="BRE111" s="139"/>
      <c r="BRF111" s="139"/>
      <c r="BRG111" s="139"/>
      <c r="BRH111" s="139"/>
      <c r="BRI111" s="139"/>
      <c r="BRJ111" s="139"/>
      <c r="BRK111" s="139"/>
      <c r="BRL111" s="139"/>
      <c r="BRM111" s="139"/>
      <c r="BRN111" s="139"/>
      <c r="BRO111" s="139"/>
      <c r="BRP111" s="139"/>
      <c r="BRQ111" s="139"/>
      <c r="BRR111" s="139"/>
      <c r="BRS111" s="139"/>
      <c r="BRT111" s="139"/>
      <c r="BRU111" s="139"/>
      <c r="BRV111" s="139"/>
      <c r="BRW111" s="139"/>
      <c r="BRX111" s="139"/>
      <c r="BRY111" s="139"/>
      <c r="BRZ111" s="139"/>
      <c r="BSA111" s="139"/>
      <c r="BSB111" s="139"/>
      <c r="BSC111" s="139"/>
      <c r="BSD111" s="139"/>
      <c r="BSE111" s="139"/>
      <c r="BSF111" s="139"/>
      <c r="BSG111" s="139"/>
      <c r="BSH111" s="139"/>
      <c r="BSI111" s="139"/>
      <c r="BSJ111" s="139"/>
      <c r="BSK111" s="139"/>
      <c r="BSL111" s="139"/>
      <c r="BSM111" s="139"/>
      <c r="BSN111" s="139"/>
      <c r="BSO111" s="139"/>
      <c r="BSP111" s="139"/>
      <c r="BSQ111" s="139"/>
      <c r="BSR111" s="139"/>
      <c r="BSS111" s="139"/>
      <c r="BST111" s="139"/>
      <c r="BSU111" s="139"/>
      <c r="BSV111" s="139"/>
      <c r="BSW111" s="139"/>
      <c r="BSX111" s="139"/>
      <c r="BSY111" s="139"/>
      <c r="BSZ111" s="139"/>
      <c r="BTA111" s="139"/>
      <c r="BTB111" s="139"/>
      <c r="BTC111" s="139"/>
      <c r="BTD111" s="139"/>
      <c r="BTE111" s="139"/>
      <c r="BTF111" s="139"/>
      <c r="BTG111" s="139"/>
      <c r="BTH111" s="139"/>
      <c r="BTI111" s="139"/>
      <c r="BTJ111" s="139"/>
      <c r="BTK111" s="139"/>
      <c r="BTL111" s="139"/>
      <c r="BTM111" s="139"/>
      <c r="BTN111" s="139"/>
      <c r="BTO111" s="139"/>
      <c r="BTP111" s="139"/>
      <c r="BTQ111" s="139"/>
      <c r="BTR111" s="139"/>
      <c r="BTS111" s="139"/>
      <c r="BTT111" s="139"/>
      <c r="BTU111" s="139"/>
      <c r="BTV111" s="139"/>
      <c r="BTW111" s="139"/>
      <c r="BTX111" s="139"/>
      <c r="BTY111" s="139"/>
      <c r="BTZ111" s="139"/>
      <c r="BUA111" s="139"/>
      <c r="BUB111" s="139"/>
      <c r="BUC111" s="139"/>
      <c r="BUD111" s="139"/>
      <c r="BUE111" s="139"/>
      <c r="BUF111" s="139"/>
      <c r="BUG111" s="139"/>
      <c r="BUH111" s="139"/>
      <c r="BUI111" s="139"/>
      <c r="BUJ111" s="139"/>
      <c r="BUK111" s="139"/>
      <c r="BUL111" s="139"/>
      <c r="BUM111" s="139"/>
      <c r="BUN111" s="139"/>
      <c r="BUO111" s="139"/>
      <c r="BUP111" s="139"/>
      <c r="BUQ111" s="139"/>
      <c r="BUR111" s="139"/>
      <c r="BUS111" s="139"/>
      <c r="BUT111" s="139"/>
      <c r="BUU111" s="139"/>
      <c r="BUV111" s="139"/>
      <c r="BUW111" s="139"/>
      <c r="BUX111" s="139"/>
      <c r="BUY111" s="139"/>
      <c r="BUZ111" s="139"/>
      <c r="BVA111" s="139"/>
      <c r="BVB111" s="139"/>
      <c r="BVC111" s="139"/>
      <c r="BVD111" s="139"/>
      <c r="BVE111" s="139"/>
      <c r="BVF111" s="139"/>
      <c r="BVG111" s="139"/>
      <c r="BVH111" s="139"/>
      <c r="BVI111" s="139"/>
      <c r="BVJ111" s="139"/>
      <c r="BVK111" s="139"/>
      <c r="BVL111" s="139"/>
      <c r="BVM111" s="139"/>
      <c r="BVN111" s="139"/>
      <c r="BVO111" s="139"/>
      <c r="BVP111" s="139"/>
      <c r="BVQ111" s="139"/>
      <c r="BVR111" s="139"/>
      <c r="BVS111" s="139"/>
      <c r="BVT111" s="139"/>
      <c r="BVU111" s="139"/>
      <c r="BVV111" s="139"/>
      <c r="BVW111" s="139"/>
      <c r="BVX111" s="139"/>
      <c r="BVY111" s="139"/>
      <c r="BVZ111" s="139"/>
      <c r="BWA111" s="139"/>
      <c r="BWB111" s="139"/>
      <c r="BWC111" s="139"/>
      <c r="BWD111" s="139"/>
      <c r="BWE111" s="139"/>
      <c r="BWF111" s="139"/>
      <c r="BWG111" s="139"/>
      <c r="BWH111" s="139"/>
      <c r="BWI111" s="139"/>
      <c r="BWJ111" s="139"/>
      <c r="BWK111" s="139"/>
      <c r="BWL111" s="139"/>
      <c r="BWM111" s="139"/>
      <c r="BWN111" s="139"/>
      <c r="BWO111" s="139"/>
      <c r="BWP111" s="139"/>
      <c r="BWQ111" s="139"/>
      <c r="BWR111" s="139"/>
      <c r="BWS111" s="139"/>
      <c r="BWT111" s="139"/>
      <c r="BWU111" s="139"/>
      <c r="BWV111" s="139"/>
      <c r="BWW111" s="139"/>
      <c r="BWX111" s="139"/>
      <c r="BWY111" s="139"/>
      <c r="BWZ111" s="139"/>
      <c r="BXA111" s="139"/>
      <c r="BXB111" s="139"/>
      <c r="BXC111" s="139"/>
      <c r="BXD111" s="139"/>
      <c r="BXE111" s="139"/>
      <c r="BXF111" s="139"/>
      <c r="BXG111" s="139"/>
      <c r="BXH111" s="139"/>
      <c r="BXI111" s="139"/>
      <c r="BXJ111" s="139"/>
      <c r="BXK111" s="139"/>
      <c r="BXL111" s="139"/>
      <c r="BXM111" s="139"/>
      <c r="BXN111" s="139"/>
      <c r="BXO111" s="139"/>
      <c r="BXP111" s="139"/>
      <c r="BXQ111" s="139"/>
      <c r="BXR111" s="139"/>
      <c r="BXS111" s="139"/>
      <c r="BXT111" s="139"/>
      <c r="BXU111" s="139"/>
      <c r="BXV111" s="139"/>
      <c r="BXW111" s="139"/>
      <c r="BXX111" s="139"/>
      <c r="BXY111" s="139"/>
      <c r="BXZ111" s="139"/>
      <c r="BYA111" s="139"/>
      <c r="BYB111" s="139"/>
      <c r="BYC111" s="139"/>
      <c r="BYD111" s="139"/>
      <c r="BYE111" s="139"/>
      <c r="BYF111" s="139"/>
      <c r="BYG111" s="139"/>
      <c r="BYH111" s="139"/>
      <c r="BYI111" s="139"/>
      <c r="BYJ111" s="139"/>
      <c r="BYK111" s="139"/>
      <c r="BYL111" s="139"/>
      <c r="BYM111" s="139"/>
      <c r="BYN111" s="139"/>
      <c r="BYO111" s="139"/>
      <c r="BYP111" s="139"/>
      <c r="BYQ111" s="139"/>
      <c r="BYR111" s="139"/>
      <c r="BYS111" s="139"/>
      <c r="BYT111" s="139"/>
      <c r="BYU111" s="139"/>
      <c r="BYV111" s="139"/>
      <c r="BYW111" s="139"/>
      <c r="BYX111" s="139"/>
      <c r="BYY111" s="139"/>
      <c r="BYZ111" s="139"/>
      <c r="BZA111" s="139"/>
      <c r="BZB111" s="139"/>
      <c r="BZC111" s="139"/>
      <c r="BZD111" s="139"/>
      <c r="BZE111" s="139"/>
      <c r="BZF111" s="139"/>
      <c r="BZG111" s="139"/>
      <c r="BZH111" s="139"/>
      <c r="BZI111" s="139"/>
      <c r="BZJ111" s="139"/>
      <c r="BZK111" s="139"/>
      <c r="BZL111" s="139"/>
      <c r="BZM111" s="139"/>
      <c r="BZN111" s="139"/>
      <c r="BZO111" s="139"/>
      <c r="BZP111" s="139"/>
      <c r="BZQ111" s="139"/>
      <c r="BZR111" s="139"/>
      <c r="BZS111" s="139"/>
      <c r="BZT111" s="139"/>
      <c r="BZU111" s="139"/>
      <c r="BZV111" s="139"/>
      <c r="BZW111" s="139"/>
      <c r="BZX111" s="139"/>
      <c r="BZY111" s="139"/>
      <c r="BZZ111" s="139"/>
      <c r="CAA111" s="139"/>
      <c r="CAB111" s="139"/>
      <c r="CAC111" s="139"/>
      <c r="CAD111" s="139"/>
      <c r="CAE111" s="139"/>
      <c r="CAF111" s="139"/>
      <c r="CAG111" s="139"/>
      <c r="CAH111" s="139"/>
      <c r="CAI111" s="139"/>
      <c r="CAJ111" s="139"/>
      <c r="CAK111" s="139"/>
      <c r="CAL111" s="139"/>
      <c r="CAM111" s="139"/>
      <c r="CAN111" s="139"/>
      <c r="CAO111" s="139"/>
      <c r="CAP111" s="139"/>
      <c r="CAQ111" s="139"/>
      <c r="CAR111" s="139"/>
      <c r="CAS111" s="139"/>
      <c r="CAT111" s="139"/>
      <c r="CAU111" s="139"/>
      <c r="CAV111" s="139"/>
      <c r="CAW111" s="139"/>
      <c r="CAX111" s="139"/>
      <c r="CAY111" s="139"/>
      <c r="CAZ111" s="139"/>
      <c r="CBA111" s="139"/>
      <c r="CBB111" s="139"/>
      <c r="CBC111" s="139"/>
      <c r="CBD111" s="139"/>
      <c r="CBE111" s="139"/>
      <c r="CBF111" s="139"/>
      <c r="CBG111" s="139"/>
      <c r="CBH111" s="139"/>
      <c r="CBI111" s="139"/>
      <c r="CBJ111" s="139"/>
      <c r="CBK111" s="139"/>
      <c r="CBL111" s="139"/>
      <c r="CBM111" s="139"/>
      <c r="CBN111" s="139"/>
      <c r="CBO111" s="139"/>
      <c r="CBP111" s="139"/>
      <c r="CBQ111" s="139"/>
      <c r="CBR111" s="139"/>
      <c r="CBS111" s="139"/>
      <c r="CBT111" s="139"/>
      <c r="CBU111" s="139"/>
      <c r="CBV111" s="139"/>
      <c r="CBW111" s="139"/>
      <c r="CBX111" s="139"/>
      <c r="CBY111" s="139"/>
      <c r="CBZ111" s="139"/>
      <c r="CCA111" s="139"/>
      <c r="CCB111" s="139"/>
      <c r="CCC111" s="139"/>
      <c r="CCD111" s="139"/>
      <c r="CCE111" s="139"/>
      <c r="CCF111" s="139"/>
      <c r="CCG111" s="139"/>
      <c r="CCH111" s="139"/>
      <c r="CCI111" s="139"/>
      <c r="CCJ111" s="139"/>
      <c r="CCK111" s="139"/>
      <c r="CCL111" s="139"/>
      <c r="CCM111" s="139"/>
      <c r="CCN111" s="139"/>
      <c r="CCO111" s="139"/>
      <c r="CCP111" s="139"/>
      <c r="CCQ111" s="139"/>
      <c r="CCR111" s="139"/>
      <c r="CCS111" s="139"/>
      <c r="CCT111" s="139"/>
      <c r="CCU111" s="139"/>
      <c r="CCV111" s="139"/>
      <c r="CCW111" s="139"/>
      <c r="CCX111" s="139"/>
      <c r="CCY111" s="139"/>
      <c r="CCZ111" s="139"/>
      <c r="CDA111" s="139"/>
      <c r="CDB111" s="139"/>
      <c r="CDC111" s="139"/>
      <c r="CDD111" s="139"/>
      <c r="CDE111" s="139"/>
      <c r="CDF111" s="139"/>
      <c r="CDG111" s="139"/>
      <c r="CDH111" s="139"/>
      <c r="CDI111" s="139"/>
      <c r="CDJ111" s="139"/>
      <c r="CDK111" s="139"/>
      <c r="CDL111" s="139"/>
      <c r="CDM111" s="139"/>
      <c r="CDN111" s="139"/>
      <c r="CDO111" s="139"/>
      <c r="CDP111" s="139"/>
      <c r="CDQ111" s="139"/>
      <c r="CDR111" s="139"/>
      <c r="CDS111" s="139"/>
      <c r="CDT111" s="139"/>
      <c r="CDU111" s="139"/>
      <c r="CDV111" s="139"/>
      <c r="CDW111" s="139"/>
      <c r="CDX111" s="139"/>
      <c r="CDY111" s="139"/>
      <c r="CDZ111" s="139"/>
      <c r="CEA111" s="139"/>
      <c r="CEB111" s="139"/>
      <c r="CEC111" s="139"/>
      <c r="CED111" s="139"/>
      <c r="CEE111" s="139"/>
      <c r="CEF111" s="139"/>
      <c r="CEG111" s="139"/>
      <c r="CEH111" s="139"/>
      <c r="CEI111" s="139"/>
      <c r="CEJ111" s="139"/>
      <c r="CEK111" s="139"/>
      <c r="CEL111" s="139"/>
      <c r="CEM111" s="139"/>
      <c r="CEN111" s="139"/>
      <c r="CEO111" s="139"/>
      <c r="CEP111" s="139"/>
      <c r="CEQ111" s="139"/>
      <c r="CER111" s="139"/>
      <c r="CES111" s="139"/>
      <c r="CET111" s="139"/>
      <c r="CEU111" s="139"/>
      <c r="CEV111" s="139"/>
      <c r="CEW111" s="139"/>
      <c r="CEX111" s="139"/>
      <c r="CEY111" s="139"/>
      <c r="CEZ111" s="139"/>
      <c r="CFA111" s="139"/>
      <c r="CFB111" s="139"/>
      <c r="CFC111" s="139"/>
      <c r="CFD111" s="139"/>
      <c r="CFE111" s="139"/>
      <c r="CFF111" s="139"/>
      <c r="CFG111" s="139"/>
      <c r="CFH111" s="139"/>
      <c r="CFI111" s="139"/>
      <c r="CFJ111" s="139"/>
      <c r="CFK111" s="139"/>
      <c r="CFL111" s="139"/>
      <c r="CFM111" s="139"/>
      <c r="CFN111" s="139"/>
      <c r="CFO111" s="139"/>
      <c r="CFP111" s="139"/>
      <c r="CFQ111" s="139"/>
      <c r="CFR111" s="139"/>
      <c r="CFS111" s="139"/>
      <c r="CFT111" s="139"/>
      <c r="CFU111" s="139"/>
      <c r="CFV111" s="139"/>
      <c r="CFW111" s="139"/>
      <c r="CFX111" s="139"/>
      <c r="CFY111" s="139"/>
      <c r="CFZ111" s="139"/>
      <c r="CGA111" s="139"/>
      <c r="CGB111" s="139"/>
      <c r="CGC111" s="139"/>
      <c r="CGD111" s="139"/>
      <c r="CGE111" s="139"/>
      <c r="CGF111" s="139"/>
      <c r="CGG111" s="139"/>
      <c r="CGH111" s="139"/>
      <c r="CGI111" s="139"/>
      <c r="CGJ111" s="139"/>
      <c r="CGK111" s="139"/>
      <c r="CGL111" s="139"/>
      <c r="CGM111" s="139"/>
      <c r="CGN111" s="139"/>
      <c r="CGO111" s="139"/>
      <c r="CGP111" s="139"/>
      <c r="CGQ111" s="139"/>
      <c r="CGR111" s="139"/>
      <c r="CGS111" s="139"/>
      <c r="CGT111" s="139"/>
      <c r="CGU111" s="139"/>
      <c r="CGV111" s="139"/>
      <c r="CGW111" s="139"/>
      <c r="CGX111" s="139"/>
      <c r="CGY111" s="139"/>
      <c r="CGZ111" s="139"/>
      <c r="CHA111" s="139"/>
      <c r="CHB111" s="139"/>
      <c r="CHC111" s="139"/>
      <c r="CHD111" s="139"/>
      <c r="CHE111" s="139"/>
      <c r="CHF111" s="139"/>
      <c r="CHG111" s="139"/>
      <c r="CHH111" s="139"/>
      <c r="CHI111" s="139"/>
      <c r="CHJ111" s="139"/>
      <c r="CHK111" s="139"/>
      <c r="CHL111" s="139"/>
      <c r="CHM111" s="139"/>
      <c r="CHN111" s="139"/>
      <c r="CHO111" s="139"/>
      <c r="CHP111" s="139"/>
      <c r="CHQ111" s="139"/>
      <c r="CHR111" s="139"/>
      <c r="CHS111" s="139"/>
      <c r="CHT111" s="139"/>
      <c r="CHU111" s="139"/>
      <c r="CHV111" s="139"/>
      <c r="CHW111" s="139"/>
      <c r="CHX111" s="139"/>
      <c r="CHY111" s="139"/>
      <c r="CHZ111" s="139"/>
      <c r="CIA111" s="139"/>
      <c r="CIB111" s="139"/>
      <c r="CIC111" s="139"/>
      <c r="CID111" s="139"/>
      <c r="CIE111" s="139"/>
      <c r="CIF111" s="139"/>
      <c r="CIG111" s="139"/>
      <c r="CIH111" s="139"/>
      <c r="CII111" s="139"/>
      <c r="CIJ111" s="139"/>
      <c r="CIK111" s="139"/>
      <c r="CIL111" s="139"/>
      <c r="CIM111" s="139"/>
      <c r="CIN111" s="139"/>
      <c r="CIO111" s="139"/>
      <c r="CIP111" s="139"/>
      <c r="CIQ111" s="139"/>
      <c r="CIR111" s="139"/>
      <c r="CIS111" s="139"/>
      <c r="CIT111" s="139"/>
      <c r="CIU111" s="139"/>
      <c r="CIV111" s="139"/>
      <c r="CIW111" s="139"/>
      <c r="CIX111" s="139"/>
      <c r="CIY111" s="139"/>
      <c r="CIZ111" s="139"/>
      <c r="CJA111" s="139"/>
      <c r="CJB111" s="139"/>
      <c r="CJC111" s="139"/>
      <c r="CJD111" s="139"/>
      <c r="CJE111" s="139"/>
      <c r="CJF111" s="139"/>
      <c r="CJG111" s="139"/>
      <c r="CJH111" s="139"/>
      <c r="CJI111" s="139"/>
      <c r="CJJ111" s="139"/>
      <c r="CJK111" s="139"/>
      <c r="CJL111" s="139"/>
      <c r="CJM111" s="139"/>
      <c r="CJN111" s="139"/>
      <c r="CJO111" s="139"/>
      <c r="CJP111" s="139"/>
      <c r="CJQ111" s="139"/>
      <c r="CJR111" s="139"/>
      <c r="CJS111" s="139"/>
      <c r="CJT111" s="139"/>
      <c r="CJU111" s="139"/>
      <c r="CJV111" s="139"/>
      <c r="CJW111" s="139"/>
      <c r="CJX111" s="139"/>
      <c r="CJY111" s="139"/>
      <c r="CJZ111" s="139"/>
      <c r="CKA111" s="139"/>
      <c r="CKB111" s="139"/>
      <c r="CKC111" s="139"/>
      <c r="CKD111" s="139"/>
      <c r="CKE111" s="139"/>
      <c r="CKF111" s="139"/>
      <c r="CKG111" s="139"/>
      <c r="CKH111" s="139"/>
      <c r="CKI111" s="139"/>
      <c r="CKJ111" s="139"/>
      <c r="CKK111" s="139"/>
      <c r="CKL111" s="139"/>
      <c r="CKM111" s="139"/>
      <c r="CKN111" s="139"/>
      <c r="CKO111" s="139"/>
      <c r="CKP111" s="139"/>
      <c r="CKQ111" s="139"/>
      <c r="CKR111" s="139"/>
      <c r="CKS111" s="139"/>
      <c r="CKT111" s="139"/>
      <c r="CKU111" s="139"/>
      <c r="CKV111" s="139"/>
      <c r="CKW111" s="139"/>
      <c r="CKX111" s="139"/>
      <c r="CKY111" s="139"/>
      <c r="CKZ111" s="139"/>
      <c r="CLA111" s="139"/>
      <c r="CLB111" s="139"/>
      <c r="CLC111" s="139"/>
      <c r="CLD111" s="139"/>
      <c r="CLE111" s="139"/>
      <c r="CLF111" s="139"/>
      <c r="CLG111" s="139"/>
      <c r="CLH111" s="139"/>
      <c r="CLI111" s="139"/>
      <c r="CLJ111" s="139"/>
      <c r="CLK111" s="139"/>
      <c r="CLL111" s="139"/>
      <c r="CLM111" s="139"/>
      <c r="CLN111" s="139"/>
      <c r="CLO111" s="139"/>
      <c r="CLP111" s="139"/>
      <c r="CLQ111" s="139"/>
      <c r="CLR111" s="139"/>
      <c r="CLS111" s="139"/>
      <c r="CLT111" s="139"/>
      <c r="CLU111" s="139"/>
      <c r="CLV111" s="139"/>
      <c r="CLW111" s="139"/>
      <c r="CLX111" s="139"/>
      <c r="CLY111" s="139"/>
      <c r="CLZ111" s="139"/>
      <c r="CMA111" s="139"/>
      <c r="CMB111" s="139"/>
      <c r="CMC111" s="139"/>
      <c r="CMD111" s="139"/>
      <c r="CME111" s="139"/>
      <c r="CMF111" s="139"/>
      <c r="CMG111" s="139"/>
      <c r="CMH111" s="139"/>
      <c r="CMI111" s="139"/>
      <c r="CMJ111" s="139"/>
      <c r="CMK111" s="139"/>
      <c r="CML111" s="139"/>
      <c r="CMM111" s="139"/>
      <c r="CMN111" s="139"/>
      <c r="CMO111" s="139"/>
      <c r="CMP111" s="139"/>
      <c r="CMQ111" s="139"/>
      <c r="CMR111" s="139"/>
      <c r="CMS111" s="139"/>
      <c r="CMT111" s="139"/>
      <c r="CMU111" s="139"/>
      <c r="CMV111" s="139"/>
      <c r="CMW111" s="139"/>
      <c r="CMX111" s="139"/>
      <c r="CMY111" s="139"/>
      <c r="CMZ111" s="139"/>
      <c r="CNA111" s="139"/>
      <c r="CNB111" s="139"/>
      <c r="CNC111" s="139"/>
      <c r="CND111" s="139"/>
      <c r="CNE111" s="139"/>
      <c r="CNF111" s="139"/>
      <c r="CNG111" s="139"/>
      <c r="CNH111" s="139"/>
      <c r="CNI111" s="139"/>
      <c r="CNJ111" s="139"/>
      <c r="CNK111" s="139"/>
      <c r="CNL111" s="139"/>
      <c r="CNM111" s="139"/>
      <c r="CNN111" s="139"/>
      <c r="CNO111" s="139"/>
      <c r="CNP111" s="139"/>
      <c r="CNQ111" s="139"/>
      <c r="CNR111" s="139"/>
      <c r="CNS111" s="139"/>
      <c r="CNT111" s="139"/>
      <c r="CNU111" s="139"/>
      <c r="CNV111" s="139"/>
      <c r="CNW111" s="139"/>
      <c r="CNX111" s="139"/>
      <c r="CNY111" s="139"/>
      <c r="CNZ111" s="139"/>
      <c r="COA111" s="139"/>
      <c r="COB111" s="139"/>
      <c r="COC111" s="139"/>
      <c r="COD111" s="139"/>
      <c r="COE111" s="139"/>
      <c r="COF111" s="139"/>
      <c r="COG111" s="139"/>
      <c r="COH111" s="139"/>
      <c r="COI111" s="139"/>
      <c r="COJ111" s="139"/>
      <c r="COK111" s="139"/>
      <c r="COL111" s="139"/>
      <c r="COM111" s="139"/>
      <c r="CON111" s="139"/>
      <c r="COO111" s="139"/>
      <c r="COP111" s="139"/>
      <c r="COQ111" s="139"/>
      <c r="COR111" s="139"/>
      <c r="COS111" s="139"/>
      <c r="COT111" s="139"/>
      <c r="COU111" s="139"/>
      <c r="COV111" s="139"/>
      <c r="COW111" s="139"/>
      <c r="COX111" s="139"/>
      <c r="COY111" s="139"/>
      <c r="COZ111" s="139"/>
      <c r="CPA111" s="139"/>
      <c r="CPB111" s="139"/>
      <c r="CPC111" s="139"/>
      <c r="CPD111" s="139"/>
      <c r="CPE111" s="139"/>
      <c r="CPF111" s="139"/>
      <c r="CPG111" s="139"/>
      <c r="CPH111" s="139"/>
      <c r="CPI111" s="139"/>
      <c r="CPJ111" s="139"/>
      <c r="CPK111" s="139"/>
      <c r="CPL111" s="139"/>
      <c r="CPM111" s="139"/>
      <c r="CPN111" s="139"/>
      <c r="CPO111" s="139"/>
      <c r="CPP111" s="139"/>
      <c r="CPQ111" s="139"/>
      <c r="CPR111" s="139"/>
      <c r="CPS111" s="139"/>
      <c r="CPT111" s="139"/>
      <c r="CPU111" s="139"/>
      <c r="CPV111" s="139"/>
      <c r="CPW111" s="139"/>
      <c r="CPX111" s="139"/>
      <c r="CPY111" s="139"/>
      <c r="CPZ111" s="139"/>
      <c r="CQA111" s="139"/>
      <c r="CQB111" s="139"/>
      <c r="CQC111" s="139"/>
      <c r="CQD111" s="139"/>
      <c r="CQE111" s="139"/>
      <c r="CQF111" s="139"/>
      <c r="CQG111" s="139"/>
      <c r="CQH111" s="139"/>
      <c r="CQI111" s="139"/>
      <c r="CQJ111" s="139"/>
      <c r="CQK111" s="139"/>
      <c r="CQL111" s="139"/>
      <c r="CQM111" s="139"/>
      <c r="CQN111" s="139"/>
      <c r="CQO111" s="139"/>
      <c r="CQP111" s="139"/>
      <c r="CQQ111" s="139"/>
      <c r="CQR111" s="139"/>
      <c r="CQS111" s="139"/>
      <c r="CQT111" s="139"/>
      <c r="CQU111" s="139"/>
      <c r="CQV111" s="139"/>
      <c r="CQW111" s="139"/>
      <c r="CQX111" s="139"/>
      <c r="CQY111" s="139"/>
      <c r="CQZ111" s="139"/>
      <c r="CRA111" s="139"/>
      <c r="CRB111" s="139"/>
      <c r="CRC111" s="139"/>
      <c r="CRD111" s="139"/>
      <c r="CRE111" s="139"/>
      <c r="CRF111" s="139"/>
      <c r="CRG111" s="139"/>
      <c r="CRH111" s="139"/>
      <c r="CRI111" s="139"/>
      <c r="CRJ111" s="139"/>
      <c r="CRK111" s="139"/>
      <c r="CRL111" s="139"/>
      <c r="CRM111" s="139"/>
      <c r="CRN111" s="139"/>
      <c r="CRO111" s="139"/>
      <c r="CRP111" s="139"/>
      <c r="CRQ111" s="139"/>
      <c r="CRR111" s="139"/>
      <c r="CRS111" s="139"/>
      <c r="CRT111" s="139"/>
      <c r="CRU111" s="139"/>
      <c r="CRV111" s="139"/>
      <c r="CRW111" s="139"/>
      <c r="CRX111" s="139"/>
      <c r="CRY111" s="139"/>
      <c r="CRZ111" s="139"/>
      <c r="CSA111" s="139"/>
      <c r="CSB111" s="139"/>
      <c r="CSC111" s="139"/>
      <c r="CSD111" s="139"/>
      <c r="CSE111" s="139"/>
      <c r="CSF111" s="139"/>
      <c r="CSG111" s="139"/>
      <c r="CSH111" s="139"/>
      <c r="CSI111" s="139"/>
      <c r="CSJ111" s="139"/>
      <c r="CSK111" s="139"/>
      <c r="CSL111" s="139"/>
      <c r="CSM111" s="139"/>
      <c r="CSN111" s="139"/>
      <c r="CSO111" s="139"/>
      <c r="CSP111" s="139"/>
      <c r="CSQ111" s="139"/>
      <c r="CSR111" s="139"/>
      <c r="CSS111" s="139"/>
      <c r="CST111" s="139"/>
      <c r="CSU111" s="139"/>
      <c r="CSV111" s="139"/>
      <c r="CSW111" s="139"/>
      <c r="CSX111" s="139"/>
      <c r="CSY111" s="139"/>
      <c r="CSZ111" s="139"/>
      <c r="CTA111" s="139"/>
      <c r="CTB111" s="139"/>
      <c r="CTC111" s="139"/>
      <c r="CTD111" s="139"/>
      <c r="CTE111" s="139"/>
      <c r="CTF111" s="139"/>
      <c r="CTG111" s="139"/>
      <c r="CTH111" s="139"/>
      <c r="CTI111" s="139"/>
      <c r="CTJ111" s="139"/>
      <c r="CTK111" s="139"/>
      <c r="CTL111" s="139"/>
      <c r="CTM111" s="139"/>
      <c r="CTN111" s="139"/>
      <c r="CTO111" s="139"/>
      <c r="CTP111" s="139"/>
      <c r="CTQ111" s="139"/>
      <c r="CTR111" s="139"/>
      <c r="CTS111" s="139"/>
      <c r="CTT111" s="139"/>
      <c r="CTU111" s="139"/>
      <c r="CTV111" s="139"/>
      <c r="CTW111" s="139"/>
      <c r="CTX111" s="139"/>
      <c r="CTY111" s="139"/>
      <c r="CTZ111" s="139"/>
      <c r="CUA111" s="139"/>
      <c r="CUB111" s="139"/>
      <c r="CUC111" s="139"/>
      <c r="CUD111" s="139"/>
      <c r="CUE111" s="139"/>
      <c r="CUF111" s="139"/>
      <c r="CUG111" s="139"/>
      <c r="CUH111" s="139"/>
      <c r="CUI111" s="139"/>
      <c r="CUJ111" s="139"/>
      <c r="CUK111" s="139"/>
      <c r="CUL111" s="139"/>
      <c r="CUM111" s="139"/>
      <c r="CUN111" s="139"/>
      <c r="CUO111" s="139"/>
      <c r="CUP111" s="139"/>
      <c r="CUQ111" s="139"/>
      <c r="CUR111" s="139"/>
      <c r="CUS111" s="139"/>
      <c r="CUT111" s="139"/>
      <c r="CUU111" s="139"/>
      <c r="CUV111" s="139"/>
      <c r="CUW111" s="139"/>
      <c r="CUX111" s="139"/>
      <c r="CUY111" s="139"/>
      <c r="CUZ111" s="139"/>
      <c r="CVA111" s="139"/>
      <c r="CVB111" s="139"/>
      <c r="CVC111" s="139"/>
      <c r="CVD111" s="139"/>
      <c r="CVE111" s="139"/>
      <c r="CVF111" s="139"/>
      <c r="CVG111" s="139"/>
      <c r="CVH111" s="139"/>
      <c r="CVI111" s="139"/>
      <c r="CVJ111" s="139"/>
      <c r="CVK111" s="139"/>
      <c r="CVL111" s="139"/>
      <c r="CVM111" s="139"/>
      <c r="CVN111" s="139"/>
      <c r="CVO111" s="139"/>
      <c r="CVP111" s="139"/>
      <c r="CVQ111" s="139"/>
      <c r="CVR111" s="139"/>
      <c r="CVS111" s="139"/>
      <c r="CVT111" s="139"/>
      <c r="CVU111" s="139"/>
      <c r="CVV111" s="139"/>
      <c r="CVW111" s="139"/>
      <c r="CVX111" s="139"/>
      <c r="CVY111" s="139"/>
      <c r="CVZ111" s="139"/>
      <c r="CWA111" s="139"/>
      <c r="CWB111" s="139"/>
      <c r="CWC111" s="139"/>
      <c r="CWD111" s="139"/>
      <c r="CWE111" s="139"/>
      <c r="CWF111" s="139"/>
      <c r="CWG111" s="139"/>
      <c r="CWH111" s="139"/>
      <c r="CWI111" s="139"/>
      <c r="CWJ111" s="139"/>
      <c r="CWK111" s="139"/>
      <c r="CWL111" s="139"/>
      <c r="CWM111" s="139"/>
      <c r="CWN111" s="139"/>
      <c r="CWO111" s="139"/>
      <c r="CWP111" s="139"/>
      <c r="CWQ111" s="139"/>
      <c r="CWR111" s="139"/>
      <c r="CWS111" s="139"/>
      <c r="CWT111" s="139"/>
      <c r="CWU111" s="139"/>
      <c r="CWV111" s="139"/>
      <c r="CWW111" s="139"/>
      <c r="CWX111" s="139"/>
      <c r="CWY111" s="139"/>
      <c r="CWZ111" s="139"/>
      <c r="CXA111" s="139"/>
      <c r="CXB111" s="139"/>
      <c r="CXC111" s="139"/>
      <c r="CXD111" s="139"/>
      <c r="CXE111" s="139"/>
      <c r="CXF111" s="139"/>
      <c r="CXG111" s="139"/>
      <c r="CXH111" s="139"/>
      <c r="CXI111" s="139"/>
      <c r="CXJ111" s="139"/>
      <c r="CXK111" s="139"/>
      <c r="CXL111" s="139"/>
      <c r="CXM111" s="139"/>
      <c r="CXN111" s="139"/>
      <c r="CXO111" s="139"/>
      <c r="CXP111" s="139"/>
      <c r="CXQ111" s="139"/>
      <c r="CXR111" s="139"/>
      <c r="CXS111" s="139"/>
      <c r="CXT111" s="139"/>
      <c r="CXU111" s="139"/>
      <c r="CXV111" s="139"/>
      <c r="CXW111" s="139"/>
      <c r="CXX111" s="139"/>
      <c r="CXY111" s="139"/>
      <c r="CXZ111" s="139"/>
      <c r="CYA111" s="139"/>
      <c r="CYB111" s="139"/>
      <c r="CYC111" s="139"/>
      <c r="CYD111" s="139"/>
      <c r="CYE111" s="139"/>
      <c r="CYF111" s="139"/>
      <c r="CYG111" s="139"/>
      <c r="CYH111" s="139"/>
      <c r="CYI111" s="139"/>
      <c r="CYJ111" s="139"/>
      <c r="CYK111" s="139"/>
      <c r="CYL111" s="139"/>
      <c r="CYM111" s="139"/>
      <c r="CYN111" s="139"/>
      <c r="CYO111" s="139"/>
      <c r="CYP111" s="139"/>
      <c r="CYQ111" s="139"/>
      <c r="CYR111" s="139"/>
      <c r="CYS111" s="139"/>
      <c r="CYT111" s="139"/>
      <c r="CYU111" s="139"/>
      <c r="CYV111" s="139"/>
      <c r="CYW111" s="139"/>
      <c r="CYX111" s="139"/>
      <c r="CYY111" s="139"/>
      <c r="CYZ111" s="139"/>
      <c r="CZA111" s="139"/>
      <c r="CZB111" s="139"/>
      <c r="CZC111" s="139"/>
      <c r="CZD111" s="139"/>
      <c r="CZE111" s="139"/>
      <c r="CZF111" s="139"/>
      <c r="CZG111" s="139"/>
      <c r="CZH111" s="139"/>
      <c r="CZI111" s="139"/>
      <c r="CZJ111" s="139"/>
      <c r="CZK111" s="139"/>
      <c r="CZL111" s="139"/>
      <c r="CZM111" s="139"/>
      <c r="CZN111" s="139"/>
      <c r="CZO111" s="139"/>
      <c r="CZP111" s="139"/>
      <c r="CZQ111" s="139"/>
      <c r="CZR111" s="139"/>
      <c r="CZS111" s="139"/>
      <c r="CZT111" s="139"/>
      <c r="CZU111" s="139"/>
      <c r="CZV111" s="139"/>
      <c r="CZW111" s="139"/>
      <c r="CZX111" s="139"/>
      <c r="CZY111" s="139"/>
      <c r="CZZ111" s="139"/>
      <c r="DAA111" s="139"/>
      <c r="DAB111" s="139"/>
      <c r="DAC111" s="139"/>
      <c r="DAD111" s="139"/>
      <c r="DAE111" s="139"/>
      <c r="DAF111" s="139"/>
      <c r="DAG111" s="139"/>
      <c r="DAH111" s="139"/>
      <c r="DAI111" s="139"/>
      <c r="DAJ111" s="139"/>
      <c r="DAK111" s="139"/>
      <c r="DAL111" s="139"/>
      <c r="DAM111" s="139"/>
      <c r="DAN111" s="139"/>
      <c r="DAO111" s="139"/>
      <c r="DAP111" s="139"/>
      <c r="DAQ111" s="139"/>
      <c r="DAR111" s="139"/>
      <c r="DAS111" s="139"/>
      <c r="DAT111" s="139"/>
      <c r="DAU111" s="139"/>
      <c r="DAV111" s="139"/>
      <c r="DAW111" s="139"/>
      <c r="DAX111" s="139"/>
      <c r="DAY111" s="139"/>
      <c r="DAZ111" s="139"/>
      <c r="DBA111" s="139"/>
      <c r="DBB111" s="139"/>
      <c r="DBC111" s="139"/>
      <c r="DBD111" s="139"/>
      <c r="DBE111" s="139"/>
      <c r="DBF111" s="139"/>
      <c r="DBG111" s="139"/>
      <c r="DBH111" s="139"/>
      <c r="DBI111" s="139"/>
      <c r="DBJ111" s="139"/>
      <c r="DBK111" s="139"/>
      <c r="DBL111" s="139"/>
      <c r="DBM111" s="139"/>
      <c r="DBN111" s="139"/>
      <c r="DBO111" s="139"/>
      <c r="DBP111" s="139"/>
      <c r="DBQ111" s="139"/>
      <c r="DBR111" s="139"/>
      <c r="DBS111" s="139"/>
      <c r="DBT111" s="139"/>
      <c r="DBU111" s="139"/>
      <c r="DBV111" s="139"/>
      <c r="DBW111" s="139"/>
      <c r="DBX111" s="139"/>
      <c r="DBY111" s="139"/>
      <c r="DBZ111" s="139"/>
      <c r="DCA111" s="139"/>
      <c r="DCB111" s="139"/>
      <c r="DCC111" s="139"/>
      <c r="DCD111" s="139"/>
      <c r="DCE111" s="139"/>
      <c r="DCF111" s="139"/>
      <c r="DCG111" s="139"/>
      <c r="DCH111" s="139"/>
      <c r="DCI111" s="139"/>
      <c r="DCJ111" s="139"/>
      <c r="DCK111" s="139"/>
      <c r="DCL111" s="139"/>
      <c r="DCM111" s="139"/>
      <c r="DCN111" s="139"/>
      <c r="DCO111" s="139"/>
      <c r="DCP111" s="139"/>
      <c r="DCQ111" s="139"/>
      <c r="DCR111" s="139"/>
      <c r="DCS111" s="139"/>
      <c r="DCT111" s="139"/>
      <c r="DCU111" s="139"/>
      <c r="DCV111" s="139"/>
      <c r="DCW111" s="139"/>
      <c r="DCX111" s="139"/>
      <c r="DCY111" s="139"/>
      <c r="DCZ111" s="139"/>
      <c r="DDA111" s="139"/>
      <c r="DDB111" s="139"/>
      <c r="DDC111" s="139"/>
      <c r="DDD111" s="139"/>
      <c r="DDE111" s="139"/>
      <c r="DDF111" s="139"/>
      <c r="DDG111" s="139"/>
      <c r="DDH111" s="139"/>
      <c r="DDI111" s="139"/>
      <c r="DDJ111" s="139"/>
      <c r="DDK111" s="139"/>
      <c r="DDL111" s="139"/>
      <c r="DDM111" s="139"/>
      <c r="DDN111" s="139"/>
      <c r="DDO111" s="139"/>
      <c r="DDP111" s="139"/>
      <c r="DDQ111" s="139"/>
      <c r="DDR111" s="139"/>
      <c r="DDS111" s="139"/>
      <c r="DDT111" s="139"/>
      <c r="DDU111" s="139"/>
      <c r="DDV111" s="139"/>
      <c r="DDW111" s="139"/>
      <c r="DDX111" s="139"/>
      <c r="DDY111" s="139"/>
      <c r="DDZ111" s="139"/>
      <c r="DEA111" s="139"/>
      <c r="DEB111" s="139"/>
      <c r="DEC111" s="139"/>
      <c r="DED111" s="139"/>
      <c r="DEE111" s="139"/>
      <c r="DEF111" s="139"/>
      <c r="DEG111" s="139"/>
      <c r="DEH111" s="139"/>
      <c r="DEI111" s="139"/>
      <c r="DEJ111" s="139"/>
      <c r="DEK111" s="139"/>
      <c r="DEL111" s="139"/>
      <c r="DEM111" s="139"/>
      <c r="DEN111" s="139"/>
      <c r="DEO111" s="139"/>
      <c r="DEP111" s="139"/>
      <c r="DEQ111" s="139"/>
      <c r="DER111" s="139"/>
      <c r="DES111" s="139"/>
      <c r="DET111" s="139"/>
      <c r="DEU111" s="139"/>
      <c r="DEV111" s="139"/>
      <c r="DEW111" s="139"/>
      <c r="DEX111" s="139"/>
      <c r="DEY111" s="139"/>
      <c r="DEZ111" s="139"/>
      <c r="DFA111" s="139"/>
      <c r="DFB111" s="139"/>
      <c r="DFC111" s="139"/>
      <c r="DFD111" s="139"/>
      <c r="DFE111" s="139"/>
      <c r="DFF111" s="139"/>
      <c r="DFG111" s="139"/>
      <c r="DFH111" s="139"/>
      <c r="DFI111" s="139"/>
      <c r="DFJ111" s="139"/>
      <c r="DFK111" s="139"/>
      <c r="DFL111" s="139"/>
      <c r="DFM111" s="139"/>
      <c r="DFN111" s="139"/>
      <c r="DFO111" s="139"/>
      <c r="DFP111" s="139"/>
      <c r="DFQ111" s="139"/>
      <c r="DFR111" s="139"/>
      <c r="DFS111" s="139"/>
      <c r="DFT111" s="139"/>
      <c r="DFU111" s="139"/>
      <c r="DFV111" s="139"/>
      <c r="DFW111" s="139"/>
      <c r="DFX111" s="139"/>
      <c r="DFY111" s="139"/>
      <c r="DFZ111" s="139"/>
      <c r="DGA111" s="139"/>
      <c r="DGB111" s="139"/>
      <c r="DGC111" s="139"/>
      <c r="DGD111" s="139"/>
      <c r="DGE111" s="139"/>
      <c r="DGF111" s="139"/>
      <c r="DGG111" s="139"/>
      <c r="DGH111" s="139"/>
      <c r="DGI111" s="139"/>
      <c r="DGJ111" s="139"/>
      <c r="DGK111" s="139"/>
      <c r="DGL111" s="139"/>
      <c r="DGM111" s="139"/>
      <c r="DGN111" s="139"/>
      <c r="DGO111" s="139"/>
      <c r="DGP111" s="139"/>
      <c r="DGQ111" s="139"/>
      <c r="DGR111" s="139"/>
      <c r="DGS111" s="139"/>
      <c r="DGT111" s="139"/>
      <c r="DGU111" s="139"/>
      <c r="DGV111" s="139"/>
      <c r="DGW111" s="139"/>
      <c r="DGX111" s="139"/>
      <c r="DGY111" s="139"/>
      <c r="DGZ111" s="139"/>
      <c r="DHA111" s="139"/>
      <c r="DHB111" s="139"/>
      <c r="DHC111" s="139"/>
      <c r="DHD111" s="139"/>
      <c r="DHE111" s="139"/>
      <c r="DHF111" s="139"/>
      <c r="DHG111" s="139"/>
      <c r="DHH111" s="139"/>
      <c r="DHI111" s="139"/>
      <c r="DHJ111" s="139"/>
      <c r="DHK111" s="139"/>
      <c r="DHL111" s="139"/>
      <c r="DHM111" s="139"/>
      <c r="DHN111" s="139"/>
      <c r="DHO111" s="139"/>
      <c r="DHP111" s="139"/>
      <c r="DHQ111" s="139"/>
      <c r="DHR111" s="139"/>
      <c r="DHS111" s="139"/>
      <c r="DHT111" s="139"/>
      <c r="DHU111" s="139"/>
      <c r="DHV111" s="139"/>
      <c r="DHW111" s="139"/>
      <c r="DHX111" s="139"/>
      <c r="DHY111" s="139"/>
      <c r="DHZ111" s="139"/>
      <c r="DIA111" s="139"/>
      <c r="DIB111" s="139"/>
      <c r="DIC111" s="139"/>
      <c r="DID111" s="139"/>
      <c r="DIE111" s="139"/>
      <c r="DIF111" s="139"/>
      <c r="DIG111" s="139"/>
      <c r="DIH111" s="139"/>
      <c r="DII111" s="139"/>
      <c r="DIJ111" s="139"/>
      <c r="DIK111" s="139"/>
      <c r="DIL111" s="139"/>
      <c r="DIM111" s="139"/>
      <c r="DIN111" s="139"/>
      <c r="DIO111" s="139"/>
      <c r="DIP111" s="139"/>
      <c r="DIQ111" s="139"/>
      <c r="DIR111" s="139"/>
      <c r="DIS111" s="139"/>
      <c r="DIT111" s="139"/>
      <c r="DIU111" s="139"/>
      <c r="DIV111" s="139"/>
      <c r="DIW111" s="139"/>
      <c r="DIX111" s="139"/>
      <c r="DIY111" s="139"/>
      <c r="DIZ111" s="139"/>
      <c r="DJA111" s="139"/>
      <c r="DJB111" s="139"/>
      <c r="DJC111" s="139"/>
      <c r="DJD111" s="139"/>
      <c r="DJE111" s="139"/>
      <c r="DJF111" s="139"/>
      <c r="DJG111" s="139"/>
      <c r="DJH111" s="139"/>
      <c r="DJI111" s="139"/>
      <c r="DJJ111" s="139"/>
      <c r="DJK111" s="139"/>
      <c r="DJL111" s="139"/>
      <c r="DJM111" s="139"/>
      <c r="DJN111" s="139"/>
      <c r="DJO111" s="139"/>
      <c r="DJP111" s="139"/>
      <c r="DJQ111" s="139"/>
      <c r="DJR111" s="139"/>
      <c r="DJS111" s="139"/>
      <c r="DJT111" s="139"/>
      <c r="DJU111" s="139"/>
      <c r="DJV111" s="139"/>
      <c r="DJW111" s="139"/>
      <c r="DJX111" s="139"/>
      <c r="DJY111" s="139"/>
      <c r="DJZ111" s="139"/>
      <c r="DKA111" s="139"/>
      <c r="DKB111" s="139"/>
      <c r="DKC111" s="139"/>
      <c r="DKD111" s="139"/>
      <c r="DKE111" s="139"/>
      <c r="DKF111" s="139"/>
      <c r="DKG111" s="139"/>
      <c r="DKH111" s="139"/>
      <c r="DKI111" s="139"/>
      <c r="DKJ111" s="139"/>
      <c r="DKK111" s="139"/>
      <c r="DKL111" s="139"/>
      <c r="DKM111" s="139"/>
      <c r="DKN111" s="139"/>
      <c r="DKO111" s="139"/>
      <c r="DKP111" s="139"/>
      <c r="DKQ111" s="139"/>
      <c r="DKR111" s="139"/>
      <c r="DKS111" s="139"/>
      <c r="DKT111" s="139"/>
      <c r="DKU111" s="139"/>
      <c r="DKV111" s="139"/>
      <c r="DKW111" s="139"/>
      <c r="DKX111" s="139"/>
      <c r="DKY111" s="139"/>
      <c r="DKZ111" s="139"/>
      <c r="DLA111" s="139"/>
      <c r="DLB111" s="139"/>
      <c r="DLC111" s="139"/>
      <c r="DLD111" s="139"/>
      <c r="DLE111" s="139"/>
      <c r="DLF111" s="139"/>
      <c r="DLG111" s="139"/>
      <c r="DLH111" s="139"/>
      <c r="DLI111" s="139"/>
      <c r="DLJ111" s="139"/>
      <c r="DLK111" s="139"/>
      <c r="DLL111" s="139"/>
      <c r="DLM111" s="139"/>
      <c r="DLN111" s="139"/>
      <c r="DLO111" s="139"/>
      <c r="DLP111" s="139"/>
      <c r="DLQ111" s="139"/>
      <c r="DLR111" s="139"/>
      <c r="DLS111" s="139"/>
      <c r="DLT111" s="139"/>
      <c r="DLU111" s="139"/>
      <c r="DLV111" s="139"/>
      <c r="DLW111" s="139"/>
      <c r="DLX111" s="139"/>
      <c r="DLY111" s="139"/>
      <c r="DLZ111" s="139"/>
      <c r="DMA111" s="139"/>
      <c r="DMB111" s="139"/>
      <c r="DMC111" s="139"/>
      <c r="DMD111" s="139"/>
      <c r="DME111" s="139"/>
      <c r="DMF111" s="139"/>
      <c r="DMG111" s="139"/>
      <c r="DMH111" s="139"/>
      <c r="DMI111" s="139"/>
      <c r="DMJ111" s="139"/>
      <c r="DMK111" s="139"/>
      <c r="DML111" s="139"/>
      <c r="DMM111" s="139"/>
      <c r="DMN111" s="139"/>
      <c r="DMO111" s="139"/>
      <c r="DMP111" s="139"/>
      <c r="DMQ111" s="139"/>
      <c r="DMR111" s="139"/>
      <c r="DMS111" s="139"/>
      <c r="DMT111" s="139"/>
      <c r="DMU111" s="139"/>
      <c r="DMV111" s="139"/>
      <c r="DMW111" s="139"/>
      <c r="DMX111" s="139"/>
      <c r="DMY111" s="139"/>
      <c r="DMZ111" s="139"/>
      <c r="DNA111" s="139"/>
      <c r="DNB111" s="139"/>
      <c r="DNC111" s="139"/>
      <c r="DND111" s="139"/>
      <c r="DNE111" s="139"/>
      <c r="DNF111" s="139"/>
      <c r="DNG111" s="139"/>
      <c r="DNH111" s="139"/>
      <c r="DNI111" s="139"/>
      <c r="DNJ111" s="139"/>
      <c r="DNK111" s="139"/>
      <c r="DNL111" s="139"/>
      <c r="DNM111" s="139"/>
      <c r="DNN111" s="139"/>
      <c r="DNO111" s="139"/>
      <c r="DNP111" s="139"/>
      <c r="DNQ111" s="139"/>
      <c r="DNR111" s="139"/>
      <c r="DNS111" s="139"/>
      <c r="DNT111" s="139"/>
      <c r="DNU111" s="139"/>
      <c r="DNV111" s="139"/>
      <c r="DNW111" s="139"/>
      <c r="DNX111" s="139"/>
      <c r="DNY111" s="139"/>
      <c r="DNZ111" s="139"/>
      <c r="DOA111" s="139"/>
      <c r="DOB111" s="139"/>
      <c r="DOC111" s="139"/>
      <c r="DOD111" s="139"/>
      <c r="DOE111" s="139"/>
      <c r="DOF111" s="139"/>
      <c r="DOG111" s="139"/>
      <c r="DOH111" s="139"/>
      <c r="DOI111" s="139"/>
      <c r="DOJ111" s="139"/>
      <c r="DOK111" s="139"/>
      <c r="DOL111" s="139"/>
      <c r="DOM111" s="139"/>
      <c r="DON111" s="139"/>
      <c r="DOO111" s="139"/>
      <c r="DOP111" s="139"/>
      <c r="DOQ111" s="139"/>
      <c r="DOR111" s="139"/>
      <c r="DOS111" s="139"/>
      <c r="DOT111" s="139"/>
      <c r="DOU111" s="139"/>
      <c r="DOV111" s="139"/>
      <c r="DOW111" s="139"/>
      <c r="DOX111" s="139"/>
      <c r="DOY111" s="139"/>
      <c r="DOZ111" s="139"/>
      <c r="DPA111" s="139"/>
      <c r="DPB111" s="139"/>
      <c r="DPC111" s="139"/>
      <c r="DPD111" s="139"/>
      <c r="DPE111" s="139"/>
      <c r="DPF111" s="139"/>
      <c r="DPG111" s="139"/>
      <c r="DPH111" s="139"/>
      <c r="DPI111" s="139"/>
      <c r="DPJ111" s="139"/>
      <c r="DPK111" s="139"/>
      <c r="DPL111" s="139"/>
      <c r="DPM111" s="139"/>
      <c r="DPN111" s="139"/>
      <c r="DPO111" s="139"/>
      <c r="DPP111" s="139"/>
      <c r="DPQ111" s="139"/>
      <c r="DPR111" s="139"/>
      <c r="DPS111" s="139"/>
      <c r="DPT111" s="139"/>
      <c r="DPU111" s="139"/>
      <c r="DPV111" s="139"/>
      <c r="DPW111" s="139"/>
      <c r="DPX111" s="139"/>
      <c r="DPY111" s="139"/>
      <c r="DPZ111" s="139"/>
      <c r="DQA111" s="139"/>
      <c r="DQB111" s="139"/>
      <c r="DQC111" s="139"/>
      <c r="DQD111" s="139"/>
      <c r="DQE111" s="139"/>
      <c r="DQF111" s="139"/>
      <c r="DQG111" s="139"/>
      <c r="DQH111" s="139"/>
      <c r="DQI111" s="139"/>
      <c r="DQJ111" s="139"/>
      <c r="DQK111" s="139"/>
      <c r="DQL111" s="139"/>
      <c r="DQM111" s="139"/>
      <c r="DQN111" s="139"/>
      <c r="DQO111" s="139"/>
      <c r="DQP111" s="139"/>
      <c r="DQQ111" s="139"/>
      <c r="DQR111" s="139"/>
      <c r="DQS111" s="139"/>
      <c r="DQT111" s="139"/>
      <c r="DQU111" s="139"/>
      <c r="DQV111" s="139"/>
      <c r="DQW111" s="139"/>
      <c r="DQX111" s="139"/>
      <c r="DQY111" s="139"/>
      <c r="DQZ111" s="139"/>
      <c r="DRA111" s="139"/>
      <c r="DRB111" s="139"/>
      <c r="DRC111" s="139"/>
      <c r="DRD111" s="139"/>
      <c r="DRE111" s="139"/>
      <c r="DRF111" s="139"/>
      <c r="DRG111" s="139"/>
      <c r="DRH111" s="139"/>
      <c r="DRI111" s="139"/>
      <c r="DRJ111" s="139"/>
      <c r="DRK111" s="139"/>
      <c r="DRL111" s="139"/>
      <c r="DRM111" s="139"/>
      <c r="DRN111" s="139"/>
      <c r="DRO111" s="139"/>
      <c r="DRP111" s="139"/>
      <c r="DRQ111" s="139"/>
      <c r="DRR111" s="139"/>
      <c r="DRS111" s="139"/>
      <c r="DRT111" s="139"/>
      <c r="DRU111" s="139"/>
      <c r="DRV111" s="139"/>
      <c r="DRW111" s="139"/>
      <c r="DRX111" s="139"/>
      <c r="DRY111" s="139"/>
      <c r="DRZ111" s="139"/>
      <c r="DSA111" s="139"/>
      <c r="DSB111" s="139"/>
      <c r="DSC111" s="139"/>
      <c r="DSD111" s="139"/>
      <c r="DSE111" s="139"/>
      <c r="DSF111" s="139"/>
      <c r="DSG111" s="139"/>
      <c r="DSH111" s="139"/>
      <c r="DSI111" s="139"/>
      <c r="DSJ111" s="139"/>
      <c r="DSK111" s="139"/>
      <c r="DSL111" s="139"/>
      <c r="DSM111" s="139"/>
      <c r="DSN111" s="139"/>
      <c r="DSO111" s="139"/>
      <c r="DSP111" s="139"/>
      <c r="DSQ111" s="139"/>
      <c r="DSR111" s="139"/>
      <c r="DSS111" s="139"/>
      <c r="DST111" s="139"/>
      <c r="DSU111" s="139"/>
      <c r="DSV111" s="139"/>
      <c r="DSW111" s="139"/>
      <c r="DSX111" s="139"/>
      <c r="DSY111" s="139"/>
      <c r="DSZ111" s="139"/>
      <c r="DTA111" s="139"/>
      <c r="DTB111" s="139"/>
      <c r="DTC111" s="139"/>
      <c r="DTD111" s="139"/>
      <c r="DTE111" s="139"/>
      <c r="DTF111" s="139"/>
      <c r="DTG111" s="139"/>
      <c r="DTH111" s="139"/>
      <c r="DTI111" s="139"/>
      <c r="DTJ111" s="139"/>
      <c r="DTK111" s="139"/>
      <c r="DTL111" s="139"/>
      <c r="DTM111" s="139"/>
      <c r="DTN111" s="139"/>
      <c r="DTO111" s="139"/>
      <c r="DTP111" s="139"/>
      <c r="DTQ111" s="139"/>
      <c r="DTR111" s="139"/>
      <c r="DTS111" s="139"/>
      <c r="DTT111" s="139"/>
      <c r="DTU111" s="139"/>
      <c r="DTV111" s="139"/>
      <c r="DTW111" s="139"/>
      <c r="DTX111" s="139"/>
      <c r="DTY111" s="139"/>
      <c r="DTZ111" s="139"/>
      <c r="DUA111" s="139"/>
      <c r="DUB111" s="139"/>
      <c r="DUC111" s="139"/>
      <c r="DUD111" s="139"/>
      <c r="DUE111" s="139"/>
      <c r="DUF111" s="139"/>
      <c r="DUG111" s="139"/>
      <c r="DUH111" s="139"/>
      <c r="DUI111" s="139"/>
      <c r="DUJ111" s="139"/>
      <c r="DUK111" s="139"/>
      <c r="DUL111" s="139"/>
      <c r="DUM111" s="139"/>
      <c r="DUN111" s="139"/>
      <c r="DUO111" s="139"/>
      <c r="DUP111" s="139"/>
      <c r="DUQ111" s="139"/>
      <c r="DUR111" s="139"/>
      <c r="DUS111" s="139"/>
      <c r="DUT111" s="139"/>
      <c r="DUU111" s="139"/>
      <c r="DUV111" s="139"/>
      <c r="DUW111" s="139"/>
      <c r="DUX111" s="139"/>
      <c r="DUY111" s="139"/>
      <c r="DUZ111" s="139"/>
      <c r="DVA111" s="139"/>
      <c r="DVB111" s="139"/>
      <c r="DVC111" s="139"/>
      <c r="DVD111" s="139"/>
      <c r="DVE111" s="139"/>
      <c r="DVF111" s="139"/>
      <c r="DVG111" s="139"/>
      <c r="DVH111" s="139"/>
      <c r="DVI111" s="139"/>
      <c r="DVJ111" s="139"/>
      <c r="DVK111" s="139"/>
      <c r="DVL111" s="139"/>
      <c r="DVM111" s="139"/>
      <c r="DVN111" s="139"/>
      <c r="DVO111" s="139"/>
      <c r="DVP111" s="139"/>
      <c r="DVQ111" s="139"/>
      <c r="DVR111" s="139"/>
      <c r="DVS111" s="139"/>
      <c r="DVT111" s="139"/>
      <c r="DVU111" s="139"/>
      <c r="DVV111" s="139"/>
      <c r="DVW111" s="139"/>
      <c r="DVX111" s="139"/>
      <c r="DVY111" s="139"/>
      <c r="DVZ111" s="139"/>
      <c r="DWA111" s="139"/>
      <c r="DWB111" s="139"/>
      <c r="DWC111" s="139"/>
      <c r="DWD111" s="139"/>
      <c r="DWE111" s="139"/>
      <c r="DWF111" s="139"/>
      <c r="DWG111" s="139"/>
      <c r="DWH111" s="139"/>
      <c r="DWI111" s="139"/>
      <c r="DWJ111" s="139"/>
      <c r="DWK111" s="139"/>
      <c r="DWL111" s="139"/>
      <c r="DWM111" s="139"/>
      <c r="DWN111" s="139"/>
      <c r="DWO111" s="139"/>
      <c r="DWP111" s="139"/>
      <c r="DWQ111" s="139"/>
      <c r="DWR111" s="139"/>
      <c r="DWS111" s="139"/>
      <c r="DWT111" s="139"/>
      <c r="DWU111" s="139"/>
      <c r="DWV111" s="139"/>
      <c r="DWW111" s="139"/>
      <c r="DWX111" s="139"/>
      <c r="DWY111" s="139"/>
      <c r="DWZ111" s="139"/>
      <c r="DXA111" s="139"/>
      <c r="DXB111" s="139"/>
      <c r="DXC111" s="139"/>
      <c r="DXD111" s="139"/>
      <c r="DXE111" s="139"/>
      <c r="DXF111" s="139"/>
      <c r="DXG111" s="139"/>
      <c r="DXH111" s="139"/>
      <c r="DXI111" s="139"/>
      <c r="DXJ111" s="139"/>
      <c r="DXK111" s="139"/>
      <c r="DXL111" s="139"/>
      <c r="DXM111" s="139"/>
      <c r="DXN111" s="139"/>
      <c r="DXO111" s="139"/>
      <c r="DXP111" s="139"/>
      <c r="DXQ111" s="139"/>
      <c r="DXR111" s="139"/>
      <c r="DXS111" s="139"/>
      <c r="DXT111" s="139"/>
      <c r="DXU111" s="139"/>
      <c r="DXV111" s="139"/>
      <c r="DXW111" s="139"/>
      <c r="DXX111" s="139"/>
      <c r="DXY111" s="139"/>
      <c r="DXZ111" s="139"/>
      <c r="DYA111" s="139"/>
      <c r="DYB111" s="139"/>
      <c r="DYC111" s="139"/>
      <c r="DYD111" s="139"/>
      <c r="DYE111" s="139"/>
      <c r="DYF111" s="139"/>
      <c r="DYG111" s="139"/>
      <c r="DYH111" s="139"/>
      <c r="DYI111" s="139"/>
      <c r="DYJ111" s="139"/>
      <c r="DYK111" s="139"/>
      <c r="DYL111" s="139"/>
      <c r="DYM111" s="139"/>
      <c r="DYN111" s="139"/>
      <c r="DYO111" s="139"/>
      <c r="DYP111" s="139"/>
      <c r="DYQ111" s="139"/>
      <c r="DYR111" s="139"/>
      <c r="DYS111" s="139"/>
      <c r="DYT111" s="139"/>
      <c r="DYU111" s="139"/>
      <c r="DYV111" s="139"/>
      <c r="DYW111" s="139"/>
      <c r="DYX111" s="139"/>
      <c r="DYY111" s="139"/>
      <c r="DYZ111" s="139"/>
      <c r="DZA111" s="139"/>
      <c r="DZB111" s="139"/>
      <c r="DZC111" s="139"/>
      <c r="DZD111" s="139"/>
      <c r="DZE111" s="139"/>
      <c r="DZF111" s="139"/>
      <c r="DZG111" s="139"/>
      <c r="DZH111" s="139"/>
      <c r="DZI111" s="139"/>
      <c r="DZJ111" s="139"/>
      <c r="DZK111" s="139"/>
      <c r="DZL111" s="139"/>
      <c r="DZM111" s="139"/>
      <c r="DZN111" s="139"/>
      <c r="DZO111" s="139"/>
      <c r="DZP111" s="139"/>
      <c r="DZQ111" s="139"/>
      <c r="DZR111" s="139"/>
      <c r="DZS111" s="139"/>
      <c r="DZT111" s="139"/>
      <c r="DZU111" s="139"/>
      <c r="DZV111" s="139"/>
      <c r="DZW111" s="139"/>
      <c r="DZX111" s="139"/>
      <c r="DZY111" s="139"/>
      <c r="DZZ111" s="139"/>
      <c r="EAA111" s="139"/>
      <c r="EAB111" s="139"/>
      <c r="EAC111" s="139"/>
      <c r="EAD111" s="139"/>
      <c r="EAE111" s="139"/>
      <c r="EAF111" s="139"/>
      <c r="EAG111" s="139"/>
      <c r="EAH111" s="139"/>
      <c r="EAI111" s="139"/>
      <c r="EAJ111" s="139"/>
      <c r="EAK111" s="139"/>
      <c r="EAL111" s="139"/>
      <c r="EAM111" s="139"/>
      <c r="EAN111" s="139"/>
      <c r="EAO111" s="139"/>
      <c r="EAP111" s="139"/>
      <c r="EAQ111" s="139"/>
      <c r="EAR111" s="139"/>
      <c r="EAS111" s="139"/>
      <c r="EAT111" s="139"/>
      <c r="EAU111" s="139"/>
      <c r="EAV111" s="139"/>
      <c r="EAW111" s="139"/>
      <c r="EAX111" s="139"/>
      <c r="EAY111" s="139"/>
      <c r="EAZ111" s="139"/>
      <c r="EBA111" s="139"/>
      <c r="EBB111" s="139"/>
      <c r="EBC111" s="139"/>
      <c r="EBD111" s="139"/>
      <c r="EBE111" s="139"/>
      <c r="EBF111" s="139"/>
      <c r="EBG111" s="139"/>
      <c r="EBH111" s="139"/>
      <c r="EBI111" s="139"/>
      <c r="EBJ111" s="139"/>
      <c r="EBK111" s="139"/>
      <c r="EBL111" s="139"/>
      <c r="EBM111" s="139"/>
      <c r="EBN111" s="139"/>
      <c r="EBO111" s="139"/>
      <c r="EBP111" s="139"/>
      <c r="EBQ111" s="139"/>
      <c r="EBR111" s="139"/>
      <c r="EBS111" s="139"/>
      <c r="EBT111" s="139"/>
      <c r="EBU111" s="139"/>
      <c r="EBV111" s="139"/>
      <c r="EBW111" s="139"/>
      <c r="EBX111" s="139"/>
      <c r="EBY111" s="139"/>
      <c r="EBZ111" s="139"/>
      <c r="ECA111" s="139"/>
      <c r="ECB111" s="139"/>
      <c r="ECC111" s="139"/>
      <c r="ECD111" s="139"/>
      <c r="ECE111" s="139"/>
      <c r="ECF111" s="139"/>
      <c r="ECG111" s="139"/>
      <c r="ECH111" s="139"/>
      <c r="ECI111" s="139"/>
      <c r="ECJ111" s="139"/>
      <c r="ECK111" s="139"/>
      <c r="ECL111" s="139"/>
      <c r="ECM111" s="139"/>
      <c r="ECN111" s="139"/>
      <c r="ECO111" s="139"/>
      <c r="ECP111" s="139"/>
      <c r="ECQ111" s="139"/>
      <c r="ECR111" s="139"/>
      <c r="ECS111" s="139"/>
      <c r="ECT111" s="139"/>
      <c r="ECU111" s="139"/>
      <c r="ECV111" s="139"/>
      <c r="ECW111" s="139"/>
      <c r="ECX111" s="139"/>
      <c r="ECY111" s="139"/>
      <c r="ECZ111" s="139"/>
      <c r="EDA111" s="139"/>
      <c r="EDB111" s="139"/>
      <c r="EDC111" s="139"/>
      <c r="EDD111" s="139"/>
      <c r="EDE111" s="139"/>
      <c r="EDF111" s="139"/>
      <c r="EDG111" s="139"/>
      <c r="EDH111" s="139"/>
      <c r="EDI111" s="139"/>
      <c r="EDJ111" s="139"/>
      <c r="EDK111" s="139"/>
      <c r="EDL111" s="139"/>
      <c r="EDM111" s="139"/>
      <c r="EDN111" s="139"/>
      <c r="EDO111" s="139"/>
      <c r="EDP111" s="139"/>
      <c r="EDQ111" s="139"/>
      <c r="EDR111" s="139"/>
      <c r="EDS111" s="139"/>
      <c r="EDT111" s="139"/>
      <c r="EDU111" s="139"/>
      <c r="EDV111" s="139"/>
      <c r="EDW111" s="139"/>
      <c r="EDX111" s="139"/>
      <c r="EDY111" s="139"/>
      <c r="EDZ111" s="139"/>
      <c r="EEA111" s="139"/>
      <c r="EEB111" s="139"/>
      <c r="EEC111" s="139"/>
      <c r="EED111" s="139"/>
      <c r="EEE111" s="139"/>
      <c r="EEF111" s="139"/>
      <c r="EEG111" s="139"/>
      <c r="EEH111" s="139"/>
      <c r="EEI111" s="139"/>
      <c r="EEJ111" s="139"/>
      <c r="EEK111" s="139"/>
      <c r="EEL111" s="139"/>
      <c r="EEM111" s="139"/>
      <c r="EEN111" s="139"/>
      <c r="EEO111" s="139"/>
      <c r="EEP111" s="139"/>
      <c r="EEQ111" s="139"/>
      <c r="EER111" s="139"/>
      <c r="EES111" s="139"/>
      <c r="EET111" s="139"/>
      <c r="EEU111" s="139"/>
      <c r="EEV111" s="139"/>
      <c r="EEW111" s="139"/>
      <c r="EEX111" s="139"/>
      <c r="EEY111" s="139"/>
      <c r="EEZ111" s="139"/>
      <c r="EFA111" s="139"/>
      <c r="EFB111" s="139"/>
      <c r="EFC111" s="139"/>
      <c r="EFD111" s="139"/>
      <c r="EFE111" s="139"/>
      <c r="EFF111" s="139"/>
      <c r="EFG111" s="139"/>
      <c r="EFH111" s="139"/>
      <c r="EFI111" s="139"/>
      <c r="EFJ111" s="139"/>
      <c r="EFK111" s="139"/>
      <c r="EFL111" s="139"/>
      <c r="EFM111" s="139"/>
      <c r="EFN111" s="139"/>
      <c r="EFO111" s="139"/>
      <c r="EFP111" s="139"/>
      <c r="EFQ111" s="139"/>
      <c r="EFR111" s="139"/>
      <c r="EFS111" s="139"/>
      <c r="EFT111" s="139"/>
      <c r="EFU111" s="139"/>
      <c r="EFV111" s="139"/>
      <c r="EFW111" s="139"/>
      <c r="EFX111" s="139"/>
      <c r="EFY111" s="139"/>
      <c r="EFZ111" s="139"/>
      <c r="EGA111" s="139"/>
      <c r="EGB111" s="139"/>
      <c r="EGC111" s="139"/>
      <c r="EGD111" s="139"/>
      <c r="EGE111" s="139"/>
      <c r="EGF111" s="139"/>
      <c r="EGG111" s="139"/>
      <c r="EGH111" s="139"/>
      <c r="EGI111" s="139"/>
      <c r="EGJ111" s="139"/>
      <c r="EGK111" s="139"/>
      <c r="EGL111" s="139"/>
      <c r="EGM111" s="139"/>
      <c r="EGN111" s="139"/>
      <c r="EGO111" s="139"/>
      <c r="EGP111" s="139"/>
      <c r="EGQ111" s="139"/>
      <c r="EGR111" s="139"/>
      <c r="EGS111" s="139"/>
      <c r="EGT111" s="139"/>
      <c r="EGU111" s="139"/>
      <c r="EGV111" s="139"/>
      <c r="EGW111" s="139"/>
      <c r="EGX111" s="139"/>
      <c r="EGY111" s="139"/>
      <c r="EGZ111" s="139"/>
      <c r="EHA111" s="139"/>
      <c r="EHB111" s="139"/>
      <c r="EHC111" s="139"/>
      <c r="EHD111" s="139"/>
      <c r="EHE111" s="139"/>
      <c r="EHF111" s="139"/>
      <c r="EHG111" s="139"/>
      <c r="EHH111" s="139"/>
      <c r="EHI111" s="139"/>
      <c r="EHJ111" s="139"/>
      <c r="EHK111" s="139"/>
      <c r="EHL111" s="139"/>
      <c r="EHM111" s="139"/>
      <c r="EHN111" s="139"/>
      <c r="EHO111" s="139"/>
      <c r="EHP111" s="139"/>
      <c r="EHQ111" s="139"/>
      <c r="EHR111" s="139"/>
      <c r="EHS111" s="139"/>
      <c r="EHT111" s="139"/>
      <c r="EHU111" s="139"/>
      <c r="EHV111" s="139"/>
      <c r="EHW111" s="139"/>
      <c r="EHX111" s="139"/>
      <c r="EHY111" s="139"/>
      <c r="EHZ111" s="139"/>
      <c r="EIA111" s="139"/>
      <c r="EIB111" s="139"/>
      <c r="EIC111" s="139"/>
      <c r="EID111" s="139"/>
      <c r="EIE111" s="139"/>
      <c r="EIF111" s="139"/>
      <c r="EIG111" s="139"/>
      <c r="EIH111" s="139"/>
      <c r="EII111" s="139"/>
      <c r="EIJ111" s="139"/>
      <c r="EIK111" s="139"/>
      <c r="EIL111" s="139"/>
      <c r="EIM111" s="139"/>
      <c r="EIN111" s="139"/>
      <c r="EIO111" s="139"/>
      <c r="EIP111" s="139"/>
      <c r="EIQ111" s="139"/>
      <c r="EIR111" s="139"/>
      <c r="EIS111" s="139"/>
      <c r="EIT111" s="139"/>
      <c r="EIU111" s="139"/>
      <c r="EIV111" s="139"/>
      <c r="EIW111" s="139"/>
      <c r="EIX111" s="139"/>
      <c r="EIY111" s="139"/>
      <c r="EIZ111" s="139"/>
      <c r="EJA111" s="139"/>
      <c r="EJB111" s="139"/>
      <c r="EJC111" s="139"/>
      <c r="EJD111" s="139"/>
      <c r="EJE111" s="139"/>
      <c r="EJF111" s="139"/>
      <c r="EJG111" s="139"/>
      <c r="EJH111" s="139"/>
      <c r="EJI111" s="139"/>
      <c r="EJJ111" s="139"/>
      <c r="EJK111" s="139"/>
      <c r="EJL111" s="139"/>
      <c r="EJM111" s="139"/>
      <c r="EJN111" s="139"/>
      <c r="EJO111" s="139"/>
      <c r="EJP111" s="139"/>
      <c r="EJQ111" s="139"/>
      <c r="EJR111" s="139"/>
      <c r="EJS111" s="139"/>
      <c r="EJT111" s="139"/>
      <c r="EJU111" s="139"/>
      <c r="EJV111" s="139"/>
      <c r="EJW111" s="139"/>
      <c r="EJX111" s="139"/>
      <c r="EJY111" s="139"/>
      <c r="EJZ111" s="139"/>
      <c r="EKA111" s="139"/>
      <c r="EKB111" s="139"/>
      <c r="EKC111" s="139"/>
      <c r="EKD111" s="139"/>
      <c r="EKE111" s="139"/>
      <c r="EKF111" s="139"/>
      <c r="EKG111" s="139"/>
      <c r="EKH111" s="139"/>
      <c r="EKI111" s="139"/>
      <c r="EKJ111" s="139"/>
      <c r="EKK111" s="139"/>
      <c r="EKL111" s="139"/>
      <c r="EKM111" s="139"/>
      <c r="EKN111" s="139"/>
      <c r="EKO111" s="139"/>
      <c r="EKP111" s="139"/>
      <c r="EKQ111" s="139"/>
      <c r="EKR111" s="139"/>
      <c r="EKS111" s="139"/>
      <c r="EKT111" s="139"/>
      <c r="EKU111" s="139"/>
      <c r="EKV111" s="139"/>
      <c r="EKW111" s="139"/>
      <c r="EKX111" s="139"/>
      <c r="EKY111" s="139"/>
      <c r="EKZ111" s="139"/>
      <c r="ELA111" s="139"/>
      <c r="ELB111" s="139"/>
      <c r="ELC111" s="139"/>
      <c r="ELD111" s="139"/>
      <c r="ELE111" s="139"/>
      <c r="ELF111" s="139"/>
      <c r="ELG111" s="139"/>
      <c r="ELH111" s="139"/>
      <c r="ELI111" s="139"/>
      <c r="ELJ111" s="139"/>
      <c r="ELK111" s="139"/>
      <c r="ELL111" s="139"/>
      <c r="ELM111" s="139"/>
      <c r="ELN111" s="139"/>
      <c r="ELO111" s="139"/>
      <c r="ELP111" s="139"/>
      <c r="ELQ111" s="139"/>
      <c r="ELR111" s="139"/>
      <c r="ELS111" s="139"/>
      <c r="ELT111" s="139"/>
      <c r="ELU111" s="139"/>
      <c r="ELV111" s="139"/>
      <c r="ELW111" s="139"/>
      <c r="ELX111" s="139"/>
      <c r="ELY111" s="139"/>
      <c r="ELZ111" s="139"/>
      <c r="EMA111" s="139"/>
      <c r="EMB111" s="139"/>
      <c r="EMC111" s="139"/>
      <c r="EMD111" s="139"/>
      <c r="EME111" s="139"/>
      <c r="EMF111" s="139"/>
      <c r="EMG111" s="139"/>
      <c r="EMH111" s="139"/>
      <c r="EMI111" s="139"/>
      <c r="EMJ111" s="139"/>
      <c r="EMK111" s="139"/>
      <c r="EML111" s="139"/>
      <c r="EMM111" s="139"/>
      <c r="EMN111" s="139"/>
      <c r="EMO111" s="139"/>
      <c r="EMP111" s="139"/>
      <c r="EMQ111" s="139"/>
      <c r="EMR111" s="139"/>
      <c r="EMS111" s="139"/>
      <c r="EMT111" s="139"/>
      <c r="EMU111" s="139"/>
      <c r="EMV111" s="139"/>
      <c r="EMW111" s="139"/>
      <c r="EMX111" s="139"/>
      <c r="EMY111" s="139"/>
      <c r="EMZ111" s="139"/>
      <c r="ENA111" s="139"/>
      <c r="ENB111" s="139"/>
      <c r="ENC111" s="139"/>
      <c r="END111" s="139"/>
      <c r="ENE111" s="139"/>
      <c r="ENF111" s="139"/>
      <c r="ENG111" s="139"/>
      <c r="ENH111" s="139"/>
      <c r="ENI111" s="139"/>
      <c r="ENJ111" s="139"/>
      <c r="ENK111" s="139"/>
      <c r="ENL111" s="139"/>
      <c r="ENM111" s="139"/>
      <c r="ENN111" s="139"/>
      <c r="ENO111" s="139"/>
      <c r="ENP111" s="139"/>
      <c r="ENQ111" s="139"/>
      <c r="ENR111" s="139"/>
      <c r="ENS111" s="139"/>
      <c r="ENT111" s="139"/>
      <c r="ENU111" s="139"/>
      <c r="ENV111" s="139"/>
      <c r="ENW111" s="139"/>
      <c r="ENX111" s="139"/>
      <c r="ENY111" s="139"/>
      <c r="ENZ111" s="139"/>
      <c r="EOA111" s="139"/>
      <c r="EOB111" s="139"/>
      <c r="EOC111" s="139"/>
      <c r="EOD111" s="139"/>
      <c r="EOE111" s="139"/>
      <c r="EOF111" s="139"/>
      <c r="EOG111" s="139"/>
      <c r="EOH111" s="139"/>
      <c r="EOI111" s="139"/>
      <c r="EOJ111" s="139"/>
      <c r="EOK111" s="139"/>
      <c r="EOL111" s="139"/>
      <c r="EOM111" s="139"/>
      <c r="EON111" s="139"/>
      <c r="EOO111" s="139"/>
      <c r="EOP111" s="139"/>
      <c r="EOQ111" s="139"/>
      <c r="EOR111" s="139"/>
      <c r="EOS111" s="139"/>
      <c r="EOT111" s="139"/>
      <c r="EOU111" s="139"/>
      <c r="EOV111" s="139"/>
      <c r="EOW111" s="139"/>
      <c r="EOX111" s="139"/>
      <c r="EOY111" s="139"/>
      <c r="EOZ111" s="139"/>
      <c r="EPA111" s="139"/>
      <c r="EPB111" s="139"/>
      <c r="EPC111" s="139"/>
      <c r="EPD111" s="139"/>
      <c r="EPE111" s="139"/>
      <c r="EPF111" s="139"/>
      <c r="EPG111" s="139"/>
      <c r="EPH111" s="139"/>
      <c r="EPI111" s="139"/>
      <c r="EPJ111" s="139"/>
      <c r="EPK111" s="139"/>
      <c r="EPL111" s="139"/>
      <c r="EPM111" s="139"/>
      <c r="EPN111" s="139"/>
      <c r="EPO111" s="139"/>
      <c r="EPP111" s="139"/>
      <c r="EPQ111" s="139"/>
      <c r="EPR111" s="139"/>
      <c r="EPS111" s="139"/>
      <c r="EPT111" s="139"/>
      <c r="EPU111" s="139"/>
      <c r="EPV111" s="139"/>
      <c r="EPW111" s="139"/>
      <c r="EPX111" s="139"/>
      <c r="EPY111" s="139"/>
      <c r="EPZ111" s="139"/>
      <c r="EQA111" s="139"/>
      <c r="EQB111" s="139"/>
      <c r="EQC111" s="139"/>
      <c r="EQD111" s="139"/>
      <c r="EQE111" s="139"/>
      <c r="EQF111" s="139"/>
      <c r="EQG111" s="139"/>
      <c r="EQH111" s="139"/>
      <c r="EQI111" s="139"/>
      <c r="EQJ111" s="139"/>
      <c r="EQK111" s="139"/>
      <c r="EQL111" s="139"/>
      <c r="EQM111" s="139"/>
      <c r="EQN111" s="139"/>
      <c r="EQO111" s="139"/>
      <c r="EQP111" s="139"/>
      <c r="EQQ111" s="139"/>
      <c r="EQR111" s="139"/>
      <c r="EQS111" s="139"/>
      <c r="EQT111" s="139"/>
      <c r="EQU111" s="139"/>
      <c r="EQV111" s="139"/>
      <c r="EQW111" s="139"/>
      <c r="EQX111" s="139"/>
      <c r="EQY111" s="139"/>
      <c r="EQZ111" s="139"/>
      <c r="ERA111" s="139"/>
      <c r="ERB111" s="139"/>
      <c r="ERC111" s="139"/>
      <c r="ERD111" s="139"/>
      <c r="ERE111" s="139"/>
      <c r="ERF111" s="139"/>
      <c r="ERG111" s="139"/>
      <c r="ERH111" s="139"/>
      <c r="ERI111" s="139"/>
      <c r="ERJ111" s="139"/>
      <c r="ERK111" s="139"/>
      <c r="ERL111" s="139"/>
      <c r="ERM111" s="139"/>
      <c r="ERN111" s="139"/>
      <c r="ERO111" s="139"/>
      <c r="ERP111" s="139"/>
      <c r="ERQ111" s="139"/>
      <c r="ERR111" s="139"/>
      <c r="ERS111" s="139"/>
      <c r="ERT111" s="139"/>
      <c r="ERU111" s="139"/>
      <c r="ERV111" s="139"/>
      <c r="ERW111" s="139"/>
      <c r="ERX111" s="139"/>
      <c r="ERY111" s="139"/>
      <c r="ERZ111" s="139"/>
      <c r="ESA111" s="139"/>
      <c r="ESB111" s="139"/>
      <c r="ESC111" s="139"/>
      <c r="ESD111" s="139"/>
      <c r="ESE111" s="139"/>
      <c r="ESF111" s="139"/>
      <c r="ESG111" s="139"/>
      <c r="ESH111" s="139"/>
      <c r="ESI111" s="139"/>
      <c r="ESJ111" s="139"/>
      <c r="ESK111" s="139"/>
      <c r="ESL111" s="139"/>
      <c r="ESM111" s="139"/>
      <c r="ESN111" s="139"/>
      <c r="ESO111" s="139"/>
      <c r="ESP111" s="139"/>
      <c r="ESQ111" s="139"/>
      <c r="ESR111" s="139"/>
      <c r="ESS111" s="139"/>
      <c r="EST111" s="139"/>
      <c r="ESU111" s="139"/>
      <c r="ESV111" s="139"/>
      <c r="ESW111" s="139"/>
      <c r="ESX111" s="139"/>
      <c r="ESY111" s="139"/>
      <c r="ESZ111" s="139"/>
      <c r="ETA111" s="139"/>
      <c r="ETB111" s="139"/>
      <c r="ETC111" s="139"/>
      <c r="ETD111" s="139"/>
      <c r="ETE111" s="139"/>
      <c r="ETF111" s="139"/>
      <c r="ETG111" s="139"/>
      <c r="ETH111" s="139"/>
      <c r="ETI111" s="139"/>
      <c r="ETJ111" s="139"/>
      <c r="ETK111" s="139"/>
      <c r="ETL111" s="139"/>
      <c r="ETM111" s="139"/>
      <c r="ETN111" s="139"/>
      <c r="ETO111" s="139"/>
      <c r="ETP111" s="139"/>
      <c r="ETQ111" s="139"/>
      <c r="ETR111" s="139"/>
      <c r="ETS111" s="139"/>
      <c r="ETT111" s="139"/>
      <c r="ETU111" s="139"/>
      <c r="ETV111" s="139"/>
      <c r="ETW111" s="139"/>
      <c r="ETX111" s="139"/>
      <c r="ETY111" s="139"/>
      <c r="ETZ111" s="139"/>
      <c r="EUA111" s="139"/>
      <c r="EUB111" s="139"/>
      <c r="EUC111" s="139"/>
      <c r="EUD111" s="139"/>
      <c r="EUE111" s="139"/>
      <c r="EUF111" s="139"/>
      <c r="EUG111" s="139"/>
      <c r="EUH111" s="139"/>
      <c r="EUI111" s="139"/>
      <c r="EUJ111" s="139"/>
      <c r="EUK111" s="139"/>
      <c r="EUL111" s="139"/>
      <c r="EUM111" s="139"/>
      <c r="EUN111" s="139"/>
      <c r="EUO111" s="139"/>
      <c r="EUP111" s="139"/>
      <c r="EUQ111" s="139"/>
      <c r="EUR111" s="139"/>
      <c r="EUS111" s="139"/>
      <c r="EUT111" s="139"/>
      <c r="EUU111" s="139"/>
      <c r="EUV111" s="139"/>
      <c r="EUW111" s="139"/>
      <c r="EUX111" s="139"/>
      <c r="EUY111" s="139"/>
      <c r="EUZ111" s="139"/>
      <c r="EVA111" s="139"/>
      <c r="EVB111" s="139"/>
      <c r="EVC111" s="139"/>
      <c r="EVD111" s="139"/>
      <c r="EVE111" s="139"/>
      <c r="EVF111" s="139"/>
      <c r="EVG111" s="139"/>
      <c r="EVH111" s="139"/>
      <c r="EVI111" s="139"/>
      <c r="EVJ111" s="139"/>
      <c r="EVK111" s="139"/>
      <c r="EVL111" s="139"/>
      <c r="EVM111" s="139"/>
      <c r="EVN111" s="139"/>
      <c r="EVO111" s="139"/>
      <c r="EVP111" s="139"/>
      <c r="EVQ111" s="139"/>
      <c r="EVR111" s="139"/>
      <c r="EVS111" s="139"/>
      <c r="EVT111" s="139"/>
      <c r="EVU111" s="139"/>
      <c r="EVV111" s="139"/>
      <c r="EVW111" s="139"/>
      <c r="EVX111" s="139"/>
      <c r="EVY111" s="139"/>
      <c r="EVZ111" s="139"/>
      <c r="EWA111" s="139"/>
      <c r="EWB111" s="139"/>
      <c r="EWC111" s="139"/>
      <c r="EWD111" s="139"/>
      <c r="EWE111" s="139"/>
      <c r="EWF111" s="139"/>
      <c r="EWG111" s="139"/>
      <c r="EWH111" s="139"/>
      <c r="EWI111" s="139"/>
      <c r="EWJ111" s="139"/>
      <c r="EWK111" s="139"/>
      <c r="EWL111" s="139"/>
      <c r="EWM111" s="139"/>
      <c r="EWN111" s="139"/>
      <c r="EWO111" s="139"/>
      <c r="EWP111" s="139"/>
      <c r="EWQ111" s="139"/>
      <c r="EWR111" s="139"/>
      <c r="EWS111" s="139"/>
      <c r="EWT111" s="139"/>
      <c r="EWU111" s="139"/>
      <c r="EWV111" s="139"/>
      <c r="EWW111" s="139"/>
      <c r="EWX111" s="139"/>
      <c r="EWY111" s="139"/>
      <c r="EWZ111" s="139"/>
      <c r="EXA111" s="139"/>
      <c r="EXB111" s="139"/>
      <c r="EXC111" s="139"/>
      <c r="EXD111" s="139"/>
      <c r="EXE111" s="139"/>
      <c r="EXF111" s="139"/>
      <c r="EXG111" s="139"/>
      <c r="EXH111" s="139"/>
      <c r="EXI111" s="139"/>
      <c r="EXJ111" s="139"/>
      <c r="EXK111" s="139"/>
      <c r="EXL111" s="139"/>
      <c r="EXM111" s="139"/>
      <c r="EXN111" s="139"/>
      <c r="EXO111" s="139"/>
      <c r="EXP111" s="139"/>
      <c r="EXQ111" s="139"/>
      <c r="EXR111" s="139"/>
      <c r="EXS111" s="139"/>
      <c r="EXT111" s="139"/>
      <c r="EXU111" s="139"/>
      <c r="EXV111" s="139"/>
      <c r="EXW111" s="139"/>
      <c r="EXX111" s="139"/>
      <c r="EXY111" s="139"/>
      <c r="EXZ111" s="139"/>
      <c r="EYA111" s="139"/>
      <c r="EYB111" s="139"/>
      <c r="EYC111" s="139"/>
      <c r="EYD111" s="139"/>
      <c r="EYE111" s="139"/>
      <c r="EYF111" s="139"/>
      <c r="EYG111" s="139"/>
      <c r="EYH111" s="139"/>
      <c r="EYI111" s="139"/>
      <c r="EYJ111" s="139"/>
      <c r="EYK111" s="139"/>
      <c r="EYL111" s="139"/>
      <c r="EYM111" s="139"/>
      <c r="EYN111" s="139"/>
      <c r="EYO111" s="139"/>
      <c r="EYP111" s="139"/>
      <c r="EYQ111" s="139"/>
      <c r="EYR111" s="139"/>
      <c r="EYS111" s="139"/>
      <c r="EYT111" s="139"/>
      <c r="EYU111" s="139"/>
      <c r="EYV111" s="139"/>
      <c r="EYW111" s="139"/>
      <c r="EYX111" s="139"/>
      <c r="EYY111" s="139"/>
      <c r="EYZ111" s="139"/>
      <c r="EZA111" s="139"/>
      <c r="EZB111" s="139"/>
      <c r="EZC111" s="139"/>
      <c r="EZD111" s="139"/>
      <c r="EZE111" s="139"/>
      <c r="EZF111" s="139"/>
      <c r="EZG111" s="139"/>
      <c r="EZH111" s="139"/>
      <c r="EZI111" s="139"/>
      <c r="EZJ111" s="139"/>
      <c r="EZK111" s="139"/>
      <c r="EZL111" s="139"/>
      <c r="EZM111" s="139"/>
      <c r="EZN111" s="139"/>
      <c r="EZO111" s="139"/>
      <c r="EZP111" s="139"/>
      <c r="EZQ111" s="139"/>
      <c r="EZR111" s="139"/>
      <c r="EZS111" s="139"/>
      <c r="EZT111" s="139"/>
      <c r="EZU111" s="139"/>
      <c r="EZV111" s="139"/>
      <c r="EZW111" s="139"/>
      <c r="EZX111" s="139"/>
      <c r="EZY111" s="139"/>
      <c r="EZZ111" s="139"/>
      <c r="FAA111" s="139"/>
      <c r="FAB111" s="139"/>
      <c r="FAC111" s="139"/>
      <c r="FAD111" s="139"/>
      <c r="FAE111" s="139"/>
      <c r="FAF111" s="139"/>
      <c r="FAG111" s="139"/>
      <c r="FAH111" s="139"/>
      <c r="FAI111" s="139"/>
      <c r="FAJ111" s="139"/>
      <c r="FAK111" s="139"/>
      <c r="FAL111" s="139"/>
      <c r="FAM111" s="139"/>
      <c r="FAN111" s="139"/>
      <c r="FAO111" s="139"/>
      <c r="FAP111" s="139"/>
      <c r="FAQ111" s="139"/>
      <c r="FAR111" s="139"/>
      <c r="FAS111" s="139"/>
      <c r="FAT111" s="139"/>
      <c r="FAU111" s="139"/>
      <c r="FAV111" s="139"/>
      <c r="FAW111" s="139"/>
      <c r="FAX111" s="139"/>
      <c r="FAY111" s="139"/>
      <c r="FAZ111" s="139"/>
      <c r="FBA111" s="139"/>
      <c r="FBB111" s="139"/>
      <c r="FBC111" s="139"/>
      <c r="FBD111" s="139"/>
      <c r="FBE111" s="139"/>
      <c r="FBF111" s="139"/>
      <c r="FBG111" s="139"/>
      <c r="FBH111" s="139"/>
      <c r="FBI111" s="139"/>
      <c r="FBJ111" s="139"/>
      <c r="FBK111" s="139"/>
      <c r="FBL111" s="139"/>
      <c r="FBM111" s="139"/>
      <c r="FBN111" s="139"/>
      <c r="FBO111" s="139"/>
      <c r="FBP111" s="139"/>
      <c r="FBQ111" s="139"/>
      <c r="FBR111" s="139"/>
      <c r="FBS111" s="139"/>
      <c r="FBT111" s="139"/>
      <c r="FBU111" s="139"/>
      <c r="FBV111" s="139"/>
      <c r="FBW111" s="139"/>
      <c r="FBX111" s="139"/>
      <c r="FBY111" s="139"/>
      <c r="FBZ111" s="139"/>
      <c r="FCA111" s="139"/>
      <c r="FCB111" s="139"/>
      <c r="FCC111" s="139"/>
      <c r="FCD111" s="139"/>
      <c r="FCE111" s="139"/>
      <c r="FCF111" s="139"/>
      <c r="FCG111" s="139"/>
      <c r="FCH111" s="139"/>
      <c r="FCI111" s="139"/>
      <c r="FCJ111" s="139"/>
      <c r="FCK111" s="139"/>
      <c r="FCL111" s="139"/>
      <c r="FCM111" s="139"/>
      <c r="FCN111" s="139"/>
      <c r="FCO111" s="139"/>
      <c r="FCP111" s="139"/>
      <c r="FCQ111" s="139"/>
      <c r="FCR111" s="139"/>
      <c r="FCS111" s="139"/>
      <c r="FCT111" s="139"/>
      <c r="FCU111" s="139"/>
      <c r="FCV111" s="139"/>
      <c r="FCW111" s="139"/>
      <c r="FCX111" s="139"/>
      <c r="FCY111" s="139"/>
      <c r="FCZ111" s="139"/>
      <c r="FDA111" s="139"/>
      <c r="FDB111" s="139"/>
      <c r="FDC111" s="139"/>
      <c r="FDD111" s="139"/>
      <c r="FDE111" s="139"/>
      <c r="FDF111" s="139"/>
      <c r="FDG111" s="139"/>
      <c r="FDH111" s="139"/>
      <c r="FDI111" s="139"/>
      <c r="FDJ111" s="139"/>
      <c r="FDK111" s="139"/>
      <c r="FDL111" s="139"/>
      <c r="FDM111" s="139"/>
      <c r="FDN111" s="139"/>
      <c r="FDO111" s="139"/>
      <c r="FDP111" s="139"/>
      <c r="FDQ111" s="139"/>
      <c r="FDR111" s="139"/>
      <c r="FDS111" s="139"/>
      <c r="FDT111" s="139"/>
      <c r="FDU111" s="139"/>
      <c r="FDV111" s="139"/>
      <c r="FDW111" s="139"/>
      <c r="FDX111" s="139"/>
      <c r="FDY111" s="139"/>
      <c r="FDZ111" s="139"/>
      <c r="FEA111" s="139"/>
      <c r="FEB111" s="139"/>
      <c r="FEC111" s="139"/>
      <c r="FED111" s="139"/>
      <c r="FEE111" s="139"/>
      <c r="FEF111" s="139"/>
      <c r="FEG111" s="139"/>
      <c r="FEH111" s="139"/>
      <c r="FEI111" s="139"/>
      <c r="FEJ111" s="139"/>
      <c r="FEK111" s="139"/>
      <c r="FEL111" s="139"/>
      <c r="FEM111" s="139"/>
      <c r="FEN111" s="139"/>
      <c r="FEO111" s="139"/>
      <c r="FEP111" s="139"/>
      <c r="FEQ111" s="139"/>
      <c r="FER111" s="139"/>
      <c r="FES111" s="139"/>
      <c r="FET111" s="139"/>
      <c r="FEU111" s="139"/>
      <c r="FEV111" s="139"/>
      <c r="FEW111" s="139"/>
      <c r="FEX111" s="139"/>
      <c r="FEY111" s="139"/>
      <c r="FEZ111" s="139"/>
      <c r="FFA111" s="139"/>
      <c r="FFB111" s="139"/>
      <c r="FFC111" s="139"/>
      <c r="FFD111" s="139"/>
      <c r="FFE111" s="139"/>
      <c r="FFF111" s="139"/>
      <c r="FFG111" s="139"/>
      <c r="FFH111" s="139"/>
      <c r="FFI111" s="139"/>
      <c r="FFJ111" s="139"/>
      <c r="FFK111" s="139"/>
      <c r="FFL111" s="139"/>
      <c r="FFM111" s="139"/>
      <c r="FFN111" s="139"/>
      <c r="FFO111" s="139"/>
      <c r="FFP111" s="139"/>
      <c r="FFQ111" s="139"/>
      <c r="FFR111" s="139"/>
      <c r="FFS111" s="139"/>
      <c r="FFT111" s="139"/>
      <c r="FFU111" s="139"/>
      <c r="FFV111" s="139"/>
      <c r="FFW111" s="139"/>
      <c r="FFX111" s="139"/>
      <c r="FFY111" s="139"/>
      <c r="FFZ111" s="139"/>
      <c r="FGA111" s="139"/>
      <c r="FGB111" s="139"/>
      <c r="FGC111" s="139"/>
      <c r="FGD111" s="139"/>
      <c r="FGE111" s="139"/>
      <c r="FGF111" s="139"/>
      <c r="FGG111" s="139"/>
      <c r="FGH111" s="139"/>
      <c r="FGI111" s="139"/>
      <c r="FGJ111" s="139"/>
      <c r="FGK111" s="139"/>
      <c r="FGL111" s="139"/>
      <c r="FGM111" s="139"/>
      <c r="FGN111" s="139"/>
      <c r="FGO111" s="139"/>
      <c r="FGP111" s="139"/>
      <c r="FGQ111" s="139"/>
      <c r="FGR111" s="139"/>
      <c r="FGS111" s="139"/>
      <c r="FGT111" s="139"/>
      <c r="FGU111" s="139"/>
      <c r="FGV111" s="139"/>
      <c r="FGW111" s="139"/>
      <c r="FGX111" s="139"/>
      <c r="FGY111" s="139"/>
      <c r="FGZ111" s="139"/>
      <c r="FHA111" s="139"/>
      <c r="FHB111" s="139"/>
      <c r="FHC111" s="139"/>
      <c r="FHD111" s="139"/>
      <c r="FHE111" s="139"/>
      <c r="FHF111" s="139"/>
      <c r="FHG111" s="139"/>
      <c r="FHH111" s="139"/>
      <c r="FHI111" s="139"/>
      <c r="FHJ111" s="139"/>
      <c r="FHK111" s="139"/>
      <c r="FHL111" s="139"/>
      <c r="FHM111" s="139"/>
      <c r="FHN111" s="139"/>
      <c r="FHO111" s="139"/>
      <c r="FHP111" s="139"/>
      <c r="FHQ111" s="139"/>
      <c r="FHR111" s="139"/>
      <c r="FHS111" s="139"/>
      <c r="FHT111" s="139"/>
      <c r="FHU111" s="139"/>
      <c r="FHV111" s="139"/>
      <c r="FHW111" s="139"/>
      <c r="FHX111" s="139"/>
      <c r="FHY111" s="139"/>
      <c r="FHZ111" s="139"/>
      <c r="FIA111" s="139"/>
      <c r="FIB111" s="139"/>
      <c r="FIC111" s="139"/>
      <c r="FID111" s="139"/>
      <c r="FIE111" s="139"/>
      <c r="FIF111" s="139"/>
      <c r="FIG111" s="139"/>
      <c r="FIH111" s="139"/>
      <c r="FII111" s="139"/>
      <c r="FIJ111" s="139"/>
      <c r="FIK111" s="139"/>
      <c r="FIL111" s="139"/>
      <c r="FIM111" s="139"/>
      <c r="FIN111" s="139"/>
      <c r="FIO111" s="139"/>
      <c r="FIP111" s="139"/>
      <c r="FIQ111" s="139"/>
      <c r="FIR111" s="139"/>
      <c r="FIS111" s="139"/>
      <c r="FIT111" s="139"/>
      <c r="FIU111" s="139"/>
      <c r="FIV111" s="139"/>
      <c r="FIW111" s="139"/>
      <c r="FIX111" s="139"/>
      <c r="FIY111" s="139"/>
      <c r="FIZ111" s="139"/>
      <c r="FJA111" s="139"/>
      <c r="FJB111" s="139"/>
      <c r="FJC111" s="139"/>
      <c r="FJD111" s="139"/>
      <c r="FJE111" s="139"/>
      <c r="FJF111" s="139"/>
      <c r="FJG111" s="139"/>
      <c r="FJH111" s="139"/>
      <c r="FJI111" s="139"/>
      <c r="FJJ111" s="139"/>
      <c r="FJK111" s="139"/>
      <c r="FJL111" s="139"/>
      <c r="FJM111" s="139"/>
      <c r="FJN111" s="139"/>
      <c r="FJO111" s="139"/>
      <c r="FJP111" s="139"/>
      <c r="FJQ111" s="139"/>
      <c r="FJR111" s="139"/>
      <c r="FJS111" s="139"/>
      <c r="FJT111" s="139"/>
      <c r="FJU111" s="139"/>
      <c r="FJV111" s="139"/>
      <c r="FJW111" s="139"/>
      <c r="FJX111" s="139"/>
      <c r="FJY111" s="139"/>
      <c r="FJZ111" s="139"/>
      <c r="FKA111" s="139"/>
      <c r="FKB111" s="139"/>
      <c r="FKC111" s="139"/>
      <c r="FKD111" s="139"/>
      <c r="FKE111" s="139"/>
      <c r="FKF111" s="139"/>
      <c r="FKG111" s="139"/>
      <c r="FKH111" s="139"/>
      <c r="FKI111" s="139"/>
      <c r="FKJ111" s="139"/>
      <c r="FKK111" s="139"/>
      <c r="FKL111" s="139"/>
      <c r="FKM111" s="139"/>
      <c r="FKN111" s="139"/>
      <c r="FKO111" s="139"/>
      <c r="FKP111" s="139"/>
      <c r="FKQ111" s="139"/>
      <c r="FKR111" s="139"/>
      <c r="FKS111" s="139"/>
      <c r="FKT111" s="139"/>
      <c r="FKU111" s="139"/>
      <c r="FKV111" s="139"/>
      <c r="FKW111" s="139"/>
      <c r="FKX111" s="139"/>
      <c r="FKY111" s="139"/>
      <c r="FKZ111" s="139"/>
      <c r="FLA111" s="139"/>
      <c r="FLB111" s="139"/>
      <c r="FLC111" s="139"/>
      <c r="FLD111" s="139"/>
      <c r="FLE111" s="139"/>
      <c r="FLF111" s="139"/>
      <c r="FLG111" s="139"/>
      <c r="FLH111" s="139"/>
      <c r="FLI111" s="139"/>
      <c r="FLJ111" s="139"/>
      <c r="FLK111" s="139"/>
      <c r="FLL111" s="139"/>
      <c r="FLM111" s="139"/>
      <c r="FLN111" s="139"/>
      <c r="FLO111" s="139"/>
      <c r="FLP111" s="139"/>
      <c r="FLQ111" s="139"/>
      <c r="FLR111" s="139"/>
      <c r="FLS111" s="139"/>
      <c r="FLT111" s="139"/>
      <c r="FLU111" s="139"/>
      <c r="FLV111" s="139"/>
      <c r="FLW111" s="139"/>
      <c r="FLX111" s="139"/>
      <c r="FLY111" s="139"/>
      <c r="FLZ111" s="139"/>
      <c r="FMA111" s="139"/>
      <c r="FMB111" s="139"/>
      <c r="FMC111" s="139"/>
      <c r="FMD111" s="139"/>
      <c r="FME111" s="139"/>
      <c r="FMF111" s="139"/>
      <c r="FMG111" s="139"/>
      <c r="FMH111" s="139"/>
      <c r="FMI111" s="139"/>
      <c r="FMJ111" s="139"/>
      <c r="FMK111" s="139"/>
      <c r="FML111" s="139"/>
      <c r="FMM111" s="139"/>
      <c r="FMN111" s="139"/>
      <c r="FMO111" s="139"/>
      <c r="FMP111" s="139"/>
      <c r="FMQ111" s="139"/>
      <c r="FMR111" s="139"/>
      <c r="FMS111" s="139"/>
      <c r="FMT111" s="139"/>
      <c r="FMU111" s="139"/>
      <c r="FMV111" s="139"/>
      <c r="FMW111" s="139"/>
      <c r="FMX111" s="139"/>
      <c r="FMY111" s="139"/>
      <c r="FMZ111" s="139"/>
      <c r="FNA111" s="139"/>
      <c r="FNB111" s="139"/>
      <c r="FNC111" s="139"/>
      <c r="FND111" s="139"/>
      <c r="FNE111" s="139"/>
      <c r="FNF111" s="139"/>
      <c r="FNG111" s="139"/>
      <c r="FNH111" s="139"/>
      <c r="FNI111" s="139"/>
      <c r="FNJ111" s="139"/>
      <c r="FNK111" s="139"/>
      <c r="FNL111" s="139"/>
      <c r="FNM111" s="139"/>
      <c r="FNN111" s="139"/>
      <c r="FNO111" s="139"/>
      <c r="FNP111" s="139"/>
      <c r="FNQ111" s="139"/>
      <c r="FNR111" s="139"/>
      <c r="FNS111" s="139"/>
      <c r="FNT111" s="139"/>
      <c r="FNU111" s="139"/>
      <c r="FNV111" s="139"/>
      <c r="FNW111" s="139"/>
      <c r="FNX111" s="139"/>
      <c r="FNY111" s="139"/>
      <c r="FNZ111" s="139"/>
      <c r="FOA111" s="139"/>
      <c r="FOB111" s="139"/>
      <c r="FOC111" s="139"/>
      <c r="FOD111" s="139"/>
      <c r="FOE111" s="139"/>
      <c r="FOF111" s="139"/>
      <c r="FOG111" s="139"/>
      <c r="FOH111" s="139"/>
      <c r="FOI111" s="139"/>
      <c r="FOJ111" s="139"/>
      <c r="FOK111" s="139"/>
      <c r="FOL111" s="139"/>
      <c r="FOM111" s="139"/>
      <c r="FON111" s="139"/>
      <c r="FOO111" s="139"/>
      <c r="FOP111" s="139"/>
      <c r="FOQ111" s="139"/>
      <c r="FOR111" s="139"/>
      <c r="FOS111" s="139"/>
      <c r="FOT111" s="139"/>
      <c r="FOU111" s="139"/>
      <c r="FOV111" s="139"/>
      <c r="FOW111" s="139"/>
      <c r="FOX111" s="139"/>
      <c r="FOY111" s="139"/>
      <c r="FOZ111" s="139"/>
      <c r="FPA111" s="139"/>
      <c r="FPB111" s="139"/>
      <c r="FPC111" s="139"/>
      <c r="FPD111" s="139"/>
      <c r="FPE111" s="139"/>
      <c r="FPF111" s="139"/>
      <c r="FPG111" s="139"/>
      <c r="FPH111" s="139"/>
      <c r="FPI111" s="139"/>
      <c r="FPJ111" s="139"/>
      <c r="FPK111" s="139"/>
      <c r="FPL111" s="139"/>
      <c r="FPM111" s="139"/>
      <c r="FPN111" s="139"/>
      <c r="FPO111" s="139"/>
      <c r="FPP111" s="139"/>
      <c r="FPQ111" s="139"/>
      <c r="FPR111" s="139"/>
      <c r="FPS111" s="139"/>
      <c r="FPT111" s="139"/>
      <c r="FPU111" s="139"/>
      <c r="FPV111" s="139"/>
      <c r="FPW111" s="139"/>
      <c r="FPX111" s="139"/>
      <c r="FPY111" s="139"/>
      <c r="FPZ111" s="139"/>
      <c r="FQA111" s="139"/>
      <c r="FQB111" s="139"/>
      <c r="FQC111" s="139"/>
      <c r="FQD111" s="139"/>
      <c r="FQE111" s="139"/>
      <c r="FQF111" s="139"/>
      <c r="FQG111" s="139"/>
      <c r="FQH111" s="139"/>
      <c r="FQI111" s="139"/>
      <c r="FQJ111" s="139"/>
      <c r="FQK111" s="139"/>
      <c r="FQL111" s="139"/>
      <c r="FQM111" s="139"/>
      <c r="FQN111" s="139"/>
      <c r="FQO111" s="139"/>
      <c r="FQP111" s="139"/>
      <c r="FQQ111" s="139"/>
      <c r="FQR111" s="139"/>
      <c r="FQS111" s="139"/>
      <c r="FQT111" s="139"/>
      <c r="FQU111" s="139"/>
      <c r="FQV111" s="139"/>
      <c r="FQW111" s="139"/>
      <c r="FQX111" s="139"/>
      <c r="FQY111" s="139"/>
      <c r="FQZ111" s="139"/>
      <c r="FRA111" s="139"/>
      <c r="FRB111" s="139"/>
      <c r="FRC111" s="139"/>
      <c r="FRD111" s="139"/>
      <c r="FRE111" s="139"/>
      <c r="FRF111" s="139"/>
      <c r="FRG111" s="139"/>
      <c r="FRH111" s="139"/>
      <c r="FRI111" s="139"/>
      <c r="FRJ111" s="139"/>
      <c r="FRK111" s="139"/>
      <c r="FRL111" s="139"/>
      <c r="FRM111" s="139"/>
      <c r="FRN111" s="139"/>
      <c r="FRO111" s="139"/>
      <c r="FRP111" s="139"/>
      <c r="FRQ111" s="139"/>
      <c r="FRR111" s="139"/>
      <c r="FRS111" s="139"/>
      <c r="FRT111" s="139"/>
      <c r="FRU111" s="139"/>
      <c r="FRV111" s="139"/>
      <c r="FRW111" s="139"/>
      <c r="FRX111" s="139"/>
      <c r="FRY111" s="139"/>
      <c r="FRZ111" s="139"/>
      <c r="FSA111" s="139"/>
      <c r="FSB111" s="139"/>
      <c r="FSC111" s="139"/>
      <c r="FSD111" s="139"/>
      <c r="FSE111" s="139"/>
      <c r="FSF111" s="139"/>
      <c r="FSG111" s="139"/>
      <c r="FSH111" s="139"/>
      <c r="FSI111" s="139"/>
      <c r="FSJ111" s="139"/>
      <c r="FSK111" s="139"/>
      <c r="FSL111" s="139"/>
      <c r="FSM111" s="139"/>
      <c r="FSN111" s="139"/>
      <c r="FSO111" s="139"/>
      <c r="FSP111" s="139"/>
      <c r="FSQ111" s="139"/>
      <c r="FSR111" s="139"/>
      <c r="FSS111" s="139"/>
      <c r="FST111" s="139"/>
      <c r="FSU111" s="139"/>
      <c r="FSV111" s="139"/>
      <c r="FSW111" s="139"/>
      <c r="FSX111" s="139"/>
      <c r="FSY111" s="139"/>
      <c r="FSZ111" s="139"/>
      <c r="FTA111" s="139"/>
      <c r="FTB111" s="139"/>
      <c r="FTC111" s="139"/>
      <c r="FTD111" s="139"/>
      <c r="FTE111" s="139"/>
      <c r="FTF111" s="139"/>
      <c r="FTG111" s="139"/>
      <c r="FTH111" s="139"/>
      <c r="FTI111" s="139"/>
      <c r="FTJ111" s="139"/>
      <c r="FTK111" s="139"/>
      <c r="FTL111" s="139"/>
      <c r="FTM111" s="139"/>
      <c r="FTN111" s="139"/>
      <c r="FTO111" s="139"/>
      <c r="FTP111" s="139"/>
      <c r="FTQ111" s="139"/>
      <c r="FTR111" s="139"/>
      <c r="FTS111" s="139"/>
      <c r="FTT111" s="139"/>
      <c r="FTU111" s="139"/>
      <c r="FTV111" s="139"/>
      <c r="FTW111" s="139"/>
      <c r="FTX111" s="139"/>
      <c r="FTY111" s="139"/>
      <c r="FTZ111" s="139"/>
      <c r="FUA111" s="139"/>
      <c r="FUB111" s="139"/>
      <c r="FUC111" s="139"/>
      <c r="FUD111" s="139"/>
      <c r="FUE111" s="139"/>
      <c r="FUF111" s="139"/>
      <c r="FUG111" s="139"/>
      <c r="FUH111" s="139"/>
      <c r="FUI111" s="139"/>
      <c r="FUJ111" s="139"/>
      <c r="FUK111" s="139"/>
      <c r="FUL111" s="139"/>
      <c r="FUM111" s="139"/>
      <c r="FUN111" s="139"/>
      <c r="FUO111" s="139"/>
      <c r="FUP111" s="139"/>
      <c r="FUQ111" s="139"/>
      <c r="FUR111" s="139"/>
      <c r="FUS111" s="139"/>
      <c r="FUT111" s="139"/>
      <c r="FUU111" s="139"/>
      <c r="FUV111" s="139"/>
      <c r="FUW111" s="139"/>
      <c r="FUX111" s="139"/>
      <c r="FUY111" s="139"/>
      <c r="FUZ111" s="139"/>
      <c r="FVA111" s="139"/>
      <c r="FVB111" s="139"/>
      <c r="FVC111" s="139"/>
      <c r="FVD111" s="139"/>
      <c r="FVE111" s="139"/>
      <c r="FVF111" s="139"/>
      <c r="FVG111" s="139"/>
      <c r="FVH111" s="139"/>
      <c r="FVI111" s="139"/>
      <c r="FVJ111" s="139"/>
      <c r="FVK111" s="139"/>
      <c r="FVL111" s="139"/>
      <c r="FVM111" s="139"/>
      <c r="FVN111" s="139"/>
      <c r="FVO111" s="139"/>
      <c r="FVP111" s="139"/>
      <c r="FVQ111" s="139"/>
      <c r="FVR111" s="139"/>
      <c r="FVS111" s="139"/>
      <c r="FVT111" s="139"/>
      <c r="FVU111" s="139"/>
      <c r="FVV111" s="139"/>
      <c r="FVW111" s="139"/>
      <c r="FVX111" s="139"/>
      <c r="FVY111" s="139"/>
      <c r="FVZ111" s="139"/>
      <c r="FWA111" s="139"/>
      <c r="FWB111" s="139"/>
      <c r="FWC111" s="139"/>
      <c r="FWD111" s="139"/>
      <c r="FWE111" s="139"/>
      <c r="FWF111" s="139"/>
      <c r="FWG111" s="139"/>
      <c r="FWH111" s="139"/>
      <c r="FWI111" s="139"/>
      <c r="FWJ111" s="139"/>
      <c r="FWK111" s="139"/>
      <c r="FWL111" s="139"/>
      <c r="FWM111" s="139"/>
      <c r="FWN111" s="139"/>
      <c r="FWO111" s="139"/>
      <c r="FWP111" s="139"/>
      <c r="FWQ111" s="139"/>
      <c r="FWR111" s="139"/>
      <c r="FWS111" s="139"/>
      <c r="FWT111" s="139"/>
      <c r="FWU111" s="139"/>
      <c r="FWV111" s="139"/>
      <c r="FWW111" s="139"/>
      <c r="FWX111" s="139"/>
      <c r="FWY111" s="139"/>
      <c r="FWZ111" s="139"/>
      <c r="FXA111" s="139"/>
      <c r="FXB111" s="139"/>
      <c r="FXC111" s="139"/>
      <c r="FXD111" s="139"/>
      <c r="FXE111" s="139"/>
      <c r="FXF111" s="139"/>
      <c r="FXG111" s="139"/>
      <c r="FXH111" s="139"/>
      <c r="FXI111" s="139"/>
      <c r="FXJ111" s="139"/>
      <c r="FXK111" s="139"/>
      <c r="FXL111" s="139"/>
      <c r="FXM111" s="139"/>
      <c r="FXN111" s="139"/>
      <c r="FXO111" s="139"/>
      <c r="FXP111" s="139"/>
      <c r="FXQ111" s="139"/>
      <c r="FXR111" s="139"/>
      <c r="FXS111" s="139"/>
      <c r="FXT111" s="139"/>
      <c r="FXU111" s="139"/>
      <c r="FXV111" s="139"/>
      <c r="FXW111" s="139"/>
      <c r="FXX111" s="139"/>
      <c r="FXY111" s="139"/>
      <c r="FXZ111" s="139"/>
      <c r="FYA111" s="139"/>
      <c r="FYB111" s="139"/>
      <c r="FYC111" s="139"/>
      <c r="FYD111" s="139"/>
      <c r="FYE111" s="139"/>
      <c r="FYF111" s="139"/>
      <c r="FYG111" s="139"/>
      <c r="FYH111" s="139"/>
      <c r="FYI111" s="139"/>
      <c r="FYJ111" s="139"/>
      <c r="FYK111" s="139"/>
      <c r="FYL111" s="139"/>
      <c r="FYM111" s="139"/>
      <c r="FYN111" s="139"/>
      <c r="FYO111" s="139"/>
      <c r="FYP111" s="139"/>
      <c r="FYQ111" s="139"/>
      <c r="FYR111" s="139"/>
      <c r="FYS111" s="139"/>
      <c r="FYT111" s="139"/>
      <c r="FYU111" s="139"/>
      <c r="FYV111" s="139"/>
      <c r="FYW111" s="139"/>
      <c r="FYX111" s="139"/>
      <c r="FYY111" s="139"/>
      <c r="FYZ111" s="139"/>
      <c r="FZA111" s="139"/>
      <c r="FZB111" s="139"/>
      <c r="FZC111" s="139"/>
      <c r="FZD111" s="139"/>
      <c r="FZE111" s="139"/>
      <c r="FZF111" s="139"/>
      <c r="FZG111" s="139"/>
      <c r="FZH111" s="139"/>
      <c r="FZI111" s="139"/>
      <c r="FZJ111" s="139"/>
      <c r="FZK111" s="139"/>
      <c r="FZL111" s="139"/>
      <c r="FZM111" s="139"/>
      <c r="FZN111" s="139"/>
      <c r="FZO111" s="139"/>
      <c r="FZP111" s="139"/>
      <c r="FZQ111" s="139"/>
      <c r="FZR111" s="139"/>
      <c r="FZS111" s="139"/>
      <c r="FZT111" s="139"/>
      <c r="FZU111" s="139"/>
      <c r="FZV111" s="139"/>
      <c r="FZW111" s="139"/>
      <c r="FZX111" s="139"/>
      <c r="FZY111" s="139"/>
      <c r="FZZ111" s="139"/>
      <c r="GAA111" s="139"/>
      <c r="GAB111" s="139"/>
      <c r="GAC111" s="139"/>
      <c r="GAD111" s="139"/>
      <c r="GAE111" s="139"/>
      <c r="GAF111" s="139"/>
      <c r="GAG111" s="139"/>
      <c r="GAH111" s="139"/>
      <c r="GAI111" s="139"/>
      <c r="GAJ111" s="139"/>
      <c r="GAK111" s="139"/>
      <c r="GAL111" s="139"/>
      <c r="GAM111" s="139"/>
      <c r="GAN111" s="139"/>
      <c r="GAO111" s="139"/>
      <c r="GAP111" s="139"/>
      <c r="GAQ111" s="139"/>
      <c r="GAR111" s="139"/>
      <c r="GAS111" s="139"/>
      <c r="GAT111" s="139"/>
      <c r="GAU111" s="139"/>
      <c r="GAV111" s="139"/>
      <c r="GAW111" s="139"/>
      <c r="GAX111" s="139"/>
      <c r="GAY111" s="139"/>
      <c r="GAZ111" s="139"/>
      <c r="GBA111" s="139"/>
      <c r="GBB111" s="139"/>
      <c r="GBC111" s="139"/>
      <c r="GBD111" s="139"/>
      <c r="GBE111" s="139"/>
      <c r="GBF111" s="139"/>
      <c r="GBG111" s="139"/>
      <c r="GBH111" s="139"/>
      <c r="GBI111" s="139"/>
      <c r="GBJ111" s="139"/>
      <c r="GBK111" s="139"/>
      <c r="GBL111" s="139"/>
      <c r="GBM111" s="139"/>
      <c r="GBN111" s="139"/>
      <c r="GBO111" s="139"/>
      <c r="GBP111" s="139"/>
      <c r="GBQ111" s="139"/>
      <c r="GBR111" s="139"/>
      <c r="GBS111" s="139"/>
      <c r="GBT111" s="139"/>
      <c r="GBU111" s="139"/>
      <c r="GBV111" s="139"/>
      <c r="GBW111" s="139"/>
      <c r="GBX111" s="139"/>
      <c r="GBY111" s="139"/>
      <c r="GBZ111" s="139"/>
      <c r="GCA111" s="139"/>
      <c r="GCB111" s="139"/>
      <c r="GCC111" s="139"/>
      <c r="GCD111" s="139"/>
      <c r="GCE111" s="139"/>
      <c r="GCF111" s="139"/>
      <c r="GCG111" s="139"/>
      <c r="GCH111" s="139"/>
      <c r="GCI111" s="139"/>
      <c r="GCJ111" s="139"/>
      <c r="GCK111" s="139"/>
      <c r="GCL111" s="139"/>
      <c r="GCM111" s="139"/>
      <c r="GCN111" s="139"/>
      <c r="GCO111" s="139"/>
      <c r="GCP111" s="139"/>
      <c r="GCQ111" s="139"/>
      <c r="GCR111" s="139"/>
      <c r="GCS111" s="139"/>
      <c r="GCT111" s="139"/>
      <c r="GCU111" s="139"/>
      <c r="GCV111" s="139"/>
      <c r="GCW111" s="139"/>
      <c r="GCX111" s="139"/>
      <c r="GCY111" s="139"/>
      <c r="GCZ111" s="139"/>
      <c r="GDA111" s="139"/>
      <c r="GDB111" s="139"/>
      <c r="GDC111" s="139"/>
      <c r="GDD111" s="139"/>
      <c r="GDE111" s="139"/>
      <c r="GDF111" s="139"/>
      <c r="GDG111" s="139"/>
      <c r="GDH111" s="139"/>
      <c r="GDI111" s="139"/>
      <c r="GDJ111" s="139"/>
      <c r="GDK111" s="139"/>
      <c r="GDL111" s="139"/>
      <c r="GDM111" s="139"/>
      <c r="GDN111" s="139"/>
      <c r="GDO111" s="139"/>
      <c r="GDP111" s="139"/>
      <c r="GDQ111" s="139"/>
      <c r="GDR111" s="139"/>
      <c r="GDS111" s="139"/>
      <c r="GDT111" s="139"/>
      <c r="GDU111" s="139"/>
      <c r="GDV111" s="139"/>
      <c r="GDW111" s="139"/>
      <c r="GDX111" s="139"/>
      <c r="GDY111" s="139"/>
      <c r="GDZ111" s="139"/>
      <c r="GEA111" s="139"/>
      <c r="GEB111" s="139"/>
      <c r="GEC111" s="139"/>
      <c r="GED111" s="139"/>
      <c r="GEE111" s="139"/>
      <c r="GEF111" s="139"/>
      <c r="GEG111" s="139"/>
      <c r="GEH111" s="139"/>
      <c r="GEI111" s="139"/>
      <c r="GEJ111" s="139"/>
      <c r="GEK111" s="139"/>
      <c r="GEL111" s="139"/>
      <c r="GEM111" s="139"/>
      <c r="GEN111" s="139"/>
      <c r="GEO111" s="139"/>
      <c r="GEP111" s="139"/>
      <c r="GEQ111" s="139"/>
      <c r="GER111" s="139"/>
      <c r="GES111" s="139"/>
      <c r="GET111" s="139"/>
      <c r="GEU111" s="139"/>
      <c r="GEV111" s="139"/>
      <c r="GEW111" s="139"/>
      <c r="GEX111" s="139"/>
      <c r="GEY111" s="139"/>
      <c r="GEZ111" s="139"/>
      <c r="GFA111" s="139"/>
      <c r="GFB111" s="139"/>
      <c r="GFC111" s="139"/>
      <c r="GFD111" s="139"/>
      <c r="GFE111" s="139"/>
      <c r="GFF111" s="139"/>
      <c r="GFG111" s="139"/>
      <c r="GFH111" s="139"/>
      <c r="GFI111" s="139"/>
      <c r="GFJ111" s="139"/>
      <c r="GFK111" s="139"/>
      <c r="GFL111" s="139"/>
      <c r="GFM111" s="139"/>
      <c r="GFN111" s="139"/>
      <c r="GFO111" s="139"/>
      <c r="GFP111" s="139"/>
      <c r="GFQ111" s="139"/>
      <c r="GFR111" s="139"/>
      <c r="GFS111" s="139"/>
      <c r="GFT111" s="139"/>
      <c r="GFU111" s="139"/>
      <c r="GFV111" s="139"/>
      <c r="GFW111" s="139"/>
      <c r="GFX111" s="139"/>
      <c r="GFY111" s="139"/>
      <c r="GFZ111" s="139"/>
      <c r="GGA111" s="139"/>
      <c r="GGB111" s="139"/>
      <c r="GGC111" s="139"/>
      <c r="GGD111" s="139"/>
      <c r="GGE111" s="139"/>
      <c r="GGF111" s="139"/>
      <c r="GGG111" s="139"/>
      <c r="GGH111" s="139"/>
      <c r="GGI111" s="139"/>
      <c r="GGJ111" s="139"/>
      <c r="GGK111" s="139"/>
      <c r="GGL111" s="139"/>
      <c r="GGM111" s="139"/>
      <c r="GGN111" s="139"/>
      <c r="GGO111" s="139"/>
      <c r="GGP111" s="139"/>
      <c r="GGQ111" s="139"/>
      <c r="GGR111" s="139"/>
      <c r="GGS111" s="139"/>
      <c r="GGT111" s="139"/>
      <c r="GGU111" s="139"/>
      <c r="GGV111" s="139"/>
      <c r="GGW111" s="139"/>
      <c r="GGX111" s="139"/>
      <c r="GGY111" s="139"/>
      <c r="GGZ111" s="139"/>
      <c r="GHA111" s="139"/>
      <c r="GHB111" s="139"/>
      <c r="GHC111" s="139"/>
      <c r="GHD111" s="139"/>
      <c r="GHE111" s="139"/>
      <c r="GHF111" s="139"/>
      <c r="GHG111" s="139"/>
      <c r="GHH111" s="139"/>
      <c r="GHI111" s="139"/>
      <c r="GHJ111" s="139"/>
      <c r="GHK111" s="139"/>
      <c r="GHL111" s="139"/>
      <c r="GHM111" s="139"/>
      <c r="GHN111" s="139"/>
      <c r="GHO111" s="139"/>
      <c r="GHP111" s="139"/>
      <c r="GHQ111" s="139"/>
      <c r="GHR111" s="139"/>
      <c r="GHS111" s="139"/>
      <c r="GHT111" s="139"/>
      <c r="GHU111" s="139"/>
      <c r="GHV111" s="139"/>
      <c r="GHW111" s="139"/>
      <c r="GHX111" s="139"/>
      <c r="GHY111" s="139"/>
      <c r="GHZ111" s="139"/>
      <c r="GIA111" s="139"/>
      <c r="GIB111" s="139"/>
      <c r="GIC111" s="139"/>
      <c r="GID111" s="139"/>
      <c r="GIE111" s="139"/>
      <c r="GIF111" s="139"/>
      <c r="GIG111" s="139"/>
      <c r="GIH111" s="139"/>
      <c r="GII111" s="139"/>
      <c r="GIJ111" s="139"/>
      <c r="GIK111" s="139"/>
      <c r="GIL111" s="139"/>
      <c r="GIM111" s="139"/>
      <c r="GIN111" s="139"/>
      <c r="GIO111" s="139"/>
      <c r="GIP111" s="139"/>
      <c r="GIQ111" s="139"/>
      <c r="GIR111" s="139"/>
      <c r="GIS111" s="139"/>
      <c r="GIT111" s="139"/>
      <c r="GIU111" s="139"/>
      <c r="GIV111" s="139"/>
      <c r="GIW111" s="139"/>
      <c r="GIX111" s="139"/>
      <c r="GIY111" s="139"/>
      <c r="GIZ111" s="139"/>
      <c r="GJA111" s="139"/>
      <c r="GJB111" s="139"/>
      <c r="GJC111" s="139"/>
      <c r="GJD111" s="139"/>
      <c r="GJE111" s="139"/>
      <c r="GJF111" s="139"/>
      <c r="GJG111" s="139"/>
      <c r="GJH111" s="139"/>
      <c r="GJI111" s="139"/>
      <c r="GJJ111" s="139"/>
      <c r="GJK111" s="139"/>
      <c r="GJL111" s="139"/>
      <c r="GJM111" s="139"/>
      <c r="GJN111" s="139"/>
      <c r="GJO111" s="139"/>
      <c r="GJP111" s="139"/>
      <c r="GJQ111" s="139"/>
      <c r="GJR111" s="139"/>
      <c r="GJS111" s="139"/>
      <c r="GJT111" s="139"/>
      <c r="GJU111" s="139"/>
      <c r="GJV111" s="139"/>
      <c r="GJW111" s="139"/>
      <c r="GJX111" s="139"/>
      <c r="GJY111" s="139"/>
      <c r="GJZ111" s="139"/>
      <c r="GKA111" s="139"/>
      <c r="GKB111" s="139"/>
      <c r="GKC111" s="139"/>
      <c r="GKD111" s="139"/>
      <c r="GKE111" s="139"/>
      <c r="GKF111" s="139"/>
      <c r="GKG111" s="139"/>
      <c r="GKH111" s="139"/>
      <c r="GKI111" s="139"/>
      <c r="GKJ111" s="139"/>
      <c r="GKK111" s="139"/>
      <c r="GKL111" s="139"/>
      <c r="GKM111" s="139"/>
      <c r="GKN111" s="139"/>
      <c r="GKO111" s="139"/>
      <c r="GKP111" s="139"/>
      <c r="GKQ111" s="139"/>
      <c r="GKR111" s="139"/>
      <c r="GKS111" s="139"/>
      <c r="GKT111" s="139"/>
      <c r="GKU111" s="139"/>
      <c r="GKV111" s="139"/>
      <c r="GKW111" s="139"/>
      <c r="GKX111" s="139"/>
      <c r="GKY111" s="139"/>
      <c r="GKZ111" s="139"/>
      <c r="GLA111" s="139"/>
      <c r="GLB111" s="139"/>
      <c r="GLC111" s="139"/>
      <c r="GLD111" s="139"/>
      <c r="GLE111" s="139"/>
      <c r="GLF111" s="139"/>
      <c r="GLG111" s="139"/>
      <c r="GLH111" s="139"/>
      <c r="GLI111" s="139"/>
      <c r="GLJ111" s="139"/>
      <c r="GLK111" s="139"/>
      <c r="GLL111" s="139"/>
      <c r="GLM111" s="139"/>
      <c r="GLN111" s="139"/>
      <c r="GLO111" s="139"/>
      <c r="GLP111" s="139"/>
      <c r="GLQ111" s="139"/>
      <c r="GLR111" s="139"/>
      <c r="GLS111" s="139"/>
      <c r="GLT111" s="139"/>
      <c r="GLU111" s="139"/>
      <c r="GLV111" s="139"/>
      <c r="GLW111" s="139"/>
      <c r="GLX111" s="139"/>
      <c r="GLY111" s="139"/>
      <c r="GLZ111" s="139"/>
      <c r="GMA111" s="139"/>
      <c r="GMB111" s="139"/>
      <c r="GMC111" s="139"/>
      <c r="GMD111" s="139"/>
      <c r="GME111" s="139"/>
      <c r="GMF111" s="139"/>
      <c r="GMG111" s="139"/>
      <c r="GMH111" s="139"/>
      <c r="GMI111" s="139"/>
      <c r="GMJ111" s="139"/>
      <c r="GMK111" s="139"/>
      <c r="GML111" s="139"/>
      <c r="GMM111" s="139"/>
      <c r="GMN111" s="139"/>
      <c r="GMO111" s="139"/>
      <c r="GMP111" s="139"/>
      <c r="GMQ111" s="139"/>
      <c r="GMR111" s="139"/>
      <c r="GMS111" s="139"/>
      <c r="GMT111" s="139"/>
      <c r="GMU111" s="139"/>
      <c r="GMV111" s="139"/>
      <c r="GMW111" s="139"/>
      <c r="GMX111" s="139"/>
      <c r="GMY111" s="139"/>
      <c r="GMZ111" s="139"/>
      <c r="GNA111" s="139"/>
      <c r="GNB111" s="139"/>
      <c r="GNC111" s="139"/>
      <c r="GND111" s="139"/>
      <c r="GNE111" s="139"/>
      <c r="GNF111" s="139"/>
      <c r="GNG111" s="139"/>
      <c r="GNH111" s="139"/>
      <c r="GNI111" s="139"/>
      <c r="GNJ111" s="139"/>
      <c r="GNK111" s="139"/>
      <c r="GNL111" s="139"/>
      <c r="GNM111" s="139"/>
      <c r="GNN111" s="139"/>
      <c r="GNO111" s="139"/>
      <c r="GNP111" s="139"/>
      <c r="GNQ111" s="139"/>
      <c r="GNR111" s="139"/>
      <c r="GNS111" s="139"/>
      <c r="GNT111" s="139"/>
      <c r="GNU111" s="139"/>
      <c r="GNV111" s="139"/>
      <c r="GNW111" s="139"/>
      <c r="GNX111" s="139"/>
      <c r="GNY111" s="139"/>
      <c r="GNZ111" s="139"/>
      <c r="GOA111" s="139"/>
      <c r="GOB111" s="139"/>
      <c r="GOC111" s="139"/>
      <c r="GOD111" s="139"/>
      <c r="GOE111" s="139"/>
      <c r="GOF111" s="139"/>
      <c r="GOG111" s="139"/>
      <c r="GOH111" s="139"/>
      <c r="GOI111" s="139"/>
      <c r="GOJ111" s="139"/>
      <c r="GOK111" s="139"/>
      <c r="GOL111" s="139"/>
      <c r="GOM111" s="139"/>
      <c r="GON111" s="139"/>
      <c r="GOO111" s="139"/>
      <c r="GOP111" s="139"/>
      <c r="GOQ111" s="139"/>
      <c r="GOR111" s="139"/>
      <c r="GOS111" s="139"/>
      <c r="GOT111" s="139"/>
      <c r="GOU111" s="139"/>
      <c r="GOV111" s="139"/>
      <c r="GOW111" s="139"/>
      <c r="GOX111" s="139"/>
      <c r="GOY111" s="139"/>
      <c r="GOZ111" s="139"/>
      <c r="GPA111" s="139"/>
      <c r="GPB111" s="139"/>
      <c r="GPC111" s="139"/>
      <c r="GPD111" s="139"/>
      <c r="GPE111" s="139"/>
      <c r="GPF111" s="139"/>
      <c r="GPG111" s="139"/>
      <c r="GPH111" s="139"/>
      <c r="GPI111" s="139"/>
      <c r="GPJ111" s="139"/>
      <c r="GPK111" s="139"/>
      <c r="GPL111" s="139"/>
      <c r="GPM111" s="139"/>
      <c r="GPN111" s="139"/>
      <c r="GPO111" s="139"/>
      <c r="GPP111" s="139"/>
      <c r="GPQ111" s="139"/>
      <c r="GPR111" s="139"/>
      <c r="GPS111" s="139"/>
      <c r="GPT111" s="139"/>
      <c r="GPU111" s="139"/>
      <c r="GPV111" s="139"/>
      <c r="GPW111" s="139"/>
      <c r="GPX111" s="139"/>
      <c r="GPY111" s="139"/>
      <c r="GPZ111" s="139"/>
      <c r="GQA111" s="139"/>
      <c r="GQB111" s="139"/>
      <c r="GQC111" s="139"/>
      <c r="GQD111" s="139"/>
      <c r="GQE111" s="139"/>
      <c r="GQF111" s="139"/>
      <c r="GQG111" s="139"/>
      <c r="GQH111" s="139"/>
      <c r="GQI111" s="139"/>
      <c r="GQJ111" s="139"/>
      <c r="GQK111" s="139"/>
      <c r="GQL111" s="139"/>
      <c r="GQM111" s="139"/>
      <c r="GQN111" s="139"/>
      <c r="GQO111" s="139"/>
      <c r="GQP111" s="139"/>
      <c r="GQQ111" s="139"/>
      <c r="GQR111" s="139"/>
      <c r="GQS111" s="139"/>
      <c r="GQT111" s="139"/>
      <c r="GQU111" s="139"/>
      <c r="GQV111" s="139"/>
      <c r="GQW111" s="139"/>
      <c r="GQX111" s="139"/>
      <c r="GQY111" s="139"/>
      <c r="GQZ111" s="139"/>
      <c r="GRA111" s="139"/>
      <c r="GRB111" s="139"/>
      <c r="GRC111" s="139"/>
      <c r="GRD111" s="139"/>
      <c r="GRE111" s="139"/>
      <c r="GRF111" s="139"/>
      <c r="GRG111" s="139"/>
      <c r="GRH111" s="139"/>
      <c r="GRI111" s="139"/>
      <c r="GRJ111" s="139"/>
      <c r="GRK111" s="139"/>
      <c r="GRL111" s="139"/>
      <c r="GRM111" s="139"/>
      <c r="GRN111" s="139"/>
      <c r="GRO111" s="139"/>
      <c r="GRP111" s="139"/>
      <c r="GRQ111" s="139"/>
      <c r="GRR111" s="139"/>
      <c r="GRS111" s="139"/>
      <c r="GRT111" s="139"/>
      <c r="GRU111" s="139"/>
      <c r="GRV111" s="139"/>
      <c r="GRW111" s="139"/>
      <c r="GRX111" s="139"/>
      <c r="GRY111" s="139"/>
      <c r="GRZ111" s="139"/>
      <c r="GSA111" s="139"/>
      <c r="GSB111" s="139"/>
      <c r="GSC111" s="139"/>
      <c r="GSD111" s="139"/>
      <c r="GSE111" s="139"/>
      <c r="GSF111" s="139"/>
      <c r="GSG111" s="139"/>
      <c r="GSH111" s="139"/>
      <c r="GSI111" s="139"/>
      <c r="GSJ111" s="139"/>
      <c r="GSK111" s="139"/>
      <c r="GSL111" s="139"/>
      <c r="GSM111" s="139"/>
      <c r="GSN111" s="139"/>
      <c r="GSO111" s="139"/>
      <c r="GSP111" s="139"/>
      <c r="GSQ111" s="139"/>
      <c r="GSR111" s="139"/>
      <c r="GSS111" s="139"/>
      <c r="GST111" s="139"/>
      <c r="GSU111" s="139"/>
      <c r="GSV111" s="139"/>
      <c r="GSW111" s="139"/>
      <c r="GSX111" s="139"/>
      <c r="GSY111" s="139"/>
      <c r="GSZ111" s="139"/>
      <c r="GTA111" s="139"/>
      <c r="GTB111" s="139"/>
      <c r="GTC111" s="139"/>
      <c r="GTD111" s="139"/>
      <c r="GTE111" s="139"/>
      <c r="GTF111" s="139"/>
      <c r="GTG111" s="139"/>
      <c r="GTH111" s="139"/>
      <c r="GTI111" s="139"/>
      <c r="GTJ111" s="139"/>
      <c r="GTK111" s="139"/>
      <c r="GTL111" s="139"/>
      <c r="GTM111" s="139"/>
      <c r="GTN111" s="139"/>
      <c r="GTO111" s="139"/>
      <c r="GTP111" s="139"/>
      <c r="GTQ111" s="139"/>
      <c r="GTR111" s="139"/>
      <c r="GTS111" s="139"/>
      <c r="GTT111" s="139"/>
      <c r="GTU111" s="139"/>
      <c r="GTV111" s="139"/>
      <c r="GTW111" s="139"/>
      <c r="GTX111" s="139"/>
      <c r="GTY111" s="139"/>
      <c r="GTZ111" s="139"/>
      <c r="GUA111" s="139"/>
      <c r="GUB111" s="139"/>
      <c r="GUC111" s="139"/>
      <c r="GUD111" s="139"/>
      <c r="GUE111" s="139"/>
      <c r="GUF111" s="139"/>
      <c r="GUG111" s="139"/>
      <c r="GUH111" s="139"/>
      <c r="GUI111" s="139"/>
      <c r="GUJ111" s="139"/>
      <c r="GUK111" s="139"/>
      <c r="GUL111" s="139"/>
      <c r="GUM111" s="139"/>
      <c r="GUN111" s="139"/>
      <c r="GUO111" s="139"/>
      <c r="GUP111" s="139"/>
      <c r="GUQ111" s="139"/>
      <c r="GUR111" s="139"/>
      <c r="GUS111" s="139"/>
      <c r="GUT111" s="139"/>
      <c r="GUU111" s="139"/>
      <c r="GUV111" s="139"/>
      <c r="GUW111" s="139"/>
      <c r="GUX111" s="139"/>
      <c r="GUY111" s="139"/>
      <c r="GUZ111" s="139"/>
      <c r="GVA111" s="139"/>
      <c r="GVB111" s="139"/>
      <c r="GVC111" s="139"/>
      <c r="GVD111" s="139"/>
      <c r="GVE111" s="139"/>
      <c r="GVF111" s="139"/>
      <c r="GVG111" s="139"/>
      <c r="GVH111" s="139"/>
      <c r="GVI111" s="139"/>
      <c r="GVJ111" s="139"/>
      <c r="GVK111" s="139"/>
      <c r="GVL111" s="139"/>
      <c r="GVM111" s="139"/>
      <c r="GVN111" s="139"/>
      <c r="GVO111" s="139"/>
      <c r="GVP111" s="139"/>
      <c r="GVQ111" s="139"/>
      <c r="GVR111" s="139"/>
      <c r="GVS111" s="139"/>
      <c r="GVT111" s="139"/>
      <c r="GVU111" s="139"/>
      <c r="GVV111" s="139"/>
      <c r="GVW111" s="139"/>
      <c r="GVX111" s="139"/>
      <c r="GVY111" s="139"/>
      <c r="GVZ111" s="139"/>
      <c r="GWA111" s="139"/>
      <c r="GWB111" s="139"/>
      <c r="GWC111" s="139"/>
      <c r="GWD111" s="139"/>
      <c r="GWE111" s="139"/>
      <c r="GWF111" s="139"/>
      <c r="GWG111" s="139"/>
      <c r="GWH111" s="139"/>
      <c r="GWI111" s="139"/>
      <c r="GWJ111" s="139"/>
      <c r="GWK111" s="139"/>
      <c r="GWL111" s="139"/>
      <c r="GWM111" s="139"/>
      <c r="GWN111" s="139"/>
      <c r="GWO111" s="139"/>
      <c r="GWP111" s="139"/>
      <c r="GWQ111" s="139"/>
      <c r="GWR111" s="139"/>
      <c r="GWS111" s="139"/>
      <c r="GWT111" s="139"/>
      <c r="GWU111" s="139"/>
      <c r="GWV111" s="139"/>
      <c r="GWW111" s="139"/>
      <c r="GWX111" s="139"/>
      <c r="GWY111" s="139"/>
      <c r="GWZ111" s="139"/>
      <c r="GXA111" s="139"/>
      <c r="GXB111" s="139"/>
      <c r="GXC111" s="139"/>
      <c r="GXD111" s="139"/>
      <c r="GXE111" s="139"/>
      <c r="GXF111" s="139"/>
      <c r="GXG111" s="139"/>
      <c r="GXH111" s="139"/>
      <c r="GXI111" s="139"/>
      <c r="GXJ111" s="139"/>
      <c r="GXK111" s="139"/>
      <c r="GXL111" s="139"/>
      <c r="GXM111" s="139"/>
      <c r="GXN111" s="139"/>
      <c r="GXO111" s="139"/>
      <c r="GXP111" s="139"/>
      <c r="GXQ111" s="139"/>
      <c r="GXR111" s="139"/>
      <c r="GXS111" s="139"/>
      <c r="GXT111" s="139"/>
      <c r="GXU111" s="139"/>
      <c r="GXV111" s="139"/>
      <c r="GXW111" s="139"/>
      <c r="GXX111" s="139"/>
      <c r="GXY111" s="139"/>
      <c r="GXZ111" s="139"/>
      <c r="GYA111" s="139"/>
      <c r="GYB111" s="139"/>
      <c r="GYC111" s="139"/>
      <c r="GYD111" s="139"/>
      <c r="GYE111" s="139"/>
      <c r="GYF111" s="139"/>
      <c r="GYG111" s="139"/>
      <c r="GYH111" s="139"/>
      <c r="GYI111" s="139"/>
      <c r="GYJ111" s="139"/>
      <c r="GYK111" s="139"/>
      <c r="GYL111" s="139"/>
      <c r="GYM111" s="139"/>
      <c r="GYN111" s="139"/>
      <c r="GYO111" s="139"/>
      <c r="GYP111" s="139"/>
      <c r="GYQ111" s="139"/>
      <c r="GYR111" s="139"/>
      <c r="GYS111" s="139"/>
      <c r="GYT111" s="139"/>
      <c r="GYU111" s="139"/>
      <c r="GYV111" s="139"/>
      <c r="GYW111" s="139"/>
      <c r="GYX111" s="139"/>
      <c r="GYY111" s="139"/>
      <c r="GYZ111" s="139"/>
      <c r="GZA111" s="139"/>
      <c r="GZB111" s="139"/>
      <c r="GZC111" s="139"/>
      <c r="GZD111" s="139"/>
      <c r="GZE111" s="139"/>
      <c r="GZF111" s="139"/>
      <c r="GZG111" s="139"/>
      <c r="GZH111" s="139"/>
      <c r="GZI111" s="139"/>
      <c r="GZJ111" s="139"/>
      <c r="GZK111" s="139"/>
      <c r="GZL111" s="139"/>
      <c r="GZM111" s="139"/>
      <c r="GZN111" s="139"/>
      <c r="GZO111" s="139"/>
      <c r="GZP111" s="139"/>
      <c r="GZQ111" s="139"/>
      <c r="GZR111" s="139"/>
      <c r="GZS111" s="139"/>
      <c r="GZT111" s="139"/>
      <c r="GZU111" s="139"/>
      <c r="GZV111" s="139"/>
      <c r="GZW111" s="139"/>
      <c r="GZX111" s="139"/>
      <c r="GZY111" s="139"/>
      <c r="GZZ111" s="139"/>
      <c r="HAA111" s="139"/>
      <c r="HAB111" s="139"/>
      <c r="HAC111" s="139"/>
      <c r="HAD111" s="139"/>
      <c r="HAE111" s="139"/>
      <c r="HAF111" s="139"/>
      <c r="HAG111" s="139"/>
      <c r="HAH111" s="139"/>
      <c r="HAI111" s="139"/>
      <c r="HAJ111" s="139"/>
      <c r="HAK111" s="139"/>
      <c r="HAL111" s="139"/>
      <c r="HAM111" s="139"/>
      <c r="HAN111" s="139"/>
      <c r="HAO111" s="139"/>
      <c r="HAP111" s="139"/>
      <c r="HAQ111" s="139"/>
      <c r="HAR111" s="139"/>
      <c r="HAS111" s="139"/>
      <c r="HAT111" s="139"/>
      <c r="HAU111" s="139"/>
      <c r="HAV111" s="139"/>
      <c r="HAW111" s="139"/>
      <c r="HAX111" s="139"/>
      <c r="HAY111" s="139"/>
      <c r="HAZ111" s="139"/>
      <c r="HBA111" s="139"/>
      <c r="HBB111" s="139"/>
      <c r="HBC111" s="139"/>
      <c r="HBD111" s="139"/>
      <c r="HBE111" s="139"/>
      <c r="HBF111" s="139"/>
      <c r="HBG111" s="139"/>
      <c r="HBH111" s="139"/>
      <c r="HBI111" s="139"/>
      <c r="HBJ111" s="139"/>
      <c r="HBK111" s="139"/>
      <c r="HBL111" s="139"/>
      <c r="HBM111" s="139"/>
      <c r="HBN111" s="139"/>
      <c r="HBO111" s="139"/>
      <c r="HBP111" s="139"/>
      <c r="HBQ111" s="139"/>
      <c r="HBR111" s="139"/>
      <c r="HBS111" s="139"/>
      <c r="HBT111" s="139"/>
      <c r="HBU111" s="139"/>
      <c r="HBV111" s="139"/>
      <c r="HBW111" s="139"/>
      <c r="HBX111" s="139"/>
      <c r="HBY111" s="139"/>
      <c r="HBZ111" s="139"/>
      <c r="HCA111" s="139"/>
      <c r="HCB111" s="139"/>
      <c r="HCC111" s="139"/>
      <c r="HCD111" s="139"/>
      <c r="HCE111" s="139"/>
      <c r="HCF111" s="139"/>
      <c r="HCG111" s="139"/>
      <c r="HCH111" s="139"/>
      <c r="HCI111" s="139"/>
      <c r="HCJ111" s="139"/>
      <c r="HCK111" s="139"/>
      <c r="HCL111" s="139"/>
      <c r="HCM111" s="139"/>
      <c r="HCN111" s="139"/>
      <c r="HCO111" s="139"/>
      <c r="HCP111" s="139"/>
      <c r="HCQ111" s="139"/>
      <c r="HCR111" s="139"/>
      <c r="HCS111" s="139"/>
      <c r="HCT111" s="139"/>
      <c r="HCU111" s="139"/>
      <c r="HCV111" s="139"/>
      <c r="HCW111" s="139"/>
      <c r="HCX111" s="139"/>
      <c r="HCY111" s="139"/>
      <c r="HCZ111" s="139"/>
      <c r="HDA111" s="139"/>
      <c r="HDB111" s="139"/>
      <c r="HDC111" s="139"/>
      <c r="HDD111" s="139"/>
      <c r="HDE111" s="139"/>
      <c r="HDF111" s="139"/>
      <c r="HDG111" s="139"/>
      <c r="HDH111" s="139"/>
      <c r="HDI111" s="139"/>
      <c r="HDJ111" s="139"/>
      <c r="HDK111" s="139"/>
      <c r="HDL111" s="139"/>
      <c r="HDM111" s="139"/>
      <c r="HDN111" s="139"/>
      <c r="HDO111" s="139"/>
      <c r="HDP111" s="139"/>
      <c r="HDQ111" s="139"/>
      <c r="HDR111" s="139"/>
      <c r="HDS111" s="139"/>
      <c r="HDT111" s="139"/>
      <c r="HDU111" s="139"/>
      <c r="HDV111" s="139"/>
      <c r="HDW111" s="139"/>
      <c r="HDX111" s="139"/>
      <c r="HDY111" s="139"/>
      <c r="HDZ111" s="139"/>
      <c r="HEA111" s="139"/>
      <c r="HEB111" s="139"/>
      <c r="HEC111" s="139"/>
      <c r="HED111" s="139"/>
      <c r="HEE111" s="139"/>
      <c r="HEF111" s="139"/>
      <c r="HEG111" s="139"/>
      <c r="HEH111" s="139"/>
      <c r="HEI111" s="139"/>
      <c r="HEJ111" s="139"/>
      <c r="HEK111" s="139"/>
      <c r="HEL111" s="139"/>
      <c r="HEM111" s="139"/>
      <c r="HEN111" s="139"/>
      <c r="HEO111" s="139"/>
      <c r="HEP111" s="139"/>
      <c r="HEQ111" s="139"/>
      <c r="HER111" s="139"/>
      <c r="HES111" s="139"/>
      <c r="HET111" s="139"/>
      <c r="HEU111" s="139"/>
      <c r="HEV111" s="139"/>
      <c r="HEW111" s="139"/>
      <c r="HEX111" s="139"/>
      <c r="HEY111" s="139"/>
      <c r="HEZ111" s="139"/>
      <c r="HFA111" s="139"/>
      <c r="HFB111" s="139"/>
      <c r="HFC111" s="139"/>
      <c r="HFD111" s="139"/>
      <c r="HFE111" s="139"/>
      <c r="HFF111" s="139"/>
      <c r="HFG111" s="139"/>
      <c r="HFH111" s="139"/>
      <c r="HFI111" s="139"/>
      <c r="HFJ111" s="139"/>
      <c r="HFK111" s="139"/>
      <c r="HFL111" s="139"/>
      <c r="HFM111" s="139"/>
      <c r="HFN111" s="139"/>
      <c r="HFO111" s="139"/>
      <c r="HFP111" s="139"/>
      <c r="HFQ111" s="139"/>
      <c r="HFR111" s="139"/>
      <c r="HFS111" s="139"/>
      <c r="HFT111" s="139"/>
      <c r="HFU111" s="139"/>
      <c r="HFV111" s="139"/>
      <c r="HFW111" s="139"/>
      <c r="HFX111" s="139"/>
      <c r="HFY111" s="139"/>
      <c r="HFZ111" s="139"/>
      <c r="HGA111" s="139"/>
      <c r="HGB111" s="139"/>
      <c r="HGC111" s="139"/>
      <c r="HGD111" s="139"/>
      <c r="HGE111" s="139"/>
      <c r="HGF111" s="139"/>
      <c r="HGG111" s="139"/>
      <c r="HGH111" s="139"/>
      <c r="HGI111" s="139"/>
      <c r="HGJ111" s="139"/>
      <c r="HGK111" s="139"/>
      <c r="HGL111" s="139"/>
      <c r="HGM111" s="139"/>
      <c r="HGN111" s="139"/>
      <c r="HGO111" s="139"/>
      <c r="HGP111" s="139"/>
      <c r="HGQ111" s="139"/>
      <c r="HGR111" s="139"/>
      <c r="HGS111" s="139"/>
      <c r="HGT111" s="139"/>
      <c r="HGU111" s="139"/>
      <c r="HGV111" s="139"/>
      <c r="HGW111" s="139"/>
      <c r="HGX111" s="139"/>
      <c r="HGY111" s="139"/>
      <c r="HGZ111" s="139"/>
      <c r="HHA111" s="139"/>
      <c r="HHB111" s="139"/>
      <c r="HHC111" s="139"/>
      <c r="HHD111" s="139"/>
      <c r="HHE111" s="139"/>
      <c r="HHF111" s="139"/>
      <c r="HHG111" s="139"/>
      <c r="HHH111" s="139"/>
      <c r="HHI111" s="139"/>
      <c r="HHJ111" s="139"/>
      <c r="HHK111" s="139"/>
      <c r="HHL111" s="139"/>
      <c r="HHM111" s="139"/>
      <c r="HHN111" s="139"/>
      <c r="HHO111" s="139"/>
      <c r="HHP111" s="139"/>
      <c r="HHQ111" s="139"/>
      <c r="HHR111" s="139"/>
      <c r="HHS111" s="139"/>
      <c r="HHT111" s="139"/>
      <c r="HHU111" s="139"/>
      <c r="HHV111" s="139"/>
      <c r="HHW111" s="139"/>
      <c r="HHX111" s="139"/>
      <c r="HHY111" s="139"/>
      <c r="HHZ111" s="139"/>
      <c r="HIA111" s="139"/>
      <c r="HIB111" s="139"/>
      <c r="HIC111" s="139"/>
      <c r="HID111" s="139"/>
      <c r="HIE111" s="139"/>
      <c r="HIF111" s="139"/>
      <c r="HIG111" s="139"/>
      <c r="HIH111" s="139"/>
      <c r="HII111" s="139"/>
      <c r="HIJ111" s="139"/>
      <c r="HIK111" s="139"/>
      <c r="HIL111" s="139"/>
      <c r="HIM111" s="139"/>
      <c r="HIN111" s="139"/>
      <c r="HIO111" s="139"/>
      <c r="HIP111" s="139"/>
      <c r="HIQ111" s="139"/>
      <c r="HIR111" s="139"/>
      <c r="HIS111" s="139"/>
      <c r="HIT111" s="139"/>
      <c r="HIU111" s="139"/>
      <c r="HIV111" s="139"/>
      <c r="HIW111" s="139"/>
      <c r="HIX111" s="139"/>
      <c r="HIY111" s="139"/>
      <c r="HIZ111" s="139"/>
      <c r="HJA111" s="139"/>
      <c r="HJB111" s="139"/>
      <c r="HJC111" s="139"/>
      <c r="HJD111" s="139"/>
      <c r="HJE111" s="139"/>
      <c r="HJF111" s="139"/>
      <c r="HJG111" s="139"/>
      <c r="HJH111" s="139"/>
      <c r="HJI111" s="139"/>
      <c r="HJJ111" s="139"/>
      <c r="HJK111" s="139"/>
      <c r="HJL111" s="139"/>
      <c r="HJM111" s="139"/>
      <c r="HJN111" s="139"/>
      <c r="HJO111" s="139"/>
      <c r="HJP111" s="139"/>
      <c r="HJQ111" s="139"/>
      <c r="HJR111" s="139"/>
      <c r="HJS111" s="139"/>
      <c r="HJT111" s="139"/>
      <c r="HJU111" s="139"/>
      <c r="HJV111" s="139"/>
      <c r="HJW111" s="139"/>
      <c r="HJX111" s="139"/>
      <c r="HJY111" s="139"/>
      <c r="HJZ111" s="139"/>
      <c r="HKA111" s="139"/>
      <c r="HKB111" s="139"/>
      <c r="HKC111" s="139"/>
      <c r="HKD111" s="139"/>
      <c r="HKE111" s="139"/>
      <c r="HKF111" s="139"/>
      <c r="HKG111" s="139"/>
      <c r="HKH111" s="139"/>
      <c r="HKI111" s="139"/>
      <c r="HKJ111" s="139"/>
      <c r="HKK111" s="139"/>
      <c r="HKL111" s="139"/>
      <c r="HKM111" s="139"/>
      <c r="HKN111" s="139"/>
      <c r="HKO111" s="139"/>
      <c r="HKP111" s="139"/>
      <c r="HKQ111" s="139"/>
      <c r="HKR111" s="139"/>
      <c r="HKS111" s="139"/>
      <c r="HKT111" s="139"/>
      <c r="HKU111" s="139"/>
      <c r="HKV111" s="139"/>
      <c r="HKW111" s="139"/>
      <c r="HKX111" s="139"/>
      <c r="HKY111" s="139"/>
      <c r="HKZ111" s="139"/>
      <c r="HLA111" s="139"/>
      <c r="HLB111" s="139"/>
      <c r="HLC111" s="139"/>
      <c r="HLD111" s="139"/>
      <c r="HLE111" s="139"/>
      <c r="HLF111" s="139"/>
      <c r="HLG111" s="139"/>
      <c r="HLH111" s="139"/>
      <c r="HLI111" s="139"/>
      <c r="HLJ111" s="139"/>
      <c r="HLK111" s="139"/>
      <c r="HLL111" s="139"/>
      <c r="HLM111" s="139"/>
      <c r="HLN111" s="139"/>
      <c r="HLO111" s="139"/>
      <c r="HLP111" s="139"/>
      <c r="HLQ111" s="139"/>
      <c r="HLR111" s="139"/>
      <c r="HLS111" s="139"/>
      <c r="HLT111" s="139"/>
      <c r="HLU111" s="139"/>
      <c r="HLV111" s="139"/>
      <c r="HLW111" s="139"/>
      <c r="HLX111" s="139"/>
      <c r="HLY111" s="139"/>
      <c r="HLZ111" s="139"/>
      <c r="HMA111" s="139"/>
      <c r="HMB111" s="139"/>
      <c r="HMC111" s="139"/>
      <c r="HMD111" s="139"/>
      <c r="HME111" s="139"/>
      <c r="HMF111" s="139"/>
      <c r="HMG111" s="139"/>
      <c r="HMH111" s="139"/>
      <c r="HMI111" s="139"/>
      <c r="HMJ111" s="139"/>
      <c r="HMK111" s="139"/>
      <c r="HML111" s="139"/>
      <c r="HMM111" s="139"/>
      <c r="HMN111" s="139"/>
      <c r="HMO111" s="139"/>
      <c r="HMP111" s="139"/>
      <c r="HMQ111" s="139"/>
      <c r="HMR111" s="139"/>
      <c r="HMS111" s="139"/>
      <c r="HMT111" s="139"/>
      <c r="HMU111" s="139"/>
      <c r="HMV111" s="139"/>
      <c r="HMW111" s="139"/>
      <c r="HMX111" s="139"/>
      <c r="HMY111" s="139"/>
      <c r="HMZ111" s="139"/>
      <c r="HNA111" s="139"/>
      <c r="HNB111" s="139"/>
      <c r="HNC111" s="139"/>
      <c r="HND111" s="139"/>
      <c r="HNE111" s="139"/>
      <c r="HNF111" s="139"/>
      <c r="HNG111" s="139"/>
      <c r="HNH111" s="139"/>
      <c r="HNI111" s="139"/>
      <c r="HNJ111" s="139"/>
      <c r="HNK111" s="139"/>
      <c r="HNL111" s="139"/>
      <c r="HNM111" s="139"/>
      <c r="HNN111" s="139"/>
      <c r="HNO111" s="139"/>
      <c r="HNP111" s="139"/>
      <c r="HNQ111" s="139"/>
      <c r="HNR111" s="139"/>
      <c r="HNS111" s="139"/>
      <c r="HNT111" s="139"/>
      <c r="HNU111" s="139"/>
      <c r="HNV111" s="139"/>
      <c r="HNW111" s="139"/>
      <c r="HNX111" s="139"/>
      <c r="HNY111" s="139"/>
      <c r="HNZ111" s="139"/>
      <c r="HOA111" s="139"/>
      <c r="HOB111" s="139"/>
      <c r="HOC111" s="139"/>
      <c r="HOD111" s="139"/>
      <c r="HOE111" s="139"/>
      <c r="HOF111" s="139"/>
      <c r="HOG111" s="139"/>
      <c r="HOH111" s="139"/>
      <c r="HOI111" s="139"/>
      <c r="HOJ111" s="139"/>
      <c r="HOK111" s="139"/>
      <c r="HOL111" s="139"/>
      <c r="HOM111" s="139"/>
      <c r="HON111" s="139"/>
      <c r="HOO111" s="139"/>
      <c r="HOP111" s="139"/>
      <c r="HOQ111" s="139"/>
      <c r="HOR111" s="139"/>
      <c r="HOS111" s="139"/>
      <c r="HOT111" s="139"/>
      <c r="HOU111" s="139"/>
      <c r="HOV111" s="139"/>
      <c r="HOW111" s="139"/>
      <c r="HOX111" s="139"/>
      <c r="HOY111" s="139"/>
      <c r="HOZ111" s="139"/>
      <c r="HPA111" s="139"/>
      <c r="HPB111" s="139"/>
      <c r="HPC111" s="139"/>
      <c r="HPD111" s="139"/>
      <c r="HPE111" s="139"/>
      <c r="HPF111" s="139"/>
      <c r="HPG111" s="139"/>
      <c r="HPH111" s="139"/>
      <c r="HPI111" s="139"/>
      <c r="HPJ111" s="139"/>
      <c r="HPK111" s="139"/>
      <c r="HPL111" s="139"/>
      <c r="HPM111" s="139"/>
      <c r="HPN111" s="139"/>
      <c r="HPO111" s="139"/>
      <c r="HPP111" s="139"/>
      <c r="HPQ111" s="139"/>
      <c r="HPR111" s="139"/>
      <c r="HPS111" s="139"/>
      <c r="HPT111" s="139"/>
      <c r="HPU111" s="139"/>
      <c r="HPV111" s="139"/>
      <c r="HPW111" s="139"/>
      <c r="HPX111" s="139"/>
      <c r="HPY111" s="139"/>
      <c r="HPZ111" s="139"/>
      <c r="HQA111" s="139"/>
      <c r="HQB111" s="139"/>
      <c r="HQC111" s="139"/>
      <c r="HQD111" s="139"/>
      <c r="HQE111" s="139"/>
      <c r="HQF111" s="139"/>
      <c r="HQG111" s="139"/>
      <c r="HQH111" s="139"/>
      <c r="HQI111" s="139"/>
      <c r="HQJ111" s="139"/>
      <c r="HQK111" s="139"/>
      <c r="HQL111" s="139"/>
      <c r="HQM111" s="139"/>
      <c r="HQN111" s="139"/>
      <c r="HQO111" s="139"/>
      <c r="HQP111" s="139"/>
      <c r="HQQ111" s="139"/>
      <c r="HQR111" s="139"/>
      <c r="HQS111" s="139"/>
      <c r="HQT111" s="139"/>
      <c r="HQU111" s="139"/>
      <c r="HQV111" s="139"/>
      <c r="HQW111" s="139"/>
      <c r="HQX111" s="139"/>
      <c r="HQY111" s="139"/>
      <c r="HQZ111" s="139"/>
      <c r="HRA111" s="139"/>
      <c r="HRB111" s="139"/>
      <c r="HRC111" s="139"/>
      <c r="HRD111" s="139"/>
      <c r="HRE111" s="139"/>
      <c r="HRF111" s="139"/>
      <c r="HRG111" s="139"/>
      <c r="HRH111" s="139"/>
      <c r="HRI111" s="139"/>
      <c r="HRJ111" s="139"/>
      <c r="HRK111" s="139"/>
      <c r="HRL111" s="139"/>
      <c r="HRM111" s="139"/>
      <c r="HRN111" s="139"/>
      <c r="HRO111" s="139"/>
      <c r="HRP111" s="139"/>
      <c r="HRQ111" s="139"/>
      <c r="HRR111" s="139"/>
      <c r="HRS111" s="139"/>
      <c r="HRT111" s="139"/>
      <c r="HRU111" s="139"/>
      <c r="HRV111" s="139"/>
      <c r="HRW111" s="139"/>
      <c r="HRX111" s="139"/>
      <c r="HRY111" s="139"/>
      <c r="HRZ111" s="139"/>
      <c r="HSA111" s="139"/>
      <c r="HSB111" s="139"/>
      <c r="HSC111" s="139"/>
      <c r="HSD111" s="139"/>
      <c r="HSE111" s="139"/>
      <c r="HSF111" s="139"/>
      <c r="HSG111" s="139"/>
      <c r="HSH111" s="139"/>
      <c r="HSI111" s="139"/>
      <c r="HSJ111" s="139"/>
      <c r="HSK111" s="139"/>
      <c r="HSL111" s="139"/>
      <c r="HSM111" s="139"/>
      <c r="HSN111" s="139"/>
      <c r="HSO111" s="139"/>
      <c r="HSP111" s="139"/>
      <c r="HSQ111" s="139"/>
      <c r="HSR111" s="139"/>
      <c r="HSS111" s="139"/>
      <c r="HST111" s="139"/>
      <c r="HSU111" s="139"/>
      <c r="HSV111" s="139"/>
      <c r="HSW111" s="139"/>
      <c r="HSX111" s="139"/>
      <c r="HSY111" s="139"/>
      <c r="HSZ111" s="139"/>
      <c r="HTA111" s="139"/>
      <c r="HTB111" s="139"/>
      <c r="HTC111" s="139"/>
      <c r="HTD111" s="139"/>
      <c r="HTE111" s="139"/>
      <c r="HTF111" s="139"/>
      <c r="HTG111" s="139"/>
      <c r="HTH111" s="139"/>
      <c r="HTI111" s="139"/>
      <c r="HTJ111" s="139"/>
      <c r="HTK111" s="139"/>
      <c r="HTL111" s="139"/>
      <c r="HTM111" s="139"/>
      <c r="HTN111" s="139"/>
      <c r="HTO111" s="139"/>
      <c r="HTP111" s="139"/>
      <c r="HTQ111" s="139"/>
      <c r="HTR111" s="139"/>
      <c r="HTS111" s="139"/>
      <c r="HTT111" s="139"/>
      <c r="HTU111" s="139"/>
      <c r="HTV111" s="139"/>
      <c r="HTW111" s="139"/>
      <c r="HTX111" s="139"/>
      <c r="HTY111" s="139"/>
      <c r="HTZ111" s="139"/>
      <c r="HUA111" s="139"/>
      <c r="HUB111" s="139"/>
      <c r="HUC111" s="139"/>
      <c r="HUD111" s="139"/>
      <c r="HUE111" s="139"/>
      <c r="HUF111" s="139"/>
      <c r="HUG111" s="139"/>
      <c r="HUH111" s="139"/>
      <c r="HUI111" s="139"/>
      <c r="HUJ111" s="139"/>
      <c r="HUK111" s="139"/>
      <c r="HUL111" s="139"/>
      <c r="HUM111" s="139"/>
      <c r="HUN111" s="139"/>
      <c r="HUO111" s="139"/>
      <c r="HUP111" s="139"/>
      <c r="HUQ111" s="139"/>
      <c r="HUR111" s="139"/>
      <c r="HUS111" s="139"/>
      <c r="HUT111" s="139"/>
      <c r="HUU111" s="139"/>
      <c r="HUV111" s="139"/>
      <c r="HUW111" s="139"/>
      <c r="HUX111" s="139"/>
      <c r="HUY111" s="139"/>
      <c r="HUZ111" s="139"/>
      <c r="HVA111" s="139"/>
      <c r="HVB111" s="139"/>
      <c r="HVC111" s="139"/>
      <c r="HVD111" s="139"/>
      <c r="HVE111" s="139"/>
      <c r="HVF111" s="139"/>
      <c r="HVG111" s="139"/>
      <c r="HVH111" s="139"/>
      <c r="HVI111" s="139"/>
      <c r="HVJ111" s="139"/>
      <c r="HVK111" s="139"/>
      <c r="HVL111" s="139"/>
      <c r="HVM111" s="139"/>
      <c r="HVN111" s="139"/>
      <c r="HVO111" s="139"/>
      <c r="HVP111" s="139"/>
      <c r="HVQ111" s="139"/>
      <c r="HVR111" s="139"/>
      <c r="HVS111" s="139"/>
      <c r="HVT111" s="139"/>
      <c r="HVU111" s="139"/>
      <c r="HVV111" s="139"/>
      <c r="HVW111" s="139"/>
      <c r="HVX111" s="139"/>
      <c r="HVY111" s="139"/>
      <c r="HVZ111" s="139"/>
      <c r="HWA111" s="139"/>
      <c r="HWB111" s="139"/>
      <c r="HWC111" s="139"/>
      <c r="HWD111" s="139"/>
      <c r="HWE111" s="139"/>
      <c r="HWF111" s="139"/>
      <c r="HWG111" s="139"/>
      <c r="HWH111" s="139"/>
      <c r="HWI111" s="139"/>
      <c r="HWJ111" s="139"/>
      <c r="HWK111" s="139"/>
      <c r="HWL111" s="139"/>
      <c r="HWM111" s="139"/>
      <c r="HWN111" s="139"/>
      <c r="HWO111" s="139"/>
      <c r="HWP111" s="139"/>
      <c r="HWQ111" s="139"/>
      <c r="HWR111" s="139"/>
      <c r="HWS111" s="139"/>
      <c r="HWT111" s="139"/>
      <c r="HWU111" s="139"/>
      <c r="HWV111" s="139"/>
      <c r="HWW111" s="139"/>
      <c r="HWX111" s="139"/>
      <c r="HWY111" s="139"/>
      <c r="HWZ111" s="139"/>
      <c r="HXA111" s="139"/>
      <c r="HXB111" s="139"/>
      <c r="HXC111" s="139"/>
      <c r="HXD111" s="139"/>
      <c r="HXE111" s="139"/>
      <c r="HXF111" s="139"/>
      <c r="HXG111" s="139"/>
      <c r="HXH111" s="139"/>
      <c r="HXI111" s="139"/>
      <c r="HXJ111" s="139"/>
      <c r="HXK111" s="139"/>
      <c r="HXL111" s="139"/>
      <c r="HXM111" s="139"/>
      <c r="HXN111" s="139"/>
      <c r="HXO111" s="139"/>
      <c r="HXP111" s="139"/>
      <c r="HXQ111" s="139"/>
      <c r="HXR111" s="139"/>
      <c r="HXS111" s="139"/>
      <c r="HXT111" s="139"/>
      <c r="HXU111" s="139"/>
      <c r="HXV111" s="139"/>
      <c r="HXW111" s="139"/>
      <c r="HXX111" s="139"/>
      <c r="HXY111" s="139"/>
      <c r="HXZ111" s="139"/>
      <c r="HYA111" s="139"/>
      <c r="HYB111" s="139"/>
      <c r="HYC111" s="139"/>
      <c r="HYD111" s="139"/>
      <c r="HYE111" s="139"/>
      <c r="HYF111" s="139"/>
      <c r="HYG111" s="139"/>
      <c r="HYH111" s="139"/>
      <c r="HYI111" s="139"/>
      <c r="HYJ111" s="139"/>
      <c r="HYK111" s="139"/>
      <c r="HYL111" s="139"/>
      <c r="HYM111" s="139"/>
      <c r="HYN111" s="139"/>
      <c r="HYO111" s="139"/>
      <c r="HYP111" s="139"/>
      <c r="HYQ111" s="139"/>
      <c r="HYR111" s="139"/>
      <c r="HYS111" s="139"/>
      <c r="HYT111" s="139"/>
      <c r="HYU111" s="139"/>
      <c r="HYV111" s="139"/>
      <c r="HYW111" s="139"/>
      <c r="HYX111" s="139"/>
      <c r="HYY111" s="139"/>
      <c r="HYZ111" s="139"/>
      <c r="HZA111" s="139"/>
      <c r="HZB111" s="139"/>
      <c r="HZC111" s="139"/>
      <c r="HZD111" s="139"/>
      <c r="HZE111" s="139"/>
      <c r="HZF111" s="139"/>
      <c r="HZG111" s="139"/>
      <c r="HZH111" s="139"/>
      <c r="HZI111" s="139"/>
      <c r="HZJ111" s="139"/>
      <c r="HZK111" s="139"/>
      <c r="HZL111" s="139"/>
      <c r="HZM111" s="139"/>
      <c r="HZN111" s="139"/>
      <c r="HZO111" s="139"/>
      <c r="HZP111" s="139"/>
      <c r="HZQ111" s="139"/>
      <c r="HZR111" s="139"/>
      <c r="HZS111" s="139"/>
      <c r="HZT111" s="139"/>
      <c r="HZU111" s="139"/>
      <c r="HZV111" s="139"/>
      <c r="HZW111" s="139"/>
      <c r="HZX111" s="139"/>
      <c r="HZY111" s="139"/>
      <c r="HZZ111" s="139"/>
      <c r="IAA111" s="139"/>
      <c r="IAB111" s="139"/>
      <c r="IAC111" s="139"/>
      <c r="IAD111" s="139"/>
      <c r="IAE111" s="139"/>
      <c r="IAF111" s="139"/>
      <c r="IAG111" s="139"/>
      <c r="IAH111" s="139"/>
      <c r="IAI111" s="139"/>
      <c r="IAJ111" s="139"/>
      <c r="IAK111" s="139"/>
      <c r="IAL111" s="139"/>
      <c r="IAM111" s="139"/>
      <c r="IAN111" s="139"/>
      <c r="IAO111" s="139"/>
      <c r="IAP111" s="139"/>
      <c r="IAQ111" s="139"/>
      <c r="IAR111" s="139"/>
      <c r="IAS111" s="139"/>
      <c r="IAT111" s="139"/>
      <c r="IAU111" s="139"/>
      <c r="IAV111" s="139"/>
      <c r="IAW111" s="139"/>
      <c r="IAX111" s="139"/>
      <c r="IAY111" s="139"/>
      <c r="IAZ111" s="139"/>
      <c r="IBA111" s="139"/>
      <c r="IBB111" s="139"/>
      <c r="IBC111" s="139"/>
      <c r="IBD111" s="139"/>
      <c r="IBE111" s="139"/>
      <c r="IBF111" s="139"/>
      <c r="IBG111" s="139"/>
      <c r="IBH111" s="139"/>
      <c r="IBI111" s="139"/>
      <c r="IBJ111" s="139"/>
      <c r="IBK111" s="139"/>
      <c r="IBL111" s="139"/>
      <c r="IBM111" s="139"/>
      <c r="IBN111" s="139"/>
      <c r="IBO111" s="139"/>
      <c r="IBP111" s="139"/>
      <c r="IBQ111" s="139"/>
      <c r="IBR111" s="139"/>
      <c r="IBS111" s="139"/>
      <c r="IBT111" s="139"/>
      <c r="IBU111" s="139"/>
      <c r="IBV111" s="139"/>
      <c r="IBW111" s="139"/>
      <c r="IBX111" s="139"/>
      <c r="IBY111" s="139"/>
      <c r="IBZ111" s="139"/>
      <c r="ICA111" s="139"/>
      <c r="ICB111" s="139"/>
      <c r="ICC111" s="139"/>
      <c r="ICD111" s="139"/>
      <c r="ICE111" s="139"/>
      <c r="ICF111" s="139"/>
      <c r="ICG111" s="139"/>
      <c r="ICH111" s="139"/>
      <c r="ICI111" s="139"/>
      <c r="ICJ111" s="139"/>
      <c r="ICK111" s="139"/>
      <c r="ICL111" s="139"/>
      <c r="ICM111" s="139"/>
      <c r="ICN111" s="139"/>
      <c r="ICO111" s="139"/>
      <c r="ICP111" s="139"/>
      <c r="ICQ111" s="139"/>
      <c r="ICR111" s="139"/>
      <c r="ICS111" s="139"/>
      <c r="ICT111" s="139"/>
      <c r="ICU111" s="139"/>
      <c r="ICV111" s="139"/>
      <c r="ICW111" s="139"/>
      <c r="ICX111" s="139"/>
      <c r="ICY111" s="139"/>
      <c r="ICZ111" s="139"/>
      <c r="IDA111" s="139"/>
      <c r="IDB111" s="139"/>
      <c r="IDC111" s="139"/>
      <c r="IDD111" s="139"/>
      <c r="IDE111" s="139"/>
      <c r="IDF111" s="139"/>
      <c r="IDG111" s="139"/>
      <c r="IDH111" s="139"/>
      <c r="IDI111" s="139"/>
      <c r="IDJ111" s="139"/>
      <c r="IDK111" s="139"/>
      <c r="IDL111" s="139"/>
      <c r="IDM111" s="139"/>
      <c r="IDN111" s="139"/>
      <c r="IDO111" s="139"/>
      <c r="IDP111" s="139"/>
      <c r="IDQ111" s="139"/>
      <c r="IDR111" s="139"/>
      <c r="IDS111" s="139"/>
      <c r="IDT111" s="139"/>
      <c r="IDU111" s="139"/>
      <c r="IDV111" s="139"/>
      <c r="IDW111" s="139"/>
      <c r="IDX111" s="139"/>
      <c r="IDY111" s="139"/>
      <c r="IDZ111" s="139"/>
      <c r="IEA111" s="139"/>
      <c r="IEB111" s="139"/>
      <c r="IEC111" s="139"/>
      <c r="IED111" s="139"/>
      <c r="IEE111" s="139"/>
      <c r="IEF111" s="139"/>
      <c r="IEG111" s="139"/>
      <c r="IEH111" s="139"/>
      <c r="IEI111" s="139"/>
      <c r="IEJ111" s="139"/>
      <c r="IEK111" s="139"/>
      <c r="IEL111" s="139"/>
      <c r="IEM111" s="139"/>
      <c r="IEN111" s="139"/>
      <c r="IEO111" s="139"/>
      <c r="IEP111" s="139"/>
      <c r="IEQ111" s="139"/>
      <c r="IER111" s="139"/>
      <c r="IES111" s="139"/>
      <c r="IET111" s="139"/>
      <c r="IEU111" s="139"/>
      <c r="IEV111" s="139"/>
      <c r="IEW111" s="139"/>
      <c r="IEX111" s="139"/>
      <c r="IEY111" s="139"/>
      <c r="IEZ111" s="139"/>
      <c r="IFA111" s="139"/>
      <c r="IFB111" s="139"/>
      <c r="IFC111" s="139"/>
      <c r="IFD111" s="139"/>
      <c r="IFE111" s="139"/>
      <c r="IFF111" s="139"/>
      <c r="IFG111" s="139"/>
      <c r="IFH111" s="139"/>
      <c r="IFI111" s="139"/>
      <c r="IFJ111" s="139"/>
      <c r="IFK111" s="139"/>
      <c r="IFL111" s="139"/>
      <c r="IFM111" s="139"/>
      <c r="IFN111" s="139"/>
      <c r="IFO111" s="139"/>
      <c r="IFP111" s="139"/>
      <c r="IFQ111" s="139"/>
      <c r="IFR111" s="139"/>
      <c r="IFS111" s="139"/>
      <c r="IFT111" s="139"/>
      <c r="IFU111" s="139"/>
      <c r="IFV111" s="139"/>
      <c r="IFW111" s="139"/>
      <c r="IFX111" s="139"/>
      <c r="IFY111" s="139"/>
      <c r="IFZ111" s="139"/>
      <c r="IGA111" s="139"/>
      <c r="IGB111" s="139"/>
      <c r="IGC111" s="139"/>
      <c r="IGD111" s="139"/>
      <c r="IGE111" s="139"/>
      <c r="IGF111" s="139"/>
      <c r="IGG111" s="139"/>
      <c r="IGH111" s="139"/>
      <c r="IGI111" s="139"/>
      <c r="IGJ111" s="139"/>
      <c r="IGK111" s="139"/>
      <c r="IGL111" s="139"/>
      <c r="IGM111" s="139"/>
      <c r="IGN111" s="139"/>
      <c r="IGO111" s="139"/>
      <c r="IGP111" s="139"/>
      <c r="IGQ111" s="139"/>
      <c r="IGR111" s="139"/>
      <c r="IGS111" s="139"/>
      <c r="IGT111" s="139"/>
      <c r="IGU111" s="139"/>
      <c r="IGV111" s="139"/>
      <c r="IGW111" s="139"/>
      <c r="IGX111" s="139"/>
      <c r="IGY111" s="139"/>
      <c r="IGZ111" s="139"/>
      <c r="IHA111" s="139"/>
      <c r="IHB111" s="139"/>
      <c r="IHC111" s="139"/>
      <c r="IHD111" s="139"/>
      <c r="IHE111" s="139"/>
      <c r="IHF111" s="139"/>
      <c r="IHG111" s="139"/>
      <c r="IHH111" s="139"/>
      <c r="IHI111" s="139"/>
      <c r="IHJ111" s="139"/>
      <c r="IHK111" s="139"/>
      <c r="IHL111" s="139"/>
      <c r="IHM111" s="139"/>
      <c r="IHN111" s="139"/>
      <c r="IHO111" s="139"/>
      <c r="IHP111" s="139"/>
      <c r="IHQ111" s="139"/>
      <c r="IHR111" s="139"/>
      <c r="IHS111" s="139"/>
      <c r="IHT111" s="139"/>
      <c r="IHU111" s="139"/>
      <c r="IHV111" s="139"/>
      <c r="IHW111" s="139"/>
      <c r="IHX111" s="139"/>
      <c r="IHY111" s="139"/>
      <c r="IHZ111" s="139"/>
      <c r="IIA111" s="139"/>
      <c r="IIB111" s="139"/>
      <c r="IIC111" s="139"/>
      <c r="IID111" s="139"/>
      <c r="IIE111" s="139"/>
      <c r="IIF111" s="139"/>
      <c r="IIG111" s="139"/>
      <c r="IIH111" s="139"/>
      <c r="III111" s="139"/>
      <c r="IIJ111" s="139"/>
      <c r="IIK111" s="139"/>
      <c r="IIL111" s="139"/>
      <c r="IIM111" s="139"/>
      <c r="IIN111" s="139"/>
      <c r="IIO111" s="139"/>
      <c r="IIP111" s="139"/>
      <c r="IIQ111" s="139"/>
      <c r="IIR111" s="139"/>
      <c r="IIS111" s="139"/>
      <c r="IIT111" s="139"/>
      <c r="IIU111" s="139"/>
      <c r="IIV111" s="139"/>
      <c r="IIW111" s="139"/>
      <c r="IIX111" s="139"/>
      <c r="IIY111" s="139"/>
      <c r="IIZ111" s="139"/>
      <c r="IJA111" s="139"/>
      <c r="IJB111" s="139"/>
      <c r="IJC111" s="139"/>
      <c r="IJD111" s="139"/>
      <c r="IJE111" s="139"/>
      <c r="IJF111" s="139"/>
      <c r="IJG111" s="139"/>
      <c r="IJH111" s="139"/>
      <c r="IJI111" s="139"/>
      <c r="IJJ111" s="139"/>
      <c r="IJK111" s="139"/>
      <c r="IJL111" s="139"/>
      <c r="IJM111" s="139"/>
      <c r="IJN111" s="139"/>
      <c r="IJO111" s="139"/>
      <c r="IJP111" s="139"/>
      <c r="IJQ111" s="139"/>
      <c r="IJR111" s="139"/>
      <c r="IJS111" s="139"/>
      <c r="IJT111" s="139"/>
      <c r="IJU111" s="139"/>
      <c r="IJV111" s="139"/>
      <c r="IJW111" s="139"/>
      <c r="IJX111" s="139"/>
      <c r="IJY111" s="139"/>
      <c r="IJZ111" s="139"/>
      <c r="IKA111" s="139"/>
      <c r="IKB111" s="139"/>
      <c r="IKC111" s="139"/>
      <c r="IKD111" s="139"/>
      <c r="IKE111" s="139"/>
      <c r="IKF111" s="139"/>
      <c r="IKG111" s="139"/>
      <c r="IKH111" s="139"/>
      <c r="IKI111" s="139"/>
      <c r="IKJ111" s="139"/>
      <c r="IKK111" s="139"/>
      <c r="IKL111" s="139"/>
      <c r="IKM111" s="139"/>
      <c r="IKN111" s="139"/>
      <c r="IKO111" s="139"/>
      <c r="IKP111" s="139"/>
      <c r="IKQ111" s="139"/>
      <c r="IKR111" s="139"/>
      <c r="IKS111" s="139"/>
      <c r="IKT111" s="139"/>
      <c r="IKU111" s="139"/>
      <c r="IKV111" s="139"/>
      <c r="IKW111" s="139"/>
      <c r="IKX111" s="139"/>
      <c r="IKY111" s="139"/>
      <c r="IKZ111" s="139"/>
      <c r="ILA111" s="139"/>
      <c r="ILB111" s="139"/>
      <c r="ILC111" s="139"/>
      <c r="ILD111" s="139"/>
      <c r="ILE111" s="139"/>
      <c r="ILF111" s="139"/>
      <c r="ILG111" s="139"/>
      <c r="ILH111" s="139"/>
      <c r="ILI111" s="139"/>
      <c r="ILJ111" s="139"/>
      <c r="ILK111" s="139"/>
      <c r="ILL111" s="139"/>
      <c r="ILM111" s="139"/>
      <c r="ILN111" s="139"/>
      <c r="ILO111" s="139"/>
      <c r="ILP111" s="139"/>
      <c r="ILQ111" s="139"/>
      <c r="ILR111" s="139"/>
      <c r="ILS111" s="139"/>
      <c r="ILT111" s="139"/>
      <c r="ILU111" s="139"/>
      <c r="ILV111" s="139"/>
      <c r="ILW111" s="139"/>
      <c r="ILX111" s="139"/>
      <c r="ILY111" s="139"/>
      <c r="ILZ111" s="139"/>
      <c r="IMA111" s="139"/>
      <c r="IMB111" s="139"/>
      <c r="IMC111" s="139"/>
      <c r="IMD111" s="139"/>
      <c r="IME111" s="139"/>
      <c r="IMF111" s="139"/>
      <c r="IMG111" s="139"/>
      <c r="IMH111" s="139"/>
      <c r="IMI111" s="139"/>
      <c r="IMJ111" s="139"/>
      <c r="IMK111" s="139"/>
      <c r="IML111" s="139"/>
      <c r="IMM111" s="139"/>
      <c r="IMN111" s="139"/>
      <c r="IMO111" s="139"/>
      <c r="IMP111" s="139"/>
      <c r="IMQ111" s="139"/>
      <c r="IMR111" s="139"/>
      <c r="IMS111" s="139"/>
      <c r="IMT111" s="139"/>
      <c r="IMU111" s="139"/>
      <c r="IMV111" s="139"/>
      <c r="IMW111" s="139"/>
      <c r="IMX111" s="139"/>
      <c r="IMY111" s="139"/>
      <c r="IMZ111" s="139"/>
      <c r="INA111" s="139"/>
      <c r="INB111" s="139"/>
      <c r="INC111" s="139"/>
      <c r="IND111" s="139"/>
      <c r="INE111" s="139"/>
      <c r="INF111" s="139"/>
      <c r="ING111" s="139"/>
      <c r="INH111" s="139"/>
      <c r="INI111" s="139"/>
      <c r="INJ111" s="139"/>
      <c r="INK111" s="139"/>
      <c r="INL111" s="139"/>
      <c r="INM111" s="139"/>
      <c r="INN111" s="139"/>
      <c r="INO111" s="139"/>
      <c r="INP111" s="139"/>
      <c r="INQ111" s="139"/>
      <c r="INR111" s="139"/>
      <c r="INS111" s="139"/>
      <c r="INT111" s="139"/>
      <c r="INU111" s="139"/>
      <c r="INV111" s="139"/>
      <c r="INW111" s="139"/>
      <c r="INX111" s="139"/>
      <c r="INY111" s="139"/>
      <c r="INZ111" s="139"/>
      <c r="IOA111" s="139"/>
      <c r="IOB111" s="139"/>
      <c r="IOC111" s="139"/>
      <c r="IOD111" s="139"/>
      <c r="IOE111" s="139"/>
      <c r="IOF111" s="139"/>
      <c r="IOG111" s="139"/>
      <c r="IOH111" s="139"/>
      <c r="IOI111" s="139"/>
      <c r="IOJ111" s="139"/>
      <c r="IOK111" s="139"/>
      <c r="IOL111" s="139"/>
      <c r="IOM111" s="139"/>
      <c r="ION111" s="139"/>
      <c r="IOO111" s="139"/>
      <c r="IOP111" s="139"/>
      <c r="IOQ111" s="139"/>
      <c r="IOR111" s="139"/>
      <c r="IOS111" s="139"/>
      <c r="IOT111" s="139"/>
      <c r="IOU111" s="139"/>
      <c r="IOV111" s="139"/>
      <c r="IOW111" s="139"/>
      <c r="IOX111" s="139"/>
      <c r="IOY111" s="139"/>
      <c r="IOZ111" s="139"/>
      <c r="IPA111" s="139"/>
      <c r="IPB111" s="139"/>
      <c r="IPC111" s="139"/>
      <c r="IPD111" s="139"/>
      <c r="IPE111" s="139"/>
      <c r="IPF111" s="139"/>
      <c r="IPG111" s="139"/>
      <c r="IPH111" s="139"/>
      <c r="IPI111" s="139"/>
      <c r="IPJ111" s="139"/>
      <c r="IPK111" s="139"/>
      <c r="IPL111" s="139"/>
      <c r="IPM111" s="139"/>
      <c r="IPN111" s="139"/>
      <c r="IPO111" s="139"/>
      <c r="IPP111" s="139"/>
      <c r="IPQ111" s="139"/>
      <c r="IPR111" s="139"/>
      <c r="IPS111" s="139"/>
      <c r="IPT111" s="139"/>
      <c r="IPU111" s="139"/>
      <c r="IPV111" s="139"/>
      <c r="IPW111" s="139"/>
      <c r="IPX111" s="139"/>
      <c r="IPY111" s="139"/>
      <c r="IPZ111" s="139"/>
      <c r="IQA111" s="139"/>
      <c r="IQB111" s="139"/>
      <c r="IQC111" s="139"/>
      <c r="IQD111" s="139"/>
      <c r="IQE111" s="139"/>
      <c r="IQF111" s="139"/>
      <c r="IQG111" s="139"/>
      <c r="IQH111" s="139"/>
      <c r="IQI111" s="139"/>
      <c r="IQJ111" s="139"/>
      <c r="IQK111" s="139"/>
      <c r="IQL111" s="139"/>
      <c r="IQM111" s="139"/>
      <c r="IQN111" s="139"/>
      <c r="IQO111" s="139"/>
      <c r="IQP111" s="139"/>
      <c r="IQQ111" s="139"/>
      <c r="IQR111" s="139"/>
      <c r="IQS111" s="139"/>
      <c r="IQT111" s="139"/>
      <c r="IQU111" s="139"/>
      <c r="IQV111" s="139"/>
      <c r="IQW111" s="139"/>
      <c r="IQX111" s="139"/>
      <c r="IQY111" s="139"/>
      <c r="IQZ111" s="139"/>
      <c r="IRA111" s="139"/>
      <c r="IRB111" s="139"/>
      <c r="IRC111" s="139"/>
      <c r="IRD111" s="139"/>
      <c r="IRE111" s="139"/>
      <c r="IRF111" s="139"/>
      <c r="IRG111" s="139"/>
      <c r="IRH111" s="139"/>
      <c r="IRI111" s="139"/>
      <c r="IRJ111" s="139"/>
      <c r="IRK111" s="139"/>
      <c r="IRL111" s="139"/>
      <c r="IRM111" s="139"/>
      <c r="IRN111" s="139"/>
      <c r="IRO111" s="139"/>
      <c r="IRP111" s="139"/>
      <c r="IRQ111" s="139"/>
      <c r="IRR111" s="139"/>
      <c r="IRS111" s="139"/>
      <c r="IRT111" s="139"/>
      <c r="IRU111" s="139"/>
      <c r="IRV111" s="139"/>
      <c r="IRW111" s="139"/>
      <c r="IRX111" s="139"/>
      <c r="IRY111" s="139"/>
      <c r="IRZ111" s="139"/>
      <c r="ISA111" s="139"/>
      <c r="ISB111" s="139"/>
      <c r="ISC111" s="139"/>
      <c r="ISD111" s="139"/>
      <c r="ISE111" s="139"/>
      <c r="ISF111" s="139"/>
      <c r="ISG111" s="139"/>
      <c r="ISH111" s="139"/>
      <c r="ISI111" s="139"/>
      <c r="ISJ111" s="139"/>
      <c r="ISK111" s="139"/>
      <c r="ISL111" s="139"/>
      <c r="ISM111" s="139"/>
      <c r="ISN111" s="139"/>
      <c r="ISO111" s="139"/>
      <c r="ISP111" s="139"/>
      <c r="ISQ111" s="139"/>
      <c r="ISR111" s="139"/>
      <c r="ISS111" s="139"/>
      <c r="IST111" s="139"/>
      <c r="ISU111" s="139"/>
      <c r="ISV111" s="139"/>
      <c r="ISW111" s="139"/>
      <c r="ISX111" s="139"/>
      <c r="ISY111" s="139"/>
      <c r="ISZ111" s="139"/>
      <c r="ITA111" s="139"/>
      <c r="ITB111" s="139"/>
      <c r="ITC111" s="139"/>
      <c r="ITD111" s="139"/>
      <c r="ITE111" s="139"/>
      <c r="ITF111" s="139"/>
      <c r="ITG111" s="139"/>
      <c r="ITH111" s="139"/>
      <c r="ITI111" s="139"/>
      <c r="ITJ111" s="139"/>
      <c r="ITK111" s="139"/>
      <c r="ITL111" s="139"/>
      <c r="ITM111" s="139"/>
      <c r="ITN111" s="139"/>
      <c r="ITO111" s="139"/>
      <c r="ITP111" s="139"/>
      <c r="ITQ111" s="139"/>
      <c r="ITR111" s="139"/>
      <c r="ITS111" s="139"/>
      <c r="ITT111" s="139"/>
      <c r="ITU111" s="139"/>
      <c r="ITV111" s="139"/>
      <c r="ITW111" s="139"/>
      <c r="ITX111" s="139"/>
      <c r="ITY111" s="139"/>
      <c r="ITZ111" s="139"/>
      <c r="IUA111" s="139"/>
      <c r="IUB111" s="139"/>
      <c r="IUC111" s="139"/>
      <c r="IUD111" s="139"/>
      <c r="IUE111" s="139"/>
      <c r="IUF111" s="139"/>
      <c r="IUG111" s="139"/>
      <c r="IUH111" s="139"/>
      <c r="IUI111" s="139"/>
      <c r="IUJ111" s="139"/>
      <c r="IUK111" s="139"/>
      <c r="IUL111" s="139"/>
      <c r="IUM111" s="139"/>
      <c r="IUN111" s="139"/>
      <c r="IUO111" s="139"/>
      <c r="IUP111" s="139"/>
      <c r="IUQ111" s="139"/>
      <c r="IUR111" s="139"/>
      <c r="IUS111" s="139"/>
      <c r="IUT111" s="139"/>
      <c r="IUU111" s="139"/>
      <c r="IUV111" s="139"/>
      <c r="IUW111" s="139"/>
      <c r="IUX111" s="139"/>
      <c r="IUY111" s="139"/>
      <c r="IUZ111" s="139"/>
      <c r="IVA111" s="139"/>
      <c r="IVB111" s="139"/>
      <c r="IVC111" s="139"/>
      <c r="IVD111" s="139"/>
      <c r="IVE111" s="139"/>
      <c r="IVF111" s="139"/>
      <c r="IVG111" s="139"/>
      <c r="IVH111" s="139"/>
      <c r="IVI111" s="139"/>
      <c r="IVJ111" s="139"/>
      <c r="IVK111" s="139"/>
      <c r="IVL111" s="139"/>
      <c r="IVM111" s="139"/>
      <c r="IVN111" s="139"/>
      <c r="IVO111" s="139"/>
      <c r="IVP111" s="139"/>
      <c r="IVQ111" s="139"/>
      <c r="IVR111" s="139"/>
      <c r="IVS111" s="139"/>
      <c r="IVT111" s="139"/>
      <c r="IVU111" s="139"/>
      <c r="IVV111" s="139"/>
      <c r="IVW111" s="139"/>
      <c r="IVX111" s="139"/>
      <c r="IVY111" s="139"/>
      <c r="IVZ111" s="139"/>
      <c r="IWA111" s="139"/>
      <c r="IWB111" s="139"/>
      <c r="IWC111" s="139"/>
      <c r="IWD111" s="139"/>
      <c r="IWE111" s="139"/>
      <c r="IWF111" s="139"/>
      <c r="IWG111" s="139"/>
      <c r="IWH111" s="139"/>
      <c r="IWI111" s="139"/>
      <c r="IWJ111" s="139"/>
      <c r="IWK111" s="139"/>
      <c r="IWL111" s="139"/>
      <c r="IWM111" s="139"/>
      <c r="IWN111" s="139"/>
      <c r="IWO111" s="139"/>
      <c r="IWP111" s="139"/>
      <c r="IWQ111" s="139"/>
      <c r="IWR111" s="139"/>
      <c r="IWS111" s="139"/>
      <c r="IWT111" s="139"/>
      <c r="IWU111" s="139"/>
      <c r="IWV111" s="139"/>
      <c r="IWW111" s="139"/>
      <c r="IWX111" s="139"/>
      <c r="IWY111" s="139"/>
      <c r="IWZ111" s="139"/>
      <c r="IXA111" s="139"/>
      <c r="IXB111" s="139"/>
      <c r="IXC111" s="139"/>
      <c r="IXD111" s="139"/>
      <c r="IXE111" s="139"/>
      <c r="IXF111" s="139"/>
      <c r="IXG111" s="139"/>
      <c r="IXH111" s="139"/>
      <c r="IXI111" s="139"/>
      <c r="IXJ111" s="139"/>
      <c r="IXK111" s="139"/>
      <c r="IXL111" s="139"/>
      <c r="IXM111" s="139"/>
      <c r="IXN111" s="139"/>
      <c r="IXO111" s="139"/>
      <c r="IXP111" s="139"/>
      <c r="IXQ111" s="139"/>
      <c r="IXR111" s="139"/>
      <c r="IXS111" s="139"/>
      <c r="IXT111" s="139"/>
      <c r="IXU111" s="139"/>
      <c r="IXV111" s="139"/>
      <c r="IXW111" s="139"/>
      <c r="IXX111" s="139"/>
      <c r="IXY111" s="139"/>
      <c r="IXZ111" s="139"/>
      <c r="IYA111" s="139"/>
      <c r="IYB111" s="139"/>
      <c r="IYC111" s="139"/>
      <c r="IYD111" s="139"/>
      <c r="IYE111" s="139"/>
      <c r="IYF111" s="139"/>
      <c r="IYG111" s="139"/>
      <c r="IYH111" s="139"/>
      <c r="IYI111" s="139"/>
      <c r="IYJ111" s="139"/>
      <c r="IYK111" s="139"/>
      <c r="IYL111" s="139"/>
      <c r="IYM111" s="139"/>
      <c r="IYN111" s="139"/>
      <c r="IYO111" s="139"/>
      <c r="IYP111" s="139"/>
      <c r="IYQ111" s="139"/>
      <c r="IYR111" s="139"/>
      <c r="IYS111" s="139"/>
      <c r="IYT111" s="139"/>
      <c r="IYU111" s="139"/>
      <c r="IYV111" s="139"/>
      <c r="IYW111" s="139"/>
      <c r="IYX111" s="139"/>
      <c r="IYY111" s="139"/>
      <c r="IYZ111" s="139"/>
      <c r="IZA111" s="139"/>
      <c r="IZB111" s="139"/>
      <c r="IZC111" s="139"/>
      <c r="IZD111" s="139"/>
      <c r="IZE111" s="139"/>
      <c r="IZF111" s="139"/>
      <c r="IZG111" s="139"/>
      <c r="IZH111" s="139"/>
      <c r="IZI111" s="139"/>
      <c r="IZJ111" s="139"/>
      <c r="IZK111" s="139"/>
      <c r="IZL111" s="139"/>
      <c r="IZM111" s="139"/>
      <c r="IZN111" s="139"/>
      <c r="IZO111" s="139"/>
      <c r="IZP111" s="139"/>
      <c r="IZQ111" s="139"/>
      <c r="IZR111" s="139"/>
      <c r="IZS111" s="139"/>
      <c r="IZT111" s="139"/>
      <c r="IZU111" s="139"/>
      <c r="IZV111" s="139"/>
      <c r="IZW111" s="139"/>
      <c r="IZX111" s="139"/>
      <c r="IZY111" s="139"/>
      <c r="IZZ111" s="139"/>
      <c r="JAA111" s="139"/>
      <c r="JAB111" s="139"/>
      <c r="JAC111" s="139"/>
      <c r="JAD111" s="139"/>
      <c r="JAE111" s="139"/>
      <c r="JAF111" s="139"/>
      <c r="JAG111" s="139"/>
      <c r="JAH111" s="139"/>
      <c r="JAI111" s="139"/>
      <c r="JAJ111" s="139"/>
      <c r="JAK111" s="139"/>
      <c r="JAL111" s="139"/>
      <c r="JAM111" s="139"/>
      <c r="JAN111" s="139"/>
      <c r="JAO111" s="139"/>
      <c r="JAP111" s="139"/>
      <c r="JAQ111" s="139"/>
      <c r="JAR111" s="139"/>
      <c r="JAS111" s="139"/>
      <c r="JAT111" s="139"/>
      <c r="JAU111" s="139"/>
      <c r="JAV111" s="139"/>
      <c r="JAW111" s="139"/>
      <c r="JAX111" s="139"/>
      <c r="JAY111" s="139"/>
      <c r="JAZ111" s="139"/>
      <c r="JBA111" s="139"/>
      <c r="JBB111" s="139"/>
      <c r="JBC111" s="139"/>
      <c r="JBD111" s="139"/>
      <c r="JBE111" s="139"/>
      <c r="JBF111" s="139"/>
      <c r="JBG111" s="139"/>
      <c r="JBH111" s="139"/>
      <c r="JBI111" s="139"/>
      <c r="JBJ111" s="139"/>
      <c r="JBK111" s="139"/>
      <c r="JBL111" s="139"/>
      <c r="JBM111" s="139"/>
      <c r="JBN111" s="139"/>
      <c r="JBO111" s="139"/>
      <c r="JBP111" s="139"/>
      <c r="JBQ111" s="139"/>
      <c r="JBR111" s="139"/>
      <c r="JBS111" s="139"/>
      <c r="JBT111" s="139"/>
      <c r="JBU111" s="139"/>
      <c r="JBV111" s="139"/>
      <c r="JBW111" s="139"/>
      <c r="JBX111" s="139"/>
      <c r="JBY111" s="139"/>
      <c r="JBZ111" s="139"/>
      <c r="JCA111" s="139"/>
      <c r="JCB111" s="139"/>
      <c r="JCC111" s="139"/>
      <c r="JCD111" s="139"/>
      <c r="JCE111" s="139"/>
      <c r="JCF111" s="139"/>
      <c r="JCG111" s="139"/>
      <c r="JCH111" s="139"/>
      <c r="JCI111" s="139"/>
      <c r="JCJ111" s="139"/>
      <c r="JCK111" s="139"/>
      <c r="JCL111" s="139"/>
      <c r="JCM111" s="139"/>
      <c r="JCN111" s="139"/>
      <c r="JCO111" s="139"/>
      <c r="JCP111" s="139"/>
      <c r="JCQ111" s="139"/>
      <c r="JCR111" s="139"/>
      <c r="JCS111" s="139"/>
      <c r="JCT111" s="139"/>
      <c r="JCU111" s="139"/>
      <c r="JCV111" s="139"/>
      <c r="JCW111" s="139"/>
      <c r="JCX111" s="139"/>
      <c r="JCY111" s="139"/>
      <c r="JCZ111" s="139"/>
      <c r="JDA111" s="139"/>
      <c r="JDB111" s="139"/>
      <c r="JDC111" s="139"/>
      <c r="JDD111" s="139"/>
      <c r="JDE111" s="139"/>
      <c r="JDF111" s="139"/>
      <c r="JDG111" s="139"/>
      <c r="JDH111" s="139"/>
      <c r="JDI111" s="139"/>
      <c r="JDJ111" s="139"/>
      <c r="JDK111" s="139"/>
      <c r="JDL111" s="139"/>
      <c r="JDM111" s="139"/>
      <c r="JDN111" s="139"/>
      <c r="JDO111" s="139"/>
      <c r="JDP111" s="139"/>
      <c r="JDQ111" s="139"/>
      <c r="JDR111" s="139"/>
      <c r="JDS111" s="139"/>
      <c r="JDT111" s="139"/>
      <c r="JDU111" s="139"/>
      <c r="JDV111" s="139"/>
      <c r="JDW111" s="139"/>
      <c r="JDX111" s="139"/>
      <c r="JDY111" s="139"/>
      <c r="JDZ111" s="139"/>
      <c r="JEA111" s="139"/>
      <c r="JEB111" s="139"/>
      <c r="JEC111" s="139"/>
      <c r="JED111" s="139"/>
      <c r="JEE111" s="139"/>
      <c r="JEF111" s="139"/>
      <c r="JEG111" s="139"/>
      <c r="JEH111" s="139"/>
      <c r="JEI111" s="139"/>
      <c r="JEJ111" s="139"/>
      <c r="JEK111" s="139"/>
      <c r="JEL111" s="139"/>
      <c r="JEM111" s="139"/>
      <c r="JEN111" s="139"/>
      <c r="JEO111" s="139"/>
      <c r="JEP111" s="139"/>
      <c r="JEQ111" s="139"/>
      <c r="JER111" s="139"/>
      <c r="JES111" s="139"/>
      <c r="JET111" s="139"/>
      <c r="JEU111" s="139"/>
      <c r="JEV111" s="139"/>
      <c r="JEW111" s="139"/>
      <c r="JEX111" s="139"/>
      <c r="JEY111" s="139"/>
      <c r="JEZ111" s="139"/>
      <c r="JFA111" s="139"/>
      <c r="JFB111" s="139"/>
      <c r="JFC111" s="139"/>
      <c r="JFD111" s="139"/>
      <c r="JFE111" s="139"/>
      <c r="JFF111" s="139"/>
      <c r="JFG111" s="139"/>
      <c r="JFH111" s="139"/>
      <c r="JFI111" s="139"/>
      <c r="JFJ111" s="139"/>
      <c r="JFK111" s="139"/>
      <c r="JFL111" s="139"/>
      <c r="JFM111" s="139"/>
      <c r="JFN111" s="139"/>
      <c r="JFO111" s="139"/>
      <c r="JFP111" s="139"/>
      <c r="JFQ111" s="139"/>
      <c r="JFR111" s="139"/>
      <c r="JFS111" s="139"/>
      <c r="JFT111" s="139"/>
      <c r="JFU111" s="139"/>
      <c r="JFV111" s="139"/>
      <c r="JFW111" s="139"/>
      <c r="JFX111" s="139"/>
      <c r="JFY111" s="139"/>
      <c r="JFZ111" s="139"/>
      <c r="JGA111" s="139"/>
      <c r="JGB111" s="139"/>
      <c r="JGC111" s="139"/>
      <c r="JGD111" s="139"/>
      <c r="JGE111" s="139"/>
      <c r="JGF111" s="139"/>
      <c r="JGG111" s="139"/>
      <c r="JGH111" s="139"/>
      <c r="JGI111" s="139"/>
      <c r="JGJ111" s="139"/>
      <c r="JGK111" s="139"/>
      <c r="JGL111" s="139"/>
      <c r="JGM111" s="139"/>
      <c r="JGN111" s="139"/>
      <c r="JGO111" s="139"/>
      <c r="JGP111" s="139"/>
      <c r="JGQ111" s="139"/>
      <c r="JGR111" s="139"/>
      <c r="JGS111" s="139"/>
      <c r="JGT111" s="139"/>
      <c r="JGU111" s="139"/>
      <c r="JGV111" s="139"/>
      <c r="JGW111" s="139"/>
      <c r="JGX111" s="139"/>
      <c r="JGY111" s="139"/>
      <c r="JGZ111" s="139"/>
      <c r="JHA111" s="139"/>
      <c r="JHB111" s="139"/>
      <c r="JHC111" s="139"/>
      <c r="JHD111" s="139"/>
      <c r="JHE111" s="139"/>
      <c r="JHF111" s="139"/>
      <c r="JHG111" s="139"/>
      <c r="JHH111" s="139"/>
      <c r="JHI111" s="139"/>
      <c r="JHJ111" s="139"/>
      <c r="JHK111" s="139"/>
      <c r="JHL111" s="139"/>
      <c r="JHM111" s="139"/>
      <c r="JHN111" s="139"/>
      <c r="JHO111" s="139"/>
      <c r="JHP111" s="139"/>
      <c r="JHQ111" s="139"/>
      <c r="JHR111" s="139"/>
      <c r="JHS111" s="139"/>
      <c r="JHT111" s="139"/>
      <c r="JHU111" s="139"/>
      <c r="JHV111" s="139"/>
      <c r="JHW111" s="139"/>
      <c r="JHX111" s="139"/>
      <c r="JHY111" s="139"/>
      <c r="JHZ111" s="139"/>
      <c r="JIA111" s="139"/>
      <c r="JIB111" s="139"/>
      <c r="JIC111" s="139"/>
      <c r="JID111" s="139"/>
      <c r="JIE111" s="139"/>
      <c r="JIF111" s="139"/>
      <c r="JIG111" s="139"/>
      <c r="JIH111" s="139"/>
      <c r="JII111" s="139"/>
      <c r="JIJ111" s="139"/>
      <c r="JIK111" s="139"/>
      <c r="JIL111" s="139"/>
      <c r="JIM111" s="139"/>
      <c r="JIN111" s="139"/>
      <c r="JIO111" s="139"/>
      <c r="JIP111" s="139"/>
      <c r="JIQ111" s="139"/>
      <c r="JIR111" s="139"/>
      <c r="JIS111" s="139"/>
      <c r="JIT111" s="139"/>
      <c r="JIU111" s="139"/>
      <c r="JIV111" s="139"/>
      <c r="JIW111" s="139"/>
      <c r="JIX111" s="139"/>
      <c r="JIY111" s="139"/>
      <c r="JIZ111" s="139"/>
      <c r="JJA111" s="139"/>
      <c r="JJB111" s="139"/>
      <c r="JJC111" s="139"/>
      <c r="JJD111" s="139"/>
      <c r="JJE111" s="139"/>
      <c r="JJF111" s="139"/>
      <c r="JJG111" s="139"/>
      <c r="JJH111" s="139"/>
      <c r="JJI111" s="139"/>
      <c r="JJJ111" s="139"/>
      <c r="JJK111" s="139"/>
      <c r="JJL111" s="139"/>
      <c r="JJM111" s="139"/>
      <c r="JJN111" s="139"/>
      <c r="JJO111" s="139"/>
      <c r="JJP111" s="139"/>
      <c r="JJQ111" s="139"/>
      <c r="JJR111" s="139"/>
      <c r="JJS111" s="139"/>
      <c r="JJT111" s="139"/>
      <c r="JJU111" s="139"/>
      <c r="JJV111" s="139"/>
      <c r="JJW111" s="139"/>
      <c r="JJX111" s="139"/>
      <c r="JJY111" s="139"/>
      <c r="JJZ111" s="139"/>
      <c r="JKA111" s="139"/>
      <c r="JKB111" s="139"/>
      <c r="JKC111" s="139"/>
      <c r="JKD111" s="139"/>
      <c r="JKE111" s="139"/>
      <c r="JKF111" s="139"/>
      <c r="JKG111" s="139"/>
      <c r="JKH111" s="139"/>
      <c r="JKI111" s="139"/>
      <c r="JKJ111" s="139"/>
      <c r="JKK111" s="139"/>
      <c r="JKL111" s="139"/>
      <c r="JKM111" s="139"/>
      <c r="JKN111" s="139"/>
      <c r="JKO111" s="139"/>
      <c r="JKP111" s="139"/>
      <c r="JKQ111" s="139"/>
      <c r="JKR111" s="139"/>
      <c r="JKS111" s="139"/>
      <c r="JKT111" s="139"/>
      <c r="JKU111" s="139"/>
      <c r="JKV111" s="139"/>
      <c r="JKW111" s="139"/>
      <c r="JKX111" s="139"/>
      <c r="JKY111" s="139"/>
      <c r="JKZ111" s="139"/>
      <c r="JLA111" s="139"/>
      <c r="JLB111" s="139"/>
      <c r="JLC111" s="139"/>
      <c r="JLD111" s="139"/>
      <c r="JLE111" s="139"/>
      <c r="JLF111" s="139"/>
      <c r="JLG111" s="139"/>
      <c r="JLH111" s="139"/>
      <c r="JLI111" s="139"/>
      <c r="JLJ111" s="139"/>
      <c r="JLK111" s="139"/>
      <c r="JLL111" s="139"/>
      <c r="JLM111" s="139"/>
      <c r="JLN111" s="139"/>
      <c r="JLO111" s="139"/>
      <c r="JLP111" s="139"/>
      <c r="JLQ111" s="139"/>
      <c r="JLR111" s="139"/>
      <c r="JLS111" s="139"/>
      <c r="JLT111" s="139"/>
      <c r="JLU111" s="139"/>
      <c r="JLV111" s="139"/>
      <c r="JLW111" s="139"/>
      <c r="JLX111" s="139"/>
      <c r="JLY111" s="139"/>
      <c r="JLZ111" s="139"/>
      <c r="JMA111" s="139"/>
      <c r="JMB111" s="139"/>
      <c r="JMC111" s="139"/>
      <c r="JMD111" s="139"/>
      <c r="JME111" s="139"/>
      <c r="JMF111" s="139"/>
      <c r="JMG111" s="139"/>
      <c r="JMH111" s="139"/>
      <c r="JMI111" s="139"/>
      <c r="JMJ111" s="139"/>
      <c r="JMK111" s="139"/>
      <c r="JML111" s="139"/>
      <c r="JMM111" s="139"/>
      <c r="JMN111" s="139"/>
      <c r="JMO111" s="139"/>
      <c r="JMP111" s="139"/>
      <c r="JMQ111" s="139"/>
      <c r="JMR111" s="139"/>
      <c r="JMS111" s="139"/>
      <c r="JMT111" s="139"/>
      <c r="JMU111" s="139"/>
      <c r="JMV111" s="139"/>
      <c r="JMW111" s="139"/>
      <c r="JMX111" s="139"/>
      <c r="JMY111" s="139"/>
      <c r="JMZ111" s="139"/>
      <c r="JNA111" s="139"/>
      <c r="JNB111" s="139"/>
      <c r="JNC111" s="139"/>
      <c r="JND111" s="139"/>
      <c r="JNE111" s="139"/>
      <c r="JNF111" s="139"/>
      <c r="JNG111" s="139"/>
      <c r="JNH111" s="139"/>
      <c r="JNI111" s="139"/>
      <c r="JNJ111" s="139"/>
      <c r="JNK111" s="139"/>
      <c r="JNL111" s="139"/>
      <c r="JNM111" s="139"/>
      <c r="JNN111" s="139"/>
      <c r="JNO111" s="139"/>
      <c r="JNP111" s="139"/>
      <c r="JNQ111" s="139"/>
      <c r="JNR111" s="139"/>
      <c r="JNS111" s="139"/>
      <c r="JNT111" s="139"/>
      <c r="JNU111" s="139"/>
      <c r="JNV111" s="139"/>
      <c r="JNW111" s="139"/>
      <c r="JNX111" s="139"/>
      <c r="JNY111" s="139"/>
      <c r="JNZ111" s="139"/>
      <c r="JOA111" s="139"/>
      <c r="JOB111" s="139"/>
      <c r="JOC111" s="139"/>
      <c r="JOD111" s="139"/>
      <c r="JOE111" s="139"/>
      <c r="JOF111" s="139"/>
      <c r="JOG111" s="139"/>
      <c r="JOH111" s="139"/>
      <c r="JOI111" s="139"/>
      <c r="JOJ111" s="139"/>
      <c r="JOK111" s="139"/>
      <c r="JOL111" s="139"/>
      <c r="JOM111" s="139"/>
      <c r="JON111" s="139"/>
      <c r="JOO111" s="139"/>
      <c r="JOP111" s="139"/>
      <c r="JOQ111" s="139"/>
      <c r="JOR111" s="139"/>
      <c r="JOS111" s="139"/>
      <c r="JOT111" s="139"/>
      <c r="JOU111" s="139"/>
      <c r="JOV111" s="139"/>
      <c r="JOW111" s="139"/>
      <c r="JOX111" s="139"/>
      <c r="JOY111" s="139"/>
      <c r="JOZ111" s="139"/>
      <c r="JPA111" s="139"/>
      <c r="JPB111" s="139"/>
      <c r="JPC111" s="139"/>
      <c r="JPD111" s="139"/>
      <c r="JPE111" s="139"/>
      <c r="JPF111" s="139"/>
      <c r="JPG111" s="139"/>
      <c r="JPH111" s="139"/>
      <c r="JPI111" s="139"/>
      <c r="JPJ111" s="139"/>
      <c r="JPK111" s="139"/>
      <c r="JPL111" s="139"/>
      <c r="JPM111" s="139"/>
      <c r="JPN111" s="139"/>
      <c r="JPO111" s="139"/>
      <c r="JPP111" s="139"/>
      <c r="JPQ111" s="139"/>
      <c r="JPR111" s="139"/>
      <c r="JPS111" s="139"/>
      <c r="JPT111" s="139"/>
      <c r="JPU111" s="139"/>
      <c r="JPV111" s="139"/>
      <c r="JPW111" s="139"/>
      <c r="JPX111" s="139"/>
      <c r="JPY111" s="139"/>
      <c r="JPZ111" s="139"/>
      <c r="JQA111" s="139"/>
      <c r="JQB111" s="139"/>
      <c r="JQC111" s="139"/>
      <c r="JQD111" s="139"/>
      <c r="JQE111" s="139"/>
      <c r="JQF111" s="139"/>
      <c r="JQG111" s="139"/>
      <c r="JQH111" s="139"/>
      <c r="JQI111" s="139"/>
      <c r="JQJ111" s="139"/>
      <c r="JQK111" s="139"/>
      <c r="JQL111" s="139"/>
      <c r="JQM111" s="139"/>
      <c r="JQN111" s="139"/>
      <c r="JQO111" s="139"/>
      <c r="JQP111" s="139"/>
      <c r="JQQ111" s="139"/>
      <c r="JQR111" s="139"/>
      <c r="JQS111" s="139"/>
      <c r="JQT111" s="139"/>
      <c r="JQU111" s="139"/>
      <c r="JQV111" s="139"/>
      <c r="JQW111" s="139"/>
      <c r="JQX111" s="139"/>
      <c r="JQY111" s="139"/>
      <c r="JQZ111" s="139"/>
      <c r="JRA111" s="139"/>
      <c r="JRB111" s="139"/>
      <c r="JRC111" s="139"/>
      <c r="JRD111" s="139"/>
      <c r="JRE111" s="139"/>
      <c r="JRF111" s="139"/>
      <c r="JRG111" s="139"/>
      <c r="JRH111" s="139"/>
      <c r="JRI111" s="139"/>
      <c r="JRJ111" s="139"/>
      <c r="JRK111" s="139"/>
      <c r="JRL111" s="139"/>
      <c r="JRM111" s="139"/>
      <c r="JRN111" s="139"/>
      <c r="JRO111" s="139"/>
      <c r="JRP111" s="139"/>
      <c r="JRQ111" s="139"/>
      <c r="JRR111" s="139"/>
      <c r="JRS111" s="139"/>
      <c r="JRT111" s="139"/>
      <c r="JRU111" s="139"/>
      <c r="JRV111" s="139"/>
      <c r="JRW111" s="139"/>
      <c r="JRX111" s="139"/>
      <c r="JRY111" s="139"/>
      <c r="JRZ111" s="139"/>
      <c r="JSA111" s="139"/>
      <c r="JSB111" s="139"/>
      <c r="JSC111" s="139"/>
      <c r="JSD111" s="139"/>
      <c r="JSE111" s="139"/>
      <c r="JSF111" s="139"/>
      <c r="JSG111" s="139"/>
      <c r="JSH111" s="139"/>
      <c r="JSI111" s="139"/>
      <c r="JSJ111" s="139"/>
      <c r="JSK111" s="139"/>
      <c r="JSL111" s="139"/>
      <c r="JSM111" s="139"/>
      <c r="JSN111" s="139"/>
      <c r="JSO111" s="139"/>
      <c r="JSP111" s="139"/>
      <c r="JSQ111" s="139"/>
      <c r="JSR111" s="139"/>
      <c r="JSS111" s="139"/>
      <c r="JST111" s="139"/>
      <c r="JSU111" s="139"/>
      <c r="JSV111" s="139"/>
      <c r="JSW111" s="139"/>
      <c r="JSX111" s="139"/>
      <c r="JSY111" s="139"/>
      <c r="JSZ111" s="139"/>
      <c r="JTA111" s="139"/>
      <c r="JTB111" s="139"/>
      <c r="JTC111" s="139"/>
      <c r="JTD111" s="139"/>
      <c r="JTE111" s="139"/>
      <c r="JTF111" s="139"/>
      <c r="JTG111" s="139"/>
      <c r="JTH111" s="139"/>
      <c r="JTI111" s="139"/>
      <c r="JTJ111" s="139"/>
      <c r="JTK111" s="139"/>
      <c r="JTL111" s="139"/>
      <c r="JTM111" s="139"/>
      <c r="JTN111" s="139"/>
      <c r="JTO111" s="139"/>
      <c r="JTP111" s="139"/>
      <c r="JTQ111" s="139"/>
      <c r="JTR111" s="139"/>
      <c r="JTS111" s="139"/>
      <c r="JTT111" s="139"/>
      <c r="JTU111" s="139"/>
      <c r="JTV111" s="139"/>
      <c r="JTW111" s="139"/>
      <c r="JTX111" s="139"/>
      <c r="JTY111" s="139"/>
      <c r="JTZ111" s="139"/>
      <c r="JUA111" s="139"/>
      <c r="JUB111" s="139"/>
      <c r="JUC111" s="139"/>
      <c r="JUD111" s="139"/>
      <c r="JUE111" s="139"/>
      <c r="JUF111" s="139"/>
      <c r="JUG111" s="139"/>
      <c r="JUH111" s="139"/>
      <c r="JUI111" s="139"/>
      <c r="JUJ111" s="139"/>
      <c r="JUK111" s="139"/>
      <c r="JUL111" s="139"/>
      <c r="JUM111" s="139"/>
      <c r="JUN111" s="139"/>
      <c r="JUO111" s="139"/>
      <c r="JUP111" s="139"/>
      <c r="JUQ111" s="139"/>
      <c r="JUR111" s="139"/>
      <c r="JUS111" s="139"/>
      <c r="JUT111" s="139"/>
      <c r="JUU111" s="139"/>
      <c r="JUV111" s="139"/>
      <c r="JUW111" s="139"/>
      <c r="JUX111" s="139"/>
      <c r="JUY111" s="139"/>
      <c r="JUZ111" s="139"/>
      <c r="JVA111" s="139"/>
      <c r="JVB111" s="139"/>
      <c r="JVC111" s="139"/>
      <c r="JVD111" s="139"/>
      <c r="JVE111" s="139"/>
      <c r="JVF111" s="139"/>
      <c r="JVG111" s="139"/>
      <c r="JVH111" s="139"/>
      <c r="JVI111" s="139"/>
      <c r="JVJ111" s="139"/>
      <c r="JVK111" s="139"/>
      <c r="JVL111" s="139"/>
      <c r="JVM111" s="139"/>
      <c r="JVN111" s="139"/>
      <c r="JVO111" s="139"/>
      <c r="JVP111" s="139"/>
      <c r="JVQ111" s="139"/>
      <c r="JVR111" s="139"/>
      <c r="JVS111" s="139"/>
      <c r="JVT111" s="139"/>
      <c r="JVU111" s="139"/>
      <c r="JVV111" s="139"/>
      <c r="JVW111" s="139"/>
      <c r="JVX111" s="139"/>
      <c r="JVY111" s="139"/>
      <c r="JVZ111" s="139"/>
      <c r="JWA111" s="139"/>
      <c r="JWB111" s="139"/>
      <c r="JWC111" s="139"/>
      <c r="JWD111" s="139"/>
      <c r="JWE111" s="139"/>
      <c r="JWF111" s="139"/>
      <c r="JWG111" s="139"/>
      <c r="JWH111" s="139"/>
      <c r="JWI111" s="139"/>
      <c r="JWJ111" s="139"/>
      <c r="JWK111" s="139"/>
      <c r="JWL111" s="139"/>
      <c r="JWM111" s="139"/>
      <c r="JWN111" s="139"/>
      <c r="JWO111" s="139"/>
      <c r="JWP111" s="139"/>
      <c r="JWQ111" s="139"/>
      <c r="JWR111" s="139"/>
      <c r="JWS111" s="139"/>
      <c r="JWT111" s="139"/>
      <c r="JWU111" s="139"/>
      <c r="JWV111" s="139"/>
      <c r="JWW111" s="139"/>
      <c r="JWX111" s="139"/>
      <c r="JWY111" s="139"/>
      <c r="JWZ111" s="139"/>
      <c r="JXA111" s="139"/>
      <c r="JXB111" s="139"/>
      <c r="JXC111" s="139"/>
      <c r="JXD111" s="139"/>
      <c r="JXE111" s="139"/>
      <c r="JXF111" s="139"/>
      <c r="JXG111" s="139"/>
      <c r="JXH111" s="139"/>
      <c r="JXI111" s="139"/>
      <c r="JXJ111" s="139"/>
      <c r="JXK111" s="139"/>
      <c r="JXL111" s="139"/>
      <c r="JXM111" s="139"/>
      <c r="JXN111" s="139"/>
      <c r="JXO111" s="139"/>
      <c r="JXP111" s="139"/>
      <c r="JXQ111" s="139"/>
      <c r="JXR111" s="139"/>
      <c r="JXS111" s="139"/>
      <c r="JXT111" s="139"/>
      <c r="JXU111" s="139"/>
      <c r="JXV111" s="139"/>
      <c r="JXW111" s="139"/>
      <c r="JXX111" s="139"/>
      <c r="JXY111" s="139"/>
      <c r="JXZ111" s="139"/>
      <c r="JYA111" s="139"/>
      <c r="JYB111" s="139"/>
      <c r="JYC111" s="139"/>
      <c r="JYD111" s="139"/>
      <c r="JYE111" s="139"/>
      <c r="JYF111" s="139"/>
      <c r="JYG111" s="139"/>
      <c r="JYH111" s="139"/>
      <c r="JYI111" s="139"/>
      <c r="JYJ111" s="139"/>
      <c r="JYK111" s="139"/>
      <c r="JYL111" s="139"/>
      <c r="JYM111" s="139"/>
      <c r="JYN111" s="139"/>
      <c r="JYO111" s="139"/>
      <c r="JYP111" s="139"/>
      <c r="JYQ111" s="139"/>
      <c r="JYR111" s="139"/>
      <c r="JYS111" s="139"/>
      <c r="JYT111" s="139"/>
      <c r="JYU111" s="139"/>
      <c r="JYV111" s="139"/>
      <c r="JYW111" s="139"/>
      <c r="JYX111" s="139"/>
      <c r="JYY111" s="139"/>
      <c r="JYZ111" s="139"/>
      <c r="JZA111" s="139"/>
      <c r="JZB111" s="139"/>
      <c r="JZC111" s="139"/>
      <c r="JZD111" s="139"/>
      <c r="JZE111" s="139"/>
      <c r="JZF111" s="139"/>
      <c r="JZG111" s="139"/>
      <c r="JZH111" s="139"/>
      <c r="JZI111" s="139"/>
      <c r="JZJ111" s="139"/>
      <c r="JZK111" s="139"/>
      <c r="JZL111" s="139"/>
      <c r="JZM111" s="139"/>
      <c r="JZN111" s="139"/>
      <c r="JZO111" s="139"/>
      <c r="JZP111" s="139"/>
      <c r="JZQ111" s="139"/>
      <c r="JZR111" s="139"/>
      <c r="JZS111" s="139"/>
      <c r="JZT111" s="139"/>
      <c r="JZU111" s="139"/>
      <c r="JZV111" s="139"/>
      <c r="JZW111" s="139"/>
      <c r="JZX111" s="139"/>
      <c r="JZY111" s="139"/>
      <c r="JZZ111" s="139"/>
      <c r="KAA111" s="139"/>
      <c r="KAB111" s="139"/>
      <c r="KAC111" s="139"/>
      <c r="KAD111" s="139"/>
      <c r="KAE111" s="139"/>
      <c r="KAF111" s="139"/>
      <c r="KAG111" s="139"/>
      <c r="KAH111" s="139"/>
      <c r="KAI111" s="139"/>
      <c r="KAJ111" s="139"/>
      <c r="KAK111" s="139"/>
      <c r="KAL111" s="139"/>
      <c r="KAM111" s="139"/>
      <c r="KAN111" s="139"/>
      <c r="KAO111" s="139"/>
      <c r="KAP111" s="139"/>
      <c r="KAQ111" s="139"/>
      <c r="KAR111" s="139"/>
      <c r="KAS111" s="139"/>
      <c r="KAT111" s="139"/>
      <c r="KAU111" s="139"/>
      <c r="KAV111" s="139"/>
      <c r="KAW111" s="139"/>
      <c r="KAX111" s="139"/>
      <c r="KAY111" s="139"/>
      <c r="KAZ111" s="139"/>
      <c r="KBA111" s="139"/>
      <c r="KBB111" s="139"/>
      <c r="KBC111" s="139"/>
      <c r="KBD111" s="139"/>
      <c r="KBE111" s="139"/>
      <c r="KBF111" s="139"/>
      <c r="KBG111" s="139"/>
      <c r="KBH111" s="139"/>
      <c r="KBI111" s="139"/>
      <c r="KBJ111" s="139"/>
      <c r="KBK111" s="139"/>
      <c r="KBL111" s="139"/>
      <c r="KBM111" s="139"/>
      <c r="KBN111" s="139"/>
      <c r="KBO111" s="139"/>
      <c r="KBP111" s="139"/>
      <c r="KBQ111" s="139"/>
      <c r="KBR111" s="139"/>
      <c r="KBS111" s="139"/>
      <c r="KBT111" s="139"/>
      <c r="KBU111" s="139"/>
      <c r="KBV111" s="139"/>
      <c r="KBW111" s="139"/>
      <c r="KBX111" s="139"/>
      <c r="KBY111" s="139"/>
      <c r="KBZ111" s="139"/>
      <c r="KCA111" s="139"/>
      <c r="KCB111" s="139"/>
      <c r="KCC111" s="139"/>
      <c r="KCD111" s="139"/>
      <c r="KCE111" s="139"/>
      <c r="KCF111" s="139"/>
      <c r="KCG111" s="139"/>
      <c r="KCH111" s="139"/>
      <c r="KCI111" s="139"/>
      <c r="KCJ111" s="139"/>
      <c r="KCK111" s="139"/>
      <c r="KCL111" s="139"/>
      <c r="KCM111" s="139"/>
      <c r="KCN111" s="139"/>
      <c r="KCO111" s="139"/>
      <c r="KCP111" s="139"/>
      <c r="KCQ111" s="139"/>
      <c r="KCR111" s="139"/>
      <c r="KCS111" s="139"/>
      <c r="KCT111" s="139"/>
      <c r="KCU111" s="139"/>
      <c r="KCV111" s="139"/>
      <c r="KCW111" s="139"/>
      <c r="KCX111" s="139"/>
      <c r="KCY111" s="139"/>
      <c r="KCZ111" s="139"/>
      <c r="KDA111" s="139"/>
      <c r="KDB111" s="139"/>
      <c r="KDC111" s="139"/>
      <c r="KDD111" s="139"/>
      <c r="KDE111" s="139"/>
      <c r="KDF111" s="139"/>
      <c r="KDG111" s="139"/>
      <c r="KDH111" s="139"/>
      <c r="KDI111" s="139"/>
      <c r="KDJ111" s="139"/>
      <c r="KDK111" s="139"/>
      <c r="KDL111" s="139"/>
      <c r="KDM111" s="139"/>
      <c r="KDN111" s="139"/>
      <c r="KDO111" s="139"/>
      <c r="KDP111" s="139"/>
      <c r="KDQ111" s="139"/>
      <c r="KDR111" s="139"/>
      <c r="KDS111" s="139"/>
      <c r="KDT111" s="139"/>
      <c r="KDU111" s="139"/>
      <c r="KDV111" s="139"/>
      <c r="KDW111" s="139"/>
      <c r="KDX111" s="139"/>
      <c r="KDY111" s="139"/>
      <c r="KDZ111" s="139"/>
      <c r="KEA111" s="139"/>
      <c r="KEB111" s="139"/>
      <c r="KEC111" s="139"/>
      <c r="KED111" s="139"/>
      <c r="KEE111" s="139"/>
      <c r="KEF111" s="139"/>
      <c r="KEG111" s="139"/>
      <c r="KEH111" s="139"/>
      <c r="KEI111" s="139"/>
      <c r="KEJ111" s="139"/>
      <c r="KEK111" s="139"/>
      <c r="KEL111" s="139"/>
      <c r="KEM111" s="139"/>
      <c r="KEN111" s="139"/>
      <c r="KEO111" s="139"/>
      <c r="KEP111" s="139"/>
      <c r="KEQ111" s="139"/>
      <c r="KER111" s="139"/>
      <c r="KES111" s="139"/>
      <c r="KET111" s="139"/>
      <c r="KEU111" s="139"/>
      <c r="KEV111" s="139"/>
      <c r="KEW111" s="139"/>
      <c r="KEX111" s="139"/>
      <c r="KEY111" s="139"/>
      <c r="KEZ111" s="139"/>
      <c r="KFA111" s="139"/>
      <c r="KFB111" s="139"/>
      <c r="KFC111" s="139"/>
      <c r="KFD111" s="139"/>
      <c r="KFE111" s="139"/>
      <c r="KFF111" s="139"/>
      <c r="KFG111" s="139"/>
      <c r="KFH111" s="139"/>
      <c r="KFI111" s="139"/>
      <c r="KFJ111" s="139"/>
      <c r="KFK111" s="139"/>
      <c r="KFL111" s="139"/>
      <c r="KFM111" s="139"/>
      <c r="KFN111" s="139"/>
      <c r="KFO111" s="139"/>
      <c r="KFP111" s="139"/>
      <c r="KFQ111" s="139"/>
      <c r="KFR111" s="139"/>
      <c r="KFS111" s="139"/>
      <c r="KFT111" s="139"/>
      <c r="KFU111" s="139"/>
      <c r="KFV111" s="139"/>
      <c r="KFW111" s="139"/>
      <c r="KFX111" s="139"/>
      <c r="KFY111" s="139"/>
      <c r="KFZ111" s="139"/>
      <c r="KGA111" s="139"/>
      <c r="KGB111" s="139"/>
      <c r="KGC111" s="139"/>
      <c r="KGD111" s="139"/>
      <c r="KGE111" s="139"/>
      <c r="KGF111" s="139"/>
      <c r="KGG111" s="139"/>
      <c r="KGH111" s="139"/>
      <c r="KGI111" s="139"/>
      <c r="KGJ111" s="139"/>
      <c r="KGK111" s="139"/>
      <c r="KGL111" s="139"/>
      <c r="KGM111" s="139"/>
      <c r="KGN111" s="139"/>
      <c r="KGO111" s="139"/>
      <c r="KGP111" s="139"/>
      <c r="KGQ111" s="139"/>
      <c r="KGR111" s="139"/>
      <c r="KGS111" s="139"/>
      <c r="KGT111" s="139"/>
      <c r="KGU111" s="139"/>
      <c r="KGV111" s="139"/>
      <c r="KGW111" s="139"/>
      <c r="KGX111" s="139"/>
      <c r="KGY111" s="139"/>
      <c r="KGZ111" s="139"/>
      <c r="KHA111" s="139"/>
      <c r="KHB111" s="139"/>
      <c r="KHC111" s="139"/>
      <c r="KHD111" s="139"/>
      <c r="KHE111" s="139"/>
      <c r="KHF111" s="139"/>
      <c r="KHG111" s="139"/>
      <c r="KHH111" s="139"/>
      <c r="KHI111" s="139"/>
      <c r="KHJ111" s="139"/>
      <c r="KHK111" s="139"/>
      <c r="KHL111" s="139"/>
      <c r="KHM111" s="139"/>
      <c r="KHN111" s="139"/>
      <c r="KHO111" s="139"/>
      <c r="KHP111" s="139"/>
      <c r="KHQ111" s="139"/>
      <c r="KHR111" s="139"/>
      <c r="KHS111" s="139"/>
      <c r="KHT111" s="139"/>
      <c r="KHU111" s="139"/>
      <c r="KHV111" s="139"/>
      <c r="KHW111" s="139"/>
      <c r="KHX111" s="139"/>
      <c r="KHY111" s="139"/>
      <c r="KHZ111" s="139"/>
      <c r="KIA111" s="139"/>
      <c r="KIB111" s="139"/>
      <c r="KIC111" s="139"/>
      <c r="KID111" s="139"/>
      <c r="KIE111" s="139"/>
      <c r="KIF111" s="139"/>
      <c r="KIG111" s="139"/>
      <c r="KIH111" s="139"/>
      <c r="KII111" s="139"/>
      <c r="KIJ111" s="139"/>
      <c r="KIK111" s="139"/>
      <c r="KIL111" s="139"/>
      <c r="KIM111" s="139"/>
      <c r="KIN111" s="139"/>
      <c r="KIO111" s="139"/>
      <c r="KIP111" s="139"/>
      <c r="KIQ111" s="139"/>
      <c r="KIR111" s="139"/>
      <c r="KIS111" s="139"/>
      <c r="KIT111" s="139"/>
      <c r="KIU111" s="139"/>
      <c r="KIV111" s="139"/>
      <c r="KIW111" s="139"/>
      <c r="KIX111" s="139"/>
      <c r="KIY111" s="139"/>
      <c r="KIZ111" s="139"/>
      <c r="KJA111" s="139"/>
      <c r="KJB111" s="139"/>
      <c r="KJC111" s="139"/>
      <c r="KJD111" s="139"/>
      <c r="KJE111" s="139"/>
      <c r="KJF111" s="139"/>
      <c r="KJG111" s="139"/>
      <c r="KJH111" s="139"/>
      <c r="KJI111" s="139"/>
      <c r="KJJ111" s="139"/>
      <c r="KJK111" s="139"/>
      <c r="KJL111" s="139"/>
      <c r="KJM111" s="139"/>
      <c r="KJN111" s="139"/>
      <c r="KJO111" s="139"/>
      <c r="KJP111" s="139"/>
      <c r="KJQ111" s="139"/>
      <c r="KJR111" s="139"/>
      <c r="KJS111" s="139"/>
      <c r="KJT111" s="139"/>
      <c r="KJU111" s="139"/>
      <c r="KJV111" s="139"/>
      <c r="KJW111" s="139"/>
      <c r="KJX111" s="139"/>
      <c r="KJY111" s="139"/>
      <c r="KJZ111" s="139"/>
      <c r="KKA111" s="139"/>
      <c r="KKB111" s="139"/>
      <c r="KKC111" s="139"/>
      <c r="KKD111" s="139"/>
      <c r="KKE111" s="139"/>
      <c r="KKF111" s="139"/>
      <c r="KKG111" s="139"/>
      <c r="KKH111" s="139"/>
      <c r="KKI111" s="139"/>
      <c r="KKJ111" s="139"/>
      <c r="KKK111" s="139"/>
      <c r="KKL111" s="139"/>
      <c r="KKM111" s="139"/>
      <c r="KKN111" s="139"/>
      <c r="KKO111" s="139"/>
      <c r="KKP111" s="139"/>
      <c r="KKQ111" s="139"/>
      <c r="KKR111" s="139"/>
      <c r="KKS111" s="139"/>
      <c r="KKT111" s="139"/>
      <c r="KKU111" s="139"/>
      <c r="KKV111" s="139"/>
      <c r="KKW111" s="139"/>
      <c r="KKX111" s="139"/>
      <c r="KKY111" s="139"/>
      <c r="KKZ111" s="139"/>
      <c r="KLA111" s="139"/>
      <c r="KLB111" s="139"/>
      <c r="KLC111" s="139"/>
      <c r="KLD111" s="139"/>
      <c r="KLE111" s="139"/>
      <c r="KLF111" s="139"/>
      <c r="KLG111" s="139"/>
      <c r="KLH111" s="139"/>
      <c r="KLI111" s="139"/>
      <c r="KLJ111" s="139"/>
      <c r="KLK111" s="139"/>
      <c r="KLL111" s="139"/>
      <c r="KLM111" s="139"/>
      <c r="KLN111" s="139"/>
      <c r="KLO111" s="139"/>
      <c r="KLP111" s="139"/>
      <c r="KLQ111" s="139"/>
      <c r="KLR111" s="139"/>
      <c r="KLS111" s="139"/>
      <c r="KLT111" s="139"/>
      <c r="KLU111" s="139"/>
      <c r="KLV111" s="139"/>
      <c r="KLW111" s="139"/>
      <c r="KLX111" s="139"/>
      <c r="KLY111" s="139"/>
      <c r="KLZ111" s="139"/>
      <c r="KMA111" s="139"/>
      <c r="KMB111" s="139"/>
      <c r="KMC111" s="139"/>
      <c r="KMD111" s="139"/>
      <c r="KME111" s="139"/>
      <c r="KMF111" s="139"/>
      <c r="KMG111" s="139"/>
      <c r="KMH111" s="139"/>
      <c r="KMI111" s="139"/>
      <c r="KMJ111" s="139"/>
      <c r="KMK111" s="139"/>
      <c r="KML111" s="139"/>
      <c r="KMM111" s="139"/>
      <c r="KMN111" s="139"/>
      <c r="KMO111" s="139"/>
      <c r="KMP111" s="139"/>
      <c r="KMQ111" s="139"/>
      <c r="KMR111" s="139"/>
      <c r="KMS111" s="139"/>
      <c r="KMT111" s="139"/>
      <c r="KMU111" s="139"/>
      <c r="KMV111" s="139"/>
      <c r="KMW111" s="139"/>
      <c r="KMX111" s="139"/>
      <c r="KMY111" s="139"/>
      <c r="KMZ111" s="139"/>
      <c r="KNA111" s="139"/>
      <c r="KNB111" s="139"/>
      <c r="KNC111" s="139"/>
      <c r="KND111" s="139"/>
      <c r="KNE111" s="139"/>
      <c r="KNF111" s="139"/>
      <c r="KNG111" s="139"/>
      <c r="KNH111" s="139"/>
      <c r="KNI111" s="139"/>
      <c r="KNJ111" s="139"/>
      <c r="KNK111" s="139"/>
      <c r="KNL111" s="139"/>
      <c r="KNM111" s="139"/>
      <c r="KNN111" s="139"/>
      <c r="KNO111" s="139"/>
      <c r="KNP111" s="139"/>
      <c r="KNQ111" s="139"/>
      <c r="KNR111" s="139"/>
      <c r="KNS111" s="139"/>
      <c r="KNT111" s="139"/>
      <c r="KNU111" s="139"/>
      <c r="KNV111" s="139"/>
      <c r="KNW111" s="139"/>
      <c r="KNX111" s="139"/>
      <c r="KNY111" s="139"/>
      <c r="KNZ111" s="139"/>
      <c r="KOA111" s="139"/>
      <c r="KOB111" s="139"/>
      <c r="KOC111" s="139"/>
      <c r="KOD111" s="139"/>
      <c r="KOE111" s="139"/>
      <c r="KOF111" s="139"/>
      <c r="KOG111" s="139"/>
      <c r="KOH111" s="139"/>
      <c r="KOI111" s="139"/>
      <c r="KOJ111" s="139"/>
      <c r="KOK111" s="139"/>
      <c r="KOL111" s="139"/>
      <c r="KOM111" s="139"/>
      <c r="KON111" s="139"/>
      <c r="KOO111" s="139"/>
      <c r="KOP111" s="139"/>
      <c r="KOQ111" s="139"/>
      <c r="KOR111" s="139"/>
      <c r="KOS111" s="139"/>
      <c r="KOT111" s="139"/>
      <c r="KOU111" s="139"/>
      <c r="KOV111" s="139"/>
      <c r="KOW111" s="139"/>
      <c r="KOX111" s="139"/>
      <c r="KOY111" s="139"/>
      <c r="KOZ111" s="139"/>
      <c r="KPA111" s="139"/>
      <c r="KPB111" s="139"/>
      <c r="KPC111" s="139"/>
      <c r="KPD111" s="139"/>
      <c r="KPE111" s="139"/>
      <c r="KPF111" s="139"/>
      <c r="KPG111" s="139"/>
      <c r="KPH111" s="139"/>
      <c r="KPI111" s="139"/>
      <c r="KPJ111" s="139"/>
      <c r="KPK111" s="139"/>
      <c r="KPL111" s="139"/>
      <c r="KPM111" s="139"/>
      <c r="KPN111" s="139"/>
      <c r="KPO111" s="139"/>
      <c r="KPP111" s="139"/>
      <c r="KPQ111" s="139"/>
      <c r="KPR111" s="139"/>
      <c r="KPS111" s="139"/>
      <c r="KPT111" s="139"/>
      <c r="KPU111" s="139"/>
      <c r="KPV111" s="139"/>
      <c r="KPW111" s="139"/>
      <c r="KPX111" s="139"/>
      <c r="KPY111" s="139"/>
      <c r="KPZ111" s="139"/>
      <c r="KQA111" s="139"/>
      <c r="KQB111" s="139"/>
      <c r="KQC111" s="139"/>
      <c r="KQD111" s="139"/>
      <c r="KQE111" s="139"/>
      <c r="KQF111" s="139"/>
      <c r="KQG111" s="139"/>
      <c r="KQH111" s="139"/>
      <c r="KQI111" s="139"/>
      <c r="KQJ111" s="139"/>
      <c r="KQK111" s="139"/>
      <c r="KQL111" s="139"/>
      <c r="KQM111" s="139"/>
      <c r="KQN111" s="139"/>
      <c r="KQO111" s="139"/>
      <c r="KQP111" s="139"/>
      <c r="KQQ111" s="139"/>
      <c r="KQR111" s="139"/>
      <c r="KQS111" s="139"/>
      <c r="KQT111" s="139"/>
      <c r="KQU111" s="139"/>
      <c r="KQV111" s="139"/>
      <c r="KQW111" s="139"/>
      <c r="KQX111" s="139"/>
      <c r="KQY111" s="139"/>
      <c r="KQZ111" s="139"/>
      <c r="KRA111" s="139"/>
      <c r="KRB111" s="139"/>
      <c r="KRC111" s="139"/>
      <c r="KRD111" s="139"/>
      <c r="KRE111" s="139"/>
      <c r="KRF111" s="139"/>
      <c r="KRG111" s="139"/>
      <c r="KRH111" s="139"/>
      <c r="KRI111" s="139"/>
      <c r="KRJ111" s="139"/>
      <c r="KRK111" s="139"/>
      <c r="KRL111" s="139"/>
      <c r="KRM111" s="139"/>
      <c r="KRN111" s="139"/>
      <c r="KRO111" s="139"/>
      <c r="KRP111" s="139"/>
      <c r="KRQ111" s="139"/>
      <c r="KRR111" s="139"/>
      <c r="KRS111" s="139"/>
      <c r="KRT111" s="139"/>
      <c r="KRU111" s="139"/>
      <c r="KRV111" s="139"/>
      <c r="KRW111" s="139"/>
      <c r="KRX111" s="139"/>
      <c r="KRY111" s="139"/>
      <c r="KRZ111" s="139"/>
      <c r="KSA111" s="139"/>
      <c r="KSB111" s="139"/>
      <c r="KSC111" s="139"/>
      <c r="KSD111" s="139"/>
      <c r="KSE111" s="139"/>
      <c r="KSF111" s="139"/>
      <c r="KSG111" s="139"/>
      <c r="KSH111" s="139"/>
      <c r="KSI111" s="139"/>
      <c r="KSJ111" s="139"/>
      <c r="KSK111" s="139"/>
      <c r="KSL111" s="139"/>
      <c r="KSM111" s="139"/>
      <c r="KSN111" s="139"/>
      <c r="KSO111" s="139"/>
      <c r="KSP111" s="139"/>
      <c r="KSQ111" s="139"/>
      <c r="KSR111" s="139"/>
      <c r="KSS111" s="139"/>
      <c r="KST111" s="139"/>
      <c r="KSU111" s="139"/>
      <c r="KSV111" s="139"/>
      <c r="KSW111" s="139"/>
      <c r="KSX111" s="139"/>
      <c r="KSY111" s="139"/>
      <c r="KSZ111" s="139"/>
      <c r="KTA111" s="139"/>
      <c r="KTB111" s="139"/>
      <c r="KTC111" s="139"/>
      <c r="KTD111" s="139"/>
      <c r="KTE111" s="139"/>
      <c r="KTF111" s="139"/>
      <c r="KTG111" s="139"/>
      <c r="KTH111" s="139"/>
      <c r="KTI111" s="139"/>
      <c r="KTJ111" s="139"/>
      <c r="KTK111" s="139"/>
      <c r="KTL111" s="139"/>
      <c r="KTM111" s="139"/>
      <c r="KTN111" s="139"/>
      <c r="KTO111" s="139"/>
      <c r="KTP111" s="139"/>
      <c r="KTQ111" s="139"/>
      <c r="KTR111" s="139"/>
      <c r="KTS111" s="139"/>
      <c r="KTT111" s="139"/>
      <c r="KTU111" s="139"/>
      <c r="KTV111" s="139"/>
      <c r="KTW111" s="139"/>
      <c r="KTX111" s="139"/>
      <c r="KTY111" s="139"/>
      <c r="KTZ111" s="139"/>
      <c r="KUA111" s="139"/>
      <c r="KUB111" s="139"/>
      <c r="KUC111" s="139"/>
      <c r="KUD111" s="139"/>
      <c r="KUE111" s="139"/>
      <c r="KUF111" s="139"/>
      <c r="KUG111" s="139"/>
      <c r="KUH111" s="139"/>
      <c r="KUI111" s="139"/>
      <c r="KUJ111" s="139"/>
      <c r="KUK111" s="139"/>
      <c r="KUL111" s="139"/>
      <c r="KUM111" s="139"/>
      <c r="KUN111" s="139"/>
      <c r="KUO111" s="139"/>
      <c r="KUP111" s="139"/>
      <c r="KUQ111" s="139"/>
      <c r="KUR111" s="139"/>
      <c r="KUS111" s="139"/>
      <c r="KUT111" s="139"/>
      <c r="KUU111" s="139"/>
      <c r="KUV111" s="139"/>
      <c r="KUW111" s="139"/>
      <c r="KUX111" s="139"/>
      <c r="KUY111" s="139"/>
      <c r="KUZ111" s="139"/>
      <c r="KVA111" s="139"/>
      <c r="KVB111" s="139"/>
      <c r="KVC111" s="139"/>
      <c r="KVD111" s="139"/>
      <c r="KVE111" s="139"/>
      <c r="KVF111" s="139"/>
      <c r="KVG111" s="139"/>
      <c r="KVH111" s="139"/>
      <c r="KVI111" s="139"/>
      <c r="KVJ111" s="139"/>
      <c r="KVK111" s="139"/>
      <c r="KVL111" s="139"/>
      <c r="KVM111" s="139"/>
      <c r="KVN111" s="139"/>
      <c r="KVO111" s="139"/>
      <c r="KVP111" s="139"/>
      <c r="KVQ111" s="139"/>
      <c r="KVR111" s="139"/>
      <c r="KVS111" s="139"/>
      <c r="KVT111" s="139"/>
      <c r="KVU111" s="139"/>
      <c r="KVV111" s="139"/>
      <c r="KVW111" s="139"/>
      <c r="KVX111" s="139"/>
      <c r="KVY111" s="139"/>
      <c r="KVZ111" s="139"/>
      <c r="KWA111" s="139"/>
      <c r="KWB111" s="139"/>
      <c r="KWC111" s="139"/>
      <c r="KWD111" s="139"/>
      <c r="KWE111" s="139"/>
      <c r="KWF111" s="139"/>
      <c r="KWG111" s="139"/>
      <c r="KWH111" s="139"/>
      <c r="KWI111" s="139"/>
      <c r="KWJ111" s="139"/>
      <c r="KWK111" s="139"/>
      <c r="KWL111" s="139"/>
      <c r="KWM111" s="139"/>
      <c r="KWN111" s="139"/>
      <c r="KWO111" s="139"/>
      <c r="KWP111" s="139"/>
      <c r="KWQ111" s="139"/>
      <c r="KWR111" s="139"/>
      <c r="KWS111" s="139"/>
      <c r="KWT111" s="139"/>
      <c r="KWU111" s="139"/>
      <c r="KWV111" s="139"/>
      <c r="KWW111" s="139"/>
      <c r="KWX111" s="139"/>
      <c r="KWY111" s="139"/>
      <c r="KWZ111" s="139"/>
      <c r="KXA111" s="139"/>
      <c r="KXB111" s="139"/>
      <c r="KXC111" s="139"/>
      <c r="KXD111" s="139"/>
      <c r="KXE111" s="139"/>
      <c r="KXF111" s="139"/>
      <c r="KXG111" s="139"/>
      <c r="KXH111" s="139"/>
      <c r="KXI111" s="139"/>
      <c r="KXJ111" s="139"/>
      <c r="KXK111" s="139"/>
      <c r="KXL111" s="139"/>
      <c r="KXM111" s="139"/>
      <c r="KXN111" s="139"/>
      <c r="KXO111" s="139"/>
      <c r="KXP111" s="139"/>
      <c r="KXQ111" s="139"/>
      <c r="KXR111" s="139"/>
      <c r="KXS111" s="139"/>
      <c r="KXT111" s="139"/>
      <c r="KXU111" s="139"/>
      <c r="KXV111" s="139"/>
      <c r="KXW111" s="139"/>
      <c r="KXX111" s="139"/>
      <c r="KXY111" s="139"/>
      <c r="KXZ111" s="139"/>
      <c r="KYA111" s="139"/>
      <c r="KYB111" s="139"/>
      <c r="KYC111" s="139"/>
      <c r="KYD111" s="139"/>
      <c r="KYE111" s="139"/>
      <c r="KYF111" s="139"/>
      <c r="KYG111" s="139"/>
      <c r="KYH111" s="139"/>
      <c r="KYI111" s="139"/>
      <c r="KYJ111" s="139"/>
      <c r="KYK111" s="139"/>
      <c r="KYL111" s="139"/>
      <c r="KYM111" s="139"/>
      <c r="KYN111" s="139"/>
      <c r="KYO111" s="139"/>
      <c r="KYP111" s="139"/>
      <c r="KYQ111" s="139"/>
      <c r="KYR111" s="139"/>
      <c r="KYS111" s="139"/>
      <c r="KYT111" s="139"/>
      <c r="KYU111" s="139"/>
      <c r="KYV111" s="139"/>
      <c r="KYW111" s="139"/>
      <c r="KYX111" s="139"/>
      <c r="KYY111" s="139"/>
      <c r="KYZ111" s="139"/>
      <c r="KZA111" s="139"/>
      <c r="KZB111" s="139"/>
      <c r="KZC111" s="139"/>
      <c r="KZD111" s="139"/>
      <c r="KZE111" s="139"/>
      <c r="KZF111" s="139"/>
      <c r="KZG111" s="139"/>
      <c r="KZH111" s="139"/>
      <c r="KZI111" s="139"/>
      <c r="KZJ111" s="139"/>
      <c r="KZK111" s="139"/>
      <c r="KZL111" s="139"/>
      <c r="KZM111" s="139"/>
      <c r="KZN111" s="139"/>
      <c r="KZO111" s="139"/>
      <c r="KZP111" s="139"/>
      <c r="KZQ111" s="139"/>
      <c r="KZR111" s="139"/>
      <c r="KZS111" s="139"/>
      <c r="KZT111" s="139"/>
      <c r="KZU111" s="139"/>
      <c r="KZV111" s="139"/>
      <c r="KZW111" s="139"/>
      <c r="KZX111" s="139"/>
      <c r="KZY111" s="139"/>
      <c r="KZZ111" s="139"/>
      <c r="LAA111" s="139"/>
      <c r="LAB111" s="139"/>
      <c r="LAC111" s="139"/>
      <c r="LAD111" s="139"/>
      <c r="LAE111" s="139"/>
      <c r="LAF111" s="139"/>
      <c r="LAG111" s="139"/>
      <c r="LAH111" s="139"/>
      <c r="LAI111" s="139"/>
      <c r="LAJ111" s="139"/>
      <c r="LAK111" s="139"/>
      <c r="LAL111" s="139"/>
      <c r="LAM111" s="139"/>
      <c r="LAN111" s="139"/>
      <c r="LAO111" s="139"/>
      <c r="LAP111" s="139"/>
      <c r="LAQ111" s="139"/>
      <c r="LAR111" s="139"/>
      <c r="LAS111" s="139"/>
      <c r="LAT111" s="139"/>
      <c r="LAU111" s="139"/>
      <c r="LAV111" s="139"/>
      <c r="LAW111" s="139"/>
      <c r="LAX111" s="139"/>
      <c r="LAY111" s="139"/>
      <c r="LAZ111" s="139"/>
      <c r="LBA111" s="139"/>
      <c r="LBB111" s="139"/>
      <c r="LBC111" s="139"/>
      <c r="LBD111" s="139"/>
      <c r="LBE111" s="139"/>
      <c r="LBF111" s="139"/>
      <c r="LBG111" s="139"/>
      <c r="LBH111" s="139"/>
      <c r="LBI111" s="139"/>
      <c r="LBJ111" s="139"/>
      <c r="LBK111" s="139"/>
      <c r="LBL111" s="139"/>
      <c r="LBM111" s="139"/>
      <c r="LBN111" s="139"/>
      <c r="LBO111" s="139"/>
      <c r="LBP111" s="139"/>
      <c r="LBQ111" s="139"/>
      <c r="LBR111" s="139"/>
      <c r="LBS111" s="139"/>
      <c r="LBT111" s="139"/>
      <c r="LBU111" s="139"/>
      <c r="LBV111" s="139"/>
      <c r="LBW111" s="139"/>
      <c r="LBX111" s="139"/>
      <c r="LBY111" s="139"/>
      <c r="LBZ111" s="139"/>
      <c r="LCA111" s="139"/>
      <c r="LCB111" s="139"/>
      <c r="LCC111" s="139"/>
      <c r="LCD111" s="139"/>
      <c r="LCE111" s="139"/>
      <c r="LCF111" s="139"/>
      <c r="LCG111" s="139"/>
      <c r="LCH111" s="139"/>
      <c r="LCI111" s="139"/>
      <c r="LCJ111" s="139"/>
      <c r="LCK111" s="139"/>
      <c r="LCL111" s="139"/>
      <c r="LCM111" s="139"/>
      <c r="LCN111" s="139"/>
      <c r="LCO111" s="139"/>
      <c r="LCP111" s="139"/>
      <c r="LCQ111" s="139"/>
      <c r="LCR111" s="139"/>
      <c r="LCS111" s="139"/>
      <c r="LCT111" s="139"/>
      <c r="LCU111" s="139"/>
      <c r="LCV111" s="139"/>
      <c r="LCW111" s="139"/>
      <c r="LCX111" s="139"/>
      <c r="LCY111" s="139"/>
      <c r="LCZ111" s="139"/>
      <c r="LDA111" s="139"/>
      <c r="LDB111" s="139"/>
      <c r="LDC111" s="139"/>
      <c r="LDD111" s="139"/>
      <c r="LDE111" s="139"/>
      <c r="LDF111" s="139"/>
      <c r="LDG111" s="139"/>
      <c r="LDH111" s="139"/>
      <c r="LDI111" s="139"/>
      <c r="LDJ111" s="139"/>
      <c r="LDK111" s="139"/>
      <c r="LDL111" s="139"/>
      <c r="LDM111" s="139"/>
      <c r="LDN111" s="139"/>
      <c r="LDO111" s="139"/>
      <c r="LDP111" s="139"/>
      <c r="LDQ111" s="139"/>
      <c r="LDR111" s="139"/>
      <c r="LDS111" s="139"/>
      <c r="LDT111" s="139"/>
      <c r="LDU111" s="139"/>
      <c r="LDV111" s="139"/>
      <c r="LDW111" s="139"/>
      <c r="LDX111" s="139"/>
      <c r="LDY111" s="139"/>
      <c r="LDZ111" s="139"/>
      <c r="LEA111" s="139"/>
      <c r="LEB111" s="139"/>
      <c r="LEC111" s="139"/>
      <c r="LED111" s="139"/>
      <c r="LEE111" s="139"/>
      <c r="LEF111" s="139"/>
      <c r="LEG111" s="139"/>
      <c r="LEH111" s="139"/>
      <c r="LEI111" s="139"/>
      <c r="LEJ111" s="139"/>
      <c r="LEK111" s="139"/>
      <c r="LEL111" s="139"/>
      <c r="LEM111" s="139"/>
      <c r="LEN111" s="139"/>
      <c r="LEO111" s="139"/>
      <c r="LEP111" s="139"/>
      <c r="LEQ111" s="139"/>
      <c r="LER111" s="139"/>
      <c r="LES111" s="139"/>
      <c r="LET111" s="139"/>
      <c r="LEU111" s="139"/>
      <c r="LEV111" s="139"/>
      <c r="LEW111" s="139"/>
      <c r="LEX111" s="139"/>
      <c r="LEY111" s="139"/>
      <c r="LEZ111" s="139"/>
      <c r="LFA111" s="139"/>
      <c r="LFB111" s="139"/>
      <c r="LFC111" s="139"/>
      <c r="LFD111" s="139"/>
      <c r="LFE111" s="139"/>
      <c r="LFF111" s="139"/>
      <c r="LFG111" s="139"/>
      <c r="LFH111" s="139"/>
      <c r="LFI111" s="139"/>
      <c r="LFJ111" s="139"/>
      <c r="LFK111" s="139"/>
      <c r="LFL111" s="139"/>
      <c r="LFM111" s="139"/>
      <c r="LFN111" s="139"/>
      <c r="LFO111" s="139"/>
      <c r="LFP111" s="139"/>
      <c r="LFQ111" s="139"/>
      <c r="LFR111" s="139"/>
      <c r="LFS111" s="139"/>
      <c r="LFT111" s="139"/>
      <c r="LFU111" s="139"/>
      <c r="LFV111" s="139"/>
      <c r="LFW111" s="139"/>
      <c r="LFX111" s="139"/>
      <c r="LFY111" s="139"/>
      <c r="LFZ111" s="139"/>
      <c r="LGA111" s="139"/>
      <c r="LGB111" s="139"/>
      <c r="LGC111" s="139"/>
      <c r="LGD111" s="139"/>
      <c r="LGE111" s="139"/>
      <c r="LGF111" s="139"/>
      <c r="LGG111" s="139"/>
      <c r="LGH111" s="139"/>
      <c r="LGI111" s="139"/>
      <c r="LGJ111" s="139"/>
      <c r="LGK111" s="139"/>
      <c r="LGL111" s="139"/>
      <c r="LGM111" s="139"/>
      <c r="LGN111" s="139"/>
      <c r="LGO111" s="139"/>
      <c r="LGP111" s="139"/>
      <c r="LGQ111" s="139"/>
      <c r="LGR111" s="139"/>
      <c r="LGS111" s="139"/>
      <c r="LGT111" s="139"/>
      <c r="LGU111" s="139"/>
      <c r="LGV111" s="139"/>
      <c r="LGW111" s="139"/>
      <c r="LGX111" s="139"/>
      <c r="LGY111" s="139"/>
      <c r="LGZ111" s="139"/>
      <c r="LHA111" s="139"/>
      <c r="LHB111" s="139"/>
      <c r="LHC111" s="139"/>
      <c r="LHD111" s="139"/>
      <c r="LHE111" s="139"/>
      <c r="LHF111" s="139"/>
      <c r="LHG111" s="139"/>
      <c r="LHH111" s="139"/>
      <c r="LHI111" s="139"/>
      <c r="LHJ111" s="139"/>
      <c r="LHK111" s="139"/>
      <c r="LHL111" s="139"/>
      <c r="LHM111" s="139"/>
      <c r="LHN111" s="139"/>
      <c r="LHO111" s="139"/>
      <c r="LHP111" s="139"/>
      <c r="LHQ111" s="139"/>
      <c r="LHR111" s="139"/>
      <c r="LHS111" s="139"/>
      <c r="LHT111" s="139"/>
      <c r="LHU111" s="139"/>
      <c r="LHV111" s="139"/>
      <c r="LHW111" s="139"/>
      <c r="LHX111" s="139"/>
      <c r="LHY111" s="139"/>
      <c r="LHZ111" s="139"/>
      <c r="LIA111" s="139"/>
      <c r="LIB111" s="139"/>
      <c r="LIC111" s="139"/>
      <c r="LID111" s="139"/>
      <c r="LIE111" s="139"/>
      <c r="LIF111" s="139"/>
      <c r="LIG111" s="139"/>
      <c r="LIH111" s="139"/>
      <c r="LII111" s="139"/>
      <c r="LIJ111" s="139"/>
      <c r="LIK111" s="139"/>
      <c r="LIL111" s="139"/>
      <c r="LIM111" s="139"/>
      <c r="LIN111" s="139"/>
      <c r="LIO111" s="139"/>
      <c r="LIP111" s="139"/>
      <c r="LIQ111" s="139"/>
      <c r="LIR111" s="139"/>
      <c r="LIS111" s="139"/>
      <c r="LIT111" s="139"/>
      <c r="LIU111" s="139"/>
      <c r="LIV111" s="139"/>
      <c r="LIW111" s="139"/>
      <c r="LIX111" s="139"/>
      <c r="LIY111" s="139"/>
      <c r="LIZ111" s="139"/>
      <c r="LJA111" s="139"/>
      <c r="LJB111" s="139"/>
      <c r="LJC111" s="139"/>
      <c r="LJD111" s="139"/>
      <c r="LJE111" s="139"/>
      <c r="LJF111" s="139"/>
      <c r="LJG111" s="139"/>
      <c r="LJH111" s="139"/>
      <c r="LJI111" s="139"/>
      <c r="LJJ111" s="139"/>
      <c r="LJK111" s="139"/>
      <c r="LJL111" s="139"/>
      <c r="LJM111" s="139"/>
      <c r="LJN111" s="139"/>
      <c r="LJO111" s="139"/>
      <c r="LJP111" s="139"/>
      <c r="LJQ111" s="139"/>
      <c r="LJR111" s="139"/>
      <c r="LJS111" s="139"/>
      <c r="LJT111" s="139"/>
      <c r="LJU111" s="139"/>
      <c r="LJV111" s="139"/>
      <c r="LJW111" s="139"/>
      <c r="LJX111" s="139"/>
      <c r="LJY111" s="139"/>
      <c r="LJZ111" s="139"/>
      <c r="LKA111" s="139"/>
      <c r="LKB111" s="139"/>
      <c r="LKC111" s="139"/>
      <c r="LKD111" s="139"/>
      <c r="LKE111" s="139"/>
      <c r="LKF111" s="139"/>
      <c r="LKG111" s="139"/>
      <c r="LKH111" s="139"/>
      <c r="LKI111" s="139"/>
      <c r="LKJ111" s="139"/>
      <c r="LKK111" s="139"/>
      <c r="LKL111" s="139"/>
      <c r="LKM111" s="139"/>
      <c r="LKN111" s="139"/>
      <c r="LKO111" s="139"/>
      <c r="LKP111" s="139"/>
      <c r="LKQ111" s="139"/>
      <c r="LKR111" s="139"/>
      <c r="LKS111" s="139"/>
      <c r="LKT111" s="139"/>
      <c r="LKU111" s="139"/>
      <c r="LKV111" s="139"/>
      <c r="LKW111" s="139"/>
      <c r="LKX111" s="139"/>
      <c r="LKY111" s="139"/>
      <c r="LKZ111" s="139"/>
      <c r="LLA111" s="139"/>
      <c r="LLB111" s="139"/>
      <c r="LLC111" s="139"/>
      <c r="LLD111" s="139"/>
      <c r="LLE111" s="139"/>
      <c r="LLF111" s="139"/>
      <c r="LLG111" s="139"/>
      <c r="LLH111" s="139"/>
      <c r="LLI111" s="139"/>
      <c r="LLJ111" s="139"/>
      <c r="LLK111" s="139"/>
      <c r="LLL111" s="139"/>
      <c r="LLM111" s="139"/>
      <c r="LLN111" s="139"/>
      <c r="LLO111" s="139"/>
      <c r="LLP111" s="139"/>
      <c r="LLQ111" s="139"/>
      <c r="LLR111" s="139"/>
      <c r="LLS111" s="139"/>
      <c r="LLT111" s="139"/>
      <c r="LLU111" s="139"/>
      <c r="LLV111" s="139"/>
      <c r="LLW111" s="139"/>
      <c r="LLX111" s="139"/>
      <c r="LLY111" s="139"/>
      <c r="LLZ111" s="139"/>
      <c r="LMA111" s="139"/>
      <c r="LMB111" s="139"/>
      <c r="LMC111" s="139"/>
      <c r="LMD111" s="139"/>
      <c r="LME111" s="139"/>
      <c r="LMF111" s="139"/>
      <c r="LMG111" s="139"/>
      <c r="LMH111" s="139"/>
      <c r="LMI111" s="139"/>
      <c r="LMJ111" s="139"/>
      <c r="LMK111" s="139"/>
      <c r="LML111" s="139"/>
      <c r="LMM111" s="139"/>
      <c r="LMN111" s="139"/>
      <c r="LMO111" s="139"/>
      <c r="LMP111" s="139"/>
      <c r="LMQ111" s="139"/>
      <c r="LMR111" s="139"/>
      <c r="LMS111" s="139"/>
      <c r="LMT111" s="139"/>
      <c r="LMU111" s="139"/>
      <c r="LMV111" s="139"/>
      <c r="LMW111" s="139"/>
      <c r="LMX111" s="139"/>
      <c r="LMY111" s="139"/>
      <c r="LMZ111" s="139"/>
      <c r="LNA111" s="139"/>
      <c r="LNB111" s="139"/>
      <c r="LNC111" s="139"/>
      <c r="LND111" s="139"/>
      <c r="LNE111" s="139"/>
      <c r="LNF111" s="139"/>
      <c r="LNG111" s="139"/>
      <c r="LNH111" s="139"/>
      <c r="LNI111" s="139"/>
      <c r="LNJ111" s="139"/>
      <c r="LNK111" s="139"/>
      <c r="LNL111" s="139"/>
      <c r="LNM111" s="139"/>
      <c r="LNN111" s="139"/>
      <c r="LNO111" s="139"/>
      <c r="LNP111" s="139"/>
      <c r="LNQ111" s="139"/>
      <c r="LNR111" s="139"/>
      <c r="LNS111" s="139"/>
      <c r="LNT111" s="139"/>
      <c r="LNU111" s="139"/>
      <c r="LNV111" s="139"/>
      <c r="LNW111" s="139"/>
      <c r="LNX111" s="139"/>
      <c r="LNY111" s="139"/>
      <c r="LNZ111" s="139"/>
      <c r="LOA111" s="139"/>
      <c r="LOB111" s="139"/>
      <c r="LOC111" s="139"/>
      <c r="LOD111" s="139"/>
      <c r="LOE111" s="139"/>
      <c r="LOF111" s="139"/>
      <c r="LOG111" s="139"/>
      <c r="LOH111" s="139"/>
      <c r="LOI111" s="139"/>
      <c r="LOJ111" s="139"/>
      <c r="LOK111" s="139"/>
      <c r="LOL111" s="139"/>
      <c r="LOM111" s="139"/>
      <c r="LON111" s="139"/>
      <c r="LOO111" s="139"/>
      <c r="LOP111" s="139"/>
      <c r="LOQ111" s="139"/>
      <c r="LOR111" s="139"/>
      <c r="LOS111" s="139"/>
      <c r="LOT111" s="139"/>
      <c r="LOU111" s="139"/>
      <c r="LOV111" s="139"/>
      <c r="LOW111" s="139"/>
      <c r="LOX111" s="139"/>
      <c r="LOY111" s="139"/>
      <c r="LOZ111" s="139"/>
      <c r="LPA111" s="139"/>
      <c r="LPB111" s="139"/>
      <c r="LPC111" s="139"/>
      <c r="LPD111" s="139"/>
      <c r="LPE111" s="139"/>
      <c r="LPF111" s="139"/>
      <c r="LPG111" s="139"/>
      <c r="LPH111" s="139"/>
      <c r="LPI111" s="139"/>
      <c r="LPJ111" s="139"/>
      <c r="LPK111" s="139"/>
      <c r="LPL111" s="139"/>
      <c r="LPM111" s="139"/>
      <c r="LPN111" s="139"/>
      <c r="LPO111" s="139"/>
      <c r="LPP111" s="139"/>
      <c r="LPQ111" s="139"/>
      <c r="LPR111" s="139"/>
      <c r="LPS111" s="139"/>
      <c r="LPT111" s="139"/>
      <c r="LPU111" s="139"/>
      <c r="LPV111" s="139"/>
      <c r="LPW111" s="139"/>
      <c r="LPX111" s="139"/>
      <c r="LPY111" s="139"/>
      <c r="LPZ111" s="139"/>
      <c r="LQA111" s="139"/>
      <c r="LQB111" s="139"/>
      <c r="LQC111" s="139"/>
      <c r="LQD111" s="139"/>
      <c r="LQE111" s="139"/>
      <c r="LQF111" s="139"/>
      <c r="LQG111" s="139"/>
      <c r="LQH111" s="139"/>
      <c r="LQI111" s="139"/>
      <c r="LQJ111" s="139"/>
      <c r="LQK111" s="139"/>
      <c r="LQL111" s="139"/>
      <c r="LQM111" s="139"/>
      <c r="LQN111" s="139"/>
      <c r="LQO111" s="139"/>
      <c r="LQP111" s="139"/>
      <c r="LQQ111" s="139"/>
      <c r="LQR111" s="139"/>
      <c r="LQS111" s="139"/>
      <c r="LQT111" s="139"/>
      <c r="LQU111" s="139"/>
      <c r="LQV111" s="139"/>
      <c r="LQW111" s="139"/>
      <c r="LQX111" s="139"/>
      <c r="LQY111" s="139"/>
      <c r="LQZ111" s="139"/>
      <c r="LRA111" s="139"/>
      <c r="LRB111" s="139"/>
      <c r="LRC111" s="139"/>
      <c r="LRD111" s="139"/>
      <c r="LRE111" s="139"/>
      <c r="LRF111" s="139"/>
      <c r="LRG111" s="139"/>
      <c r="LRH111" s="139"/>
      <c r="LRI111" s="139"/>
      <c r="LRJ111" s="139"/>
      <c r="LRK111" s="139"/>
      <c r="LRL111" s="139"/>
      <c r="LRM111" s="139"/>
      <c r="LRN111" s="139"/>
      <c r="LRO111" s="139"/>
      <c r="LRP111" s="139"/>
      <c r="LRQ111" s="139"/>
      <c r="LRR111" s="139"/>
      <c r="LRS111" s="139"/>
      <c r="LRT111" s="139"/>
      <c r="LRU111" s="139"/>
      <c r="LRV111" s="139"/>
      <c r="LRW111" s="139"/>
      <c r="LRX111" s="139"/>
      <c r="LRY111" s="139"/>
      <c r="LRZ111" s="139"/>
      <c r="LSA111" s="139"/>
      <c r="LSB111" s="139"/>
      <c r="LSC111" s="139"/>
      <c r="LSD111" s="139"/>
      <c r="LSE111" s="139"/>
      <c r="LSF111" s="139"/>
      <c r="LSG111" s="139"/>
      <c r="LSH111" s="139"/>
      <c r="LSI111" s="139"/>
      <c r="LSJ111" s="139"/>
      <c r="LSK111" s="139"/>
      <c r="LSL111" s="139"/>
      <c r="LSM111" s="139"/>
      <c r="LSN111" s="139"/>
      <c r="LSO111" s="139"/>
      <c r="LSP111" s="139"/>
      <c r="LSQ111" s="139"/>
      <c r="LSR111" s="139"/>
      <c r="LSS111" s="139"/>
      <c r="LST111" s="139"/>
      <c r="LSU111" s="139"/>
      <c r="LSV111" s="139"/>
      <c r="LSW111" s="139"/>
      <c r="LSX111" s="139"/>
      <c r="LSY111" s="139"/>
      <c r="LSZ111" s="139"/>
      <c r="LTA111" s="139"/>
      <c r="LTB111" s="139"/>
      <c r="LTC111" s="139"/>
      <c r="LTD111" s="139"/>
      <c r="LTE111" s="139"/>
      <c r="LTF111" s="139"/>
      <c r="LTG111" s="139"/>
      <c r="LTH111" s="139"/>
      <c r="LTI111" s="139"/>
      <c r="LTJ111" s="139"/>
      <c r="LTK111" s="139"/>
      <c r="LTL111" s="139"/>
      <c r="LTM111" s="139"/>
      <c r="LTN111" s="139"/>
      <c r="LTO111" s="139"/>
      <c r="LTP111" s="139"/>
      <c r="LTQ111" s="139"/>
      <c r="LTR111" s="139"/>
      <c r="LTS111" s="139"/>
      <c r="LTT111" s="139"/>
      <c r="LTU111" s="139"/>
      <c r="LTV111" s="139"/>
      <c r="LTW111" s="139"/>
      <c r="LTX111" s="139"/>
      <c r="LTY111" s="139"/>
      <c r="LTZ111" s="139"/>
      <c r="LUA111" s="139"/>
      <c r="LUB111" s="139"/>
      <c r="LUC111" s="139"/>
      <c r="LUD111" s="139"/>
      <c r="LUE111" s="139"/>
      <c r="LUF111" s="139"/>
      <c r="LUG111" s="139"/>
      <c r="LUH111" s="139"/>
      <c r="LUI111" s="139"/>
      <c r="LUJ111" s="139"/>
      <c r="LUK111" s="139"/>
      <c r="LUL111" s="139"/>
      <c r="LUM111" s="139"/>
      <c r="LUN111" s="139"/>
      <c r="LUO111" s="139"/>
      <c r="LUP111" s="139"/>
      <c r="LUQ111" s="139"/>
      <c r="LUR111" s="139"/>
      <c r="LUS111" s="139"/>
      <c r="LUT111" s="139"/>
      <c r="LUU111" s="139"/>
      <c r="LUV111" s="139"/>
      <c r="LUW111" s="139"/>
      <c r="LUX111" s="139"/>
      <c r="LUY111" s="139"/>
      <c r="LUZ111" s="139"/>
      <c r="LVA111" s="139"/>
      <c r="LVB111" s="139"/>
      <c r="LVC111" s="139"/>
      <c r="LVD111" s="139"/>
      <c r="LVE111" s="139"/>
      <c r="LVF111" s="139"/>
      <c r="LVG111" s="139"/>
      <c r="LVH111" s="139"/>
      <c r="LVI111" s="139"/>
      <c r="LVJ111" s="139"/>
      <c r="LVK111" s="139"/>
      <c r="LVL111" s="139"/>
      <c r="LVM111" s="139"/>
      <c r="LVN111" s="139"/>
      <c r="LVO111" s="139"/>
      <c r="LVP111" s="139"/>
      <c r="LVQ111" s="139"/>
      <c r="LVR111" s="139"/>
      <c r="LVS111" s="139"/>
      <c r="LVT111" s="139"/>
      <c r="LVU111" s="139"/>
      <c r="LVV111" s="139"/>
      <c r="LVW111" s="139"/>
      <c r="LVX111" s="139"/>
      <c r="LVY111" s="139"/>
      <c r="LVZ111" s="139"/>
      <c r="LWA111" s="139"/>
      <c r="LWB111" s="139"/>
      <c r="LWC111" s="139"/>
      <c r="LWD111" s="139"/>
      <c r="LWE111" s="139"/>
      <c r="LWF111" s="139"/>
      <c r="LWG111" s="139"/>
      <c r="LWH111" s="139"/>
      <c r="LWI111" s="139"/>
      <c r="LWJ111" s="139"/>
      <c r="LWK111" s="139"/>
      <c r="LWL111" s="139"/>
      <c r="LWM111" s="139"/>
      <c r="LWN111" s="139"/>
      <c r="LWO111" s="139"/>
      <c r="LWP111" s="139"/>
      <c r="LWQ111" s="139"/>
      <c r="LWR111" s="139"/>
      <c r="LWS111" s="139"/>
      <c r="LWT111" s="139"/>
      <c r="LWU111" s="139"/>
      <c r="LWV111" s="139"/>
      <c r="LWW111" s="139"/>
      <c r="LWX111" s="139"/>
      <c r="LWY111" s="139"/>
      <c r="LWZ111" s="139"/>
      <c r="LXA111" s="139"/>
      <c r="LXB111" s="139"/>
      <c r="LXC111" s="139"/>
      <c r="LXD111" s="139"/>
      <c r="LXE111" s="139"/>
      <c r="LXF111" s="139"/>
      <c r="LXG111" s="139"/>
      <c r="LXH111" s="139"/>
      <c r="LXI111" s="139"/>
      <c r="LXJ111" s="139"/>
      <c r="LXK111" s="139"/>
      <c r="LXL111" s="139"/>
      <c r="LXM111" s="139"/>
      <c r="LXN111" s="139"/>
      <c r="LXO111" s="139"/>
      <c r="LXP111" s="139"/>
      <c r="LXQ111" s="139"/>
      <c r="LXR111" s="139"/>
      <c r="LXS111" s="139"/>
      <c r="LXT111" s="139"/>
      <c r="LXU111" s="139"/>
      <c r="LXV111" s="139"/>
      <c r="LXW111" s="139"/>
      <c r="LXX111" s="139"/>
      <c r="LXY111" s="139"/>
      <c r="LXZ111" s="139"/>
      <c r="LYA111" s="139"/>
      <c r="LYB111" s="139"/>
      <c r="LYC111" s="139"/>
      <c r="LYD111" s="139"/>
      <c r="LYE111" s="139"/>
      <c r="LYF111" s="139"/>
      <c r="LYG111" s="139"/>
      <c r="LYH111" s="139"/>
      <c r="LYI111" s="139"/>
      <c r="LYJ111" s="139"/>
      <c r="LYK111" s="139"/>
      <c r="LYL111" s="139"/>
      <c r="LYM111" s="139"/>
      <c r="LYN111" s="139"/>
      <c r="LYO111" s="139"/>
      <c r="LYP111" s="139"/>
      <c r="LYQ111" s="139"/>
      <c r="LYR111" s="139"/>
      <c r="LYS111" s="139"/>
      <c r="LYT111" s="139"/>
      <c r="LYU111" s="139"/>
      <c r="LYV111" s="139"/>
      <c r="LYW111" s="139"/>
      <c r="LYX111" s="139"/>
      <c r="LYY111" s="139"/>
      <c r="LYZ111" s="139"/>
      <c r="LZA111" s="139"/>
      <c r="LZB111" s="139"/>
      <c r="LZC111" s="139"/>
      <c r="LZD111" s="139"/>
      <c r="LZE111" s="139"/>
      <c r="LZF111" s="139"/>
      <c r="LZG111" s="139"/>
      <c r="LZH111" s="139"/>
      <c r="LZI111" s="139"/>
      <c r="LZJ111" s="139"/>
      <c r="LZK111" s="139"/>
      <c r="LZL111" s="139"/>
      <c r="LZM111" s="139"/>
      <c r="LZN111" s="139"/>
      <c r="LZO111" s="139"/>
      <c r="LZP111" s="139"/>
      <c r="LZQ111" s="139"/>
      <c r="LZR111" s="139"/>
      <c r="LZS111" s="139"/>
      <c r="LZT111" s="139"/>
      <c r="LZU111" s="139"/>
      <c r="LZV111" s="139"/>
      <c r="LZW111" s="139"/>
      <c r="LZX111" s="139"/>
      <c r="LZY111" s="139"/>
      <c r="LZZ111" s="139"/>
      <c r="MAA111" s="139"/>
      <c r="MAB111" s="139"/>
      <c r="MAC111" s="139"/>
      <c r="MAD111" s="139"/>
      <c r="MAE111" s="139"/>
      <c r="MAF111" s="139"/>
      <c r="MAG111" s="139"/>
      <c r="MAH111" s="139"/>
      <c r="MAI111" s="139"/>
      <c r="MAJ111" s="139"/>
      <c r="MAK111" s="139"/>
      <c r="MAL111" s="139"/>
      <c r="MAM111" s="139"/>
      <c r="MAN111" s="139"/>
      <c r="MAO111" s="139"/>
      <c r="MAP111" s="139"/>
      <c r="MAQ111" s="139"/>
      <c r="MAR111" s="139"/>
      <c r="MAS111" s="139"/>
      <c r="MAT111" s="139"/>
      <c r="MAU111" s="139"/>
      <c r="MAV111" s="139"/>
      <c r="MAW111" s="139"/>
      <c r="MAX111" s="139"/>
      <c r="MAY111" s="139"/>
      <c r="MAZ111" s="139"/>
      <c r="MBA111" s="139"/>
      <c r="MBB111" s="139"/>
      <c r="MBC111" s="139"/>
      <c r="MBD111" s="139"/>
      <c r="MBE111" s="139"/>
      <c r="MBF111" s="139"/>
      <c r="MBG111" s="139"/>
      <c r="MBH111" s="139"/>
      <c r="MBI111" s="139"/>
      <c r="MBJ111" s="139"/>
      <c r="MBK111" s="139"/>
      <c r="MBL111" s="139"/>
      <c r="MBM111" s="139"/>
      <c r="MBN111" s="139"/>
      <c r="MBO111" s="139"/>
      <c r="MBP111" s="139"/>
      <c r="MBQ111" s="139"/>
      <c r="MBR111" s="139"/>
      <c r="MBS111" s="139"/>
      <c r="MBT111" s="139"/>
      <c r="MBU111" s="139"/>
      <c r="MBV111" s="139"/>
      <c r="MBW111" s="139"/>
      <c r="MBX111" s="139"/>
      <c r="MBY111" s="139"/>
      <c r="MBZ111" s="139"/>
      <c r="MCA111" s="139"/>
      <c r="MCB111" s="139"/>
      <c r="MCC111" s="139"/>
      <c r="MCD111" s="139"/>
      <c r="MCE111" s="139"/>
      <c r="MCF111" s="139"/>
      <c r="MCG111" s="139"/>
      <c r="MCH111" s="139"/>
      <c r="MCI111" s="139"/>
      <c r="MCJ111" s="139"/>
      <c r="MCK111" s="139"/>
      <c r="MCL111" s="139"/>
      <c r="MCM111" s="139"/>
      <c r="MCN111" s="139"/>
      <c r="MCO111" s="139"/>
      <c r="MCP111" s="139"/>
      <c r="MCQ111" s="139"/>
      <c r="MCR111" s="139"/>
      <c r="MCS111" s="139"/>
      <c r="MCT111" s="139"/>
      <c r="MCU111" s="139"/>
      <c r="MCV111" s="139"/>
      <c r="MCW111" s="139"/>
      <c r="MCX111" s="139"/>
      <c r="MCY111" s="139"/>
      <c r="MCZ111" s="139"/>
      <c r="MDA111" s="139"/>
      <c r="MDB111" s="139"/>
      <c r="MDC111" s="139"/>
      <c r="MDD111" s="139"/>
      <c r="MDE111" s="139"/>
      <c r="MDF111" s="139"/>
      <c r="MDG111" s="139"/>
      <c r="MDH111" s="139"/>
      <c r="MDI111" s="139"/>
      <c r="MDJ111" s="139"/>
      <c r="MDK111" s="139"/>
      <c r="MDL111" s="139"/>
      <c r="MDM111" s="139"/>
      <c r="MDN111" s="139"/>
      <c r="MDO111" s="139"/>
      <c r="MDP111" s="139"/>
      <c r="MDQ111" s="139"/>
      <c r="MDR111" s="139"/>
      <c r="MDS111" s="139"/>
      <c r="MDT111" s="139"/>
      <c r="MDU111" s="139"/>
      <c r="MDV111" s="139"/>
      <c r="MDW111" s="139"/>
      <c r="MDX111" s="139"/>
      <c r="MDY111" s="139"/>
      <c r="MDZ111" s="139"/>
      <c r="MEA111" s="139"/>
      <c r="MEB111" s="139"/>
      <c r="MEC111" s="139"/>
      <c r="MED111" s="139"/>
      <c r="MEE111" s="139"/>
      <c r="MEF111" s="139"/>
      <c r="MEG111" s="139"/>
      <c r="MEH111" s="139"/>
      <c r="MEI111" s="139"/>
      <c r="MEJ111" s="139"/>
      <c r="MEK111" s="139"/>
      <c r="MEL111" s="139"/>
      <c r="MEM111" s="139"/>
      <c r="MEN111" s="139"/>
      <c r="MEO111" s="139"/>
      <c r="MEP111" s="139"/>
      <c r="MEQ111" s="139"/>
      <c r="MER111" s="139"/>
      <c r="MES111" s="139"/>
      <c r="MET111" s="139"/>
      <c r="MEU111" s="139"/>
      <c r="MEV111" s="139"/>
      <c r="MEW111" s="139"/>
      <c r="MEX111" s="139"/>
      <c r="MEY111" s="139"/>
      <c r="MEZ111" s="139"/>
      <c r="MFA111" s="139"/>
      <c r="MFB111" s="139"/>
      <c r="MFC111" s="139"/>
      <c r="MFD111" s="139"/>
      <c r="MFE111" s="139"/>
      <c r="MFF111" s="139"/>
      <c r="MFG111" s="139"/>
      <c r="MFH111" s="139"/>
      <c r="MFI111" s="139"/>
      <c r="MFJ111" s="139"/>
      <c r="MFK111" s="139"/>
      <c r="MFL111" s="139"/>
      <c r="MFM111" s="139"/>
      <c r="MFN111" s="139"/>
      <c r="MFO111" s="139"/>
      <c r="MFP111" s="139"/>
      <c r="MFQ111" s="139"/>
      <c r="MFR111" s="139"/>
      <c r="MFS111" s="139"/>
      <c r="MFT111" s="139"/>
      <c r="MFU111" s="139"/>
      <c r="MFV111" s="139"/>
      <c r="MFW111" s="139"/>
      <c r="MFX111" s="139"/>
      <c r="MFY111" s="139"/>
      <c r="MFZ111" s="139"/>
      <c r="MGA111" s="139"/>
      <c r="MGB111" s="139"/>
      <c r="MGC111" s="139"/>
      <c r="MGD111" s="139"/>
      <c r="MGE111" s="139"/>
      <c r="MGF111" s="139"/>
      <c r="MGG111" s="139"/>
      <c r="MGH111" s="139"/>
      <c r="MGI111" s="139"/>
      <c r="MGJ111" s="139"/>
      <c r="MGK111" s="139"/>
      <c r="MGL111" s="139"/>
      <c r="MGM111" s="139"/>
      <c r="MGN111" s="139"/>
      <c r="MGO111" s="139"/>
      <c r="MGP111" s="139"/>
      <c r="MGQ111" s="139"/>
      <c r="MGR111" s="139"/>
      <c r="MGS111" s="139"/>
      <c r="MGT111" s="139"/>
      <c r="MGU111" s="139"/>
      <c r="MGV111" s="139"/>
      <c r="MGW111" s="139"/>
      <c r="MGX111" s="139"/>
      <c r="MGY111" s="139"/>
      <c r="MGZ111" s="139"/>
      <c r="MHA111" s="139"/>
      <c r="MHB111" s="139"/>
      <c r="MHC111" s="139"/>
      <c r="MHD111" s="139"/>
      <c r="MHE111" s="139"/>
      <c r="MHF111" s="139"/>
      <c r="MHG111" s="139"/>
      <c r="MHH111" s="139"/>
      <c r="MHI111" s="139"/>
      <c r="MHJ111" s="139"/>
      <c r="MHK111" s="139"/>
      <c r="MHL111" s="139"/>
      <c r="MHM111" s="139"/>
      <c r="MHN111" s="139"/>
      <c r="MHO111" s="139"/>
      <c r="MHP111" s="139"/>
      <c r="MHQ111" s="139"/>
      <c r="MHR111" s="139"/>
      <c r="MHS111" s="139"/>
      <c r="MHT111" s="139"/>
      <c r="MHU111" s="139"/>
      <c r="MHV111" s="139"/>
      <c r="MHW111" s="139"/>
      <c r="MHX111" s="139"/>
      <c r="MHY111" s="139"/>
      <c r="MHZ111" s="139"/>
      <c r="MIA111" s="139"/>
      <c r="MIB111" s="139"/>
      <c r="MIC111" s="139"/>
      <c r="MID111" s="139"/>
      <c r="MIE111" s="139"/>
      <c r="MIF111" s="139"/>
      <c r="MIG111" s="139"/>
      <c r="MIH111" s="139"/>
      <c r="MII111" s="139"/>
      <c r="MIJ111" s="139"/>
      <c r="MIK111" s="139"/>
      <c r="MIL111" s="139"/>
      <c r="MIM111" s="139"/>
      <c r="MIN111" s="139"/>
      <c r="MIO111" s="139"/>
      <c r="MIP111" s="139"/>
      <c r="MIQ111" s="139"/>
      <c r="MIR111" s="139"/>
      <c r="MIS111" s="139"/>
      <c r="MIT111" s="139"/>
      <c r="MIU111" s="139"/>
      <c r="MIV111" s="139"/>
      <c r="MIW111" s="139"/>
      <c r="MIX111" s="139"/>
      <c r="MIY111" s="139"/>
      <c r="MIZ111" s="139"/>
      <c r="MJA111" s="139"/>
      <c r="MJB111" s="139"/>
      <c r="MJC111" s="139"/>
      <c r="MJD111" s="139"/>
      <c r="MJE111" s="139"/>
      <c r="MJF111" s="139"/>
      <c r="MJG111" s="139"/>
      <c r="MJH111" s="139"/>
      <c r="MJI111" s="139"/>
      <c r="MJJ111" s="139"/>
      <c r="MJK111" s="139"/>
      <c r="MJL111" s="139"/>
      <c r="MJM111" s="139"/>
      <c r="MJN111" s="139"/>
      <c r="MJO111" s="139"/>
      <c r="MJP111" s="139"/>
      <c r="MJQ111" s="139"/>
      <c r="MJR111" s="139"/>
      <c r="MJS111" s="139"/>
      <c r="MJT111" s="139"/>
      <c r="MJU111" s="139"/>
      <c r="MJV111" s="139"/>
      <c r="MJW111" s="139"/>
      <c r="MJX111" s="139"/>
      <c r="MJY111" s="139"/>
      <c r="MJZ111" s="139"/>
      <c r="MKA111" s="139"/>
      <c r="MKB111" s="139"/>
      <c r="MKC111" s="139"/>
      <c r="MKD111" s="139"/>
      <c r="MKE111" s="139"/>
      <c r="MKF111" s="139"/>
      <c r="MKG111" s="139"/>
      <c r="MKH111" s="139"/>
      <c r="MKI111" s="139"/>
      <c r="MKJ111" s="139"/>
      <c r="MKK111" s="139"/>
      <c r="MKL111" s="139"/>
      <c r="MKM111" s="139"/>
      <c r="MKN111" s="139"/>
      <c r="MKO111" s="139"/>
      <c r="MKP111" s="139"/>
      <c r="MKQ111" s="139"/>
      <c r="MKR111" s="139"/>
      <c r="MKS111" s="139"/>
      <c r="MKT111" s="139"/>
      <c r="MKU111" s="139"/>
      <c r="MKV111" s="139"/>
      <c r="MKW111" s="139"/>
      <c r="MKX111" s="139"/>
      <c r="MKY111" s="139"/>
      <c r="MKZ111" s="139"/>
      <c r="MLA111" s="139"/>
      <c r="MLB111" s="139"/>
      <c r="MLC111" s="139"/>
      <c r="MLD111" s="139"/>
      <c r="MLE111" s="139"/>
      <c r="MLF111" s="139"/>
      <c r="MLG111" s="139"/>
      <c r="MLH111" s="139"/>
      <c r="MLI111" s="139"/>
      <c r="MLJ111" s="139"/>
      <c r="MLK111" s="139"/>
      <c r="MLL111" s="139"/>
      <c r="MLM111" s="139"/>
      <c r="MLN111" s="139"/>
      <c r="MLO111" s="139"/>
      <c r="MLP111" s="139"/>
      <c r="MLQ111" s="139"/>
      <c r="MLR111" s="139"/>
      <c r="MLS111" s="139"/>
      <c r="MLT111" s="139"/>
      <c r="MLU111" s="139"/>
      <c r="MLV111" s="139"/>
      <c r="MLW111" s="139"/>
      <c r="MLX111" s="139"/>
      <c r="MLY111" s="139"/>
      <c r="MLZ111" s="139"/>
      <c r="MMA111" s="139"/>
      <c r="MMB111" s="139"/>
      <c r="MMC111" s="139"/>
      <c r="MMD111" s="139"/>
      <c r="MME111" s="139"/>
      <c r="MMF111" s="139"/>
      <c r="MMG111" s="139"/>
      <c r="MMH111" s="139"/>
      <c r="MMI111" s="139"/>
      <c r="MMJ111" s="139"/>
      <c r="MMK111" s="139"/>
      <c r="MML111" s="139"/>
      <c r="MMM111" s="139"/>
      <c r="MMN111" s="139"/>
      <c r="MMO111" s="139"/>
      <c r="MMP111" s="139"/>
      <c r="MMQ111" s="139"/>
      <c r="MMR111" s="139"/>
      <c r="MMS111" s="139"/>
      <c r="MMT111" s="139"/>
      <c r="MMU111" s="139"/>
      <c r="MMV111" s="139"/>
      <c r="MMW111" s="139"/>
      <c r="MMX111" s="139"/>
      <c r="MMY111" s="139"/>
      <c r="MMZ111" s="139"/>
      <c r="MNA111" s="139"/>
      <c r="MNB111" s="139"/>
      <c r="MNC111" s="139"/>
      <c r="MND111" s="139"/>
      <c r="MNE111" s="139"/>
      <c r="MNF111" s="139"/>
      <c r="MNG111" s="139"/>
      <c r="MNH111" s="139"/>
      <c r="MNI111" s="139"/>
      <c r="MNJ111" s="139"/>
      <c r="MNK111" s="139"/>
      <c r="MNL111" s="139"/>
      <c r="MNM111" s="139"/>
      <c r="MNN111" s="139"/>
      <c r="MNO111" s="139"/>
      <c r="MNP111" s="139"/>
      <c r="MNQ111" s="139"/>
      <c r="MNR111" s="139"/>
      <c r="MNS111" s="139"/>
      <c r="MNT111" s="139"/>
      <c r="MNU111" s="139"/>
      <c r="MNV111" s="139"/>
      <c r="MNW111" s="139"/>
      <c r="MNX111" s="139"/>
      <c r="MNY111" s="139"/>
      <c r="MNZ111" s="139"/>
      <c r="MOA111" s="139"/>
      <c r="MOB111" s="139"/>
      <c r="MOC111" s="139"/>
      <c r="MOD111" s="139"/>
      <c r="MOE111" s="139"/>
      <c r="MOF111" s="139"/>
      <c r="MOG111" s="139"/>
      <c r="MOH111" s="139"/>
      <c r="MOI111" s="139"/>
      <c r="MOJ111" s="139"/>
      <c r="MOK111" s="139"/>
      <c r="MOL111" s="139"/>
      <c r="MOM111" s="139"/>
      <c r="MON111" s="139"/>
      <c r="MOO111" s="139"/>
      <c r="MOP111" s="139"/>
      <c r="MOQ111" s="139"/>
      <c r="MOR111" s="139"/>
      <c r="MOS111" s="139"/>
      <c r="MOT111" s="139"/>
      <c r="MOU111" s="139"/>
      <c r="MOV111" s="139"/>
      <c r="MOW111" s="139"/>
      <c r="MOX111" s="139"/>
      <c r="MOY111" s="139"/>
      <c r="MOZ111" s="139"/>
      <c r="MPA111" s="139"/>
      <c r="MPB111" s="139"/>
      <c r="MPC111" s="139"/>
      <c r="MPD111" s="139"/>
      <c r="MPE111" s="139"/>
      <c r="MPF111" s="139"/>
      <c r="MPG111" s="139"/>
      <c r="MPH111" s="139"/>
      <c r="MPI111" s="139"/>
      <c r="MPJ111" s="139"/>
      <c r="MPK111" s="139"/>
      <c r="MPL111" s="139"/>
      <c r="MPM111" s="139"/>
      <c r="MPN111" s="139"/>
      <c r="MPO111" s="139"/>
      <c r="MPP111" s="139"/>
      <c r="MPQ111" s="139"/>
      <c r="MPR111" s="139"/>
      <c r="MPS111" s="139"/>
      <c r="MPT111" s="139"/>
      <c r="MPU111" s="139"/>
      <c r="MPV111" s="139"/>
      <c r="MPW111" s="139"/>
      <c r="MPX111" s="139"/>
      <c r="MPY111" s="139"/>
      <c r="MPZ111" s="139"/>
      <c r="MQA111" s="139"/>
      <c r="MQB111" s="139"/>
      <c r="MQC111" s="139"/>
      <c r="MQD111" s="139"/>
      <c r="MQE111" s="139"/>
      <c r="MQF111" s="139"/>
      <c r="MQG111" s="139"/>
      <c r="MQH111" s="139"/>
      <c r="MQI111" s="139"/>
      <c r="MQJ111" s="139"/>
      <c r="MQK111" s="139"/>
      <c r="MQL111" s="139"/>
      <c r="MQM111" s="139"/>
      <c r="MQN111" s="139"/>
      <c r="MQO111" s="139"/>
      <c r="MQP111" s="139"/>
      <c r="MQQ111" s="139"/>
      <c r="MQR111" s="139"/>
      <c r="MQS111" s="139"/>
      <c r="MQT111" s="139"/>
      <c r="MQU111" s="139"/>
      <c r="MQV111" s="139"/>
      <c r="MQW111" s="139"/>
      <c r="MQX111" s="139"/>
      <c r="MQY111" s="139"/>
      <c r="MQZ111" s="139"/>
      <c r="MRA111" s="139"/>
      <c r="MRB111" s="139"/>
      <c r="MRC111" s="139"/>
      <c r="MRD111" s="139"/>
      <c r="MRE111" s="139"/>
      <c r="MRF111" s="139"/>
      <c r="MRG111" s="139"/>
      <c r="MRH111" s="139"/>
      <c r="MRI111" s="139"/>
      <c r="MRJ111" s="139"/>
      <c r="MRK111" s="139"/>
      <c r="MRL111" s="139"/>
      <c r="MRM111" s="139"/>
      <c r="MRN111" s="139"/>
      <c r="MRO111" s="139"/>
      <c r="MRP111" s="139"/>
      <c r="MRQ111" s="139"/>
      <c r="MRR111" s="139"/>
      <c r="MRS111" s="139"/>
      <c r="MRT111" s="139"/>
      <c r="MRU111" s="139"/>
      <c r="MRV111" s="139"/>
      <c r="MRW111" s="139"/>
      <c r="MRX111" s="139"/>
      <c r="MRY111" s="139"/>
      <c r="MRZ111" s="139"/>
      <c r="MSA111" s="139"/>
      <c r="MSB111" s="139"/>
      <c r="MSC111" s="139"/>
      <c r="MSD111" s="139"/>
      <c r="MSE111" s="139"/>
      <c r="MSF111" s="139"/>
      <c r="MSG111" s="139"/>
      <c r="MSH111" s="139"/>
      <c r="MSI111" s="139"/>
      <c r="MSJ111" s="139"/>
      <c r="MSK111" s="139"/>
      <c r="MSL111" s="139"/>
      <c r="MSM111" s="139"/>
      <c r="MSN111" s="139"/>
      <c r="MSO111" s="139"/>
      <c r="MSP111" s="139"/>
      <c r="MSQ111" s="139"/>
      <c r="MSR111" s="139"/>
      <c r="MSS111" s="139"/>
      <c r="MST111" s="139"/>
      <c r="MSU111" s="139"/>
      <c r="MSV111" s="139"/>
      <c r="MSW111" s="139"/>
      <c r="MSX111" s="139"/>
      <c r="MSY111" s="139"/>
      <c r="MSZ111" s="139"/>
      <c r="MTA111" s="139"/>
      <c r="MTB111" s="139"/>
      <c r="MTC111" s="139"/>
      <c r="MTD111" s="139"/>
      <c r="MTE111" s="139"/>
      <c r="MTF111" s="139"/>
      <c r="MTG111" s="139"/>
      <c r="MTH111" s="139"/>
      <c r="MTI111" s="139"/>
      <c r="MTJ111" s="139"/>
      <c r="MTK111" s="139"/>
      <c r="MTL111" s="139"/>
      <c r="MTM111" s="139"/>
      <c r="MTN111" s="139"/>
      <c r="MTO111" s="139"/>
      <c r="MTP111" s="139"/>
      <c r="MTQ111" s="139"/>
      <c r="MTR111" s="139"/>
      <c r="MTS111" s="139"/>
      <c r="MTT111" s="139"/>
      <c r="MTU111" s="139"/>
      <c r="MTV111" s="139"/>
      <c r="MTW111" s="139"/>
      <c r="MTX111" s="139"/>
      <c r="MTY111" s="139"/>
      <c r="MTZ111" s="139"/>
      <c r="MUA111" s="139"/>
      <c r="MUB111" s="139"/>
      <c r="MUC111" s="139"/>
      <c r="MUD111" s="139"/>
      <c r="MUE111" s="139"/>
      <c r="MUF111" s="139"/>
      <c r="MUG111" s="139"/>
      <c r="MUH111" s="139"/>
      <c r="MUI111" s="139"/>
      <c r="MUJ111" s="139"/>
      <c r="MUK111" s="139"/>
      <c r="MUL111" s="139"/>
      <c r="MUM111" s="139"/>
      <c r="MUN111" s="139"/>
      <c r="MUO111" s="139"/>
      <c r="MUP111" s="139"/>
      <c r="MUQ111" s="139"/>
      <c r="MUR111" s="139"/>
      <c r="MUS111" s="139"/>
      <c r="MUT111" s="139"/>
      <c r="MUU111" s="139"/>
      <c r="MUV111" s="139"/>
      <c r="MUW111" s="139"/>
      <c r="MUX111" s="139"/>
      <c r="MUY111" s="139"/>
      <c r="MUZ111" s="139"/>
      <c r="MVA111" s="139"/>
      <c r="MVB111" s="139"/>
      <c r="MVC111" s="139"/>
      <c r="MVD111" s="139"/>
      <c r="MVE111" s="139"/>
      <c r="MVF111" s="139"/>
      <c r="MVG111" s="139"/>
      <c r="MVH111" s="139"/>
      <c r="MVI111" s="139"/>
      <c r="MVJ111" s="139"/>
      <c r="MVK111" s="139"/>
      <c r="MVL111" s="139"/>
      <c r="MVM111" s="139"/>
      <c r="MVN111" s="139"/>
      <c r="MVO111" s="139"/>
      <c r="MVP111" s="139"/>
      <c r="MVQ111" s="139"/>
      <c r="MVR111" s="139"/>
      <c r="MVS111" s="139"/>
      <c r="MVT111" s="139"/>
      <c r="MVU111" s="139"/>
      <c r="MVV111" s="139"/>
      <c r="MVW111" s="139"/>
      <c r="MVX111" s="139"/>
      <c r="MVY111" s="139"/>
      <c r="MVZ111" s="139"/>
      <c r="MWA111" s="139"/>
      <c r="MWB111" s="139"/>
      <c r="MWC111" s="139"/>
      <c r="MWD111" s="139"/>
      <c r="MWE111" s="139"/>
      <c r="MWF111" s="139"/>
      <c r="MWG111" s="139"/>
      <c r="MWH111" s="139"/>
      <c r="MWI111" s="139"/>
      <c r="MWJ111" s="139"/>
      <c r="MWK111" s="139"/>
      <c r="MWL111" s="139"/>
      <c r="MWM111" s="139"/>
      <c r="MWN111" s="139"/>
      <c r="MWO111" s="139"/>
      <c r="MWP111" s="139"/>
      <c r="MWQ111" s="139"/>
      <c r="MWR111" s="139"/>
      <c r="MWS111" s="139"/>
      <c r="MWT111" s="139"/>
      <c r="MWU111" s="139"/>
      <c r="MWV111" s="139"/>
      <c r="MWW111" s="139"/>
      <c r="MWX111" s="139"/>
      <c r="MWY111" s="139"/>
      <c r="MWZ111" s="139"/>
      <c r="MXA111" s="139"/>
      <c r="MXB111" s="139"/>
      <c r="MXC111" s="139"/>
      <c r="MXD111" s="139"/>
      <c r="MXE111" s="139"/>
      <c r="MXF111" s="139"/>
      <c r="MXG111" s="139"/>
      <c r="MXH111" s="139"/>
      <c r="MXI111" s="139"/>
      <c r="MXJ111" s="139"/>
      <c r="MXK111" s="139"/>
      <c r="MXL111" s="139"/>
      <c r="MXM111" s="139"/>
      <c r="MXN111" s="139"/>
      <c r="MXO111" s="139"/>
      <c r="MXP111" s="139"/>
      <c r="MXQ111" s="139"/>
      <c r="MXR111" s="139"/>
      <c r="MXS111" s="139"/>
      <c r="MXT111" s="139"/>
      <c r="MXU111" s="139"/>
      <c r="MXV111" s="139"/>
      <c r="MXW111" s="139"/>
      <c r="MXX111" s="139"/>
      <c r="MXY111" s="139"/>
      <c r="MXZ111" s="139"/>
      <c r="MYA111" s="139"/>
      <c r="MYB111" s="139"/>
      <c r="MYC111" s="139"/>
      <c r="MYD111" s="139"/>
      <c r="MYE111" s="139"/>
      <c r="MYF111" s="139"/>
      <c r="MYG111" s="139"/>
      <c r="MYH111" s="139"/>
      <c r="MYI111" s="139"/>
      <c r="MYJ111" s="139"/>
      <c r="MYK111" s="139"/>
      <c r="MYL111" s="139"/>
      <c r="MYM111" s="139"/>
      <c r="MYN111" s="139"/>
      <c r="MYO111" s="139"/>
      <c r="MYP111" s="139"/>
      <c r="MYQ111" s="139"/>
      <c r="MYR111" s="139"/>
      <c r="MYS111" s="139"/>
      <c r="MYT111" s="139"/>
      <c r="MYU111" s="139"/>
      <c r="MYV111" s="139"/>
      <c r="MYW111" s="139"/>
      <c r="MYX111" s="139"/>
      <c r="MYY111" s="139"/>
      <c r="MYZ111" s="139"/>
      <c r="MZA111" s="139"/>
      <c r="MZB111" s="139"/>
      <c r="MZC111" s="139"/>
      <c r="MZD111" s="139"/>
      <c r="MZE111" s="139"/>
      <c r="MZF111" s="139"/>
      <c r="MZG111" s="139"/>
      <c r="MZH111" s="139"/>
      <c r="MZI111" s="139"/>
      <c r="MZJ111" s="139"/>
      <c r="MZK111" s="139"/>
      <c r="MZL111" s="139"/>
      <c r="MZM111" s="139"/>
      <c r="MZN111" s="139"/>
      <c r="MZO111" s="139"/>
      <c r="MZP111" s="139"/>
      <c r="MZQ111" s="139"/>
      <c r="MZR111" s="139"/>
      <c r="MZS111" s="139"/>
      <c r="MZT111" s="139"/>
      <c r="MZU111" s="139"/>
      <c r="MZV111" s="139"/>
      <c r="MZW111" s="139"/>
      <c r="MZX111" s="139"/>
      <c r="MZY111" s="139"/>
      <c r="MZZ111" s="139"/>
      <c r="NAA111" s="139"/>
      <c r="NAB111" s="139"/>
      <c r="NAC111" s="139"/>
      <c r="NAD111" s="139"/>
      <c r="NAE111" s="139"/>
      <c r="NAF111" s="139"/>
      <c r="NAG111" s="139"/>
      <c r="NAH111" s="139"/>
      <c r="NAI111" s="139"/>
      <c r="NAJ111" s="139"/>
      <c r="NAK111" s="139"/>
      <c r="NAL111" s="139"/>
      <c r="NAM111" s="139"/>
      <c r="NAN111" s="139"/>
      <c r="NAO111" s="139"/>
      <c r="NAP111" s="139"/>
      <c r="NAQ111" s="139"/>
      <c r="NAR111" s="139"/>
      <c r="NAS111" s="139"/>
      <c r="NAT111" s="139"/>
      <c r="NAU111" s="139"/>
      <c r="NAV111" s="139"/>
      <c r="NAW111" s="139"/>
      <c r="NAX111" s="139"/>
      <c r="NAY111" s="139"/>
      <c r="NAZ111" s="139"/>
      <c r="NBA111" s="139"/>
      <c r="NBB111" s="139"/>
      <c r="NBC111" s="139"/>
      <c r="NBD111" s="139"/>
      <c r="NBE111" s="139"/>
      <c r="NBF111" s="139"/>
      <c r="NBG111" s="139"/>
      <c r="NBH111" s="139"/>
      <c r="NBI111" s="139"/>
      <c r="NBJ111" s="139"/>
      <c r="NBK111" s="139"/>
      <c r="NBL111" s="139"/>
      <c r="NBM111" s="139"/>
      <c r="NBN111" s="139"/>
      <c r="NBO111" s="139"/>
      <c r="NBP111" s="139"/>
      <c r="NBQ111" s="139"/>
      <c r="NBR111" s="139"/>
      <c r="NBS111" s="139"/>
      <c r="NBT111" s="139"/>
      <c r="NBU111" s="139"/>
      <c r="NBV111" s="139"/>
      <c r="NBW111" s="139"/>
      <c r="NBX111" s="139"/>
      <c r="NBY111" s="139"/>
      <c r="NBZ111" s="139"/>
      <c r="NCA111" s="139"/>
      <c r="NCB111" s="139"/>
      <c r="NCC111" s="139"/>
      <c r="NCD111" s="139"/>
      <c r="NCE111" s="139"/>
      <c r="NCF111" s="139"/>
      <c r="NCG111" s="139"/>
      <c r="NCH111" s="139"/>
      <c r="NCI111" s="139"/>
      <c r="NCJ111" s="139"/>
      <c r="NCK111" s="139"/>
      <c r="NCL111" s="139"/>
      <c r="NCM111" s="139"/>
      <c r="NCN111" s="139"/>
      <c r="NCO111" s="139"/>
      <c r="NCP111" s="139"/>
      <c r="NCQ111" s="139"/>
      <c r="NCR111" s="139"/>
      <c r="NCS111" s="139"/>
      <c r="NCT111" s="139"/>
      <c r="NCU111" s="139"/>
      <c r="NCV111" s="139"/>
      <c r="NCW111" s="139"/>
      <c r="NCX111" s="139"/>
      <c r="NCY111" s="139"/>
      <c r="NCZ111" s="139"/>
      <c r="NDA111" s="139"/>
      <c r="NDB111" s="139"/>
      <c r="NDC111" s="139"/>
      <c r="NDD111" s="139"/>
      <c r="NDE111" s="139"/>
      <c r="NDF111" s="139"/>
      <c r="NDG111" s="139"/>
      <c r="NDH111" s="139"/>
      <c r="NDI111" s="139"/>
      <c r="NDJ111" s="139"/>
      <c r="NDK111" s="139"/>
      <c r="NDL111" s="139"/>
      <c r="NDM111" s="139"/>
      <c r="NDN111" s="139"/>
      <c r="NDO111" s="139"/>
      <c r="NDP111" s="139"/>
      <c r="NDQ111" s="139"/>
      <c r="NDR111" s="139"/>
      <c r="NDS111" s="139"/>
      <c r="NDT111" s="139"/>
      <c r="NDU111" s="139"/>
      <c r="NDV111" s="139"/>
      <c r="NDW111" s="139"/>
      <c r="NDX111" s="139"/>
      <c r="NDY111" s="139"/>
      <c r="NDZ111" s="139"/>
      <c r="NEA111" s="139"/>
      <c r="NEB111" s="139"/>
      <c r="NEC111" s="139"/>
      <c r="NED111" s="139"/>
      <c r="NEE111" s="139"/>
      <c r="NEF111" s="139"/>
      <c r="NEG111" s="139"/>
      <c r="NEH111" s="139"/>
      <c r="NEI111" s="139"/>
      <c r="NEJ111" s="139"/>
      <c r="NEK111" s="139"/>
      <c r="NEL111" s="139"/>
      <c r="NEM111" s="139"/>
      <c r="NEN111" s="139"/>
      <c r="NEO111" s="139"/>
      <c r="NEP111" s="139"/>
      <c r="NEQ111" s="139"/>
      <c r="NER111" s="139"/>
      <c r="NES111" s="139"/>
      <c r="NET111" s="139"/>
      <c r="NEU111" s="139"/>
      <c r="NEV111" s="139"/>
      <c r="NEW111" s="139"/>
      <c r="NEX111" s="139"/>
      <c r="NEY111" s="139"/>
      <c r="NEZ111" s="139"/>
      <c r="NFA111" s="139"/>
      <c r="NFB111" s="139"/>
      <c r="NFC111" s="139"/>
      <c r="NFD111" s="139"/>
      <c r="NFE111" s="139"/>
      <c r="NFF111" s="139"/>
      <c r="NFG111" s="139"/>
      <c r="NFH111" s="139"/>
      <c r="NFI111" s="139"/>
      <c r="NFJ111" s="139"/>
      <c r="NFK111" s="139"/>
      <c r="NFL111" s="139"/>
      <c r="NFM111" s="139"/>
      <c r="NFN111" s="139"/>
      <c r="NFO111" s="139"/>
      <c r="NFP111" s="139"/>
      <c r="NFQ111" s="139"/>
      <c r="NFR111" s="139"/>
      <c r="NFS111" s="139"/>
      <c r="NFT111" s="139"/>
      <c r="NFU111" s="139"/>
      <c r="NFV111" s="139"/>
      <c r="NFW111" s="139"/>
      <c r="NFX111" s="139"/>
      <c r="NFY111" s="139"/>
      <c r="NFZ111" s="139"/>
      <c r="NGA111" s="139"/>
      <c r="NGB111" s="139"/>
      <c r="NGC111" s="139"/>
      <c r="NGD111" s="139"/>
      <c r="NGE111" s="139"/>
      <c r="NGF111" s="139"/>
      <c r="NGG111" s="139"/>
      <c r="NGH111" s="139"/>
      <c r="NGI111" s="139"/>
      <c r="NGJ111" s="139"/>
      <c r="NGK111" s="139"/>
      <c r="NGL111" s="139"/>
      <c r="NGM111" s="139"/>
      <c r="NGN111" s="139"/>
      <c r="NGO111" s="139"/>
      <c r="NGP111" s="139"/>
      <c r="NGQ111" s="139"/>
      <c r="NGR111" s="139"/>
      <c r="NGS111" s="139"/>
      <c r="NGT111" s="139"/>
      <c r="NGU111" s="139"/>
      <c r="NGV111" s="139"/>
      <c r="NGW111" s="139"/>
      <c r="NGX111" s="139"/>
      <c r="NGY111" s="139"/>
      <c r="NGZ111" s="139"/>
      <c r="NHA111" s="139"/>
      <c r="NHB111" s="139"/>
      <c r="NHC111" s="139"/>
      <c r="NHD111" s="139"/>
      <c r="NHE111" s="139"/>
      <c r="NHF111" s="139"/>
      <c r="NHG111" s="139"/>
      <c r="NHH111" s="139"/>
      <c r="NHI111" s="139"/>
      <c r="NHJ111" s="139"/>
      <c r="NHK111" s="139"/>
      <c r="NHL111" s="139"/>
      <c r="NHM111" s="139"/>
      <c r="NHN111" s="139"/>
      <c r="NHO111" s="139"/>
      <c r="NHP111" s="139"/>
      <c r="NHQ111" s="139"/>
      <c r="NHR111" s="139"/>
      <c r="NHS111" s="139"/>
      <c r="NHT111" s="139"/>
      <c r="NHU111" s="139"/>
      <c r="NHV111" s="139"/>
      <c r="NHW111" s="139"/>
      <c r="NHX111" s="139"/>
      <c r="NHY111" s="139"/>
      <c r="NHZ111" s="139"/>
      <c r="NIA111" s="139"/>
      <c r="NIB111" s="139"/>
      <c r="NIC111" s="139"/>
      <c r="NID111" s="139"/>
      <c r="NIE111" s="139"/>
      <c r="NIF111" s="139"/>
      <c r="NIG111" s="139"/>
      <c r="NIH111" s="139"/>
      <c r="NII111" s="139"/>
      <c r="NIJ111" s="139"/>
      <c r="NIK111" s="139"/>
      <c r="NIL111" s="139"/>
      <c r="NIM111" s="139"/>
      <c r="NIN111" s="139"/>
      <c r="NIO111" s="139"/>
      <c r="NIP111" s="139"/>
      <c r="NIQ111" s="139"/>
      <c r="NIR111" s="139"/>
      <c r="NIS111" s="139"/>
      <c r="NIT111" s="139"/>
      <c r="NIU111" s="139"/>
      <c r="NIV111" s="139"/>
      <c r="NIW111" s="139"/>
      <c r="NIX111" s="139"/>
      <c r="NIY111" s="139"/>
      <c r="NIZ111" s="139"/>
      <c r="NJA111" s="139"/>
      <c r="NJB111" s="139"/>
      <c r="NJC111" s="139"/>
      <c r="NJD111" s="139"/>
      <c r="NJE111" s="139"/>
      <c r="NJF111" s="139"/>
      <c r="NJG111" s="139"/>
      <c r="NJH111" s="139"/>
      <c r="NJI111" s="139"/>
      <c r="NJJ111" s="139"/>
      <c r="NJK111" s="139"/>
      <c r="NJL111" s="139"/>
      <c r="NJM111" s="139"/>
      <c r="NJN111" s="139"/>
      <c r="NJO111" s="139"/>
      <c r="NJP111" s="139"/>
      <c r="NJQ111" s="139"/>
      <c r="NJR111" s="139"/>
      <c r="NJS111" s="139"/>
      <c r="NJT111" s="139"/>
      <c r="NJU111" s="139"/>
      <c r="NJV111" s="139"/>
      <c r="NJW111" s="139"/>
      <c r="NJX111" s="139"/>
      <c r="NJY111" s="139"/>
      <c r="NJZ111" s="139"/>
      <c r="NKA111" s="139"/>
      <c r="NKB111" s="139"/>
      <c r="NKC111" s="139"/>
      <c r="NKD111" s="139"/>
      <c r="NKE111" s="139"/>
      <c r="NKF111" s="139"/>
      <c r="NKG111" s="139"/>
      <c r="NKH111" s="139"/>
      <c r="NKI111" s="139"/>
      <c r="NKJ111" s="139"/>
      <c r="NKK111" s="139"/>
      <c r="NKL111" s="139"/>
      <c r="NKM111" s="139"/>
      <c r="NKN111" s="139"/>
      <c r="NKO111" s="139"/>
      <c r="NKP111" s="139"/>
      <c r="NKQ111" s="139"/>
      <c r="NKR111" s="139"/>
      <c r="NKS111" s="139"/>
      <c r="NKT111" s="139"/>
      <c r="NKU111" s="139"/>
      <c r="NKV111" s="139"/>
      <c r="NKW111" s="139"/>
      <c r="NKX111" s="139"/>
      <c r="NKY111" s="139"/>
      <c r="NKZ111" s="139"/>
      <c r="NLA111" s="139"/>
      <c r="NLB111" s="139"/>
      <c r="NLC111" s="139"/>
      <c r="NLD111" s="139"/>
      <c r="NLE111" s="139"/>
      <c r="NLF111" s="139"/>
      <c r="NLG111" s="139"/>
      <c r="NLH111" s="139"/>
      <c r="NLI111" s="139"/>
      <c r="NLJ111" s="139"/>
      <c r="NLK111" s="139"/>
      <c r="NLL111" s="139"/>
      <c r="NLM111" s="139"/>
      <c r="NLN111" s="139"/>
      <c r="NLO111" s="139"/>
      <c r="NLP111" s="139"/>
      <c r="NLQ111" s="139"/>
      <c r="NLR111" s="139"/>
      <c r="NLS111" s="139"/>
      <c r="NLT111" s="139"/>
      <c r="NLU111" s="139"/>
      <c r="NLV111" s="139"/>
      <c r="NLW111" s="139"/>
      <c r="NLX111" s="139"/>
      <c r="NLY111" s="139"/>
      <c r="NLZ111" s="139"/>
      <c r="NMA111" s="139"/>
      <c r="NMB111" s="139"/>
      <c r="NMC111" s="139"/>
      <c r="NMD111" s="139"/>
      <c r="NME111" s="139"/>
      <c r="NMF111" s="139"/>
      <c r="NMG111" s="139"/>
      <c r="NMH111" s="139"/>
      <c r="NMI111" s="139"/>
      <c r="NMJ111" s="139"/>
      <c r="NMK111" s="139"/>
      <c r="NML111" s="139"/>
      <c r="NMM111" s="139"/>
      <c r="NMN111" s="139"/>
      <c r="NMO111" s="139"/>
      <c r="NMP111" s="139"/>
      <c r="NMQ111" s="139"/>
      <c r="NMR111" s="139"/>
      <c r="NMS111" s="139"/>
      <c r="NMT111" s="139"/>
      <c r="NMU111" s="139"/>
      <c r="NMV111" s="139"/>
      <c r="NMW111" s="139"/>
      <c r="NMX111" s="139"/>
      <c r="NMY111" s="139"/>
      <c r="NMZ111" s="139"/>
      <c r="NNA111" s="139"/>
      <c r="NNB111" s="139"/>
      <c r="NNC111" s="139"/>
      <c r="NND111" s="139"/>
      <c r="NNE111" s="139"/>
      <c r="NNF111" s="139"/>
      <c r="NNG111" s="139"/>
      <c r="NNH111" s="139"/>
      <c r="NNI111" s="139"/>
      <c r="NNJ111" s="139"/>
      <c r="NNK111" s="139"/>
      <c r="NNL111" s="139"/>
      <c r="NNM111" s="139"/>
      <c r="NNN111" s="139"/>
      <c r="NNO111" s="139"/>
      <c r="NNP111" s="139"/>
      <c r="NNQ111" s="139"/>
      <c r="NNR111" s="139"/>
      <c r="NNS111" s="139"/>
      <c r="NNT111" s="139"/>
      <c r="NNU111" s="139"/>
      <c r="NNV111" s="139"/>
      <c r="NNW111" s="139"/>
      <c r="NNX111" s="139"/>
      <c r="NNY111" s="139"/>
      <c r="NNZ111" s="139"/>
      <c r="NOA111" s="139"/>
      <c r="NOB111" s="139"/>
      <c r="NOC111" s="139"/>
      <c r="NOD111" s="139"/>
      <c r="NOE111" s="139"/>
      <c r="NOF111" s="139"/>
      <c r="NOG111" s="139"/>
      <c r="NOH111" s="139"/>
      <c r="NOI111" s="139"/>
      <c r="NOJ111" s="139"/>
      <c r="NOK111" s="139"/>
      <c r="NOL111" s="139"/>
      <c r="NOM111" s="139"/>
      <c r="NON111" s="139"/>
      <c r="NOO111" s="139"/>
      <c r="NOP111" s="139"/>
      <c r="NOQ111" s="139"/>
      <c r="NOR111" s="139"/>
      <c r="NOS111" s="139"/>
      <c r="NOT111" s="139"/>
      <c r="NOU111" s="139"/>
      <c r="NOV111" s="139"/>
      <c r="NOW111" s="139"/>
      <c r="NOX111" s="139"/>
      <c r="NOY111" s="139"/>
      <c r="NOZ111" s="139"/>
      <c r="NPA111" s="139"/>
      <c r="NPB111" s="139"/>
      <c r="NPC111" s="139"/>
      <c r="NPD111" s="139"/>
      <c r="NPE111" s="139"/>
      <c r="NPF111" s="139"/>
      <c r="NPG111" s="139"/>
      <c r="NPH111" s="139"/>
      <c r="NPI111" s="139"/>
      <c r="NPJ111" s="139"/>
      <c r="NPK111" s="139"/>
      <c r="NPL111" s="139"/>
      <c r="NPM111" s="139"/>
      <c r="NPN111" s="139"/>
      <c r="NPO111" s="139"/>
      <c r="NPP111" s="139"/>
      <c r="NPQ111" s="139"/>
      <c r="NPR111" s="139"/>
      <c r="NPS111" s="139"/>
      <c r="NPT111" s="139"/>
      <c r="NPU111" s="139"/>
      <c r="NPV111" s="139"/>
      <c r="NPW111" s="139"/>
      <c r="NPX111" s="139"/>
      <c r="NPY111" s="139"/>
      <c r="NPZ111" s="139"/>
      <c r="NQA111" s="139"/>
      <c r="NQB111" s="139"/>
      <c r="NQC111" s="139"/>
      <c r="NQD111" s="139"/>
      <c r="NQE111" s="139"/>
      <c r="NQF111" s="139"/>
      <c r="NQG111" s="139"/>
      <c r="NQH111" s="139"/>
      <c r="NQI111" s="139"/>
      <c r="NQJ111" s="139"/>
      <c r="NQK111" s="139"/>
      <c r="NQL111" s="139"/>
      <c r="NQM111" s="139"/>
      <c r="NQN111" s="139"/>
      <c r="NQO111" s="139"/>
      <c r="NQP111" s="139"/>
      <c r="NQQ111" s="139"/>
      <c r="NQR111" s="139"/>
      <c r="NQS111" s="139"/>
      <c r="NQT111" s="139"/>
      <c r="NQU111" s="139"/>
      <c r="NQV111" s="139"/>
      <c r="NQW111" s="139"/>
      <c r="NQX111" s="139"/>
      <c r="NQY111" s="139"/>
      <c r="NQZ111" s="139"/>
      <c r="NRA111" s="139"/>
      <c r="NRB111" s="139"/>
      <c r="NRC111" s="139"/>
      <c r="NRD111" s="139"/>
      <c r="NRE111" s="139"/>
      <c r="NRF111" s="139"/>
      <c r="NRG111" s="139"/>
      <c r="NRH111" s="139"/>
      <c r="NRI111" s="139"/>
      <c r="NRJ111" s="139"/>
      <c r="NRK111" s="139"/>
      <c r="NRL111" s="139"/>
      <c r="NRM111" s="139"/>
      <c r="NRN111" s="139"/>
      <c r="NRO111" s="139"/>
      <c r="NRP111" s="139"/>
      <c r="NRQ111" s="139"/>
      <c r="NRR111" s="139"/>
      <c r="NRS111" s="139"/>
      <c r="NRT111" s="139"/>
      <c r="NRU111" s="139"/>
      <c r="NRV111" s="139"/>
      <c r="NRW111" s="139"/>
      <c r="NRX111" s="139"/>
      <c r="NRY111" s="139"/>
      <c r="NRZ111" s="139"/>
      <c r="NSA111" s="139"/>
      <c r="NSB111" s="139"/>
      <c r="NSC111" s="139"/>
      <c r="NSD111" s="139"/>
      <c r="NSE111" s="139"/>
      <c r="NSF111" s="139"/>
      <c r="NSG111" s="139"/>
      <c r="NSH111" s="139"/>
      <c r="NSI111" s="139"/>
      <c r="NSJ111" s="139"/>
      <c r="NSK111" s="139"/>
      <c r="NSL111" s="139"/>
      <c r="NSM111" s="139"/>
      <c r="NSN111" s="139"/>
      <c r="NSO111" s="139"/>
      <c r="NSP111" s="139"/>
      <c r="NSQ111" s="139"/>
      <c r="NSR111" s="139"/>
      <c r="NSS111" s="139"/>
      <c r="NST111" s="139"/>
      <c r="NSU111" s="139"/>
      <c r="NSV111" s="139"/>
      <c r="NSW111" s="139"/>
      <c r="NSX111" s="139"/>
      <c r="NSY111" s="139"/>
      <c r="NSZ111" s="139"/>
      <c r="NTA111" s="139"/>
      <c r="NTB111" s="139"/>
      <c r="NTC111" s="139"/>
      <c r="NTD111" s="139"/>
      <c r="NTE111" s="139"/>
      <c r="NTF111" s="139"/>
      <c r="NTG111" s="139"/>
      <c r="NTH111" s="139"/>
      <c r="NTI111" s="139"/>
      <c r="NTJ111" s="139"/>
      <c r="NTK111" s="139"/>
      <c r="NTL111" s="139"/>
      <c r="NTM111" s="139"/>
      <c r="NTN111" s="139"/>
      <c r="NTO111" s="139"/>
      <c r="NTP111" s="139"/>
      <c r="NTQ111" s="139"/>
      <c r="NTR111" s="139"/>
      <c r="NTS111" s="139"/>
      <c r="NTT111" s="139"/>
      <c r="NTU111" s="139"/>
      <c r="NTV111" s="139"/>
      <c r="NTW111" s="139"/>
      <c r="NTX111" s="139"/>
      <c r="NTY111" s="139"/>
      <c r="NTZ111" s="139"/>
      <c r="NUA111" s="139"/>
      <c r="NUB111" s="139"/>
      <c r="NUC111" s="139"/>
      <c r="NUD111" s="139"/>
      <c r="NUE111" s="139"/>
      <c r="NUF111" s="139"/>
      <c r="NUG111" s="139"/>
      <c r="NUH111" s="139"/>
      <c r="NUI111" s="139"/>
      <c r="NUJ111" s="139"/>
      <c r="NUK111" s="139"/>
      <c r="NUL111" s="139"/>
      <c r="NUM111" s="139"/>
      <c r="NUN111" s="139"/>
      <c r="NUO111" s="139"/>
      <c r="NUP111" s="139"/>
      <c r="NUQ111" s="139"/>
      <c r="NUR111" s="139"/>
      <c r="NUS111" s="139"/>
      <c r="NUT111" s="139"/>
      <c r="NUU111" s="139"/>
      <c r="NUV111" s="139"/>
      <c r="NUW111" s="139"/>
      <c r="NUX111" s="139"/>
      <c r="NUY111" s="139"/>
      <c r="NUZ111" s="139"/>
      <c r="NVA111" s="139"/>
      <c r="NVB111" s="139"/>
      <c r="NVC111" s="139"/>
      <c r="NVD111" s="139"/>
      <c r="NVE111" s="139"/>
      <c r="NVF111" s="139"/>
      <c r="NVG111" s="139"/>
      <c r="NVH111" s="139"/>
      <c r="NVI111" s="139"/>
      <c r="NVJ111" s="139"/>
      <c r="NVK111" s="139"/>
      <c r="NVL111" s="139"/>
      <c r="NVM111" s="139"/>
      <c r="NVN111" s="139"/>
      <c r="NVO111" s="139"/>
      <c r="NVP111" s="139"/>
      <c r="NVQ111" s="139"/>
      <c r="NVR111" s="139"/>
      <c r="NVS111" s="139"/>
      <c r="NVT111" s="139"/>
      <c r="NVU111" s="139"/>
      <c r="NVV111" s="139"/>
      <c r="NVW111" s="139"/>
      <c r="NVX111" s="139"/>
      <c r="NVY111" s="139"/>
      <c r="NVZ111" s="139"/>
      <c r="NWA111" s="139"/>
      <c r="NWB111" s="139"/>
      <c r="NWC111" s="139"/>
      <c r="NWD111" s="139"/>
      <c r="NWE111" s="139"/>
      <c r="NWF111" s="139"/>
      <c r="NWG111" s="139"/>
      <c r="NWH111" s="139"/>
      <c r="NWI111" s="139"/>
      <c r="NWJ111" s="139"/>
      <c r="NWK111" s="139"/>
      <c r="NWL111" s="139"/>
      <c r="NWM111" s="139"/>
      <c r="NWN111" s="139"/>
      <c r="NWO111" s="139"/>
      <c r="NWP111" s="139"/>
      <c r="NWQ111" s="139"/>
      <c r="NWR111" s="139"/>
      <c r="NWS111" s="139"/>
      <c r="NWT111" s="139"/>
      <c r="NWU111" s="139"/>
      <c r="NWV111" s="139"/>
      <c r="NWW111" s="139"/>
      <c r="NWX111" s="139"/>
      <c r="NWY111" s="139"/>
      <c r="NWZ111" s="139"/>
      <c r="NXA111" s="139"/>
      <c r="NXB111" s="139"/>
      <c r="NXC111" s="139"/>
      <c r="NXD111" s="139"/>
      <c r="NXE111" s="139"/>
      <c r="NXF111" s="139"/>
      <c r="NXG111" s="139"/>
      <c r="NXH111" s="139"/>
      <c r="NXI111" s="139"/>
      <c r="NXJ111" s="139"/>
      <c r="NXK111" s="139"/>
      <c r="NXL111" s="139"/>
      <c r="NXM111" s="139"/>
      <c r="NXN111" s="139"/>
      <c r="NXO111" s="139"/>
      <c r="NXP111" s="139"/>
      <c r="NXQ111" s="139"/>
      <c r="NXR111" s="139"/>
      <c r="NXS111" s="139"/>
      <c r="NXT111" s="139"/>
      <c r="NXU111" s="139"/>
      <c r="NXV111" s="139"/>
      <c r="NXW111" s="139"/>
      <c r="NXX111" s="139"/>
      <c r="NXY111" s="139"/>
      <c r="NXZ111" s="139"/>
      <c r="NYA111" s="139"/>
      <c r="NYB111" s="139"/>
      <c r="NYC111" s="139"/>
      <c r="NYD111" s="139"/>
      <c r="NYE111" s="139"/>
      <c r="NYF111" s="139"/>
      <c r="NYG111" s="139"/>
      <c r="NYH111" s="139"/>
      <c r="NYI111" s="139"/>
      <c r="NYJ111" s="139"/>
      <c r="NYK111" s="139"/>
      <c r="NYL111" s="139"/>
      <c r="NYM111" s="139"/>
      <c r="NYN111" s="139"/>
      <c r="NYO111" s="139"/>
      <c r="NYP111" s="139"/>
      <c r="NYQ111" s="139"/>
      <c r="NYR111" s="139"/>
      <c r="NYS111" s="139"/>
      <c r="NYT111" s="139"/>
      <c r="NYU111" s="139"/>
      <c r="NYV111" s="139"/>
      <c r="NYW111" s="139"/>
      <c r="NYX111" s="139"/>
      <c r="NYY111" s="139"/>
      <c r="NYZ111" s="139"/>
      <c r="NZA111" s="139"/>
      <c r="NZB111" s="139"/>
      <c r="NZC111" s="139"/>
      <c r="NZD111" s="139"/>
      <c r="NZE111" s="139"/>
      <c r="NZF111" s="139"/>
      <c r="NZG111" s="139"/>
      <c r="NZH111" s="139"/>
      <c r="NZI111" s="139"/>
      <c r="NZJ111" s="139"/>
      <c r="NZK111" s="139"/>
      <c r="NZL111" s="139"/>
      <c r="NZM111" s="139"/>
      <c r="NZN111" s="139"/>
      <c r="NZO111" s="139"/>
      <c r="NZP111" s="139"/>
      <c r="NZQ111" s="139"/>
      <c r="NZR111" s="139"/>
      <c r="NZS111" s="139"/>
      <c r="NZT111" s="139"/>
      <c r="NZU111" s="139"/>
      <c r="NZV111" s="139"/>
      <c r="NZW111" s="139"/>
      <c r="NZX111" s="139"/>
      <c r="NZY111" s="139"/>
      <c r="NZZ111" s="139"/>
      <c r="OAA111" s="139"/>
      <c r="OAB111" s="139"/>
      <c r="OAC111" s="139"/>
      <c r="OAD111" s="139"/>
      <c r="OAE111" s="139"/>
      <c r="OAF111" s="139"/>
      <c r="OAG111" s="139"/>
      <c r="OAH111" s="139"/>
      <c r="OAI111" s="139"/>
      <c r="OAJ111" s="139"/>
      <c r="OAK111" s="139"/>
      <c r="OAL111" s="139"/>
      <c r="OAM111" s="139"/>
      <c r="OAN111" s="139"/>
      <c r="OAO111" s="139"/>
      <c r="OAP111" s="139"/>
      <c r="OAQ111" s="139"/>
      <c r="OAR111" s="139"/>
      <c r="OAS111" s="139"/>
      <c r="OAT111" s="139"/>
      <c r="OAU111" s="139"/>
      <c r="OAV111" s="139"/>
      <c r="OAW111" s="139"/>
      <c r="OAX111" s="139"/>
      <c r="OAY111" s="139"/>
      <c r="OAZ111" s="139"/>
      <c r="OBA111" s="139"/>
      <c r="OBB111" s="139"/>
      <c r="OBC111" s="139"/>
      <c r="OBD111" s="139"/>
      <c r="OBE111" s="139"/>
      <c r="OBF111" s="139"/>
      <c r="OBG111" s="139"/>
      <c r="OBH111" s="139"/>
      <c r="OBI111" s="139"/>
      <c r="OBJ111" s="139"/>
      <c r="OBK111" s="139"/>
      <c r="OBL111" s="139"/>
      <c r="OBM111" s="139"/>
      <c r="OBN111" s="139"/>
      <c r="OBO111" s="139"/>
      <c r="OBP111" s="139"/>
      <c r="OBQ111" s="139"/>
      <c r="OBR111" s="139"/>
      <c r="OBS111" s="139"/>
      <c r="OBT111" s="139"/>
      <c r="OBU111" s="139"/>
      <c r="OBV111" s="139"/>
      <c r="OBW111" s="139"/>
      <c r="OBX111" s="139"/>
      <c r="OBY111" s="139"/>
      <c r="OBZ111" s="139"/>
      <c r="OCA111" s="139"/>
      <c r="OCB111" s="139"/>
      <c r="OCC111" s="139"/>
      <c r="OCD111" s="139"/>
      <c r="OCE111" s="139"/>
      <c r="OCF111" s="139"/>
      <c r="OCG111" s="139"/>
      <c r="OCH111" s="139"/>
      <c r="OCI111" s="139"/>
      <c r="OCJ111" s="139"/>
      <c r="OCK111" s="139"/>
      <c r="OCL111" s="139"/>
      <c r="OCM111" s="139"/>
      <c r="OCN111" s="139"/>
      <c r="OCO111" s="139"/>
      <c r="OCP111" s="139"/>
      <c r="OCQ111" s="139"/>
      <c r="OCR111" s="139"/>
      <c r="OCS111" s="139"/>
      <c r="OCT111" s="139"/>
      <c r="OCU111" s="139"/>
      <c r="OCV111" s="139"/>
      <c r="OCW111" s="139"/>
      <c r="OCX111" s="139"/>
      <c r="OCY111" s="139"/>
      <c r="OCZ111" s="139"/>
      <c r="ODA111" s="139"/>
      <c r="ODB111" s="139"/>
      <c r="ODC111" s="139"/>
      <c r="ODD111" s="139"/>
      <c r="ODE111" s="139"/>
      <c r="ODF111" s="139"/>
      <c r="ODG111" s="139"/>
      <c r="ODH111" s="139"/>
      <c r="ODI111" s="139"/>
      <c r="ODJ111" s="139"/>
      <c r="ODK111" s="139"/>
      <c r="ODL111" s="139"/>
      <c r="ODM111" s="139"/>
      <c r="ODN111" s="139"/>
      <c r="ODO111" s="139"/>
      <c r="ODP111" s="139"/>
      <c r="ODQ111" s="139"/>
      <c r="ODR111" s="139"/>
      <c r="ODS111" s="139"/>
      <c r="ODT111" s="139"/>
      <c r="ODU111" s="139"/>
      <c r="ODV111" s="139"/>
      <c r="ODW111" s="139"/>
      <c r="ODX111" s="139"/>
      <c r="ODY111" s="139"/>
      <c r="ODZ111" s="139"/>
      <c r="OEA111" s="139"/>
      <c r="OEB111" s="139"/>
      <c r="OEC111" s="139"/>
      <c r="OED111" s="139"/>
      <c r="OEE111" s="139"/>
      <c r="OEF111" s="139"/>
      <c r="OEG111" s="139"/>
      <c r="OEH111" s="139"/>
      <c r="OEI111" s="139"/>
      <c r="OEJ111" s="139"/>
      <c r="OEK111" s="139"/>
      <c r="OEL111" s="139"/>
      <c r="OEM111" s="139"/>
      <c r="OEN111" s="139"/>
      <c r="OEO111" s="139"/>
      <c r="OEP111" s="139"/>
      <c r="OEQ111" s="139"/>
      <c r="OER111" s="139"/>
      <c r="OES111" s="139"/>
      <c r="OET111" s="139"/>
      <c r="OEU111" s="139"/>
      <c r="OEV111" s="139"/>
      <c r="OEW111" s="139"/>
      <c r="OEX111" s="139"/>
      <c r="OEY111" s="139"/>
      <c r="OEZ111" s="139"/>
      <c r="OFA111" s="139"/>
      <c r="OFB111" s="139"/>
      <c r="OFC111" s="139"/>
      <c r="OFD111" s="139"/>
      <c r="OFE111" s="139"/>
      <c r="OFF111" s="139"/>
      <c r="OFG111" s="139"/>
      <c r="OFH111" s="139"/>
      <c r="OFI111" s="139"/>
      <c r="OFJ111" s="139"/>
      <c r="OFK111" s="139"/>
      <c r="OFL111" s="139"/>
      <c r="OFM111" s="139"/>
      <c r="OFN111" s="139"/>
      <c r="OFO111" s="139"/>
      <c r="OFP111" s="139"/>
      <c r="OFQ111" s="139"/>
      <c r="OFR111" s="139"/>
      <c r="OFS111" s="139"/>
      <c r="OFT111" s="139"/>
      <c r="OFU111" s="139"/>
      <c r="OFV111" s="139"/>
      <c r="OFW111" s="139"/>
      <c r="OFX111" s="139"/>
      <c r="OFY111" s="139"/>
      <c r="OFZ111" s="139"/>
      <c r="OGA111" s="139"/>
      <c r="OGB111" s="139"/>
      <c r="OGC111" s="139"/>
      <c r="OGD111" s="139"/>
      <c r="OGE111" s="139"/>
      <c r="OGF111" s="139"/>
      <c r="OGG111" s="139"/>
      <c r="OGH111" s="139"/>
      <c r="OGI111" s="139"/>
      <c r="OGJ111" s="139"/>
      <c r="OGK111" s="139"/>
      <c r="OGL111" s="139"/>
      <c r="OGM111" s="139"/>
      <c r="OGN111" s="139"/>
      <c r="OGO111" s="139"/>
      <c r="OGP111" s="139"/>
      <c r="OGQ111" s="139"/>
      <c r="OGR111" s="139"/>
      <c r="OGS111" s="139"/>
      <c r="OGT111" s="139"/>
      <c r="OGU111" s="139"/>
      <c r="OGV111" s="139"/>
      <c r="OGW111" s="139"/>
      <c r="OGX111" s="139"/>
      <c r="OGY111" s="139"/>
      <c r="OGZ111" s="139"/>
      <c r="OHA111" s="139"/>
      <c r="OHB111" s="139"/>
      <c r="OHC111" s="139"/>
      <c r="OHD111" s="139"/>
      <c r="OHE111" s="139"/>
      <c r="OHF111" s="139"/>
      <c r="OHG111" s="139"/>
      <c r="OHH111" s="139"/>
      <c r="OHI111" s="139"/>
      <c r="OHJ111" s="139"/>
      <c r="OHK111" s="139"/>
      <c r="OHL111" s="139"/>
      <c r="OHM111" s="139"/>
      <c r="OHN111" s="139"/>
      <c r="OHO111" s="139"/>
      <c r="OHP111" s="139"/>
      <c r="OHQ111" s="139"/>
      <c r="OHR111" s="139"/>
      <c r="OHS111" s="139"/>
      <c r="OHT111" s="139"/>
      <c r="OHU111" s="139"/>
      <c r="OHV111" s="139"/>
      <c r="OHW111" s="139"/>
      <c r="OHX111" s="139"/>
      <c r="OHY111" s="139"/>
      <c r="OHZ111" s="139"/>
      <c r="OIA111" s="139"/>
      <c r="OIB111" s="139"/>
      <c r="OIC111" s="139"/>
      <c r="OID111" s="139"/>
      <c r="OIE111" s="139"/>
      <c r="OIF111" s="139"/>
      <c r="OIG111" s="139"/>
      <c r="OIH111" s="139"/>
      <c r="OII111" s="139"/>
      <c r="OIJ111" s="139"/>
      <c r="OIK111" s="139"/>
      <c r="OIL111" s="139"/>
      <c r="OIM111" s="139"/>
      <c r="OIN111" s="139"/>
      <c r="OIO111" s="139"/>
      <c r="OIP111" s="139"/>
      <c r="OIQ111" s="139"/>
      <c r="OIR111" s="139"/>
      <c r="OIS111" s="139"/>
      <c r="OIT111" s="139"/>
      <c r="OIU111" s="139"/>
      <c r="OIV111" s="139"/>
      <c r="OIW111" s="139"/>
      <c r="OIX111" s="139"/>
      <c r="OIY111" s="139"/>
      <c r="OIZ111" s="139"/>
      <c r="OJA111" s="139"/>
      <c r="OJB111" s="139"/>
      <c r="OJC111" s="139"/>
      <c r="OJD111" s="139"/>
      <c r="OJE111" s="139"/>
      <c r="OJF111" s="139"/>
      <c r="OJG111" s="139"/>
      <c r="OJH111" s="139"/>
      <c r="OJI111" s="139"/>
      <c r="OJJ111" s="139"/>
      <c r="OJK111" s="139"/>
      <c r="OJL111" s="139"/>
      <c r="OJM111" s="139"/>
      <c r="OJN111" s="139"/>
      <c r="OJO111" s="139"/>
      <c r="OJP111" s="139"/>
      <c r="OJQ111" s="139"/>
      <c r="OJR111" s="139"/>
      <c r="OJS111" s="139"/>
      <c r="OJT111" s="139"/>
      <c r="OJU111" s="139"/>
      <c r="OJV111" s="139"/>
      <c r="OJW111" s="139"/>
      <c r="OJX111" s="139"/>
      <c r="OJY111" s="139"/>
      <c r="OJZ111" s="139"/>
      <c r="OKA111" s="139"/>
      <c r="OKB111" s="139"/>
      <c r="OKC111" s="139"/>
      <c r="OKD111" s="139"/>
      <c r="OKE111" s="139"/>
      <c r="OKF111" s="139"/>
      <c r="OKG111" s="139"/>
      <c r="OKH111" s="139"/>
      <c r="OKI111" s="139"/>
      <c r="OKJ111" s="139"/>
      <c r="OKK111" s="139"/>
      <c r="OKL111" s="139"/>
      <c r="OKM111" s="139"/>
      <c r="OKN111" s="139"/>
      <c r="OKO111" s="139"/>
      <c r="OKP111" s="139"/>
      <c r="OKQ111" s="139"/>
      <c r="OKR111" s="139"/>
      <c r="OKS111" s="139"/>
      <c r="OKT111" s="139"/>
      <c r="OKU111" s="139"/>
      <c r="OKV111" s="139"/>
      <c r="OKW111" s="139"/>
      <c r="OKX111" s="139"/>
      <c r="OKY111" s="139"/>
      <c r="OKZ111" s="139"/>
      <c r="OLA111" s="139"/>
      <c r="OLB111" s="139"/>
      <c r="OLC111" s="139"/>
      <c r="OLD111" s="139"/>
      <c r="OLE111" s="139"/>
      <c r="OLF111" s="139"/>
      <c r="OLG111" s="139"/>
      <c r="OLH111" s="139"/>
      <c r="OLI111" s="139"/>
      <c r="OLJ111" s="139"/>
      <c r="OLK111" s="139"/>
      <c r="OLL111" s="139"/>
      <c r="OLM111" s="139"/>
      <c r="OLN111" s="139"/>
      <c r="OLO111" s="139"/>
      <c r="OLP111" s="139"/>
      <c r="OLQ111" s="139"/>
      <c r="OLR111" s="139"/>
      <c r="OLS111" s="139"/>
      <c r="OLT111" s="139"/>
      <c r="OLU111" s="139"/>
      <c r="OLV111" s="139"/>
      <c r="OLW111" s="139"/>
      <c r="OLX111" s="139"/>
      <c r="OLY111" s="139"/>
      <c r="OLZ111" s="139"/>
      <c r="OMA111" s="139"/>
      <c r="OMB111" s="139"/>
      <c r="OMC111" s="139"/>
      <c r="OMD111" s="139"/>
      <c r="OME111" s="139"/>
      <c r="OMF111" s="139"/>
      <c r="OMG111" s="139"/>
      <c r="OMH111" s="139"/>
      <c r="OMI111" s="139"/>
      <c r="OMJ111" s="139"/>
      <c r="OMK111" s="139"/>
      <c r="OML111" s="139"/>
      <c r="OMM111" s="139"/>
      <c r="OMN111" s="139"/>
      <c r="OMO111" s="139"/>
      <c r="OMP111" s="139"/>
      <c r="OMQ111" s="139"/>
      <c r="OMR111" s="139"/>
      <c r="OMS111" s="139"/>
      <c r="OMT111" s="139"/>
      <c r="OMU111" s="139"/>
      <c r="OMV111" s="139"/>
      <c r="OMW111" s="139"/>
      <c r="OMX111" s="139"/>
      <c r="OMY111" s="139"/>
      <c r="OMZ111" s="139"/>
      <c r="ONA111" s="139"/>
      <c r="ONB111" s="139"/>
      <c r="ONC111" s="139"/>
      <c r="OND111" s="139"/>
      <c r="ONE111" s="139"/>
      <c r="ONF111" s="139"/>
      <c r="ONG111" s="139"/>
      <c r="ONH111" s="139"/>
      <c r="ONI111" s="139"/>
      <c r="ONJ111" s="139"/>
      <c r="ONK111" s="139"/>
      <c r="ONL111" s="139"/>
      <c r="ONM111" s="139"/>
      <c r="ONN111" s="139"/>
      <c r="ONO111" s="139"/>
      <c r="ONP111" s="139"/>
      <c r="ONQ111" s="139"/>
      <c r="ONR111" s="139"/>
      <c r="ONS111" s="139"/>
      <c r="ONT111" s="139"/>
      <c r="ONU111" s="139"/>
      <c r="ONV111" s="139"/>
      <c r="ONW111" s="139"/>
      <c r="ONX111" s="139"/>
      <c r="ONY111" s="139"/>
      <c r="ONZ111" s="139"/>
      <c r="OOA111" s="139"/>
      <c r="OOB111" s="139"/>
      <c r="OOC111" s="139"/>
      <c r="OOD111" s="139"/>
      <c r="OOE111" s="139"/>
      <c r="OOF111" s="139"/>
      <c r="OOG111" s="139"/>
      <c r="OOH111" s="139"/>
      <c r="OOI111" s="139"/>
      <c r="OOJ111" s="139"/>
      <c r="OOK111" s="139"/>
      <c r="OOL111" s="139"/>
      <c r="OOM111" s="139"/>
      <c r="OON111" s="139"/>
      <c r="OOO111" s="139"/>
      <c r="OOP111" s="139"/>
      <c r="OOQ111" s="139"/>
      <c r="OOR111" s="139"/>
      <c r="OOS111" s="139"/>
      <c r="OOT111" s="139"/>
      <c r="OOU111" s="139"/>
      <c r="OOV111" s="139"/>
      <c r="OOW111" s="139"/>
      <c r="OOX111" s="139"/>
      <c r="OOY111" s="139"/>
      <c r="OOZ111" s="139"/>
      <c r="OPA111" s="139"/>
      <c r="OPB111" s="139"/>
      <c r="OPC111" s="139"/>
      <c r="OPD111" s="139"/>
      <c r="OPE111" s="139"/>
      <c r="OPF111" s="139"/>
      <c r="OPG111" s="139"/>
      <c r="OPH111" s="139"/>
      <c r="OPI111" s="139"/>
      <c r="OPJ111" s="139"/>
      <c r="OPK111" s="139"/>
      <c r="OPL111" s="139"/>
      <c r="OPM111" s="139"/>
      <c r="OPN111" s="139"/>
      <c r="OPO111" s="139"/>
      <c r="OPP111" s="139"/>
      <c r="OPQ111" s="139"/>
      <c r="OPR111" s="139"/>
      <c r="OPS111" s="139"/>
      <c r="OPT111" s="139"/>
      <c r="OPU111" s="139"/>
      <c r="OPV111" s="139"/>
      <c r="OPW111" s="139"/>
      <c r="OPX111" s="139"/>
      <c r="OPY111" s="139"/>
      <c r="OPZ111" s="139"/>
      <c r="OQA111" s="139"/>
      <c r="OQB111" s="139"/>
      <c r="OQC111" s="139"/>
      <c r="OQD111" s="139"/>
      <c r="OQE111" s="139"/>
      <c r="OQF111" s="139"/>
      <c r="OQG111" s="139"/>
      <c r="OQH111" s="139"/>
      <c r="OQI111" s="139"/>
      <c r="OQJ111" s="139"/>
      <c r="OQK111" s="139"/>
      <c r="OQL111" s="139"/>
      <c r="OQM111" s="139"/>
      <c r="OQN111" s="139"/>
      <c r="OQO111" s="139"/>
      <c r="OQP111" s="139"/>
      <c r="OQQ111" s="139"/>
      <c r="OQR111" s="139"/>
      <c r="OQS111" s="139"/>
      <c r="OQT111" s="139"/>
      <c r="OQU111" s="139"/>
      <c r="OQV111" s="139"/>
      <c r="OQW111" s="139"/>
      <c r="OQX111" s="139"/>
      <c r="OQY111" s="139"/>
      <c r="OQZ111" s="139"/>
      <c r="ORA111" s="139"/>
      <c r="ORB111" s="139"/>
      <c r="ORC111" s="139"/>
      <c r="ORD111" s="139"/>
      <c r="ORE111" s="139"/>
      <c r="ORF111" s="139"/>
      <c r="ORG111" s="139"/>
      <c r="ORH111" s="139"/>
      <c r="ORI111" s="139"/>
      <c r="ORJ111" s="139"/>
      <c r="ORK111" s="139"/>
      <c r="ORL111" s="139"/>
      <c r="ORM111" s="139"/>
      <c r="ORN111" s="139"/>
      <c r="ORO111" s="139"/>
      <c r="ORP111" s="139"/>
      <c r="ORQ111" s="139"/>
      <c r="ORR111" s="139"/>
      <c r="ORS111" s="139"/>
      <c r="ORT111" s="139"/>
      <c r="ORU111" s="139"/>
      <c r="ORV111" s="139"/>
      <c r="ORW111" s="139"/>
      <c r="ORX111" s="139"/>
      <c r="ORY111" s="139"/>
      <c r="ORZ111" s="139"/>
      <c r="OSA111" s="139"/>
      <c r="OSB111" s="139"/>
      <c r="OSC111" s="139"/>
      <c r="OSD111" s="139"/>
      <c r="OSE111" s="139"/>
      <c r="OSF111" s="139"/>
      <c r="OSG111" s="139"/>
      <c r="OSH111" s="139"/>
      <c r="OSI111" s="139"/>
      <c r="OSJ111" s="139"/>
      <c r="OSK111" s="139"/>
      <c r="OSL111" s="139"/>
      <c r="OSM111" s="139"/>
      <c r="OSN111" s="139"/>
      <c r="OSO111" s="139"/>
      <c r="OSP111" s="139"/>
      <c r="OSQ111" s="139"/>
      <c r="OSR111" s="139"/>
      <c r="OSS111" s="139"/>
      <c r="OST111" s="139"/>
      <c r="OSU111" s="139"/>
      <c r="OSV111" s="139"/>
      <c r="OSW111" s="139"/>
      <c r="OSX111" s="139"/>
      <c r="OSY111" s="139"/>
      <c r="OSZ111" s="139"/>
      <c r="OTA111" s="139"/>
      <c r="OTB111" s="139"/>
      <c r="OTC111" s="139"/>
      <c r="OTD111" s="139"/>
      <c r="OTE111" s="139"/>
      <c r="OTF111" s="139"/>
      <c r="OTG111" s="139"/>
      <c r="OTH111" s="139"/>
      <c r="OTI111" s="139"/>
      <c r="OTJ111" s="139"/>
      <c r="OTK111" s="139"/>
      <c r="OTL111" s="139"/>
      <c r="OTM111" s="139"/>
      <c r="OTN111" s="139"/>
      <c r="OTO111" s="139"/>
      <c r="OTP111" s="139"/>
      <c r="OTQ111" s="139"/>
      <c r="OTR111" s="139"/>
      <c r="OTS111" s="139"/>
      <c r="OTT111" s="139"/>
      <c r="OTU111" s="139"/>
      <c r="OTV111" s="139"/>
      <c r="OTW111" s="139"/>
      <c r="OTX111" s="139"/>
      <c r="OTY111" s="139"/>
      <c r="OTZ111" s="139"/>
      <c r="OUA111" s="139"/>
      <c r="OUB111" s="139"/>
      <c r="OUC111" s="139"/>
      <c r="OUD111" s="139"/>
      <c r="OUE111" s="139"/>
      <c r="OUF111" s="139"/>
      <c r="OUG111" s="139"/>
      <c r="OUH111" s="139"/>
      <c r="OUI111" s="139"/>
      <c r="OUJ111" s="139"/>
      <c r="OUK111" s="139"/>
      <c r="OUL111" s="139"/>
      <c r="OUM111" s="139"/>
      <c r="OUN111" s="139"/>
      <c r="OUO111" s="139"/>
      <c r="OUP111" s="139"/>
      <c r="OUQ111" s="139"/>
      <c r="OUR111" s="139"/>
      <c r="OUS111" s="139"/>
      <c r="OUT111" s="139"/>
      <c r="OUU111" s="139"/>
      <c r="OUV111" s="139"/>
      <c r="OUW111" s="139"/>
      <c r="OUX111" s="139"/>
      <c r="OUY111" s="139"/>
      <c r="OUZ111" s="139"/>
      <c r="OVA111" s="139"/>
      <c r="OVB111" s="139"/>
      <c r="OVC111" s="139"/>
      <c r="OVD111" s="139"/>
      <c r="OVE111" s="139"/>
      <c r="OVF111" s="139"/>
      <c r="OVG111" s="139"/>
      <c r="OVH111" s="139"/>
      <c r="OVI111" s="139"/>
      <c r="OVJ111" s="139"/>
      <c r="OVK111" s="139"/>
      <c r="OVL111" s="139"/>
      <c r="OVM111" s="139"/>
      <c r="OVN111" s="139"/>
      <c r="OVO111" s="139"/>
      <c r="OVP111" s="139"/>
      <c r="OVQ111" s="139"/>
      <c r="OVR111" s="139"/>
      <c r="OVS111" s="139"/>
      <c r="OVT111" s="139"/>
      <c r="OVU111" s="139"/>
      <c r="OVV111" s="139"/>
      <c r="OVW111" s="139"/>
      <c r="OVX111" s="139"/>
      <c r="OVY111" s="139"/>
      <c r="OVZ111" s="139"/>
      <c r="OWA111" s="139"/>
      <c r="OWB111" s="139"/>
      <c r="OWC111" s="139"/>
      <c r="OWD111" s="139"/>
      <c r="OWE111" s="139"/>
      <c r="OWF111" s="139"/>
      <c r="OWG111" s="139"/>
      <c r="OWH111" s="139"/>
      <c r="OWI111" s="139"/>
      <c r="OWJ111" s="139"/>
      <c r="OWK111" s="139"/>
      <c r="OWL111" s="139"/>
      <c r="OWM111" s="139"/>
      <c r="OWN111" s="139"/>
      <c r="OWO111" s="139"/>
      <c r="OWP111" s="139"/>
      <c r="OWQ111" s="139"/>
      <c r="OWR111" s="139"/>
      <c r="OWS111" s="139"/>
      <c r="OWT111" s="139"/>
      <c r="OWU111" s="139"/>
      <c r="OWV111" s="139"/>
      <c r="OWW111" s="139"/>
      <c r="OWX111" s="139"/>
      <c r="OWY111" s="139"/>
      <c r="OWZ111" s="139"/>
      <c r="OXA111" s="139"/>
      <c r="OXB111" s="139"/>
      <c r="OXC111" s="139"/>
      <c r="OXD111" s="139"/>
      <c r="OXE111" s="139"/>
      <c r="OXF111" s="139"/>
      <c r="OXG111" s="139"/>
      <c r="OXH111" s="139"/>
      <c r="OXI111" s="139"/>
      <c r="OXJ111" s="139"/>
      <c r="OXK111" s="139"/>
      <c r="OXL111" s="139"/>
      <c r="OXM111" s="139"/>
      <c r="OXN111" s="139"/>
      <c r="OXO111" s="139"/>
      <c r="OXP111" s="139"/>
      <c r="OXQ111" s="139"/>
      <c r="OXR111" s="139"/>
      <c r="OXS111" s="139"/>
      <c r="OXT111" s="139"/>
      <c r="OXU111" s="139"/>
      <c r="OXV111" s="139"/>
      <c r="OXW111" s="139"/>
      <c r="OXX111" s="139"/>
      <c r="OXY111" s="139"/>
      <c r="OXZ111" s="139"/>
      <c r="OYA111" s="139"/>
      <c r="OYB111" s="139"/>
      <c r="OYC111" s="139"/>
      <c r="OYD111" s="139"/>
      <c r="OYE111" s="139"/>
      <c r="OYF111" s="139"/>
      <c r="OYG111" s="139"/>
      <c r="OYH111" s="139"/>
      <c r="OYI111" s="139"/>
      <c r="OYJ111" s="139"/>
      <c r="OYK111" s="139"/>
      <c r="OYL111" s="139"/>
      <c r="OYM111" s="139"/>
      <c r="OYN111" s="139"/>
      <c r="OYO111" s="139"/>
      <c r="OYP111" s="139"/>
      <c r="OYQ111" s="139"/>
      <c r="OYR111" s="139"/>
      <c r="OYS111" s="139"/>
      <c r="OYT111" s="139"/>
      <c r="OYU111" s="139"/>
      <c r="OYV111" s="139"/>
      <c r="OYW111" s="139"/>
      <c r="OYX111" s="139"/>
      <c r="OYY111" s="139"/>
      <c r="OYZ111" s="139"/>
      <c r="OZA111" s="139"/>
      <c r="OZB111" s="139"/>
      <c r="OZC111" s="139"/>
      <c r="OZD111" s="139"/>
      <c r="OZE111" s="139"/>
      <c r="OZF111" s="139"/>
      <c r="OZG111" s="139"/>
      <c r="OZH111" s="139"/>
      <c r="OZI111" s="139"/>
      <c r="OZJ111" s="139"/>
      <c r="OZK111" s="139"/>
      <c r="OZL111" s="139"/>
      <c r="OZM111" s="139"/>
      <c r="OZN111" s="139"/>
      <c r="OZO111" s="139"/>
      <c r="OZP111" s="139"/>
      <c r="OZQ111" s="139"/>
      <c r="OZR111" s="139"/>
      <c r="OZS111" s="139"/>
      <c r="OZT111" s="139"/>
      <c r="OZU111" s="139"/>
      <c r="OZV111" s="139"/>
      <c r="OZW111" s="139"/>
      <c r="OZX111" s="139"/>
      <c r="OZY111" s="139"/>
      <c r="OZZ111" s="139"/>
      <c r="PAA111" s="139"/>
      <c r="PAB111" s="139"/>
      <c r="PAC111" s="139"/>
      <c r="PAD111" s="139"/>
      <c r="PAE111" s="139"/>
      <c r="PAF111" s="139"/>
      <c r="PAG111" s="139"/>
      <c r="PAH111" s="139"/>
      <c r="PAI111" s="139"/>
      <c r="PAJ111" s="139"/>
      <c r="PAK111" s="139"/>
      <c r="PAL111" s="139"/>
      <c r="PAM111" s="139"/>
      <c r="PAN111" s="139"/>
      <c r="PAO111" s="139"/>
      <c r="PAP111" s="139"/>
      <c r="PAQ111" s="139"/>
      <c r="PAR111" s="139"/>
      <c r="PAS111" s="139"/>
      <c r="PAT111" s="139"/>
      <c r="PAU111" s="139"/>
      <c r="PAV111" s="139"/>
      <c r="PAW111" s="139"/>
      <c r="PAX111" s="139"/>
      <c r="PAY111" s="139"/>
      <c r="PAZ111" s="139"/>
      <c r="PBA111" s="139"/>
      <c r="PBB111" s="139"/>
      <c r="PBC111" s="139"/>
      <c r="PBD111" s="139"/>
      <c r="PBE111" s="139"/>
      <c r="PBF111" s="139"/>
      <c r="PBG111" s="139"/>
      <c r="PBH111" s="139"/>
      <c r="PBI111" s="139"/>
      <c r="PBJ111" s="139"/>
      <c r="PBK111" s="139"/>
      <c r="PBL111" s="139"/>
      <c r="PBM111" s="139"/>
      <c r="PBN111" s="139"/>
      <c r="PBO111" s="139"/>
      <c r="PBP111" s="139"/>
      <c r="PBQ111" s="139"/>
      <c r="PBR111" s="139"/>
      <c r="PBS111" s="139"/>
      <c r="PBT111" s="139"/>
      <c r="PBU111" s="139"/>
      <c r="PBV111" s="139"/>
      <c r="PBW111" s="139"/>
      <c r="PBX111" s="139"/>
      <c r="PBY111" s="139"/>
      <c r="PBZ111" s="139"/>
      <c r="PCA111" s="139"/>
      <c r="PCB111" s="139"/>
      <c r="PCC111" s="139"/>
      <c r="PCD111" s="139"/>
      <c r="PCE111" s="139"/>
      <c r="PCF111" s="139"/>
      <c r="PCG111" s="139"/>
      <c r="PCH111" s="139"/>
      <c r="PCI111" s="139"/>
      <c r="PCJ111" s="139"/>
      <c r="PCK111" s="139"/>
      <c r="PCL111" s="139"/>
      <c r="PCM111" s="139"/>
      <c r="PCN111" s="139"/>
      <c r="PCO111" s="139"/>
      <c r="PCP111" s="139"/>
      <c r="PCQ111" s="139"/>
      <c r="PCR111" s="139"/>
      <c r="PCS111" s="139"/>
      <c r="PCT111" s="139"/>
      <c r="PCU111" s="139"/>
      <c r="PCV111" s="139"/>
      <c r="PCW111" s="139"/>
      <c r="PCX111" s="139"/>
      <c r="PCY111" s="139"/>
      <c r="PCZ111" s="139"/>
      <c r="PDA111" s="139"/>
      <c r="PDB111" s="139"/>
      <c r="PDC111" s="139"/>
      <c r="PDD111" s="139"/>
      <c r="PDE111" s="139"/>
      <c r="PDF111" s="139"/>
      <c r="PDG111" s="139"/>
      <c r="PDH111" s="139"/>
      <c r="PDI111" s="139"/>
      <c r="PDJ111" s="139"/>
      <c r="PDK111" s="139"/>
      <c r="PDL111" s="139"/>
      <c r="PDM111" s="139"/>
      <c r="PDN111" s="139"/>
      <c r="PDO111" s="139"/>
      <c r="PDP111" s="139"/>
      <c r="PDQ111" s="139"/>
      <c r="PDR111" s="139"/>
      <c r="PDS111" s="139"/>
      <c r="PDT111" s="139"/>
      <c r="PDU111" s="139"/>
      <c r="PDV111" s="139"/>
      <c r="PDW111" s="139"/>
      <c r="PDX111" s="139"/>
      <c r="PDY111" s="139"/>
      <c r="PDZ111" s="139"/>
      <c r="PEA111" s="139"/>
      <c r="PEB111" s="139"/>
      <c r="PEC111" s="139"/>
      <c r="PED111" s="139"/>
      <c r="PEE111" s="139"/>
      <c r="PEF111" s="139"/>
      <c r="PEG111" s="139"/>
      <c r="PEH111" s="139"/>
      <c r="PEI111" s="139"/>
      <c r="PEJ111" s="139"/>
      <c r="PEK111" s="139"/>
      <c r="PEL111" s="139"/>
      <c r="PEM111" s="139"/>
      <c r="PEN111" s="139"/>
      <c r="PEO111" s="139"/>
      <c r="PEP111" s="139"/>
      <c r="PEQ111" s="139"/>
      <c r="PER111" s="139"/>
      <c r="PES111" s="139"/>
      <c r="PET111" s="139"/>
      <c r="PEU111" s="139"/>
      <c r="PEV111" s="139"/>
      <c r="PEW111" s="139"/>
      <c r="PEX111" s="139"/>
      <c r="PEY111" s="139"/>
      <c r="PEZ111" s="139"/>
      <c r="PFA111" s="139"/>
      <c r="PFB111" s="139"/>
      <c r="PFC111" s="139"/>
      <c r="PFD111" s="139"/>
      <c r="PFE111" s="139"/>
      <c r="PFF111" s="139"/>
      <c r="PFG111" s="139"/>
      <c r="PFH111" s="139"/>
      <c r="PFI111" s="139"/>
      <c r="PFJ111" s="139"/>
      <c r="PFK111" s="139"/>
      <c r="PFL111" s="139"/>
      <c r="PFM111" s="139"/>
      <c r="PFN111" s="139"/>
      <c r="PFO111" s="139"/>
      <c r="PFP111" s="139"/>
      <c r="PFQ111" s="139"/>
      <c r="PFR111" s="139"/>
      <c r="PFS111" s="139"/>
      <c r="PFT111" s="139"/>
      <c r="PFU111" s="139"/>
      <c r="PFV111" s="139"/>
      <c r="PFW111" s="139"/>
      <c r="PFX111" s="139"/>
      <c r="PFY111" s="139"/>
      <c r="PFZ111" s="139"/>
      <c r="PGA111" s="139"/>
      <c r="PGB111" s="139"/>
      <c r="PGC111" s="139"/>
      <c r="PGD111" s="139"/>
      <c r="PGE111" s="139"/>
      <c r="PGF111" s="139"/>
      <c r="PGG111" s="139"/>
      <c r="PGH111" s="139"/>
      <c r="PGI111" s="139"/>
      <c r="PGJ111" s="139"/>
      <c r="PGK111" s="139"/>
      <c r="PGL111" s="139"/>
      <c r="PGM111" s="139"/>
      <c r="PGN111" s="139"/>
      <c r="PGO111" s="139"/>
      <c r="PGP111" s="139"/>
      <c r="PGQ111" s="139"/>
      <c r="PGR111" s="139"/>
      <c r="PGS111" s="139"/>
      <c r="PGT111" s="139"/>
      <c r="PGU111" s="139"/>
      <c r="PGV111" s="139"/>
      <c r="PGW111" s="139"/>
      <c r="PGX111" s="139"/>
      <c r="PGY111" s="139"/>
      <c r="PGZ111" s="139"/>
      <c r="PHA111" s="139"/>
      <c r="PHB111" s="139"/>
      <c r="PHC111" s="139"/>
      <c r="PHD111" s="139"/>
      <c r="PHE111" s="139"/>
      <c r="PHF111" s="139"/>
      <c r="PHG111" s="139"/>
      <c r="PHH111" s="139"/>
      <c r="PHI111" s="139"/>
      <c r="PHJ111" s="139"/>
      <c r="PHK111" s="139"/>
      <c r="PHL111" s="139"/>
      <c r="PHM111" s="139"/>
      <c r="PHN111" s="139"/>
      <c r="PHO111" s="139"/>
      <c r="PHP111" s="139"/>
      <c r="PHQ111" s="139"/>
      <c r="PHR111" s="139"/>
      <c r="PHS111" s="139"/>
      <c r="PHT111" s="139"/>
      <c r="PHU111" s="139"/>
      <c r="PHV111" s="139"/>
      <c r="PHW111" s="139"/>
      <c r="PHX111" s="139"/>
      <c r="PHY111" s="139"/>
      <c r="PHZ111" s="139"/>
      <c r="PIA111" s="139"/>
      <c r="PIB111" s="139"/>
      <c r="PIC111" s="139"/>
      <c r="PID111" s="139"/>
      <c r="PIE111" s="139"/>
      <c r="PIF111" s="139"/>
      <c r="PIG111" s="139"/>
      <c r="PIH111" s="139"/>
      <c r="PII111" s="139"/>
      <c r="PIJ111" s="139"/>
      <c r="PIK111" s="139"/>
      <c r="PIL111" s="139"/>
      <c r="PIM111" s="139"/>
      <c r="PIN111" s="139"/>
      <c r="PIO111" s="139"/>
      <c r="PIP111" s="139"/>
      <c r="PIQ111" s="139"/>
      <c r="PIR111" s="139"/>
      <c r="PIS111" s="139"/>
      <c r="PIT111" s="139"/>
      <c r="PIU111" s="139"/>
      <c r="PIV111" s="139"/>
      <c r="PIW111" s="139"/>
      <c r="PIX111" s="139"/>
      <c r="PIY111" s="139"/>
      <c r="PIZ111" s="139"/>
      <c r="PJA111" s="139"/>
      <c r="PJB111" s="139"/>
      <c r="PJC111" s="139"/>
      <c r="PJD111" s="139"/>
      <c r="PJE111" s="139"/>
      <c r="PJF111" s="139"/>
      <c r="PJG111" s="139"/>
      <c r="PJH111" s="139"/>
      <c r="PJI111" s="139"/>
      <c r="PJJ111" s="139"/>
      <c r="PJK111" s="139"/>
      <c r="PJL111" s="139"/>
      <c r="PJM111" s="139"/>
      <c r="PJN111" s="139"/>
      <c r="PJO111" s="139"/>
      <c r="PJP111" s="139"/>
      <c r="PJQ111" s="139"/>
      <c r="PJR111" s="139"/>
      <c r="PJS111" s="139"/>
      <c r="PJT111" s="139"/>
      <c r="PJU111" s="139"/>
      <c r="PJV111" s="139"/>
      <c r="PJW111" s="139"/>
      <c r="PJX111" s="139"/>
      <c r="PJY111" s="139"/>
      <c r="PJZ111" s="139"/>
      <c r="PKA111" s="139"/>
      <c r="PKB111" s="139"/>
      <c r="PKC111" s="139"/>
      <c r="PKD111" s="139"/>
      <c r="PKE111" s="139"/>
      <c r="PKF111" s="139"/>
      <c r="PKG111" s="139"/>
      <c r="PKH111" s="139"/>
      <c r="PKI111" s="139"/>
      <c r="PKJ111" s="139"/>
      <c r="PKK111" s="139"/>
      <c r="PKL111" s="139"/>
      <c r="PKM111" s="139"/>
      <c r="PKN111" s="139"/>
      <c r="PKO111" s="139"/>
      <c r="PKP111" s="139"/>
      <c r="PKQ111" s="139"/>
      <c r="PKR111" s="139"/>
      <c r="PKS111" s="139"/>
      <c r="PKT111" s="139"/>
      <c r="PKU111" s="139"/>
      <c r="PKV111" s="139"/>
      <c r="PKW111" s="139"/>
      <c r="PKX111" s="139"/>
      <c r="PKY111" s="139"/>
      <c r="PKZ111" s="139"/>
      <c r="PLA111" s="139"/>
      <c r="PLB111" s="139"/>
      <c r="PLC111" s="139"/>
      <c r="PLD111" s="139"/>
      <c r="PLE111" s="139"/>
      <c r="PLF111" s="139"/>
      <c r="PLG111" s="139"/>
      <c r="PLH111" s="139"/>
      <c r="PLI111" s="139"/>
      <c r="PLJ111" s="139"/>
      <c r="PLK111" s="139"/>
      <c r="PLL111" s="139"/>
      <c r="PLM111" s="139"/>
      <c r="PLN111" s="139"/>
      <c r="PLO111" s="139"/>
      <c r="PLP111" s="139"/>
      <c r="PLQ111" s="139"/>
      <c r="PLR111" s="139"/>
      <c r="PLS111" s="139"/>
      <c r="PLT111" s="139"/>
      <c r="PLU111" s="139"/>
      <c r="PLV111" s="139"/>
      <c r="PLW111" s="139"/>
      <c r="PLX111" s="139"/>
      <c r="PLY111" s="139"/>
      <c r="PLZ111" s="139"/>
      <c r="PMA111" s="139"/>
      <c r="PMB111" s="139"/>
      <c r="PMC111" s="139"/>
      <c r="PMD111" s="139"/>
      <c r="PME111" s="139"/>
      <c r="PMF111" s="139"/>
      <c r="PMG111" s="139"/>
      <c r="PMH111" s="139"/>
      <c r="PMI111" s="139"/>
      <c r="PMJ111" s="139"/>
      <c r="PMK111" s="139"/>
      <c r="PML111" s="139"/>
      <c r="PMM111" s="139"/>
      <c r="PMN111" s="139"/>
      <c r="PMO111" s="139"/>
      <c r="PMP111" s="139"/>
      <c r="PMQ111" s="139"/>
      <c r="PMR111" s="139"/>
      <c r="PMS111" s="139"/>
      <c r="PMT111" s="139"/>
      <c r="PMU111" s="139"/>
      <c r="PMV111" s="139"/>
      <c r="PMW111" s="139"/>
      <c r="PMX111" s="139"/>
      <c r="PMY111" s="139"/>
      <c r="PMZ111" s="139"/>
      <c r="PNA111" s="139"/>
      <c r="PNB111" s="139"/>
      <c r="PNC111" s="139"/>
      <c r="PND111" s="139"/>
      <c r="PNE111" s="139"/>
      <c r="PNF111" s="139"/>
      <c r="PNG111" s="139"/>
      <c r="PNH111" s="139"/>
      <c r="PNI111" s="139"/>
      <c r="PNJ111" s="139"/>
      <c r="PNK111" s="139"/>
      <c r="PNL111" s="139"/>
      <c r="PNM111" s="139"/>
      <c r="PNN111" s="139"/>
      <c r="PNO111" s="139"/>
      <c r="PNP111" s="139"/>
      <c r="PNQ111" s="139"/>
      <c r="PNR111" s="139"/>
      <c r="PNS111" s="139"/>
      <c r="PNT111" s="139"/>
      <c r="PNU111" s="139"/>
      <c r="PNV111" s="139"/>
      <c r="PNW111" s="139"/>
      <c r="PNX111" s="139"/>
      <c r="PNY111" s="139"/>
      <c r="PNZ111" s="139"/>
      <c r="POA111" s="139"/>
      <c r="POB111" s="139"/>
      <c r="POC111" s="139"/>
      <c r="POD111" s="139"/>
      <c r="POE111" s="139"/>
      <c r="POF111" s="139"/>
      <c r="POG111" s="139"/>
      <c r="POH111" s="139"/>
      <c r="POI111" s="139"/>
      <c r="POJ111" s="139"/>
      <c r="POK111" s="139"/>
      <c r="POL111" s="139"/>
      <c r="POM111" s="139"/>
      <c r="PON111" s="139"/>
      <c r="POO111" s="139"/>
      <c r="POP111" s="139"/>
      <c r="POQ111" s="139"/>
      <c r="POR111" s="139"/>
      <c r="POS111" s="139"/>
      <c r="POT111" s="139"/>
      <c r="POU111" s="139"/>
      <c r="POV111" s="139"/>
      <c r="POW111" s="139"/>
      <c r="POX111" s="139"/>
      <c r="POY111" s="139"/>
      <c r="POZ111" s="139"/>
      <c r="PPA111" s="139"/>
      <c r="PPB111" s="139"/>
      <c r="PPC111" s="139"/>
      <c r="PPD111" s="139"/>
      <c r="PPE111" s="139"/>
      <c r="PPF111" s="139"/>
      <c r="PPG111" s="139"/>
      <c r="PPH111" s="139"/>
      <c r="PPI111" s="139"/>
      <c r="PPJ111" s="139"/>
      <c r="PPK111" s="139"/>
      <c r="PPL111" s="139"/>
      <c r="PPM111" s="139"/>
      <c r="PPN111" s="139"/>
      <c r="PPO111" s="139"/>
      <c r="PPP111" s="139"/>
      <c r="PPQ111" s="139"/>
      <c r="PPR111" s="139"/>
      <c r="PPS111" s="139"/>
      <c r="PPT111" s="139"/>
      <c r="PPU111" s="139"/>
      <c r="PPV111" s="139"/>
      <c r="PPW111" s="139"/>
      <c r="PPX111" s="139"/>
      <c r="PPY111" s="139"/>
      <c r="PPZ111" s="139"/>
      <c r="PQA111" s="139"/>
      <c r="PQB111" s="139"/>
      <c r="PQC111" s="139"/>
      <c r="PQD111" s="139"/>
      <c r="PQE111" s="139"/>
      <c r="PQF111" s="139"/>
      <c r="PQG111" s="139"/>
      <c r="PQH111" s="139"/>
      <c r="PQI111" s="139"/>
      <c r="PQJ111" s="139"/>
      <c r="PQK111" s="139"/>
      <c r="PQL111" s="139"/>
      <c r="PQM111" s="139"/>
      <c r="PQN111" s="139"/>
      <c r="PQO111" s="139"/>
      <c r="PQP111" s="139"/>
      <c r="PQQ111" s="139"/>
      <c r="PQR111" s="139"/>
      <c r="PQS111" s="139"/>
      <c r="PQT111" s="139"/>
      <c r="PQU111" s="139"/>
      <c r="PQV111" s="139"/>
      <c r="PQW111" s="139"/>
      <c r="PQX111" s="139"/>
      <c r="PQY111" s="139"/>
      <c r="PQZ111" s="139"/>
      <c r="PRA111" s="139"/>
      <c r="PRB111" s="139"/>
      <c r="PRC111" s="139"/>
      <c r="PRD111" s="139"/>
      <c r="PRE111" s="139"/>
      <c r="PRF111" s="139"/>
      <c r="PRG111" s="139"/>
      <c r="PRH111" s="139"/>
      <c r="PRI111" s="139"/>
      <c r="PRJ111" s="139"/>
      <c r="PRK111" s="139"/>
      <c r="PRL111" s="139"/>
      <c r="PRM111" s="139"/>
      <c r="PRN111" s="139"/>
      <c r="PRO111" s="139"/>
      <c r="PRP111" s="139"/>
      <c r="PRQ111" s="139"/>
      <c r="PRR111" s="139"/>
      <c r="PRS111" s="139"/>
      <c r="PRT111" s="139"/>
      <c r="PRU111" s="139"/>
      <c r="PRV111" s="139"/>
      <c r="PRW111" s="139"/>
      <c r="PRX111" s="139"/>
      <c r="PRY111" s="139"/>
      <c r="PRZ111" s="139"/>
      <c r="PSA111" s="139"/>
      <c r="PSB111" s="139"/>
      <c r="PSC111" s="139"/>
      <c r="PSD111" s="139"/>
      <c r="PSE111" s="139"/>
      <c r="PSF111" s="139"/>
      <c r="PSG111" s="139"/>
      <c r="PSH111" s="139"/>
      <c r="PSI111" s="139"/>
      <c r="PSJ111" s="139"/>
      <c r="PSK111" s="139"/>
      <c r="PSL111" s="139"/>
      <c r="PSM111" s="139"/>
      <c r="PSN111" s="139"/>
      <c r="PSO111" s="139"/>
      <c r="PSP111" s="139"/>
      <c r="PSQ111" s="139"/>
      <c r="PSR111" s="139"/>
      <c r="PSS111" s="139"/>
      <c r="PST111" s="139"/>
      <c r="PSU111" s="139"/>
      <c r="PSV111" s="139"/>
      <c r="PSW111" s="139"/>
      <c r="PSX111" s="139"/>
      <c r="PSY111" s="139"/>
      <c r="PSZ111" s="139"/>
      <c r="PTA111" s="139"/>
      <c r="PTB111" s="139"/>
      <c r="PTC111" s="139"/>
      <c r="PTD111" s="139"/>
      <c r="PTE111" s="139"/>
      <c r="PTF111" s="139"/>
      <c r="PTG111" s="139"/>
      <c r="PTH111" s="139"/>
      <c r="PTI111" s="139"/>
      <c r="PTJ111" s="139"/>
      <c r="PTK111" s="139"/>
      <c r="PTL111" s="139"/>
      <c r="PTM111" s="139"/>
      <c r="PTN111" s="139"/>
      <c r="PTO111" s="139"/>
      <c r="PTP111" s="139"/>
      <c r="PTQ111" s="139"/>
      <c r="PTR111" s="139"/>
      <c r="PTS111" s="139"/>
      <c r="PTT111" s="139"/>
      <c r="PTU111" s="139"/>
      <c r="PTV111" s="139"/>
      <c r="PTW111" s="139"/>
      <c r="PTX111" s="139"/>
      <c r="PTY111" s="139"/>
      <c r="PTZ111" s="139"/>
      <c r="PUA111" s="139"/>
      <c r="PUB111" s="139"/>
      <c r="PUC111" s="139"/>
      <c r="PUD111" s="139"/>
      <c r="PUE111" s="139"/>
      <c r="PUF111" s="139"/>
      <c r="PUG111" s="139"/>
      <c r="PUH111" s="139"/>
      <c r="PUI111" s="139"/>
      <c r="PUJ111" s="139"/>
      <c r="PUK111" s="139"/>
      <c r="PUL111" s="139"/>
      <c r="PUM111" s="139"/>
      <c r="PUN111" s="139"/>
      <c r="PUO111" s="139"/>
      <c r="PUP111" s="139"/>
      <c r="PUQ111" s="139"/>
      <c r="PUR111" s="139"/>
      <c r="PUS111" s="139"/>
      <c r="PUT111" s="139"/>
      <c r="PUU111" s="139"/>
      <c r="PUV111" s="139"/>
      <c r="PUW111" s="139"/>
      <c r="PUX111" s="139"/>
      <c r="PUY111" s="139"/>
      <c r="PUZ111" s="139"/>
      <c r="PVA111" s="139"/>
      <c r="PVB111" s="139"/>
      <c r="PVC111" s="139"/>
      <c r="PVD111" s="139"/>
      <c r="PVE111" s="139"/>
      <c r="PVF111" s="139"/>
      <c r="PVG111" s="139"/>
      <c r="PVH111" s="139"/>
      <c r="PVI111" s="139"/>
      <c r="PVJ111" s="139"/>
      <c r="PVK111" s="139"/>
      <c r="PVL111" s="139"/>
      <c r="PVM111" s="139"/>
      <c r="PVN111" s="139"/>
      <c r="PVO111" s="139"/>
      <c r="PVP111" s="139"/>
      <c r="PVQ111" s="139"/>
      <c r="PVR111" s="139"/>
      <c r="PVS111" s="139"/>
      <c r="PVT111" s="139"/>
      <c r="PVU111" s="139"/>
      <c r="PVV111" s="139"/>
      <c r="PVW111" s="139"/>
      <c r="PVX111" s="139"/>
      <c r="PVY111" s="139"/>
      <c r="PVZ111" s="139"/>
      <c r="PWA111" s="139"/>
      <c r="PWB111" s="139"/>
      <c r="PWC111" s="139"/>
      <c r="PWD111" s="139"/>
      <c r="PWE111" s="139"/>
      <c r="PWF111" s="139"/>
      <c r="PWG111" s="139"/>
      <c r="PWH111" s="139"/>
      <c r="PWI111" s="139"/>
      <c r="PWJ111" s="139"/>
      <c r="PWK111" s="139"/>
      <c r="PWL111" s="139"/>
      <c r="PWM111" s="139"/>
      <c r="PWN111" s="139"/>
      <c r="PWO111" s="139"/>
      <c r="PWP111" s="139"/>
      <c r="PWQ111" s="139"/>
      <c r="PWR111" s="139"/>
      <c r="PWS111" s="139"/>
      <c r="PWT111" s="139"/>
      <c r="PWU111" s="139"/>
      <c r="PWV111" s="139"/>
      <c r="PWW111" s="139"/>
      <c r="PWX111" s="139"/>
      <c r="PWY111" s="139"/>
      <c r="PWZ111" s="139"/>
      <c r="PXA111" s="139"/>
      <c r="PXB111" s="139"/>
      <c r="PXC111" s="139"/>
      <c r="PXD111" s="139"/>
      <c r="PXE111" s="139"/>
      <c r="PXF111" s="139"/>
      <c r="PXG111" s="139"/>
      <c r="PXH111" s="139"/>
      <c r="PXI111" s="139"/>
      <c r="PXJ111" s="139"/>
      <c r="PXK111" s="139"/>
      <c r="PXL111" s="139"/>
      <c r="PXM111" s="139"/>
      <c r="PXN111" s="139"/>
      <c r="PXO111" s="139"/>
      <c r="PXP111" s="139"/>
      <c r="PXQ111" s="139"/>
      <c r="PXR111" s="139"/>
      <c r="PXS111" s="139"/>
      <c r="PXT111" s="139"/>
      <c r="PXU111" s="139"/>
      <c r="PXV111" s="139"/>
      <c r="PXW111" s="139"/>
      <c r="PXX111" s="139"/>
      <c r="PXY111" s="139"/>
      <c r="PXZ111" s="139"/>
      <c r="PYA111" s="139"/>
      <c r="PYB111" s="139"/>
      <c r="PYC111" s="139"/>
      <c r="PYD111" s="139"/>
      <c r="PYE111" s="139"/>
      <c r="PYF111" s="139"/>
      <c r="PYG111" s="139"/>
      <c r="PYH111" s="139"/>
      <c r="PYI111" s="139"/>
      <c r="PYJ111" s="139"/>
      <c r="PYK111" s="139"/>
      <c r="PYL111" s="139"/>
      <c r="PYM111" s="139"/>
      <c r="PYN111" s="139"/>
      <c r="PYO111" s="139"/>
      <c r="PYP111" s="139"/>
      <c r="PYQ111" s="139"/>
      <c r="PYR111" s="139"/>
      <c r="PYS111" s="139"/>
      <c r="PYT111" s="139"/>
      <c r="PYU111" s="139"/>
      <c r="PYV111" s="139"/>
      <c r="PYW111" s="139"/>
      <c r="PYX111" s="139"/>
      <c r="PYY111" s="139"/>
      <c r="PYZ111" s="139"/>
      <c r="PZA111" s="139"/>
      <c r="PZB111" s="139"/>
      <c r="PZC111" s="139"/>
      <c r="PZD111" s="139"/>
      <c r="PZE111" s="139"/>
      <c r="PZF111" s="139"/>
      <c r="PZG111" s="139"/>
      <c r="PZH111" s="139"/>
      <c r="PZI111" s="139"/>
      <c r="PZJ111" s="139"/>
      <c r="PZK111" s="139"/>
      <c r="PZL111" s="139"/>
      <c r="PZM111" s="139"/>
      <c r="PZN111" s="139"/>
      <c r="PZO111" s="139"/>
      <c r="PZP111" s="139"/>
      <c r="PZQ111" s="139"/>
      <c r="PZR111" s="139"/>
      <c r="PZS111" s="139"/>
      <c r="PZT111" s="139"/>
      <c r="PZU111" s="139"/>
      <c r="PZV111" s="139"/>
      <c r="PZW111" s="139"/>
      <c r="PZX111" s="139"/>
      <c r="PZY111" s="139"/>
      <c r="PZZ111" s="139"/>
      <c r="QAA111" s="139"/>
      <c r="QAB111" s="139"/>
      <c r="QAC111" s="139"/>
      <c r="QAD111" s="139"/>
      <c r="QAE111" s="139"/>
      <c r="QAF111" s="139"/>
      <c r="QAG111" s="139"/>
      <c r="QAH111" s="139"/>
      <c r="QAI111" s="139"/>
      <c r="QAJ111" s="139"/>
      <c r="QAK111" s="139"/>
      <c r="QAL111" s="139"/>
      <c r="QAM111" s="139"/>
      <c r="QAN111" s="139"/>
      <c r="QAO111" s="139"/>
      <c r="QAP111" s="139"/>
      <c r="QAQ111" s="139"/>
      <c r="QAR111" s="139"/>
      <c r="QAS111" s="139"/>
      <c r="QAT111" s="139"/>
      <c r="QAU111" s="139"/>
      <c r="QAV111" s="139"/>
      <c r="QAW111" s="139"/>
      <c r="QAX111" s="139"/>
      <c r="QAY111" s="139"/>
      <c r="QAZ111" s="139"/>
      <c r="QBA111" s="139"/>
      <c r="QBB111" s="139"/>
      <c r="QBC111" s="139"/>
      <c r="QBD111" s="139"/>
      <c r="QBE111" s="139"/>
      <c r="QBF111" s="139"/>
      <c r="QBG111" s="139"/>
      <c r="QBH111" s="139"/>
      <c r="QBI111" s="139"/>
      <c r="QBJ111" s="139"/>
      <c r="QBK111" s="139"/>
      <c r="QBL111" s="139"/>
      <c r="QBM111" s="139"/>
      <c r="QBN111" s="139"/>
      <c r="QBO111" s="139"/>
      <c r="QBP111" s="139"/>
      <c r="QBQ111" s="139"/>
      <c r="QBR111" s="139"/>
      <c r="QBS111" s="139"/>
      <c r="QBT111" s="139"/>
      <c r="QBU111" s="139"/>
      <c r="QBV111" s="139"/>
      <c r="QBW111" s="139"/>
      <c r="QBX111" s="139"/>
      <c r="QBY111" s="139"/>
      <c r="QBZ111" s="139"/>
      <c r="QCA111" s="139"/>
      <c r="QCB111" s="139"/>
      <c r="QCC111" s="139"/>
      <c r="QCD111" s="139"/>
      <c r="QCE111" s="139"/>
      <c r="QCF111" s="139"/>
      <c r="QCG111" s="139"/>
      <c r="QCH111" s="139"/>
      <c r="QCI111" s="139"/>
      <c r="QCJ111" s="139"/>
      <c r="QCK111" s="139"/>
      <c r="QCL111" s="139"/>
      <c r="QCM111" s="139"/>
      <c r="QCN111" s="139"/>
      <c r="QCO111" s="139"/>
      <c r="QCP111" s="139"/>
      <c r="QCQ111" s="139"/>
      <c r="QCR111" s="139"/>
      <c r="QCS111" s="139"/>
      <c r="QCT111" s="139"/>
      <c r="QCU111" s="139"/>
      <c r="QCV111" s="139"/>
      <c r="QCW111" s="139"/>
      <c r="QCX111" s="139"/>
      <c r="QCY111" s="139"/>
      <c r="QCZ111" s="139"/>
      <c r="QDA111" s="139"/>
      <c r="QDB111" s="139"/>
      <c r="QDC111" s="139"/>
      <c r="QDD111" s="139"/>
      <c r="QDE111" s="139"/>
      <c r="QDF111" s="139"/>
      <c r="QDG111" s="139"/>
      <c r="QDH111" s="139"/>
      <c r="QDI111" s="139"/>
      <c r="QDJ111" s="139"/>
      <c r="QDK111" s="139"/>
      <c r="QDL111" s="139"/>
      <c r="QDM111" s="139"/>
      <c r="QDN111" s="139"/>
      <c r="QDO111" s="139"/>
      <c r="QDP111" s="139"/>
      <c r="QDQ111" s="139"/>
      <c r="QDR111" s="139"/>
      <c r="QDS111" s="139"/>
      <c r="QDT111" s="139"/>
      <c r="QDU111" s="139"/>
      <c r="QDV111" s="139"/>
      <c r="QDW111" s="139"/>
      <c r="QDX111" s="139"/>
      <c r="QDY111" s="139"/>
      <c r="QDZ111" s="139"/>
      <c r="QEA111" s="139"/>
      <c r="QEB111" s="139"/>
      <c r="QEC111" s="139"/>
      <c r="QED111" s="139"/>
      <c r="QEE111" s="139"/>
      <c r="QEF111" s="139"/>
      <c r="QEG111" s="139"/>
      <c r="QEH111" s="139"/>
      <c r="QEI111" s="139"/>
      <c r="QEJ111" s="139"/>
      <c r="QEK111" s="139"/>
      <c r="QEL111" s="139"/>
      <c r="QEM111" s="139"/>
      <c r="QEN111" s="139"/>
      <c r="QEO111" s="139"/>
      <c r="QEP111" s="139"/>
      <c r="QEQ111" s="139"/>
      <c r="QER111" s="139"/>
      <c r="QES111" s="139"/>
      <c r="QET111" s="139"/>
      <c r="QEU111" s="139"/>
      <c r="QEV111" s="139"/>
      <c r="QEW111" s="139"/>
      <c r="QEX111" s="139"/>
      <c r="QEY111" s="139"/>
      <c r="QEZ111" s="139"/>
      <c r="QFA111" s="139"/>
      <c r="QFB111" s="139"/>
      <c r="QFC111" s="139"/>
      <c r="QFD111" s="139"/>
      <c r="QFE111" s="139"/>
      <c r="QFF111" s="139"/>
      <c r="QFG111" s="139"/>
      <c r="QFH111" s="139"/>
      <c r="QFI111" s="139"/>
      <c r="QFJ111" s="139"/>
      <c r="QFK111" s="139"/>
      <c r="QFL111" s="139"/>
      <c r="QFM111" s="139"/>
      <c r="QFN111" s="139"/>
      <c r="QFO111" s="139"/>
      <c r="QFP111" s="139"/>
      <c r="QFQ111" s="139"/>
      <c r="QFR111" s="139"/>
      <c r="QFS111" s="139"/>
      <c r="QFT111" s="139"/>
      <c r="QFU111" s="139"/>
      <c r="QFV111" s="139"/>
      <c r="QFW111" s="139"/>
      <c r="QFX111" s="139"/>
      <c r="QFY111" s="139"/>
      <c r="QFZ111" s="139"/>
      <c r="QGA111" s="139"/>
      <c r="QGB111" s="139"/>
      <c r="QGC111" s="139"/>
      <c r="QGD111" s="139"/>
      <c r="QGE111" s="139"/>
      <c r="QGF111" s="139"/>
      <c r="QGG111" s="139"/>
      <c r="QGH111" s="139"/>
      <c r="QGI111" s="139"/>
      <c r="QGJ111" s="139"/>
      <c r="QGK111" s="139"/>
      <c r="QGL111" s="139"/>
      <c r="QGM111" s="139"/>
      <c r="QGN111" s="139"/>
      <c r="QGO111" s="139"/>
      <c r="QGP111" s="139"/>
      <c r="QGQ111" s="139"/>
      <c r="QGR111" s="139"/>
      <c r="QGS111" s="139"/>
      <c r="QGT111" s="139"/>
      <c r="QGU111" s="139"/>
      <c r="QGV111" s="139"/>
      <c r="QGW111" s="139"/>
      <c r="QGX111" s="139"/>
      <c r="QGY111" s="139"/>
      <c r="QGZ111" s="139"/>
      <c r="QHA111" s="139"/>
      <c r="QHB111" s="139"/>
      <c r="QHC111" s="139"/>
      <c r="QHD111" s="139"/>
      <c r="QHE111" s="139"/>
      <c r="QHF111" s="139"/>
      <c r="QHG111" s="139"/>
      <c r="QHH111" s="139"/>
      <c r="QHI111" s="139"/>
      <c r="QHJ111" s="139"/>
      <c r="QHK111" s="139"/>
      <c r="QHL111" s="139"/>
      <c r="QHM111" s="139"/>
      <c r="QHN111" s="139"/>
      <c r="QHO111" s="139"/>
      <c r="QHP111" s="139"/>
      <c r="QHQ111" s="139"/>
      <c r="QHR111" s="139"/>
      <c r="QHS111" s="139"/>
      <c r="QHT111" s="139"/>
      <c r="QHU111" s="139"/>
      <c r="QHV111" s="139"/>
      <c r="QHW111" s="139"/>
      <c r="QHX111" s="139"/>
      <c r="QHY111" s="139"/>
      <c r="QHZ111" s="139"/>
      <c r="QIA111" s="139"/>
      <c r="QIB111" s="139"/>
      <c r="QIC111" s="139"/>
      <c r="QID111" s="139"/>
      <c r="QIE111" s="139"/>
      <c r="QIF111" s="139"/>
      <c r="QIG111" s="139"/>
      <c r="QIH111" s="139"/>
      <c r="QII111" s="139"/>
      <c r="QIJ111" s="139"/>
      <c r="QIK111" s="139"/>
      <c r="QIL111" s="139"/>
      <c r="QIM111" s="139"/>
      <c r="QIN111" s="139"/>
      <c r="QIO111" s="139"/>
      <c r="QIP111" s="139"/>
      <c r="QIQ111" s="139"/>
      <c r="QIR111" s="139"/>
      <c r="QIS111" s="139"/>
      <c r="QIT111" s="139"/>
      <c r="QIU111" s="139"/>
      <c r="QIV111" s="139"/>
      <c r="QIW111" s="139"/>
      <c r="QIX111" s="139"/>
      <c r="QIY111" s="139"/>
      <c r="QIZ111" s="139"/>
      <c r="QJA111" s="139"/>
      <c r="QJB111" s="139"/>
      <c r="QJC111" s="139"/>
      <c r="QJD111" s="139"/>
      <c r="QJE111" s="139"/>
      <c r="QJF111" s="139"/>
      <c r="QJG111" s="139"/>
      <c r="QJH111" s="139"/>
      <c r="QJI111" s="139"/>
      <c r="QJJ111" s="139"/>
      <c r="QJK111" s="139"/>
      <c r="QJL111" s="139"/>
      <c r="QJM111" s="139"/>
      <c r="QJN111" s="139"/>
      <c r="QJO111" s="139"/>
      <c r="QJP111" s="139"/>
      <c r="QJQ111" s="139"/>
      <c r="QJR111" s="139"/>
      <c r="QJS111" s="139"/>
      <c r="QJT111" s="139"/>
      <c r="QJU111" s="139"/>
      <c r="QJV111" s="139"/>
      <c r="QJW111" s="139"/>
      <c r="QJX111" s="139"/>
      <c r="QJY111" s="139"/>
      <c r="QJZ111" s="139"/>
      <c r="QKA111" s="139"/>
      <c r="QKB111" s="139"/>
      <c r="QKC111" s="139"/>
      <c r="QKD111" s="139"/>
      <c r="QKE111" s="139"/>
      <c r="QKF111" s="139"/>
      <c r="QKG111" s="139"/>
      <c r="QKH111" s="139"/>
      <c r="QKI111" s="139"/>
      <c r="QKJ111" s="139"/>
      <c r="QKK111" s="139"/>
      <c r="QKL111" s="139"/>
      <c r="QKM111" s="139"/>
      <c r="QKN111" s="139"/>
      <c r="QKO111" s="139"/>
      <c r="QKP111" s="139"/>
      <c r="QKQ111" s="139"/>
      <c r="QKR111" s="139"/>
      <c r="QKS111" s="139"/>
      <c r="QKT111" s="139"/>
      <c r="QKU111" s="139"/>
      <c r="QKV111" s="139"/>
      <c r="QKW111" s="139"/>
      <c r="QKX111" s="139"/>
      <c r="QKY111" s="139"/>
      <c r="QKZ111" s="139"/>
      <c r="QLA111" s="139"/>
      <c r="QLB111" s="139"/>
      <c r="QLC111" s="139"/>
      <c r="QLD111" s="139"/>
      <c r="QLE111" s="139"/>
      <c r="QLF111" s="139"/>
      <c r="QLG111" s="139"/>
      <c r="QLH111" s="139"/>
      <c r="QLI111" s="139"/>
      <c r="QLJ111" s="139"/>
      <c r="QLK111" s="139"/>
      <c r="QLL111" s="139"/>
      <c r="QLM111" s="139"/>
      <c r="QLN111" s="139"/>
      <c r="QLO111" s="139"/>
      <c r="QLP111" s="139"/>
      <c r="QLQ111" s="139"/>
      <c r="QLR111" s="139"/>
      <c r="QLS111" s="139"/>
      <c r="QLT111" s="139"/>
      <c r="QLU111" s="139"/>
      <c r="QLV111" s="139"/>
      <c r="QLW111" s="139"/>
      <c r="QLX111" s="139"/>
      <c r="QLY111" s="139"/>
      <c r="QLZ111" s="139"/>
      <c r="QMA111" s="139"/>
      <c r="QMB111" s="139"/>
      <c r="QMC111" s="139"/>
      <c r="QMD111" s="139"/>
      <c r="QME111" s="139"/>
      <c r="QMF111" s="139"/>
      <c r="QMG111" s="139"/>
      <c r="QMH111" s="139"/>
      <c r="QMI111" s="139"/>
      <c r="QMJ111" s="139"/>
      <c r="QMK111" s="139"/>
      <c r="QML111" s="139"/>
      <c r="QMM111" s="139"/>
      <c r="QMN111" s="139"/>
      <c r="QMO111" s="139"/>
      <c r="QMP111" s="139"/>
      <c r="QMQ111" s="139"/>
      <c r="QMR111" s="139"/>
      <c r="QMS111" s="139"/>
      <c r="QMT111" s="139"/>
      <c r="QMU111" s="139"/>
      <c r="QMV111" s="139"/>
      <c r="QMW111" s="139"/>
      <c r="QMX111" s="139"/>
      <c r="QMY111" s="139"/>
      <c r="QMZ111" s="139"/>
      <c r="QNA111" s="139"/>
      <c r="QNB111" s="139"/>
      <c r="QNC111" s="139"/>
      <c r="QND111" s="139"/>
      <c r="QNE111" s="139"/>
      <c r="QNF111" s="139"/>
      <c r="QNG111" s="139"/>
      <c r="QNH111" s="139"/>
      <c r="QNI111" s="139"/>
      <c r="QNJ111" s="139"/>
      <c r="QNK111" s="139"/>
      <c r="QNL111" s="139"/>
      <c r="QNM111" s="139"/>
      <c r="QNN111" s="139"/>
      <c r="QNO111" s="139"/>
      <c r="QNP111" s="139"/>
      <c r="QNQ111" s="139"/>
      <c r="QNR111" s="139"/>
      <c r="QNS111" s="139"/>
      <c r="QNT111" s="139"/>
      <c r="QNU111" s="139"/>
      <c r="QNV111" s="139"/>
      <c r="QNW111" s="139"/>
      <c r="QNX111" s="139"/>
      <c r="QNY111" s="139"/>
      <c r="QNZ111" s="139"/>
      <c r="QOA111" s="139"/>
      <c r="QOB111" s="139"/>
      <c r="QOC111" s="139"/>
      <c r="QOD111" s="139"/>
      <c r="QOE111" s="139"/>
      <c r="QOF111" s="139"/>
      <c r="QOG111" s="139"/>
      <c r="QOH111" s="139"/>
      <c r="QOI111" s="139"/>
      <c r="QOJ111" s="139"/>
      <c r="QOK111" s="139"/>
      <c r="QOL111" s="139"/>
      <c r="QOM111" s="139"/>
      <c r="QON111" s="139"/>
      <c r="QOO111" s="139"/>
      <c r="QOP111" s="139"/>
      <c r="QOQ111" s="139"/>
      <c r="QOR111" s="139"/>
      <c r="QOS111" s="139"/>
      <c r="QOT111" s="139"/>
      <c r="QOU111" s="139"/>
      <c r="QOV111" s="139"/>
      <c r="QOW111" s="139"/>
      <c r="QOX111" s="139"/>
      <c r="QOY111" s="139"/>
      <c r="QOZ111" s="139"/>
      <c r="QPA111" s="139"/>
      <c r="QPB111" s="139"/>
      <c r="QPC111" s="139"/>
      <c r="QPD111" s="139"/>
      <c r="QPE111" s="139"/>
      <c r="QPF111" s="139"/>
      <c r="QPG111" s="139"/>
      <c r="QPH111" s="139"/>
      <c r="QPI111" s="139"/>
      <c r="QPJ111" s="139"/>
      <c r="QPK111" s="139"/>
      <c r="QPL111" s="139"/>
      <c r="QPM111" s="139"/>
      <c r="QPN111" s="139"/>
      <c r="QPO111" s="139"/>
      <c r="QPP111" s="139"/>
      <c r="QPQ111" s="139"/>
      <c r="QPR111" s="139"/>
      <c r="QPS111" s="139"/>
      <c r="QPT111" s="139"/>
      <c r="QPU111" s="139"/>
      <c r="QPV111" s="139"/>
      <c r="QPW111" s="139"/>
      <c r="QPX111" s="139"/>
      <c r="QPY111" s="139"/>
      <c r="QPZ111" s="139"/>
      <c r="QQA111" s="139"/>
      <c r="QQB111" s="139"/>
      <c r="QQC111" s="139"/>
      <c r="QQD111" s="139"/>
      <c r="QQE111" s="139"/>
      <c r="QQF111" s="139"/>
      <c r="QQG111" s="139"/>
      <c r="QQH111" s="139"/>
      <c r="QQI111" s="139"/>
      <c r="QQJ111" s="139"/>
      <c r="QQK111" s="139"/>
      <c r="QQL111" s="139"/>
      <c r="QQM111" s="139"/>
      <c r="QQN111" s="139"/>
      <c r="QQO111" s="139"/>
      <c r="QQP111" s="139"/>
      <c r="QQQ111" s="139"/>
      <c r="QQR111" s="139"/>
      <c r="QQS111" s="139"/>
      <c r="QQT111" s="139"/>
      <c r="QQU111" s="139"/>
      <c r="QQV111" s="139"/>
      <c r="QQW111" s="139"/>
      <c r="QQX111" s="139"/>
      <c r="QQY111" s="139"/>
      <c r="QQZ111" s="139"/>
      <c r="QRA111" s="139"/>
      <c r="QRB111" s="139"/>
      <c r="QRC111" s="139"/>
      <c r="QRD111" s="139"/>
      <c r="QRE111" s="139"/>
      <c r="QRF111" s="139"/>
      <c r="QRG111" s="139"/>
      <c r="QRH111" s="139"/>
      <c r="QRI111" s="139"/>
      <c r="QRJ111" s="139"/>
      <c r="QRK111" s="139"/>
      <c r="QRL111" s="139"/>
      <c r="QRM111" s="139"/>
      <c r="QRN111" s="139"/>
      <c r="QRO111" s="139"/>
      <c r="QRP111" s="139"/>
      <c r="QRQ111" s="139"/>
      <c r="QRR111" s="139"/>
      <c r="QRS111" s="139"/>
      <c r="QRT111" s="139"/>
      <c r="QRU111" s="139"/>
      <c r="QRV111" s="139"/>
      <c r="QRW111" s="139"/>
      <c r="QRX111" s="139"/>
      <c r="QRY111" s="139"/>
      <c r="QRZ111" s="139"/>
      <c r="QSA111" s="139"/>
      <c r="QSB111" s="139"/>
      <c r="QSC111" s="139"/>
      <c r="QSD111" s="139"/>
      <c r="QSE111" s="139"/>
      <c r="QSF111" s="139"/>
      <c r="QSG111" s="139"/>
      <c r="QSH111" s="139"/>
      <c r="QSI111" s="139"/>
      <c r="QSJ111" s="139"/>
      <c r="QSK111" s="139"/>
      <c r="QSL111" s="139"/>
      <c r="QSM111" s="139"/>
      <c r="QSN111" s="139"/>
      <c r="QSO111" s="139"/>
      <c r="QSP111" s="139"/>
      <c r="QSQ111" s="139"/>
      <c r="QSR111" s="139"/>
      <c r="QSS111" s="139"/>
      <c r="QST111" s="139"/>
      <c r="QSU111" s="139"/>
      <c r="QSV111" s="139"/>
      <c r="QSW111" s="139"/>
      <c r="QSX111" s="139"/>
      <c r="QSY111" s="139"/>
      <c r="QSZ111" s="139"/>
      <c r="QTA111" s="139"/>
      <c r="QTB111" s="139"/>
      <c r="QTC111" s="139"/>
      <c r="QTD111" s="139"/>
      <c r="QTE111" s="139"/>
      <c r="QTF111" s="139"/>
      <c r="QTG111" s="139"/>
      <c r="QTH111" s="139"/>
      <c r="QTI111" s="139"/>
      <c r="QTJ111" s="139"/>
      <c r="QTK111" s="139"/>
      <c r="QTL111" s="139"/>
      <c r="QTM111" s="139"/>
      <c r="QTN111" s="139"/>
      <c r="QTO111" s="139"/>
      <c r="QTP111" s="139"/>
      <c r="QTQ111" s="139"/>
      <c r="QTR111" s="139"/>
      <c r="QTS111" s="139"/>
      <c r="QTT111" s="139"/>
      <c r="QTU111" s="139"/>
      <c r="QTV111" s="139"/>
      <c r="QTW111" s="139"/>
      <c r="QTX111" s="139"/>
      <c r="QTY111" s="139"/>
      <c r="QTZ111" s="139"/>
      <c r="QUA111" s="139"/>
      <c r="QUB111" s="139"/>
      <c r="QUC111" s="139"/>
      <c r="QUD111" s="139"/>
      <c r="QUE111" s="139"/>
      <c r="QUF111" s="139"/>
      <c r="QUG111" s="139"/>
      <c r="QUH111" s="139"/>
      <c r="QUI111" s="139"/>
      <c r="QUJ111" s="139"/>
      <c r="QUK111" s="139"/>
      <c r="QUL111" s="139"/>
      <c r="QUM111" s="139"/>
      <c r="QUN111" s="139"/>
      <c r="QUO111" s="139"/>
      <c r="QUP111" s="139"/>
      <c r="QUQ111" s="139"/>
      <c r="QUR111" s="139"/>
      <c r="QUS111" s="139"/>
      <c r="QUT111" s="139"/>
      <c r="QUU111" s="139"/>
      <c r="QUV111" s="139"/>
      <c r="QUW111" s="139"/>
      <c r="QUX111" s="139"/>
      <c r="QUY111" s="139"/>
      <c r="QUZ111" s="139"/>
      <c r="QVA111" s="139"/>
      <c r="QVB111" s="139"/>
      <c r="QVC111" s="139"/>
      <c r="QVD111" s="139"/>
      <c r="QVE111" s="139"/>
      <c r="QVF111" s="139"/>
      <c r="QVG111" s="139"/>
      <c r="QVH111" s="139"/>
      <c r="QVI111" s="139"/>
      <c r="QVJ111" s="139"/>
      <c r="QVK111" s="139"/>
      <c r="QVL111" s="139"/>
      <c r="QVM111" s="139"/>
      <c r="QVN111" s="139"/>
      <c r="QVO111" s="139"/>
      <c r="QVP111" s="139"/>
      <c r="QVQ111" s="139"/>
      <c r="QVR111" s="139"/>
      <c r="QVS111" s="139"/>
      <c r="QVT111" s="139"/>
      <c r="QVU111" s="139"/>
      <c r="QVV111" s="139"/>
      <c r="QVW111" s="139"/>
      <c r="QVX111" s="139"/>
      <c r="QVY111" s="139"/>
      <c r="QVZ111" s="139"/>
      <c r="QWA111" s="139"/>
      <c r="QWB111" s="139"/>
      <c r="QWC111" s="139"/>
      <c r="QWD111" s="139"/>
      <c r="QWE111" s="139"/>
      <c r="QWF111" s="139"/>
      <c r="QWG111" s="139"/>
      <c r="QWH111" s="139"/>
      <c r="QWI111" s="139"/>
      <c r="QWJ111" s="139"/>
      <c r="QWK111" s="139"/>
      <c r="QWL111" s="139"/>
      <c r="QWM111" s="139"/>
      <c r="QWN111" s="139"/>
      <c r="QWO111" s="139"/>
      <c r="QWP111" s="139"/>
      <c r="QWQ111" s="139"/>
      <c r="QWR111" s="139"/>
      <c r="QWS111" s="139"/>
      <c r="QWT111" s="139"/>
      <c r="QWU111" s="139"/>
      <c r="QWV111" s="139"/>
      <c r="QWW111" s="139"/>
      <c r="QWX111" s="139"/>
      <c r="QWY111" s="139"/>
      <c r="QWZ111" s="139"/>
      <c r="QXA111" s="139"/>
      <c r="QXB111" s="139"/>
      <c r="QXC111" s="139"/>
      <c r="QXD111" s="139"/>
      <c r="QXE111" s="139"/>
      <c r="QXF111" s="139"/>
      <c r="QXG111" s="139"/>
      <c r="QXH111" s="139"/>
      <c r="QXI111" s="139"/>
      <c r="QXJ111" s="139"/>
      <c r="QXK111" s="139"/>
      <c r="QXL111" s="139"/>
      <c r="QXM111" s="139"/>
      <c r="QXN111" s="139"/>
      <c r="QXO111" s="139"/>
      <c r="QXP111" s="139"/>
      <c r="QXQ111" s="139"/>
      <c r="QXR111" s="139"/>
      <c r="QXS111" s="139"/>
      <c r="QXT111" s="139"/>
      <c r="QXU111" s="139"/>
      <c r="QXV111" s="139"/>
      <c r="QXW111" s="139"/>
      <c r="QXX111" s="139"/>
      <c r="QXY111" s="139"/>
      <c r="QXZ111" s="139"/>
      <c r="QYA111" s="139"/>
      <c r="QYB111" s="139"/>
      <c r="QYC111" s="139"/>
      <c r="QYD111" s="139"/>
      <c r="QYE111" s="139"/>
      <c r="QYF111" s="139"/>
      <c r="QYG111" s="139"/>
      <c r="QYH111" s="139"/>
      <c r="QYI111" s="139"/>
      <c r="QYJ111" s="139"/>
      <c r="QYK111" s="139"/>
      <c r="QYL111" s="139"/>
      <c r="QYM111" s="139"/>
      <c r="QYN111" s="139"/>
      <c r="QYO111" s="139"/>
      <c r="QYP111" s="139"/>
      <c r="QYQ111" s="139"/>
      <c r="QYR111" s="139"/>
      <c r="QYS111" s="139"/>
      <c r="QYT111" s="139"/>
      <c r="QYU111" s="139"/>
      <c r="QYV111" s="139"/>
      <c r="QYW111" s="139"/>
      <c r="QYX111" s="139"/>
      <c r="QYY111" s="139"/>
      <c r="QYZ111" s="139"/>
      <c r="QZA111" s="139"/>
      <c r="QZB111" s="139"/>
      <c r="QZC111" s="139"/>
      <c r="QZD111" s="139"/>
      <c r="QZE111" s="139"/>
      <c r="QZF111" s="139"/>
      <c r="QZG111" s="139"/>
      <c r="QZH111" s="139"/>
      <c r="QZI111" s="139"/>
      <c r="QZJ111" s="139"/>
      <c r="QZK111" s="139"/>
      <c r="QZL111" s="139"/>
      <c r="QZM111" s="139"/>
      <c r="QZN111" s="139"/>
      <c r="QZO111" s="139"/>
      <c r="QZP111" s="139"/>
      <c r="QZQ111" s="139"/>
      <c r="QZR111" s="139"/>
      <c r="QZS111" s="139"/>
      <c r="QZT111" s="139"/>
      <c r="QZU111" s="139"/>
      <c r="QZV111" s="139"/>
      <c r="QZW111" s="139"/>
      <c r="QZX111" s="139"/>
      <c r="QZY111" s="139"/>
      <c r="QZZ111" s="139"/>
      <c r="RAA111" s="139"/>
      <c r="RAB111" s="139"/>
      <c r="RAC111" s="139"/>
      <c r="RAD111" s="139"/>
      <c r="RAE111" s="139"/>
      <c r="RAF111" s="139"/>
      <c r="RAG111" s="139"/>
      <c r="RAH111" s="139"/>
      <c r="RAI111" s="139"/>
      <c r="RAJ111" s="139"/>
      <c r="RAK111" s="139"/>
      <c r="RAL111" s="139"/>
      <c r="RAM111" s="139"/>
      <c r="RAN111" s="139"/>
      <c r="RAO111" s="139"/>
      <c r="RAP111" s="139"/>
      <c r="RAQ111" s="139"/>
      <c r="RAR111" s="139"/>
      <c r="RAS111" s="139"/>
      <c r="RAT111" s="139"/>
      <c r="RAU111" s="139"/>
      <c r="RAV111" s="139"/>
      <c r="RAW111" s="139"/>
      <c r="RAX111" s="139"/>
      <c r="RAY111" s="139"/>
      <c r="RAZ111" s="139"/>
      <c r="RBA111" s="139"/>
      <c r="RBB111" s="139"/>
      <c r="RBC111" s="139"/>
      <c r="RBD111" s="139"/>
      <c r="RBE111" s="139"/>
      <c r="RBF111" s="139"/>
      <c r="RBG111" s="139"/>
      <c r="RBH111" s="139"/>
      <c r="RBI111" s="139"/>
      <c r="RBJ111" s="139"/>
      <c r="RBK111" s="139"/>
      <c r="RBL111" s="139"/>
      <c r="RBM111" s="139"/>
      <c r="RBN111" s="139"/>
      <c r="RBO111" s="139"/>
      <c r="RBP111" s="139"/>
      <c r="RBQ111" s="139"/>
      <c r="RBR111" s="139"/>
      <c r="RBS111" s="139"/>
      <c r="RBT111" s="139"/>
      <c r="RBU111" s="139"/>
      <c r="RBV111" s="139"/>
      <c r="RBW111" s="139"/>
      <c r="RBX111" s="139"/>
      <c r="RBY111" s="139"/>
      <c r="RBZ111" s="139"/>
      <c r="RCA111" s="139"/>
      <c r="RCB111" s="139"/>
      <c r="RCC111" s="139"/>
      <c r="RCD111" s="139"/>
      <c r="RCE111" s="139"/>
      <c r="RCF111" s="139"/>
      <c r="RCG111" s="139"/>
      <c r="RCH111" s="139"/>
      <c r="RCI111" s="139"/>
      <c r="RCJ111" s="139"/>
      <c r="RCK111" s="139"/>
      <c r="RCL111" s="139"/>
      <c r="RCM111" s="139"/>
      <c r="RCN111" s="139"/>
      <c r="RCO111" s="139"/>
      <c r="RCP111" s="139"/>
      <c r="RCQ111" s="139"/>
      <c r="RCR111" s="139"/>
      <c r="RCS111" s="139"/>
      <c r="RCT111" s="139"/>
      <c r="RCU111" s="139"/>
      <c r="RCV111" s="139"/>
      <c r="RCW111" s="139"/>
      <c r="RCX111" s="139"/>
      <c r="RCY111" s="139"/>
      <c r="RCZ111" s="139"/>
      <c r="RDA111" s="139"/>
      <c r="RDB111" s="139"/>
      <c r="RDC111" s="139"/>
      <c r="RDD111" s="139"/>
      <c r="RDE111" s="139"/>
      <c r="RDF111" s="139"/>
      <c r="RDG111" s="139"/>
      <c r="RDH111" s="139"/>
      <c r="RDI111" s="139"/>
      <c r="RDJ111" s="139"/>
      <c r="RDK111" s="139"/>
      <c r="RDL111" s="139"/>
      <c r="RDM111" s="139"/>
      <c r="RDN111" s="139"/>
      <c r="RDO111" s="139"/>
      <c r="RDP111" s="139"/>
      <c r="RDQ111" s="139"/>
      <c r="RDR111" s="139"/>
      <c r="RDS111" s="139"/>
      <c r="RDT111" s="139"/>
      <c r="RDU111" s="139"/>
      <c r="RDV111" s="139"/>
      <c r="RDW111" s="139"/>
      <c r="RDX111" s="139"/>
      <c r="RDY111" s="139"/>
      <c r="RDZ111" s="139"/>
      <c r="REA111" s="139"/>
      <c r="REB111" s="139"/>
      <c r="REC111" s="139"/>
      <c r="RED111" s="139"/>
      <c r="REE111" s="139"/>
      <c r="REF111" s="139"/>
      <c r="REG111" s="139"/>
      <c r="REH111" s="139"/>
      <c r="REI111" s="139"/>
      <c r="REJ111" s="139"/>
      <c r="REK111" s="139"/>
      <c r="REL111" s="139"/>
      <c r="REM111" s="139"/>
      <c r="REN111" s="139"/>
      <c r="REO111" s="139"/>
      <c r="REP111" s="139"/>
      <c r="REQ111" s="139"/>
      <c r="RER111" s="139"/>
      <c r="RES111" s="139"/>
      <c r="RET111" s="139"/>
      <c r="REU111" s="139"/>
      <c r="REV111" s="139"/>
      <c r="REW111" s="139"/>
      <c r="REX111" s="139"/>
      <c r="REY111" s="139"/>
      <c r="REZ111" s="139"/>
      <c r="RFA111" s="139"/>
      <c r="RFB111" s="139"/>
      <c r="RFC111" s="139"/>
      <c r="RFD111" s="139"/>
      <c r="RFE111" s="139"/>
      <c r="RFF111" s="139"/>
      <c r="RFG111" s="139"/>
      <c r="RFH111" s="139"/>
      <c r="RFI111" s="139"/>
      <c r="RFJ111" s="139"/>
      <c r="RFK111" s="139"/>
      <c r="RFL111" s="139"/>
      <c r="RFM111" s="139"/>
      <c r="RFN111" s="139"/>
      <c r="RFO111" s="139"/>
      <c r="RFP111" s="139"/>
      <c r="RFQ111" s="139"/>
      <c r="RFR111" s="139"/>
      <c r="RFS111" s="139"/>
      <c r="RFT111" s="139"/>
      <c r="RFU111" s="139"/>
      <c r="RFV111" s="139"/>
      <c r="RFW111" s="139"/>
      <c r="RFX111" s="139"/>
      <c r="RFY111" s="139"/>
      <c r="RFZ111" s="139"/>
      <c r="RGA111" s="139"/>
      <c r="RGB111" s="139"/>
      <c r="RGC111" s="139"/>
      <c r="RGD111" s="139"/>
      <c r="RGE111" s="139"/>
      <c r="RGF111" s="139"/>
      <c r="RGG111" s="139"/>
      <c r="RGH111" s="139"/>
      <c r="RGI111" s="139"/>
      <c r="RGJ111" s="139"/>
      <c r="RGK111" s="139"/>
      <c r="RGL111" s="139"/>
      <c r="RGM111" s="139"/>
      <c r="RGN111" s="139"/>
      <c r="RGO111" s="139"/>
      <c r="RGP111" s="139"/>
      <c r="RGQ111" s="139"/>
      <c r="RGR111" s="139"/>
      <c r="RGS111" s="139"/>
      <c r="RGT111" s="139"/>
      <c r="RGU111" s="139"/>
      <c r="RGV111" s="139"/>
      <c r="RGW111" s="139"/>
      <c r="RGX111" s="139"/>
      <c r="RGY111" s="139"/>
      <c r="RGZ111" s="139"/>
      <c r="RHA111" s="139"/>
      <c r="RHB111" s="139"/>
      <c r="RHC111" s="139"/>
      <c r="RHD111" s="139"/>
      <c r="RHE111" s="139"/>
      <c r="RHF111" s="139"/>
      <c r="RHG111" s="139"/>
      <c r="RHH111" s="139"/>
      <c r="RHI111" s="139"/>
      <c r="RHJ111" s="139"/>
      <c r="RHK111" s="139"/>
      <c r="RHL111" s="139"/>
      <c r="RHM111" s="139"/>
      <c r="RHN111" s="139"/>
      <c r="RHO111" s="139"/>
      <c r="RHP111" s="139"/>
      <c r="RHQ111" s="139"/>
      <c r="RHR111" s="139"/>
      <c r="RHS111" s="139"/>
      <c r="RHT111" s="139"/>
      <c r="RHU111" s="139"/>
      <c r="RHV111" s="139"/>
      <c r="RHW111" s="139"/>
      <c r="RHX111" s="139"/>
      <c r="RHY111" s="139"/>
      <c r="RHZ111" s="139"/>
      <c r="RIA111" s="139"/>
      <c r="RIB111" s="139"/>
      <c r="RIC111" s="139"/>
      <c r="RID111" s="139"/>
      <c r="RIE111" s="139"/>
      <c r="RIF111" s="139"/>
      <c r="RIG111" s="139"/>
      <c r="RIH111" s="139"/>
      <c r="RII111" s="139"/>
      <c r="RIJ111" s="139"/>
      <c r="RIK111" s="139"/>
      <c r="RIL111" s="139"/>
      <c r="RIM111" s="139"/>
      <c r="RIN111" s="139"/>
      <c r="RIO111" s="139"/>
      <c r="RIP111" s="139"/>
      <c r="RIQ111" s="139"/>
      <c r="RIR111" s="139"/>
      <c r="RIS111" s="139"/>
      <c r="RIT111" s="139"/>
      <c r="RIU111" s="139"/>
      <c r="RIV111" s="139"/>
      <c r="RIW111" s="139"/>
      <c r="RIX111" s="139"/>
      <c r="RIY111" s="139"/>
      <c r="RIZ111" s="139"/>
      <c r="RJA111" s="139"/>
      <c r="RJB111" s="139"/>
      <c r="RJC111" s="139"/>
      <c r="RJD111" s="139"/>
      <c r="RJE111" s="139"/>
      <c r="RJF111" s="139"/>
      <c r="RJG111" s="139"/>
      <c r="RJH111" s="139"/>
      <c r="RJI111" s="139"/>
      <c r="RJJ111" s="139"/>
      <c r="RJK111" s="139"/>
      <c r="RJL111" s="139"/>
      <c r="RJM111" s="139"/>
      <c r="RJN111" s="139"/>
      <c r="RJO111" s="139"/>
      <c r="RJP111" s="139"/>
      <c r="RJQ111" s="139"/>
      <c r="RJR111" s="139"/>
      <c r="RJS111" s="139"/>
      <c r="RJT111" s="139"/>
      <c r="RJU111" s="139"/>
      <c r="RJV111" s="139"/>
      <c r="RJW111" s="139"/>
      <c r="RJX111" s="139"/>
      <c r="RJY111" s="139"/>
      <c r="RJZ111" s="139"/>
      <c r="RKA111" s="139"/>
      <c r="RKB111" s="139"/>
      <c r="RKC111" s="139"/>
      <c r="RKD111" s="139"/>
      <c r="RKE111" s="139"/>
      <c r="RKF111" s="139"/>
      <c r="RKG111" s="139"/>
      <c r="RKH111" s="139"/>
      <c r="RKI111" s="139"/>
      <c r="RKJ111" s="139"/>
      <c r="RKK111" s="139"/>
      <c r="RKL111" s="139"/>
      <c r="RKM111" s="139"/>
      <c r="RKN111" s="139"/>
      <c r="RKO111" s="139"/>
      <c r="RKP111" s="139"/>
      <c r="RKQ111" s="139"/>
      <c r="RKR111" s="139"/>
      <c r="RKS111" s="139"/>
      <c r="RKT111" s="139"/>
      <c r="RKU111" s="139"/>
      <c r="RKV111" s="139"/>
      <c r="RKW111" s="139"/>
      <c r="RKX111" s="139"/>
      <c r="RKY111" s="139"/>
      <c r="RKZ111" s="139"/>
      <c r="RLA111" s="139"/>
      <c r="RLB111" s="139"/>
      <c r="RLC111" s="139"/>
      <c r="RLD111" s="139"/>
      <c r="RLE111" s="139"/>
      <c r="RLF111" s="139"/>
      <c r="RLG111" s="139"/>
      <c r="RLH111" s="139"/>
      <c r="RLI111" s="139"/>
      <c r="RLJ111" s="139"/>
      <c r="RLK111" s="139"/>
      <c r="RLL111" s="139"/>
      <c r="RLM111" s="139"/>
      <c r="RLN111" s="139"/>
      <c r="RLO111" s="139"/>
      <c r="RLP111" s="139"/>
      <c r="RLQ111" s="139"/>
      <c r="RLR111" s="139"/>
      <c r="RLS111" s="139"/>
      <c r="RLT111" s="139"/>
      <c r="RLU111" s="139"/>
      <c r="RLV111" s="139"/>
      <c r="RLW111" s="139"/>
      <c r="RLX111" s="139"/>
      <c r="RLY111" s="139"/>
      <c r="RLZ111" s="139"/>
      <c r="RMA111" s="139"/>
      <c r="RMB111" s="139"/>
      <c r="RMC111" s="139"/>
      <c r="RMD111" s="139"/>
      <c r="RME111" s="139"/>
      <c r="RMF111" s="139"/>
      <c r="RMG111" s="139"/>
      <c r="RMH111" s="139"/>
      <c r="RMI111" s="139"/>
      <c r="RMJ111" s="139"/>
      <c r="RMK111" s="139"/>
      <c r="RML111" s="139"/>
      <c r="RMM111" s="139"/>
      <c r="RMN111" s="139"/>
      <c r="RMO111" s="139"/>
      <c r="RMP111" s="139"/>
      <c r="RMQ111" s="139"/>
      <c r="RMR111" s="139"/>
      <c r="RMS111" s="139"/>
      <c r="RMT111" s="139"/>
      <c r="RMU111" s="139"/>
      <c r="RMV111" s="139"/>
      <c r="RMW111" s="139"/>
      <c r="RMX111" s="139"/>
      <c r="RMY111" s="139"/>
      <c r="RMZ111" s="139"/>
      <c r="RNA111" s="139"/>
      <c r="RNB111" s="139"/>
      <c r="RNC111" s="139"/>
      <c r="RND111" s="139"/>
      <c r="RNE111" s="139"/>
      <c r="RNF111" s="139"/>
      <c r="RNG111" s="139"/>
      <c r="RNH111" s="139"/>
      <c r="RNI111" s="139"/>
      <c r="RNJ111" s="139"/>
      <c r="RNK111" s="139"/>
      <c r="RNL111" s="139"/>
      <c r="RNM111" s="139"/>
      <c r="RNN111" s="139"/>
      <c r="RNO111" s="139"/>
      <c r="RNP111" s="139"/>
      <c r="RNQ111" s="139"/>
      <c r="RNR111" s="139"/>
      <c r="RNS111" s="139"/>
      <c r="RNT111" s="139"/>
      <c r="RNU111" s="139"/>
      <c r="RNV111" s="139"/>
      <c r="RNW111" s="139"/>
      <c r="RNX111" s="139"/>
      <c r="RNY111" s="139"/>
      <c r="RNZ111" s="139"/>
      <c r="ROA111" s="139"/>
      <c r="ROB111" s="139"/>
      <c r="ROC111" s="139"/>
      <c r="ROD111" s="139"/>
      <c r="ROE111" s="139"/>
      <c r="ROF111" s="139"/>
      <c r="ROG111" s="139"/>
      <c r="ROH111" s="139"/>
      <c r="ROI111" s="139"/>
      <c r="ROJ111" s="139"/>
      <c r="ROK111" s="139"/>
      <c r="ROL111" s="139"/>
      <c r="ROM111" s="139"/>
      <c r="RON111" s="139"/>
      <c r="ROO111" s="139"/>
      <c r="ROP111" s="139"/>
      <c r="ROQ111" s="139"/>
      <c r="ROR111" s="139"/>
      <c r="ROS111" s="139"/>
      <c r="ROT111" s="139"/>
      <c r="ROU111" s="139"/>
      <c r="ROV111" s="139"/>
      <c r="ROW111" s="139"/>
      <c r="ROX111" s="139"/>
      <c r="ROY111" s="139"/>
      <c r="ROZ111" s="139"/>
      <c r="RPA111" s="139"/>
      <c r="RPB111" s="139"/>
      <c r="RPC111" s="139"/>
      <c r="RPD111" s="139"/>
      <c r="RPE111" s="139"/>
      <c r="RPF111" s="139"/>
      <c r="RPG111" s="139"/>
      <c r="RPH111" s="139"/>
      <c r="RPI111" s="139"/>
      <c r="RPJ111" s="139"/>
      <c r="RPK111" s="139"/>
      <c r="RPL111" s="139"/>
      <c r="RPM111" s="139"/>
      <c r="RPN111" s="139"/>
      <c r="RPO111" s="139"/>
      <c r="RPP111" s="139"/>
      <c r="RPQ111" s="139"/>
      <c r="RPR111" s="139"/>
      <c r="RPS111" s="139"/>
      <c r="RPT111" s="139"/>
      <c r="RPU111" s="139"/>
      <c r="RPV111" s="139"/>
      <c r="RPW111" s="139"/>
      <c r="RPX111" s="139"/>
      <c r="RPY111" s="139"/>
      <c r="RPZ111" s="139"/>
      <c r="RQA111" s="139"/>
      <c r="RQB111" s="139"/>
      <c r="RQC111" s="139"/>
      <c r="RQD111" s="139"/>
      <c r="RQE111" s="139"/>
      <c r="RQF111" s="139"/>
      <c r="RQG111" s="139"/>
      <c r="RQH111" s="139"/>
      <c r="RQI111" s="139"/>
      <c r="RQJ111" s="139"/>
      <c r="RQK111" s="139"/>
      <c r="RQL111" s="139"/>
      <c r="RQM111" s="139"/>
      <c r="RQN111" s="139"/>
      <c r="RQO111" s="139"/>
      <c r="RQP111" s="139"/>
      <c r="RQQ111" s="139"/>
      <c r="RQR111" s="139"/>
      <c r="RQS111" s="139"/>
      <c r="RQT111" s="139"/>
      <c r="RQU111" s="139"/>
      <c r="RQV111" s="139"/>
      <c r="RQW111" s="139"/>
      <c r="RQX111" s="139"/>
      <c r="RQY111" s="139"/>
      <c r="RQZ111" s="139"/>
      <c r="RRA111" s="139"/>
      <c r="RRB111" s="139"/>
      <c r="RRC111" s="139"/>
      <c r="RRD111" s="139"/>
      <c r="RRE111" s="139"/>
      <c r="RRF111" s="139"/>
      <c r="RRG111" s="139"/>
      <c r="RRH111" s="139"/>
      <c r="RRI111" s="139"/>
      <c r="RRJ111" s="139"/>
      <c r="RRK111" s="139"/>
      <c r="RRL111" s="139"/>
      <c r="RRM111" s="139"/>
      <c r="RRN111" s="139"/>
      <c r="RRO111" s="139"/>
      <c r="RRP111" s="139"/>
      <c r="RRQ111" s="139"/>
      <c r="RRR111" s="139"/>
      <c r="RRS111" s="139"/>
      <c r="RRT111" s="139"/>
      <c r="RRU111" s="139"/>
      <c r="RRV111" s="139"/>
      <c r="RRW111" s="139"/>
      <c r="RRX111" s="139"/>
      <c r="RRY111" s="139"/>
      <c r="RRZ111" s="139"/>
      <c r="RSA111" s="139"/>
      <c r="RSB111" s="139"/>
      <c r="RSC111" s="139"/>
      <c r="RSD111" s="139"/>
      <c r="RSE111" s="139"/>
      <c r="RSF111" s="139"/>
      <c r="RSG111" s="139"/>
      <c r="RSH111" s="139"/>
      <c r="RSI111" s="139"/>
      <c r="RSJ111" s="139"/>
      <c r="RSK111" s="139"/>
      <c r="RSL111" s="139"/>
      <c r="RSM111" s="139"/>
      <c r="RSN111" s="139"/>
      <c r="RSO111" s="139"/>
      <c r="RSP111" s="139"/>
      <c r="RSQ111" s="139"/>
      <c r="RSR111" s="139"/>
      <c r="RSS111" s="139"/>
      <c r="RST111" s="139"/>
      <c r="RSU111" s="139"/>
      <c r="RSV111" s="139"/>
      <c r="RSW111" s="139"/>
      <c r="RSX111" s="139"/>
      <c r="RSY111" s="139"/>
      <c r="RSZ111" s="139"/>
      <c r="RTA111" s="139"/>
      <c r="RTB111" s="139"/>
      <c r="RTC111" s="139"/>
      <c r="RTD111" s="139"/>
      <c r="RTE111" s="139"/>
      <c r="RTF111" s="139"/>
      <c r="RTG111" s="139"/>
      <c r="RTH111" s="139"/>
      <c r="RTI111" s="139"/>
      <c r="RTJ111" s="139"/>
      <c r="RTK111" s="139"/>
      <c r="RTL111" s="139"/>
      <c r="RTM111" s="139"/>
      <c r="RTN111" s="139"/>
      <c r="RTO111" s="139"/>
      <c r="RTP111" s="139"/>
      <c r="RTQ111" s="139"/>
      <c r="RTR111" s="139"/>
      <c r="RTS111" s="139"/>
      <c r="RTT111" s="139"/>
      <c r="RTU111" s="139"/>
      <c r="RTV111" s="139"/>
      <c r="RTW111" s="139"/>
      <c r="RTX111" s="139"/>
      <c r="RTY111" s="139"/>
      <c r="RTZ111" s="139"/>
      <c r="RUA111" s="139"/>
      <c r="RUB111" s="139"/>
      <c r="RUC111" s="139"/>
      <c r="RUD111" s="139"/>
      <c r="RUE111" s="139"/>
      <c r="RUF111" s="139"/>
      <c r="RUG111" s="139"/>
      <c r="RUH111" s="139"/>
      <c r="RUI111" s="139"/>
      <c r="RUJ111" s="139"/>
      <c r="RUK111" s="139"/>
      <c r="RUL111" s="139"/>
      <c r="RUM111" s="139"/>
      <c r="RUN111" s="139"/>
      <c r="RUO111" s="139"/>
      <c r="RUP111" s="139"/>
      <c r="RUQ111" s="139"/>
      <c r="RUR111" s="139"/>
      <c r="RUS111" s="139"/>
      <c r="RUT111" s="139"/>
      <c r="RUU111" s="139"/>
      <c r="RUV111" s="139"/>
      <c r="RUW111" s="139"/>
      <c r="RUX111" s="139"/>
      <c r="RUY111" s="139"/>
      <c r="RUZ111" s="139"/>
      <c r="RVA111" s="139"/>
      <c r="RVB111" s="139"/>
      <c r="RVC111" s="139"/>
      <c r="RVD111" s="139"/>
      <c r="RVE111" s="139"/>
      <c r="RVF111" s="139"/>
      <c r="RVG111" s="139"/>
      <c r="RVH111" s="139"/>
      <c r="RVI111" s="139"/>
      <c r="RVJ111" s="139"/>
      <c r="RVK111" s="139"/>
      <c r="RVL111" s="139"/>
      <c r="RVM111" s="139"/>
      <c r="RVN111" s="139"/>
      <c r="RVO111" s="139"/>
      <c r="RVP111" s="139"/>
      <c r="RVQ111" s="139"/>
      <c r="RVR111" s="139"/>
      <c r="RVS111" s="139"/>
      <c r="RVT111" s="139"/>
      <c r="RVU111" s="139"/>
      <c r="RVV111" s="139"/>
      <c r="RVW111" s="139"/>
      <c r="RVX111" s="139"/>
      <c r="RVY111" s="139"/>
      <c r="RVZ111" s="139"/>
      <c r="RWA111" s="139"/>
      <c r="RWB111" s="139"/>
      <c r="RWC111" s="139"/>
      <c r="RWD111" s="139"/>
      <c r="RWE111" s="139"/>
      <c r="RWF111" s="139"/>
      <c r="RWG111" s="139"/>
      <c r="RWH111" s="139"/>
      <c r="RWI111" s="139"/>
      <c r="RWJ111" s="139"/>
      <c r="RWK111" s="139"/>
      <c r="RWL111" s="139"/>
      <c r="RWM111" s="139"/>
      <c r="RWN111" s="139"/>
      <c r="RWO111" s="139"/>
      <c r="RWP111" s="139"/>
      <c r="RWQ111" s="139"/>
      <c r="RWR111" s="139"/>
      <c r="RWS111" s="139"/>
      <c r="RWT111" s="139"/>
      <c r="RWU111" s="139"/>
      <c r="RWV111" s="139"/>
      <c r="RWW111" s="139"/>
      <c r="RWX111" s="139"/>
      <c r="RWY111" s="139"/>
      <c r="RWZ111" s="139"/>
      <c r="RXA111" s="139"/>
      <c r="RXB111" s="139"/>
      <c r="RXC111" s="139"/>
      <c r="RXD111" s="139"/>
      <c r="RXE111" s="139"/>
      <c r="RXF111" s="139"/>
      <c r="RXG111" s="139"/>
      <c r="RXH111" s="139"/>
      <c r="RXI111" s="139"/>
      <c r="RXJ111" s="139"/>
      <c r="RXK111" s="139"/>
      <c r="RXL111" s="139"/>
      <c r="RXM111" s="139"/>
      <c r="RXN111" s="139"/>
      <c r="RXO111" s="139"/>
      <c r="RXP111" s="139"/>
      <c r="RXQ111" s="139"/>
      <c r="RXR111" s="139"/>
      <c r="RXS111" s="139"/>
      <c r="RXT111" s="139"/>
      <c r="RXU111" s="139"/>
      <c r="RXV111" s="139"/>
      <c r="RXW111" s="139"/>
      <c r="RXX111" s="139"/>
      <c r="RXY111" s="139"/>
      <c r="RXZ111" s="139"/>
      <c r="RYA111" s="139"/>
      <c r="RYB111" s="139"/>
      <c r="RYC111" s="139"/>
      <c r="RYD111" s="139"/>
      <c r="RYE111" s="139"/>
      <c r="RYF111" s="139"/>
      <c r="RYG111" s="139"/>
      <c r="RYH111" s="139"/>
      <c r="RYI111" s="139"/>
      <c r="RYJ111" s="139"/>
      <c r="RYK111" s="139"/>
      <c r="RYL111" s="139"/>
      <c r="RYM111" s="139"/>
      <c r="RYN111" s="139"/>
      <c r="RYO111" s="139"/>
      <c r="RYP111" s="139"/>
      <c r="RYQ111" s="139"/>
      <c r="RYR111" s="139"/>
      <c r="RYS111" s="139"/>
      <c r="RYT111" s="139"/>
      <c r="RYU111" s="139"/>
      <c r="RYV111" s="139"/>
      <c r="RYW111" s="139"/>
      <c r="RYX111" s="139"/>
      <c r="RYY111" s="139"/>
      <c r="RYZ111" s="139"/>
      <c r="RZA111" s="139"/>
      <c r="RZB111" s="139"/>
      <c r="RZC111" s="139"/>
      <c r="RZD111" s="139"/>
      <c r="RZE111" s="139"/>
      <c r="RZF111" s="139"/>
      <c r="RZG111" s="139"/>
      <c r="RZH111" s="139"/>
      <c r="RZI111" s="139"/>
      <c r="RZJ111" s="139"/>
      <c r="RZK111" s="139"/>
      <c r="RZL111" s="139"/>
      <c r="RZM111" s="139"/>
      <c r="RZN111" s="139"/>
      <c r="RZO111" s="139"/>
      <c r="RZP111" s="139"/>
      <c r="RZQ111" s="139"/>
      <c r="RZR111" s="139"/>
      <c r="RZS111" s="139"/>
      <c r="RZT111" s="139"/>
      <c r="RZU111" s="139"/>
      <c r="RZV111" s="139"/>
      <c r="RZW111" s="139"/>
      <c r="RZX111" s="139"/>
      <c r="RZY111" s="139"/>
      <c r="RZZ111" s="139"/>
      <c r="SAA111" s="139"/>
      <c r="SAB111" s="139"/>
      <c r="SAC111" s="139"/>
      <c r="SAD111" s="139"/>
      <c r="SAE111" s="139"/>
      <c r="SAF111" s="139"/>
      <c r="SAG111" s="139"/>
      <c r="SAH111" s="139"/>
      <c r="SAI111" s="139"/>
      <c r="SAJ111" s="139"/>
      <c r="SAK111" s="139"/>
      <c r="SAL111" s="139"/>
      <c r="SAM111" s="139"/>
      <c r="SAN111" s="139"/>
      <c r="SAO111" s="139"/>
      <c r="SAP111" s="139"/>
      <c r="SAQ111" s="139"/>
      <c r="SAR111" s="139"/>
      <c r="SAS111" s="139"/>
      <c r="SAT111" s="139"/>
      <c r="SAU111" s="139"/>
      <c r="SAV111" s="139"/>
      <c r="SAW111" s="139"/>
      <c r="SAX111" s="139"/>
      <c r="SAY111" s="139"/>
      <c r="SAZ111" s="139"/>
      <c r="SBA111" s="139"/>
      <c r="SBB111" s="139"/>
      <c r="SBC111" s="139"/>
      <c r="SBD111" s="139"/>
      <c r="SBE111" s="139"/>
      <c r="SBF111" s="139"/>
      <c r="SBG111" s="139"/>
      <c r="SBH111" s="139"/>
      <c r="SBI111" s="139"/>
      <c r="SBJ111" s="139"/>
      <c r="SBK111" s="139"/>
      <c r="SBL111" s="139"/>
      <c r="SBM111" s="139"/>
      <c r="SBN111" s="139"/>
      <c r="SBO111" s="139"/>
      <c r="SBP111" s="139"/>
      <c r="SBQ111" s="139"/>
      <c r="SBR111" s="139"/>
      <c r="SBS111" s="139"/>
      <c r="SBT111" s="139"/>
      <c r="SBU111" s="139"/>
      <c r="SBV111" s="139"/>
      <c r="SBW111" s="139"/>
      <c r="SBX111" s="139"/>
      <c r="SBY111" s="139"/>
      <c r="SBZ111" s="139"/>
      <c r="SCA111" s="139"/>
      <c r="SCB111" s="139"/>
      <c r="SCC111" s="139"/>
      <c r="SCD111" s="139"/>
      <c r="SCE111" s="139"/>
      <c r="SCF111" s="139"/>
      <c r="SCG111" s="139"/>
      <c r="SCH111" s="139"/>
      <c r="SCI111" s="139"/>
      <c r="SCJ111" s="139"/>
      <c r="SCK111" s="139"/>
      <c r="SCL111" s="139"/>
      <c r="SCM111" s="139"/>
      <c r="SCN111" s="139"/>
      <c r="SCO111" s="139"/>
      <c r="SCP111" s="139"/>
      <c r="SCQ111" s="139"/>
      <c r="SCR111" s="139"/>
      <c r="SCS111" s="139"/>
      <c r="SCT111" s="139"/>
      <c r="SCU111" s="139"/>
      <c r="SCV111" s="139"/>
      <c r="SCW111" s="139"/>
      <c r="SCX111" s="139"/>
      <c r="SCY111" s="139"/>
      <c r="SCZ111" s="139"/>
      <c r="SDA111" s="139"/>
      <c r="SDB111" s="139"/>
      <c r="SDC111" s="139"/>
      <c r="SDD111" s="139"/>
      <c r="SDE111" s="139"/>
      <c r="SDF111" s="139"/>
      <c r="SDG111" s="139"/>
      <c r="SDH111" s="139"/>
      <c r="SDI111" s="139"/>
      <c r="SDJ111" s="139"/>
      <c r="SDK111" s="139"/>
      <c r="SDL111" s="139"/>
      <c r="SDM111" s="139"/>
      <c r="SDN111" s="139"/>
      <c r="SDO111" s="139"/>
      <c r="SDP111" s="139"/>
      <c r="SDQ111" s="139"/>
      <c r="SDR111" s="139"/>
      <c r="SDS111" s="139"/>
      <c r="SDT111" s="139"/>
      <c r="SDU111" s="139"/>
      <c r="SDV111" s="139"/>
      <c r="SDW111" s="139"/>
      <c r="SDX111" s="139"/>
      <c r="SDY111" s="139"/>
      <c r="SDZ111" s="139"/>
      <c r="SEA111" s="139"/>
      <c r="SEB111" s="139"/>
      <c r="SEC111" s="139"/>
      <c r="SED111" s="139"/>
      <c r="SEE111" s="139"/>
      <c r="SEF111" s="139"/>
      <c r="SEG111" s="139"/>
      <c r="SEH111" s="139"/>
      <c r="SEI111" s="139"/>
      <c r="SEJ111" s="139"/>
      <c r="SEK111" s="139"/>
      <c r="SEL111" s="139"/>
      <c r="SEM111" s="139"/>
      <c r="SEN111" s="139"/>
      <c r="SEO111" s="139"/>
      <c r="SEP111" s="139"/>
      <c r="SEQ111" s="139"/>
      <c r="SER111" s="139"/>
      <c r="SES111" s="139"/>
      <c r="SET111" s="139"/>
      <c r="SEU111" s="139"/>
      <c r="SEV111" s="139"/>
      <c r="SEW111" s="139"/>
      <c r="SEX111" s="139"/>
      <c r="SEY111" s="139"/>
      <c r="SEZ111" s="139"/>
      <c r="SFA111" s="139"/>
      <c r="SFB111" s="139"/>
      <c r="SFC111" s="139"/>
      <c r="SFD111" s="139"/>
      <c r="SFE111" s="139"/>
      <c r="SFF111" s="139"/>
      <c r="SFG111" s="139"/>
      <c r="SFH111" s="139"/>
      <c r="SFI111" s="139"/>
      <c r="SFJ111" s="139"/>
      <c r="SFK111" s="139"/>
      <c r="SFL111" s="139"/>
      <c r="SFM111" s="139"/>
      <c r="SFN111" s="139"/>
      <c r="SFO111" s="139"/>
      <c r="SFP111" s="139"/>
      <c r="SFQ111" s="139"/>
      <c r="SFR111" s="139"/>
      <c r="SFS111" s="139"/>
      <c r="SFT111" s="139"/>
      <c r="SFU111" s="139"/>
      <c r="SFV111" s="139"/>
      <c r="SFW111" s="139"/>
      <c r="SFX111" s="139"/>
      <c r="SFY111" s="139"/>
      <c r="SFZ111" s="139"/>
      <c r="SGA111" s="139"/>
      <c r="SGB111" s="139"/>
      <c r="SGC111" s="139"/>
      <c r="SGD111" s="139"/>
      <c r="SGE111" s="139"/>
      <c r="SGF111" s="139"/>
      <c r="SGG111" s="139"/>
      <c r="SGH111" s="139"/>
      <c r="SGI111" s="139"/>
      <c r="SGJ111" s="139"/>
      <c r="SGK111" s="139"/>
      <c r="SGL111" s="139"/>
      <c r="SGM111" s="139"/>
      <c r="SGN111" s="139"/>
      <c r="SGO111" s="139"/>
      <c r="SGP111" s="139"/>
      <c r="SGQ111" s="139"/>
      <c r="SGR111" s="139"/>
      <c r="SGS111" s="139"/>
      <c r="SGT111" s="139"/>
      <c r="SGU111" s="139"/>
      <c r="SGV111" s="139"/>
      <c r="SGW111" s="139"/>
      <c r="SGX111" s="139"/>
      <c r="SGY111" s="139"/>
      <c r="SGZ111" s="139"/>
      <c r="SHA111" s="139"/>
      <c r="SHB111" s="139"/>
      <c r="SHC111" s="139"/>
      <c r="SHD111" s="139"/>
      <c r="SHE111" s="139"/>
      <c r="SHF111" s="139"/>
      <c r="SHG111" s="139"/>
      <c r="SHH111" s="139"/>
      <c r="SHI111" s="139"/>
      <c r="SHJ111" s="139"/>
      <c r="SHK111" s="139"/>
      <c r="SHL111" s="139"/>
      <c r="SHM111" s="139"/>
      <c r="SHN111" s="139"/>
      <c r="SHO111" s="139"/>
      <c r="SHP111" s="139"/>
      <c r="SHQ111" s="139"/>
      <c r="SHR111" s="139"/>
      <c r="SHS111" s="139"/>
      <c r="SHT111" s="139"/>
      <c r="SHU111" s="139"/>
      <c r="SHV111" s="139"/>
      <c r="SHW111" s="139"/>
      <c r="SHX111" s="139"/>
      <c r="SHY111" s="139"/>
      <c r="SHZ111" s="139"/>
      <c r="SIA111" s="139"/>
      <c r="SIB111" s="139"/>
      <c r="SIC111" s="139"/>
      <c r="SID111" s="139"/>
      <c r="SIE111" s="139"/>
      <c r="SIF111" s="139"/>
      <c r="SIG111" s="139"/>
      <c r="SIH111" s="139"/>
      <c r="SII111" s="139"/>
      <c r="SIJ111" s="139"/>
      <c r="SIK111" s="139"/>
      <c r="SIL111" s="139"/>
      <c r="SIM111" s="139"/>
      <c r="SIN111" s="139"/>
      <c r="SIO111" s="139"/>
      <c r="SIP111" s="139"/>
      <c r="SIQ111" s="139"/>
      <c r="SIR111" s="139"/>
      <c r="SIS111" s="139"/>
      <c r="SIT111" s="139"/>
      <c r="SIU111" s="139"/>
      <c r="SIV111" s="139"/>
      <c r="SIW111" s="139"/>
      <c r="SIX111" s="139"/>
      <c r="SIY111" s="139"/>
      <c r="SIZ111" s="139"/>
      <c r="SJA111" s="139"/>
      <c r="SJB111" s="139"/>
      <c r="SJC111" s="139"/>
      <c r="SJD111" s="139"/>
      <c r="SJE111" s="139"/>
      <c r="SJF111" s="139"/>
      <c r="SJG111" s="139"/>
      <c r="SJH111" s="139"/>
      <c r="SJI111" s="139"/>
      <c r="SJJ111" s="139"/>
      <c r="SJK111" s="139"/>
      <c r="SJL111" s="139"/>
      <c r="SJM111" s="139"/>
      <c r="SJN111" s="139"/>
      <c r="SJO111" s="139"/>
      <c r="SJP111" s="139"/>
      <c r="SJQ111" s="139"/>
      <c r="SJR111" s="139"/>
      <c r="SJS111" s="139"/>
      <c r="SJT111" s="139"/>
      <c r="SJU111" s="139"/>
      <c r="SJV111" s="139"/>
      <c r="SJW111" s="139"/>
      <c r="SJX111" s="139"/>
      <c r="SJY111" s="139"/>
      <c r="SJZ111" s="139"/>
      <c r="SKA111" s="139"/>
      <c r="SKB111" s="139"/>
      <c r="SKC111" s="139"/>
      <c r="SKD111" s="139"/>
      <c r="SKE111" s="139"/>
      <c r="SKF111" s="139"/>
      <c r="SKG111" s="139"/>
      <c r="SKH111" s="139"/>
      <c r="SKI111" s="139"/>
      <c r="SKJ111" s="139"/>
      <c r="SKK111" s="139"/>
      <c r="SKL111" s="139"/>
      <c r="SKM111" s="139"/>
      <c r="SKN111" s="139"/>
      <c r="SKO111" s="139"/>
      <c r="SKP111" s="139"/>
      <c r="SKQ111" s="139"/>
      <c r="SKR111" s="139"/>
      <c r="SKS111" s="139"/>
      <c r="SKT111" s="139"/>
      <c r="SKU111" s="139"/>
      <c r="SKV111" s="139"/>
      <c r="SKW111" s="139"/>
      <c r="SKX111" s="139"/>
      <c r="SKY111" s="139"/>
      <c r="SKZ111" s="139"/>
      <c r="SLA111" s="139"/>
      <c r="SLB111" s="139"/>
      <c r="SLC111" s="139"/>
      <c r="SLD111" s="139"/>
      <c r="SLE111" s="139"/>
      <c r="SLF111" s="139"/>
      <c r="SLG111" s="139"/>
      <c r="SLH111" s="139"/>
      <c r="SLI111" s="139"/>
      <c r="SLJ111" s="139"/>
      <c r="SLK111" s="139"/>
      <c r="SLL111" s="139"/>
      <c r="SLM111" s="139"/>
      <c r="SLN111" s="139"/>
      <c r="SLO111" s="139"/>
      <c r="SLP111" s="139"/>
      <c r="SLQ111" s="139"/>
      <c r="SLR111" s="139"/>
      <c r="SLS111" s="139"/>
      <c r="SLT111" s="139"/>
      <c r="SLU111" s="139"/>
      <c r="SLV111" s="139"/>
      <c r="SLW111" s="139"/>
      <c r="SLX111" s="139"/>
      <c r="SLY111" s="139"/>
      <c r="SLZ111" s="139"/>
      <c r="SMA111" s="139"/>
      <c r="SMB111" s="139"/>
      <c r="SMC111" s="139"/>
      <c r="SMD111" s="139"/>
      <c r="SME111" s="139"/>
      <c r="SMF111" s="139"/>
      <c r="SMG111" s="139"/>
      <c r="SMH111" s="139"/>
      <c r="SMI111" s="139"/>
      <c r="SMJ111" s="139"/>
      <c r="SMK111" s="139"/>
      <c r="SML111" s="139"/>
      <c r="SMM111" s="139"/>
      <c r="SMN111" s="139"/>
      <c r="SMO111" s="139"/>
      <c r="SMP111" s="139"/>
      <c r="SMQ111" s="139"/>
      <c r="SMR111" s="139"/>
      <c r="SMS111" s="139"/>
      <c r="SMT111" s="139"/>
      <c r="SMU111" s="139"/>
      <c r="SMV111" s="139"/>
      <c r="SMW111" s="139"/>
      <c r="SMX111" s="139"/>
      <c r="SMY111" s="139"/>
      <c r="SMZ111" s="139"/>
      <c r="SNA111" s="139"/>
      <c r="SNB111" s="139"/>
      <c r="SNC111" s="139"/>
      <c r="SND111" s="139"/>
      <c r="SNE111" s="139"/>
      <c r="SNF111" s="139"/>
      <c r="SNG111" s="139"/>
      <c r="SNH111" s="139"/>
      <c r="SNI111" s="139"/>
      <c r="SNJ111" s="139"/>
      <c r="SNK111" s="139"/>
      <c r="SNL111" s="139"/>
      <c r="SNM111" s="139"/>
      <c r="SNN111" s="139"/>
      <c r="SNO111" s="139"/>
      <c r="SNP111" s="139"/>
      <c r="SNQ111" s="139"/>
      <c r="SNR111" s="139"/>
      <c r="SNS111" s="139"/>
      <c r="SNT111" s="139"/>
      <c r="SNU111" s="139"/>
      <c r="SNV111" s="139"/>
      <c r="SNW111" s="139"/>
      <c r="SNX111" s="139"/>
      <c r="SNY111" s="139"/>
      <c r="SNZ111" s="139"/>
      <c r="SOA111" s="139"/>
      <c r="SOB111" s="139"/>
      <c r="SOC111" s="139"/>
      <c r="SOD111" s="139"/>
      <c r="SOE111" s="139"/>
      <c r="SOF111" s="139"/>
      <c r="SOG111" s="139"/>
      <c r="SOH111" s="139"/>
      <c r="SOI111" s="139"/>
      <c r="SOJ111" s="139"/>
      <c r="SOK111" s="139"/>
      <c r="SOL111" s="139"/>
      <c r="SOM111" s="139"/>
      <c r="SON111" s="139"/>
      <c r="SOO111" s="139"/>
      <c r="SOP111" s="139"/>
      <c r="SOQ111" s="139"/>
      <c r="SOR111" s="139"/>
      <c r="SOS111" s="139"/>
      <c r="SOT111" s="139"/>
      <c r="SOU111" s="139"/>
      <c r="SOV111" s="139"/>
      <c r="SOW111" s="139"/>
      <c r="SOX111" s="139"/>
      <c r="SOY111" s="139"/>
      <c r="SOZ111" s="139"/>
      <c r="SPA111" s="139"/>
      <c r="SPB111" s="139"/>
      <c r="SPC111" s="139"/>
      <c r="SPD111" s="139"/>
      <c r="SPE111" s="139"/>
      <c r="SPF111" s="139"/>
      <c r="SPG111" s="139"/>
      <c r="SPH111" s="139"/>
      <c r="SPI111" s="139"/>
      <c r="SPJ111" s="139"/>
      <c r="SPK111" s="139"/>
      <c r="SPL111" s="139"/>
      <c r="SPM111" s="139"/>
      <c r="SPN111" s="139"/>
      <c r="SPO111" s="139"/>
      <c r="SPP111" s="139"/>
      <c r="SPQ111" s="139"/>
      <c r="SPR111" s="139"/>
      <c r="SPS111" s="139"/>
      <c r="SPT111" s="139"/>
      <c r="SPU111" s="139"/>
      <c r="SPV111" s="139"/>
      <c r="SPW111" s="139"/>
      <c r="SPX111" s="139"/>
      <c r="SPY111" s="139"/>
      <c r="SPZ111" s="139"/>
      <c r="SQA111" s="139"/>
      <c r="SQB111" s="139"/>
      <c r="SQC111" s="139"/>
      <c r="SQD111" s="139"/>
      <c r="SQE111" s="139"/>
      <c r="SQF111" s="139"/>
      <c r="SQG111" s="139"/>
      <c r="SQH111" s="139"/>
      <c r="SQI111" s="139"/>
      <c r="SQJ111" s="139"/>
      <c r="SQK111" s="139"/>
      <c r="SQL111" s="139"/>
      <c r="SQM111" s="139"/>
      <c r="SQN111" s="139"/>
      <c r="SQO111" s="139"/>
      <c r="SQP111" s="139"/>
      <c r="SQQ111" s="139"/>
      <c r="SQR111" s="139"/>
      <c r="SQS111" s="139"/>
      <c r="SQT111" s="139"/>
      <c r="SQU111" s="139"/>
      <c r="SQV111" s="139"/>
      <c r="SQW111" s="139"/>
      <c r="SQX111" s="139"/>
      <c r="SQY111" s="139"/>
      <c r="SQZ111" s="139"/>
      <c r="SRA111" s="139"/>
      <c r="SRB111" s="139"/>
      <c r="SRC111" s="139"/>
      <c r="SRD111" s="139"/>
      <c r="SRE111" s="139"/>
      <c r="SRF111" s="139"/>
      <c r="SRG111" s="139"/>
      <c r="SRH111" s="139"/>
      <c r="SRI111" s="139"/>
      <c r="SRJ111" s="139"/>
      <c r="SRK111" s="139"/>
      <c r="SRL111" s="139"/>
      <c r="SRM111" s="139"/>
      <c r="SRN111" s="139"/>
      <c r="SRO111" s="139"/>
      <c r="SRP111" s="139"/>
      <c r="SRQ111" s="139"/>
      <c r="SRR111" s="139"/>
      <c r="SRS111" s="139"/>
      <c r="SRT111" s="139"/>
      <c r="SRU111" s="139"/>
      <c r="SRV111" s="139"/>
      <c r="SRW111" s="139"/>
      <c r="SRX111" s="139"/>
      <c r="SRY111" s="139"/>
      <c r="SRZ111" s="139"/>
      <c r="SSA111" s="139"/>
      <c r="SSB111" s="139"/>
      <c r="SSC111" s="139"/>
      <c r="SSD111" s="139"/>
      <c r="SSE111" s="139"/>
      <c r="SSF111" s="139"/>
      <c r="SSG111" s="139"/>
      <c r="SSH111" s="139"/>
      <c r="SSI111" s="139"/>
      <c r="SSJ111" s="139"/>
      <c r="SSK111" s="139"/>
      <c r="SSL111" s="139"/>
      <c r="SSM111" s="139"/>
      <c r="SSN111" s="139"/>
      <c r="SSO111" s="139"/>
      <c r="SSP111" s="139"/>
      <c r="SSQ111" s="139"/>
      <c r="SSR111" s="139"/>
      <c r="SSS111" s="139"/>
      <c r="SST111" s="139"/>
      <c r="SSU111" s="139"/>
      <c r="SSV111" s="139"/>
      <c r="SSW111" s="139"/>
      <c r="SSX111" s="139"/>
      <c r="SSY111" s="139"/>
      <c r="SSZ111" s="139"/>
      <c r="STA111" s="139"/>
      <c r="STB111" s="139"/>
      <c r="STC111" s="139"/>
      <c r="STD111" s="139"/>
      <c r="STE111" s="139"/>
      <c r="STF111" s="139"/>
      <c r="STG111" s="139"/>
      <c r="STH111" s="139"/>
      <c r="STI111" s="139"/>
      <c r="STJ111" s="139"/>
      <c r="STK111" s="139"/>
      <c r="STL111" s="139"/>
      <c r="STM111" s="139"/>
      <c r="STN111" s="139"/>
      <c r="STO111" s="139"/>
      <c r="STP111" s="139"/>
      <c r="STQ111" s="139"/>
      <c r="STR111" s="139"/>
      <c r="STS111" s="139"/>
      <c r="STT111" s="139"/>
      <c r="STU111" s="139"/>
      <c r="STV111" s="139"/>
      <c r="STW111" s="139"/>
      <c r="STX111" s="139"/>
      <c r="STY111" s="139"/>
      <c r="STZ111" s="139"/>
      <c r="SUA111" s="139"/>
      <c r="SUB111" s="139"/>
      <c r="SUC111" s="139"/>
      <c r="SUD111" s="139"/>
      <c r="SUE111" s="139"/>
      <c r="SUF111" s="139"/>
      <c r="SUG111" s="139"/>
      <c r="SUH111" s="139"/>
      <c r="SUI111" s="139"/>
      <c r="SUJ111" s="139"/>
      <c r="SUK111" s="139"/>
      <c r="SUL111" s="139"/>
      <c r="SUM111" s="139"/>
      <c r="SUN111" s="139"/>
      <c r="SUO111" s="139"/>
      <c r="SUP111" s="139"/>
      <c r="SUQ111" s="139"/>
      <c r="SUR111" s="139"/>
      <c r="SUS111" s="139"/>
      <c r="SUT111" s="139"/>
      <c r="SUU111" s="139"/>
      <c r="SUV111" s="139"/>
      <c r="SUW111" s="139"/>
      <c r="SUX111" s="139"/>
      <c r="SUY111" s="139"/>
      <c r="SUZ111" s="139"/>
      <c r="SVA111" s="139"/>
      <c r="SVB111" s="139"/>
      <c r="SVC111" s="139"/>
      <c r="SVD111" s="139"/>
      <c r="SVE111" s="139"/>
      <c r="SVF111" s="139"/>
      <c r="SVG111" s="139"/>
      <c r="SVH111" s="139"/>
      <c r="SVI111" s="139"/>
      <c r="SVJ111" s="139"/>
      <c r="SVK111" s="139"/>
      <c r="SVL111" s="139"/>
      <c r="SVM111" s="139"/>
      <c r="SVN111" s="139"/>
      <c r="SVO111" s="139"/>
      <c r="SVP111" s="139"/>
      <c r="SVQ111" s="139"/>
      <c r="SVR111" s="139"/>
      <c r="SVS111" s="139"/>
      <c r="SVT111" s="139"/>
      <c r="SVU111" s="139"/>
      <c r="SVV111" s="139"/>
      <c r="SVW111" s="139"/>
      <c r="SVX111" s="139"/>
      <c r="SVY111" s="139"/>
      <c r="SVZ111" s="139"/>
      <c r="SWA111" s="139"/>
      <c r="SWB111" s="139"/>
      <c r="SWC111" s="139"/>
      <c r="SWD111" s="139"/>
      <c r="SWE111" s="139"/>
      <c r="SWF111" s="139"/>
      <c r="SWG111" s="139"/>
      <c r="SWH111" s="139"/>
      <c r="SWI111" s="139"/>
      <c r="SWJ111" s="139"/>
      <c r="SWK111" s="139"/>
      <c r="SWL111" s="139"/>
      <c r="SWM111" s="139"/>
      <c r="SWN111" s="139"/>
      <c r="SWO111" s="139"/>
      <c r="SWP111" s="139"/>
      <c r="SWQ111" s="139"/>
      <c r="SWR111" s="139"/>
      <c r="SWS111" s="139"/>
      <c r="SWT111" s="139"/>
      <c r="SWU111" s="139"/>
      <c r="SWV111" s="139"/>
      <c r="SWW111" s="139"/>
      <c r="SWX111" s="139"/>
      <c r="SWY111" s="139"/>
      <c r="SWZ111" s="139"/>
      <c r="SXA111" s="139"/>
      <c r="SXB111" s="139"/>
      <c r="SXC111" s="139"/>
      <c r="SXD111" s="139"/>
      <c r="SXE111" s="139"/>
      <c r="SXF111" s="139"/>
      <c r="SXG111" s="139"/>
      <c r="SXH111" s="139"/>
      <c r="SXI111" s="139"/>
      <c r="SXJ111" s="139"/>
      <c r="SXK111" s="139"/>
      <c r="SXL111" s="139"/>
      <c r="SXM111" s="139"/>
      <c r="SXN111" s="139"/>
      <c r="SXO111" s="139"/>
      <c r="SXP111" s="139"/>
      <c r="SXQ111" s="139"/>
      <c r="SXR111" s="139"/>
      <c r="SXS111" s="139"/>
      <c r="SXT111" s="139"/>
      <c r="SXU111" s="139"/>
      <c r="SXV111" s="139"/>
      <c r="SXW111" s="139"/>
      <c r="SXX111" s="139"/>
      <c r="SXY111" s="139"/>
      <c r="SXZ111" s="139"/>
      <c r="SYA111" s="139"/>
      <c r="SYB111" s="139"/>
      <c r="SYC111" s="139"/>
      <c r="SYD111" s="139"/>
      <c r="SYE111" s="139"/>
      <c r="SYF111" s="139"/>
      <c r="SYG111" s="139"/>
      <c r="SYH111" s="139"/>
      <c r="SYI111" s="139"/>
      <c r="SYJ111" s="139"/>
      <c r="SYK111" s="139"/>
      <c r="SYL111" s="139"/>
      <c r="SYM111" s="139"/>
      <c r="SYN111" s="139"/>
      <c r="SYO111" s="139"/>
      <c r="SYP111" s="139"/>
      <c r="SYQ111" s="139"/>
      <c r="SYR111" s="139"/>
      <c r="SYS111" s="139"/>
      <c r="SYT111" s="139"/>
      <c r="SYU111" s="139"/>
      <c r="SYV111" s="139"/>
      <c r="SYW111" s="139"/>
      <c r="SYX111" s="139"/>
      <c r="SYY111" s="139"/>
      <c r="SYZ111" s="139"/>
      <c r="SZA111" s="139"/>
      <c r="SZB111" s="139"/>
      <c r="SZC111" s="139"/>
      <c r="SZD111" s="139"/>
      <c r="SZE111" s="139"/>
      <c r="SZF111" s="139"/>
      <c r="SZG111" s="139"/>
      <c r="SZH111" s="139"/>
      <c r="SZI111" s="139"/>
      <c r="SZJ111" s="139"/>
      <c r="SZK111" s="139"/>
      <c r="SZL111" s="139"/>
      <c r="SZM111" s="139"/>
      <c r="SZN111" s="139"/>
      <c r="SZO111" s="139"/>
      <c r="SZP111" s="139"/>
      <c r="SZQ111" s="139"/>
      <c r="SZR111" s="139"/>
      <c r="SZS111" s="139"/>
      <c r="SZT111" s="139"/>
      <c r="SZU111" s="139"/>
      <c r="SZV111" s="139"/>
      <c r="SZW111" s="139"/>
      <c r="SZX111" s="139"/>
      <c r="SZY111" s="139"/>
      <c r="SZZ111" s="139"/>
      <c r="TAA111" s="139"/>
      <c r="TAB111" s="139"/>
      <c r="TAC111" s="139"/>
      <c r="TAD111" s="139"/>
      <c r="TAE111" s="139"/>
      <c r="TAF111" s="139"/>
      <c r="TAG111" s="139"/>
      <c r="TAH111" s="139"/>
      <c r="TAI111" s="139"/>
      <c r="TAJ111" s="139"/>
      <c r="TAK111" s="139"/>
      <c r="TAL111" s="139"/>
      <c r="TAM111" s="139"/>
      <c r="TAN111" s="139"/>
      <c r="TAO111" s="139"/>
      <c r="TAP111" s="139"/>
      <c r="TAQ111" s="139"/>
      <c r="TAR111" s="139"/>
      <c r="TAS111" s="139"/>
      <c r="TAT111" s="139"/>
      <c r="TAU111" s="139"/>
      <c r="TAV111" s="139"/>
      <c r="TAW111" s="139"/>
      <c r="TAX111" s="139"/>
      <c r="TAY111" s="139"/>
      <c r="TAZ111" s="139"/>
      <c r="TBA111" s="139"/>
      <c r="TBB111" s="139"/>
      <c r="TBC111" s="139"/>
      <c r="TBD111" s="139"/>
      <c r="TBE111" s="139"/>
      <c r="TBF111" s="139"/>
      <c r="TBG111" s="139"/>
      <c r="TBH111" s="139"/>
      <c r="TBI111" s="139"/>
      <c r="TBJ111" s="139"/>
      <c r="TBK111" s="139"/>
      <c r="TBL111" s="139"/>
      <c r="TBM111" s="139"/>
      <c r="TBN111" s="139"/>
      <c r="TBO111" s="139"/>
      <c r="TBP111" s="139"/>
      <c r="TBQ111" s="139"/>
      <c r="TBR111" s="139"/>
      <c r="TBS111" s="139"/>
      <c r="TBT111" s="139"/>
      <c r="TBU111" s="139"/>
      <c r="TBV111" s="139"/>
      <c r="TBW111" s="139"/>
      <c r="TBX111" s="139"/>
      <c r="TBY111" s="139"/>
      <c r="TBZ111" s="139"/>
      <c r="TCA111" s="139"/>
      <c r="TCB111" s="139"/>
      <c r="TCC111" s="139"/>
      <c r="TCD111" s="139"/>
      <c r="TCE111" s="139"/>
      <c r="TCF111" s="139"/>
      <c r="TCG111" s="139"/>
      <c r="TCH111" s="139"/>
      <c r="TCI111" s="139"/>
      <c r="TCJ111" s="139"/>
      <c r="TCK111" s="139"/>
      <c r="TCL111" s="139"/>
      <c r="TCM111" s="139"/>
      <c r="TCN111" s="139"/>
      <c r="TCO111" s="139"/>
      <c r="TCP111" s="139"/>
      <c r="TCQ111" s="139"/>
      <c r="TCR111" s="139"/>
      <c r="TCS111" s="139"/>
      <c r="TCT111" s="139"/>
      <c r="TCU111" s="139"/>
      <c r="TCV111" s="139"/>
      <c r="TCW111" s="139"/>
      <c r="TCX111" s="139"/>
      <c r="TCY111" s="139"/>
      <c r="TCZ111" s="139"/>
      <c r="TDA111" s="139"/>
      <c r="TDB111" s="139"/>
      <c r="TDC111" s="139"/>
      <c r="TDD111" s="139"/>
      <c r="TDE111" s="139"/>
      <c r="TDF111" s="139"/>
      <c r="TDG111" s="139"/>
      <c r="TDH111" s="139"/>
      <c r="TDI111" s="139"/>
      <c r="TDJ111" s="139"/>
      <c r="TDK111" s="139"/>
      <c r="TDL111" s="139"/>
      <c r="TDM111" s="139"/>
      <c r="TDN111" s="139"/>
      <c r="TDO111" s="139"/>
      <c r="TDP111" s="139"/>
      <c r="TDQ111" s="139"/>
      <c r="TDR111" s="139"/>
      <c r="TDS111" s="139"/>
      <c r="TDT111" s="139"/>
      <c r="TDU111" s="139"/>
      <c r="TDV111" s="139"/>
      <c r="TDW111" s="139"/>
      <c r="TDX111" s="139"/>
      <c r="TDY111" s="139"/>
      <c r="TDZ111" s="139"/>
      <c r="TEA111" s="139"/>
      <c r="TEB111" s="139"/>
      <c r="TEC111" s="139"/>
      <c r="TED111" s="139"/>
      <c r="TEE111" s="139"/>
      <c r="TEF111" s="139"/>
      <c r="TEG111" s="139"/>
      <c r="TEH111" s="139"/>
      <c r="TEI111" s="139"/>
      <c r="TEJ111" s="139"/>
      <c r="TEK111" s="139"/>
      <c r="TEL111" s="139"/>
      <c r="TEM111" s="139"/>
      <c r="TEN111" s="139"/>
      <c r="TEO111" s="139"/>
      <c r="TEP111" s="139"/>
      <c r="TEQ111" s="139"/>
      <c r="TER111" s="139"/>
      <c r="TES111" s="139"/>
      <c r="TET111" s="139"/>
      <c r="TEU111" s="139"/>
      <c r="TEV111" s="139"/>
      <c r="TEW111" s="139"/>
      <c r="TEX111" s="139"/>
      <c r="TEY111" s="139"/>
      <c r="TEZ111" s="139"/>
      <c r="TFA111" s="139"/>
      <c r="TFB111" s="139"/>
      <c r="TFC111" s="139"/>
      <c r="TFD111" s="139"/>
      <c r="TFE111" s="139"/>
      <c r="TFF111" s="139"/>
      <c r="TFG111" s="139"/>
      <c r="TFH111" s="139"/>
      <c r="TFI111" s="139"/>
      <c r="TFJ111" s="139"/>
      <c r="TFK111" s="139"/>
      <c r="TFL111" s="139"/>
      <c r="TFM111" s="139"/>
      <c r="TFN111" s="139"/>
      <c r="TFO111" s="139"/>
      <c r="TFP111" s="139"/>
      <c r="TFQ111" s="139"/>
      <c r="TFR111" s="139"/>
      <c r="TFS111" s="139"/>
      <c r="TFT111" s="139"/>
      <c r="TFU111" s="139"/>
      <c r="TFV111" s="139"/>
      <c r="TFW111" s="139"/>
      <c r="TFX111" s="139"/>
      <c r="TFY111" s="139"/>
      <c r="TFZ111" s="139"/>
      <c r="TGA111" s="139"/>
      <c r="TGB111" s="139"/>
      <c r="TGC111" s="139"/>
      <c r="TGD111" s="139"/>
      <c r="TGE111" s="139"/>
      <c r="TGF111" s="139"/>
      <c r="TGG111" s="139"/>
      <c r="TGH111" s="139"/>
      <c r="TGI111" s="139"/>
      <c r="TGJ111" s="139"/>
      <c r="TGK111" s="139"/>
      <c r="TGL111" s="139"/>
      <c r="TGM111" s="139"/>
      <c r="TGN111" s="139"/>
      <c r="TGO111" s="139"/>
      <c r="TGP111" s="139"/>
      <c r="TGQ111" s="139"/>
      <c r="TGR111" s="139"/>
      <c r="TGS111" s="139"/>
      <c r="TGT111" s="139"/>
      <c r="TGU111" s="139"/>
      <c r="TGV111" s="139"/>
      <c r="TGW111" s="139"/>
      <c r="TGX111" s="139"/>
      <c r="TGY111" s="139"/>
      <c r="TGZ111" s="139"/>
      <c r="THA111" s="139"/>
      <c r="THB111" s="139"/>
      <c r="THC111" s="139"/>
      <c r="THD111" s="139"/>
      <c r="THE111" s="139"/>
      <c r="THF111" s="139"/>
      <c r="THG111" s="139"/>
      <c r="THH111" s="139"/>
      <c r="THI111" s="139"/>
      <c r="THJ111" s="139"/>
      <c r="THK111" s="139"/>
      <c r="THL111" s="139"/>
      <c r="THM111" s="139"/>
      <c r="THN111" s="139"/>
      <c r="THO111" s="139"/>
      <c r="THP111" s="139"/>
      <c r="THQ111" s="139"/>
      <c r="THR111" s="139"/>
      <c r="THS111" s="139"/>
      <c r="THT111" s="139"/>
      <c r="THU111" s="139"/>
      <c r="THV111" s="139"/>
      <c r="THW111" s="139"/>
      <c r="THX111" s="139"/>
      <c r="THY111" s="139"/>
      <c r="THZ111" s="139"/>
      <c r="TIA111" s="139"/>
      <c r="TIB111" s="139"/>
      <c r="TIC111" s="139"/>
      <c r="TID111" s="139"/>
      <c r="TIE111" s="139"/>
      <c r="TIF111" s="139"/>
      <c r="TIG111" s="139"/>
      <c r="TIH111" s="139"/>
      <c r="TII111" s="139"/>
      <c r="TIJ111" s="139"/>
      <c r="TIK111" s="139"/>
      <c r="TIL111" s="139"/>
      <c r="TIM111" s="139"/>
      <c r="TIN111" s="139"/>
      <c r="TIO111" s="139"/>
      <c r="TIP111" s="139"/>
      <c r="TIQ111" s="139"/>
      <c r="TIR111" s="139"/>
      <c r="TIS111" s="139"/>
      <c r="TIT111" s="139"/>
      <c r="TIU111" s="139"/>
      <c r="TIV111" s="139"/>
      <c r="TIW111" s="139"/>
      <c r="TIX111" s="139"/>
      <c r="TIY111" s="139"/>
      <c r="TIZ111" s="139"/>
      <c r="TJA111" s="139"/>
      <c r="TJB111" s="139"/>
      <c r="TJC111" s="139"/>
      <c r="TJD111" s="139"/>
      <c r="TJE111" s="139"/>
      <c r="TJF111" s="139"/>
      <c r="TJG111" s="139"/>
      <c r="TJH111" s="139"/>
      <c r="TJI111" s="139"/>
      <c r="TJJ111" s="139"/>
      <c r="TJK111" s="139"/>
      <c r="TJL111" s="139"/>
      <c r="TJM111" s="139"/>
      <c r="TJN111" s="139"/>
      <c r="TJO111" s="139"/>
      <c r="TJP111" s="139"/>
      <c r="TJQ111" s="139"/>
      <c r="TJR111" s="139"/>
      <c r="TJS111" s="139"/>
      <c r="TJT111" s="139"/>
      <c r="TJU111" s="139"/>
      <c r="TJV111" s="139"/>
      <c r="TJW111" s="139"/>
      <c r="TJX111" s="139"/>
      <c r="TJY111" s="139"/>
      <c r="TJZ111" s="139"/>
      <c r="TKA111" s="139"/>
      <c r="TKB111" s="139"/>
      <c r="TKC111" s="139"/>
      <c r="TKD111" s="139"/>
      <c r="TKE111" s="139"/>
      <c r="TKF111" s="139"/>
      <c r="TKG111" s="139"/>
      <c r="TKH111" s="139"/>
      <c r="TKI111" s="139"/>
      <c r="TKJ111" s="139"/>
      <c r="TKK111" s="139"/>
      <c r="TKL111" s="139"/>
      <c r="TKM111" s="139"/>
      <c r="TKN111" s="139"/>
      <c r="TKO111" s="139"/>
      <c r="TKP111" s="139"/>
      <c r="TKQ111" s="139"/>
      <c r="TKR111" s="139"/>
      <c r="TKS111" s="139"/>
      <c r="TKT111" s="139"/>
      <c r="TKU111" s="139"/>
      <c r="TKV111" s="139"/>
      <c r="TKW111" s="139"/>
      <c r="TKX111" s="139"/>
      <c r="TKY111" s="139"/>
      <c r="TKZ111" s="139"/>
      <c r="TLA111" s="139"/>
      <c r="TLB111" s="139"/>
      <c r="TLC111" s="139"/>
      <c r="TLD111" s="139"/>
      <c r="TLE111" s="139"/>
      <c r="TLF111" s="139"/>
      <c r="TLG111" s="139"/>
      <c r="TLH111" s="139"/>
      <c r="TLI111" s="139"/>
      <c r="TLJ111" s="139"/>
      <c r="TLK111" s="139"/>
      <c r="TLL111" s="139"/>
      <c r="TLM111" s="139"/>
      <c r="TLN111" s="139"/>
      <c r="TLO111" s="139"/>
      <c r="TLP111" s="139"/>
      <c r="TLQ111" s="139"/>
      <c r="TLR111" s="139"/>
      <c r="TLS111" s="139"/>
      <c r="TLT111" s="139"/>
      <c r="TLU111" s="139"/>
      <c r="TLV111" s="139"/>
      <c r="TLW111" s="139"/>
      <c r="TLX111" s="139"/>
      <c r="TLY111" s="139"/>
      <c r="TLZ111" s="139"/>
      <c r="TMA111" s="139"/>
      <c r="TMB111" s="139"/>
      <c r="TMC111" s="139"/>
      <c r="TMD111" s="139"/>
      <c r="TME111" s="139"/>
      <c r="TMF111" s="139"/>
      <c r="TMG111" s="139"/>
      <c r="TMH111" s="139"/>
      <c r="TMI111" s="139"/>
      <c r="TMJ111" s="139"/>
      <c r="TMK111" s="139"/>
      <c r="TML111" s="139"/>
      <c r="TMM111" s="139"/>
      <c r="TMN111" s="139"/>
      <c r="TMO111" s="139"/>
      <c r="TMP111" s="139"/>
      <c r="TMQ111" s="139"/>
      <c r="TMR111" s="139"/>
      <c r="TMS111" s="139"/>
      <c r="TMT111" s="139"/>
      <c r="TMU111" s="139"/>
      <c r="TMV111" s="139"/>
      <c r="TMW111" s="139"/>
      <c r="TMX111" s="139"/>
      <c r="TMY111" s="139"/>
      <c r="TMZ111" s="139"/>
      <c r="TNA111" s="139"/>
      <c r="TNB111" s="139"/>
      <c r="TNC111" s="139"/>
      <c r="TND111" s="139"/>
      <c r="TNE111" s="139"/>
      <c r="TNF111" s="139"/>
      <c r="TNG111" s="139"/>
      <c r="TNH111" s="139"/>
      <c r="TNI111" s="139"/>
      <c r="TNJ111" s="139"/>
      <c r="TNK111" s="139"/>
      <c r="TNL111" s="139"/>
      <c r="TNM111" s="139"/>
      <c r="TNN111" s="139"/>
      <c r="TNO111" s="139"/>
      <c r="TNP111" s="139"/>
      <c r="TNQ111" s="139"/>
      <c r="TNR111" s="139"/>
      <c r="TNS111" s="139"/>
      <c r="TNT111" s="139"/>
      <c r="TNU111" s="139"/>
      <c r="TNV111" s="139"/>
      <c r="TNW111" s="139"/>
      <c r="TNX111" s="139"/>
      <c r="TNY111" s="139"/>
      <c r="TNZ111" s="139"/>
      <c r="TOA111" s="139"/>
      <c r="TOB111" s="139"/>
      <c r="TOC111" s="139"/>
      <c r="TOD111" s="139"/>
      <c r="TOE111" s="139"/>
      <c r="TOF111" s="139"/>
      <c r="TOG111" s="139"/>
      <c r="TOH111" s="139"/>
      <c r="TOI111" s="139"/>
      <c r="TOJ111" s="139"/>
      <c r="TOK111" s="139"/>
      <c r="TOL111" s="139"/>
      <c r="TOM111" s="139"/>
      <c r="TON111" s="139"/>
      <c r="TOO111" s="139"/>
      <c r="TOP111" s="139"/>
      <c r="TOQ111" s="139"/>
      <c r="TOR111" s="139"/>
      <c r="TOS111" s="139"/>
      <c r="TOT111" s="139"/>
      <c r="TOU111" s="139"/>
      <c r="TOV111" s="139"/>
      <c r="TOW111" s="139"/>
      <c r="TOX111" s="139"/>
      <c r="TOY111" s="139"/>
      <c r="TOZ111" s="139"/>
      <c r="TPA111" s="139"/>
      <c r="TPB111" s="139"/>
      <c r="TPC111" s="139"/>
      <c r="TPD111" s="139"/>
      <c r="TPE111" s="139"/>
      <c r="TPF111" s="139"/>
      <c r="TPG111" s="139"/>
      <c r="TPH111" s="139"/>
      <c r="TPI111" s="139"/>
      <c r="TPJ111" s="139"/>
      <c r="TPK111" s="139"/>
      <c r="TPL111" s="139"/>
      <c r="TPM111" s="139"/>
      <c r="TPN111" s="139"/>
      <c r="TPO111" s="139"/>
      <c r="TPP111" s="139"/>
      <c r="TPQ111" s="139"/>
      <c r="TPR111" s="139"/>
      <c r="TPS111" s="139"/>
      <c r="TPT111" s="139"/>
      <c r="TPU111" s="139"/>
      <c r="TPV111" s="139"/>
      <c r="TPW111" s="139"/>
      <c r="TPX111" s="139"/>
      <c r="TPY111" s="139"/>
      <c r="TPZ111" s="139"/>
      <c r="TQA111" s="139"/>
      <c r="TQB111" s="139"/>
      <c r="TQC111" s="139"/>
      <c r="TQD111" s="139"/>
      <c r="TQE111" s="139"/>
      <c r="TQF111" s="139"/>
      <c r="TQG111" s="139"/>
      <c r="TQH111" s="139"/>
      <c r="TQI111" s="139"/>
      <c r="TQJ111" s="139"/>
      <c r="TQK111" s="139"/>
      <c r="TQL111" s="139"/>
      <c r="TQM111" s="139"/>
      <c r="TQN111" s="139"/>
      <c r="TQO111" s="139"/>
      <c r="TQP111" s="139"/>
      <c r="TQQ111" s="139"/>
      <c r="TQR111" s="139"/>
      <c r="TQS111" s="139"/>
      <c r="TQT111" s="139"/>
      <c r="TQU111" s="139"/>
      <c r="TQV111" s="139"/>
      <c r="TQW111" s="139"/>
      <c r="TQX111" s="139"/>
      <c r="TQY111" s="139"/>
      <c r="TQZ111" s="139"/>
      <c r="TRA111" s="139"/>
      <c r="TRB111" s="139"/>
      <c r="TRC111" s="139"/>
      <c r="TRD111" s="139"/>
      <c r="TRE111" s="139"/>
      <c r="TRF111" s="139"/>
      <c r="TRG111" s="139"/>
      <c r="TRH111" s="139"/>
      <c r="TRI111" s="139"/>
      <c r="TRJ111" s="139"/>
      <c r="TRK111" s="139"/>
      <c r="TRL111" s="139"/>
      <c r="TRM111" s="139"/>
      <c r="TRN111" s="139"/>
      <c r="TRO111" s="139"/>
      <c r="TRP111" s="139"/>
      <c r="TRQ111" s="139"/>
      <c r="TRR111" s="139"/>
      <c r="TRS111" s="139"/>
      <c r="TRT111" s="139"/>
      <c r="TRU111" s="139"/>
      <c r="TRV111" s="139"/>
      <c r="TRW111" s="139"/>
      <c r="TRX111" s="139"/>
      <c r="TRY111" s="139"/>
      <c r="TRZ111" s="139"/>
      <c r="TSA111" s="139"/>
      <c r="TSB111" s="139"/>
      <c r="TSC111" s="139"/>
      <c r="TSD111" s="139"/>
      <c r="TSE111" s="139"/>
      <c r="TSF111" s="139"/>
      <c r="TSG111" s="139"/>
      <c r="TSH111" s="139"/>
      <c r="TSI111" s="139"/>
      <c r="TSJ111" s="139"/>
      <c r="TSK111" s="139"/>
      <c r="TSL111" s="139"/>
      <c r="TSM111" s="139"/>
      <c r="TSN111" s="139"/>
      <c r="TSO111" s="139"/>
      <c r="TSP111" s="139"/>
      <c r="TSQ111" s="139"/>
      <c r="TSR111" s="139"/>
      <c r="TSS111" s="139"/>
      <c r="TST111" s="139"/>
      <c r="TSU111" s="139"/>
      <c r="TSV111" s="139"/>
      <c r="TSW111" s="139"/>
      <c r="TSX111" s="139"/>
      <c r="TSY111" s="139"/>
      <c r="TSZ111" s="139"/>
      <c r="TTA111" s="139"/>
      <c r="TTB111" s="139"/>
      <c r="TTC111" s="139"/>
      <c r="TTD111" s="139"/>
      <c r="TTE111" s="139"/>
      <c r="TTF111" s="139"/>
      <c r="TTG111" s="139"/>
      <c r="TTH111" s="139"/>
      <c r="TTI111" s="139"/>
      <c r="TTJ111" s="139"/>
      <c r="TTK111" s="139"/>
      <c r="TTL111" s="139"/>
      <c r="TTM111" s="139"/>
      <c r="TTN111" s="139"/>
      <c r="TTO111" s="139"/>
      <c r="TTP111" s="139"/>
      <c r="TTQ111" s="139"/>
      <c r="TTR111" s="139"/>
      <c r="TTS111" s="139"/>
      <c r="TTT111" s="139"/>
      <c r="TTU111" s="139"/>
      <c r="TTV111" s="139"/>
      <c r="TTW111" s="139"/>
      <c r="TTX111" s="139"/>
      <c r="TTY111" s="139"/>
      <c r="TTZ111" s="139"/>
      <c r="TUA111" s="139"/>
      <c r="TUB111" s="139"/>
      <c r="TUC111" s="139"/>
      <c r="TUD111" s="139"/>
      <c r="TUE111" s="139"/>
      <c r="TUF111" s="139"/>
      <c r="TUG111" s="139"/>
      <c r="TUH111" s="139"/>
      <c r="TUI111" s="139"/>
      <c r="TUJ111" s="139"/>
      <c r="TUK111" s="139"/>
      <c r="TUL111" s="139"/>
      <c r="TUM111" s="139"/>
      <c r="TUN111" s="139"/>
      <c r="TUO111" s="139"/>
      <c r="TUP111" s="139"/>
      <c r="TUQ111" s="139"/>
      <c r="TUR111" s="139"/>
      <c r="TUS111" s="139"/>
      <c r="TUT111" s="139"/>
      <c r="TUU111" s="139"/>
      <c r="TUV111" s="139"/>
      <c r="TUW111" s="139"/>
      <c r="TUX111" s="139"/>
      <c r="TUY111" s="139"/>
      <c r="TUZ111" s="139"/>
      <c r="TVA111" s="139"/>
      <c r="TVB111" s="139"/>
      <c r="TVC111" s="139"/>
      <c r="TVD111" s="139"/>
      <c r="TVE111" s="139"/>
      <c r="TVF111" s="139"/>
      <c r="TVG111" s="139"/>
      <c r="TVH111" s="139"/>
      <c r="TVI111" s="139"/>
      <c r="TVJ111" s="139"/>
      <c r="TVK111" s="139"/>
      <c r="TVL111" s="139"/>
      <c r="TVM111" s="139"/>
      <c r="TVN111" s="139"/>
      <c r="TVO111" s="139"/>
      <c r="TVP111" s="139"/>
      <c r="TVQ111" s="139"/>
      <c r="TVR111" s="139"/>
      <c r="TVS111" s="139"/>
      <c r="TVT111" s="139"/>
      <c r="TVU111" s="139"/>
      <c r="TVV111" s="139"/>
      <c r="TVW111" s="139"/>
      <c r="TVX111" s="139"/>
      <c r="TVY111" s="139"/>
      <c r="TVZ111" s="139"/>
      <c r="TWA111" s="139"/>
      <c r="TWB111" s="139"/>
      <c r="TWC111" s="139"/>
      <c r="TWD111" s="139"/>
      <c r="TWE111" s="139"/>
      <c r="TWF111" s="139"/>
      <c r="TWG111" s="139"/>
      <c r="TWH111" s="139"/>
      <c r="TWI111" s="139"/>
      <c r="TWJ111" s="139"/>
      <c r="TWK111" s="139"/>
      <c r="TWL111" s="139"/>
      <c r="TWM111" s="139"/>
      <c r="TWN111" s="139"/>
      <c r="TWO111" s="139"/>
      <c r="TWP111" s="139"/>
      <c r="TWQ111" s="139"/>
      <c r="TWR111" s="139"/>
      <c r="TWS111" s="139"/>
      <c r="TWT111" s="139"/>
      <c r="TWU111" s="139"/>
      <c r="TWV111" s="139"/>
      <c r="TWW111" s="139"/>
      <c r="TWX111" s="139"/>
      <c r="TWY111" s="139"/>
      <c r="TWZ111" s="139"/>
      <c r="TXA111" s="139"/>
      <c r="TXB111" s="139"/>
      <c r="TXC111" s="139"/>
      <c r="TXD111" s="139"/>
      <c r="TXE111" s="139"/>
      <c r="TXF111" s="139"/>
      <c r="TXG111" s="139"/>
      <c r="TXH111" s="139"/>
      <c r="TXI111" s="139"/>
      <c r="TXJ111" s="139"/>
      <c r="TXK111" s="139"/>
      <c r="TXL111" s="139"/>
      <c r="TXM111" s="139"/>
      <c r="TXN111" s="139"/>
      <c r="TXO111" s="139"/>
      <c r="TXP111" s="139"/>
      <c r="TXQ111" s="139"/>
      <c r="TXR111" s="139"/>
      <c r="TXS111" s="139"/>
      <c r="TXT111" s="139"/>
      <c r="TXU111" s="139"/>
      <c r="TXV111" s="139"/>
      <c r="TXW111" s="139"/>
      <c r="TXX111" s="139"/>
      <c r="TXY111" s="139"/>
      <c r="TXZ111" s="139"/>
      <c r="TYA111" s="139"/>
      <c r="TYB111" s="139"/>
      <c r="TYC111" s="139"/>
      <c r="TYD111" s="139"/>
      <c r="TYE111" s="139"/>
      <c r="TYF111" s="139"/>
      <c r="TYG111" s="139"/>
      <c r="TYH111" s="139"/>
      <c r="TYI111" s="139"/>
      <c r="TYJ111" s="139"/>
      <c r="TYK111" s="139"/>
      <c r="TYL111" s="139"/>
      <c r="TYM111" s="139"/>
      <c r="TYN111" s="139"/>
      <c r="TYO111" s="139"/>
      <c r="TYP111" s="139"/>
      <c r="TYQ111" s="139"/>
      <c r="TYR111" s="139"/>
      <c r="TYS111" s="139"/>
      <c r="TYT111" s="139"/>
      <c r="TYU111" s="139"/>
      <c r="TYV111" s="139"/>
      <c r="TYW111" s="139"/>
      <c r="TYX111" s="139"/>
      <c r="TYY111" s="139"/>
      <c r="TYZ111" s="139"/>
      <c r="TZA111" s="139"/>
      <c r="TZB111" s="139"/>
      <c r="TZC111" s="139"/>
      <c r="TZD111" s="139"/>
      <c r="TZE111" s="139"/>
      <c r="TZF111" s="139"/>
      <c r="TZG111" s="139"/>
      <c r="TZH111" s="139"/>
      <c r="TZI111" s="139"/>
      <c r="TZJ111" s="139"/>
      <c r="TZK111" s="139"/>
      <c r="TZL111" s="139"/>
      <c r="TZM111" s="139"/>
      <c r="TZN111" s="139"/>
      <c r="TZO111" s="139"/>
      <c r="TZP111" s="139"/>
      <c r="TZQ111" s="139"/>
      <c r="TZR111" s="139"/>
      <c r="TZS111" s="139"/>
      <c r="TZT111" s="139"/>
      <c r="TZU111" s="139"/>
      <c r="TZV111" s="139"/>
      <c r="TZW111" s="139"/>
      <c r="TZX111" s="139"/>
      <c r="TZY111" s="139"/>
      <c r="TZZ111" s="139"/>
      <c r="UAA111" s="139"/>
      <c r="UAB111" s="139"/>
      <c r="UAC111" s="139"/>
      <c r="UAD111" s="139"/>
      <c r="UAE111" s="139"/>
      <c r="UAF111" s="139"/>
      <c r="UAG111" s="139"/>
      <c r="UAH111" s="139"/>
      <c r="UAI111" s="139"/>
      <c r="UAJ111" s="139"/>
      <c r="UAK111" s="139"/>
      <c r="UAL111" s="139"/>
      <c r="UAM111" s="139"/>
      <c r="UAN111" s="139"/>
      <c r="UAO111" s="139"/>
      <c r="UAP111" s="139"/>
      <c r="UAQ111" s="139"/>
      <c r="UAR111" s="139"/>
      <c r="UAS111" s="139"/>
      <c r="UAT111" s="139"/>
      <c r="UAU111" s="139"/>
      <c r="UAV111" s="139"/>
      <c r="UAW111" s="139"/>
      <c r="UAX111" s="139"/>
      <c r="UAY111" s="139"/>
      <c r="UAZ111" s="139"/>
      <c r="UBA111" s="139"/>
      <c r="UBB111" s="139"/>
      <c r="UBC111" s="139"/>
      <c r="UBD111" s="139"/>
      <c r="UBE111" s="139"/>
      <c r="UBF111" s="139"/>
      <c r="UBG111" s="139"/>
      <c r="UBH111" s="139"/>
      <c r="UBI111" s="139"/>
      <c r="UBJ111" s="139"/>
      <c r="UBK111" s="139"/>
      <c r="UBL111" s="139"/>
      <c r="UBM111" s="139"/>
      <c r="UBN111" s="139"/>
      <c r="UBO111" s="139"/>
      <c r="UBP111" s="139"/>
      <c r="UBQ111" s="139"/>
      <c r="UBR111" s="139"/>
      <c r="UBS111" s="139"/>
      <c r="UBT111" s="139"/>
      <c r="UBU111" s="139"/>
      <c r="UBV111" s="139"/>
      <c r="UBW111" s="139"/>
      <c r="UBX111" s="139"/>
      <c r="UBY111" s="139"/>
      <c r="UBZ111" s="139"/>
      <c r="UCA111" s="139"/>
      <c r="UCB111" s="139"/>
      <c r="UCC111" s="139"/>
      <c r="UCD111" s="139"/>
      <c r="UCE111" s="139"/>
      <c r="UCF111" s="139"/>
      <c r="UCG111" s="139"/>
      <c r="UCH111" s="139"/>
      <c r="UCI111" s="139"/>
      <c r="UCJ111" s="139"/>
      <c r="UCK111" s="139"/>
      <c r="UCL111" s="139"/>
      <c r="UCM111" s="139"/>
      <c r="UCN111" s="139"/>
      <c r="UCO111" s="139"/>
      <c r="UCP111" s="139"/>
      <c r="UCQ111" s="139"/>
      <c r="UCR111" s="139"/>
      <c r="UCS111" s="139"/>
      <c r="UCT111" s="139"/>
      <c r="UCU111" s="139"/>
      <c r="UCV111" s="139"/>
      <c r="UCW111" s="139"/>
      <c r="UCX111" s="139"/>
      <c r="UCY111" s="139"/>
      <c r="UCZ111" s="139"/>
      <c r="UDA111" s="139"/>
      <c r="UDB111" s="139"/>
      <c r="UDC111" s="139"/>
      <c r="UDD111" s="139"/>
      <c r="UDE111" s="139"/>
      <c r="UDF111" s="139"/>
      <c r="UDG111" s="139"/>
      <c r="UDH111" s="139"/>
      <c r="UDI111" s="139"/>
      <c r="UDJ111" s="139"/>
      <c r="UDK111" s="139"/>
      <c r="UDL111" s="139"/>
      <c r="UDM111" s="139"/>
      <c r="UDN111" s="139"/>
      <c r="UDO111" s="139"/>
      <c r="UDP111" s="139"/>
      <c r="UDQ111" s="139"/>
      <c r="UDR111" s="139"/>
      <c r="UDS111" s="139"/>
      <c r="UDT111" s="139"/>
      <c r="UDU111" s="139"/>
      <c r="UDV111" s="139"/>
      <c r="UDW111" s="139"/>
      <c r="UDX111" s="139"/>
      <c r="UDY111" s="139"/>
      <c r="UDZ111" s="139"/>
      <c r="UEA111" s="139"/>
      <c r="UEB111" s="139"/>
      <c r="UEC111" s="139"/>
      <c r="UED111" s="139"/>
      <c r="UEE111" s="139"/>
      <c r="UEF111" s="139"/>
      <c r="UEG111" s="139"/>
      <c r="UEH111" s="139"/>
      <c r="UEI111" s="139"/>
      <c r="UEJ111" s="139"/>
      <c r="UEK111" s="139"/>
      <c r="UEL111" s="139"/>
      <c r="UEM111" s="139"/>
      <c r="UEN111" s="139"/>
      <c r="UEO111" s="139"/>
      <c r="UEP111" s="139"/>
      <c r="UEQ111" s="139"/>
      <c r="UER111" s="139"/>
      <c r="UES111" s="139"/>
      <c r="UET111" s="139"/>
      <c r="UEU111" s="139"/>
      <c r="UEV111" s="139"/>
      <c r="UEW111" s="139"/>
      <c r="UEX111" s="139"/>
      <c r="UEY111" s="139"/>
      <c r="UEZ111" s="139"/>
      <c r="UFA111" s="139"/>
      <c r="UFB111" s="139"/>
      <c r="UFC111" s="139"/>
      <c r="UFD111" s="139"/>
      <c r="UFE111" s="139"/>
      <c r="UFF111" s="139"/>
      <c r="UFG111" s="139"/>
      <c r="UFH111" s="139"/>
      <c r="UFI111" s="139"/>
      <c r="UFJ111" s="139"/>
      <c r="UFK111" s="139"/>
      <c r="UFL111" s="139"/>
      <c r="UFM111" s="139"/>
      <c r="UFN111" s="139"/>
      <c r="UFO111" s="139"/>
      <c r="UFP111" s="139"/>
      <c r="UFQ111" s="139"/>
      <c r="UFR111" s="139"/>
      <c r="UFS111" s="139"/>
      <c r="UFT111" s="139"/>
      <c r="UFU111" s="139"/>
      <c r="UFV111" s="139"/>
      <c r="UFW111" s="139"/>
      <c r="UFX111" s="139"/>
      <c r="UFY111" s="139"/>
      <c r="UFZ111" s="139"/>
      <c r="UGA111" s="139"/>
      <c r="UGB111" s="139"/>
      <c r="UGC111" s="139"/>
      <c r="UGD111" s="139"/>
      <c r="UGE111" s="139"/>
      <c r="UGF111" s="139"/>
      <c r="UGG111" s="139"/>
      <c r="UGH111" s="139"/>
      <c r="UGI111" s="139"/>
      <c r="UGJ111" s="139"/>
      <c r="UGK111" s="139"/>
      <c r="UGL111" s="139"/>
      <c r="UGM111" s="139"/>
      <c r="UGN111" s="139"/>
      <c r="UGO111" s="139"/>
      <c r="UGP111" s="139"/>
      <c r="UGQ111" s="139"/>
      <c r="UGR111" s="139"/>
      <c r="UGS111" s="139"/>
      <c r="UGT111" s="139"/>
      <c r="UGU111" s="139"/>
      <c r="UGV111" s="139"/>
      <c r="UGW111" s="139"/>
      <c r="UGX111" s="139"/>
      <c r="UGY111" s="139"/>
      <c r="UGZ111" s="139"/>
      <c r="UHA111" s="139"/>
      <c r="UHB111" s="139"/>
      <c r="UHC111" s="139"/>
      <c r="UHD111" s="139"/>
      <c r="UHE111" s="139"/>
      <c r="UHF111" s="139"/>
      <c r="UHG111" s="139"/>
      <c r="UHH111" s="139"/>
      <c r="UHI111" s="139"/>
      <c r="UHJ111" s="139"/>
      <c r="UHK111" s="139"/>
      <c r="UHL111" s="139"/>
      <c r="UHM111" s="139"/>
      <c r="UHN111" s="139"/>
      <c r="UHO111" s="139"/>
      <c r="UHP111" s="139"/>
      <c r="UHQ111" s="139"/>
      <c r="UHR111" s="139"/>
      <c r="UHS111" s="139"/>
      <c r="UHT111" s="139"/>
      <c r="UHU111" s="139"/>
      <c r="UHV111" s="139"/>
      <c r="UHW111" s="139"/>
      <c r="UHX111" s="139"/>
      <c r="UHY111" s="139"/>
      <c r="UHZ111" s="139"/>
      <c r="UIA111" s="139"/>
      <c r="UIB111" s="139"/>
      <c r="UIC111" s="139"/>
      <c r="UID111" s="139"/>
      <c r="UIE111" s="139"/>
      <c r="UIF111" s="139"/>
      <c r="UIG111" s="139"/>
      <c r="UIH111" s="139"/>
      <c r="UII111" s="139"/>
      <c r="UIJ111" s="139"/>
      <c r="UIK111" s="139"/>
      <c r="UIL111" s="139"/>
      <c r="UIM111" s="139"/>
      <c r="UIN111" s="139"/>
      <c r="UIO111" s="139"/>
      <c r="UIP111" s="139"/>
      <c r="UIQ111" s="139"/>
      <c r="UIR111" s="139"/>
      <c r="UIS111" s="139"/>
      <c r="UIT111" s="139"/>
      <c r="UIU111" s="139"/>
      <c r="UIV111" s="139"/>
      <c r="UIW111" s="139"/>
      <c r="UIX111" s="139"/>
      <c r="UIY111" s="139"/>
      <c r="UIZ111" s="139"/>
      <c r="UJA111" s="139"/>
      <c r="UJB111" s="139"/>
      <c r="UJC111" s="139"/>
      <c r="UJD111" s="139"/>
      <c r="UJE111" s="139"/>
      <c r="UJF111" s="139"/>
      <c r="UJG111" s="139"/>
      <c r="UJH111" s="139"/>
      <c r="UJI111" s="139"/>
      <c r="UJJ111" s="139"/>
      <c r="UJK111" s="139"/>
      <c r="UJL111" s="139"/>
      <c r="UJM111" s="139"/>
      <c r="UJN111" s="139"/>
      <c r="UJO111" s="139"/>
      <c r="UJP111" s="139"/>
      <c r="UJQ111" s="139"/>
      <c r="UJR111" s="139"/>
      <c r="UJS111" s="139"/>
      <c r="UJT111" s="139"/>
      <c r="UJU111" s="139"/>
      <c r="UJV111" s="139"/>
      <c r="UJW111" s="139"/>
      <c r="UJX111" s="139"/>
      <c r="UJY111" s="139"/>
      <c r="UJZ111" s="139"/>
      <c r="UKA111" s="139"/>
      <c r="UKB111" s="139"/>
      <c r="UKC111" s="139"/>
      <c r="UKD111" s="139"/>
      <c r="UKE111" s="139"/>
      <c r="UKF111" s="139"/>
      <c r="UKG111" s="139"/>
      <c r="UKH111" s="139"/>
      <c r="UKI111" s="139"/>
      <c r="UKJ111" s="139"/>
      <c r="UKK111" s="139"/>
      <c r="UKL111" s="139"/>
      <c r="UKM111" s="139"/>
      <c r="UKN111" s="139"/>
      <c r="UKO111" s="139"/>
      <c r="UKP111" s="139"/>
      <c r="UKQ111" s="139"/>
      <c r="UKR111" s="139"/>
      <c r="UKS111" s="139"/>
      <c r="UKT111" s="139"/>
      <c r="UKU111" s="139"/>
      <c r="UKV111" s="139"/>
      <c r="UKW111" s="139"/>
      <c r="UKX111" s="139"/>
      <c r="UKY111" s="139"/>
      <c r="UKZ111" s="139"/>
      <c r="ULA111" s="139"/>
      <c r="ULB111" s="139"/>
      <c r="ULC111" s="139"/>
      <c r="ULD111" s="139"/>
      <c r="ULE111" s="139"/>
      <c r="ULF111" s="139"/>
      <c r="ULG111" s="139"/>
      <c r="ULH111" s="139"/>
      <c r="ULI111" s="139"/>
      <c r="ULJ111" s="139"/>
      <c r="ULK111" s="139"/>
      <c r="ULL111" s="139"/>
      <c r="ULM111" s="139"/>
      <c r="ULN111" s="139"/>
      <c r="ULO111" s="139"/>
      <c r="ULP111" s="139"/>
      <c r="ULQ111" s="139"/>
      <c r="ULR111" s="139"/>
      <c r="ULS111" s="139"/>
      <c r="ULT111" s="139"/>
      <c r="ULU111" s="139"/>
      <c r="ULV111" s="139"/>
      <c r="ULW111" s="139"/>
      <c r="ULX111" s="139"/>
      <c r="ULY111" s="139"/>
      <c r="ULZ111" s="139"/>
      <c r="UMA111" s="139"/>
      <c r="UMB111" s="139"/>
      <c r="UMC111" s="139"/>
      <c r="UMD111" s="139"/>
      <c r="UME111" s="139"/>
      <c r="UMF111" s="139"/>
      <c r="UMG111" s="139"/>
      <c r="UMH111" s="139"/>
      <c r="UMI111" s="139"/>
      <c r="UMJ111" s="139"/>
      <c r="UMK111" s="139"/>
      <c r="UML111" s="139"/>
      <c r="UMM111" s="139"/>
      <c r="UMN111" s="139"/>
      <c r="UMO111" s="139"/>
      <c r="UMP111" s="139"/>
      <c r="UMQ111" s="139"/>
      <c r="UMR111" s="139"/>
      <c r="UMS111" s="139"/>
      <c r="UMT111" s="139"/>
      <c r="UMU111" s="139"/>
      <c r="UMV111" s="139"/>
      <c r="UMW111" s="139"/>
      <c r="UMX111" s="139"/>
      <c r="UMY111" s="139"/>
      <c r="UMZ111" s="139"/>
      <c r="UNA111" s="139"/>
      <c r="UNB111" s="139"/>
      <c r="UNC111" s="139"/>
      <c r="UND111" s="139"/>
      <c r="UNE111" s="139"/>
      <c r="UNF111" s="139"/>
      <c r="UNG111" s="139"/>
      <c r="UNH111" s="139"/>
      <c r="UNI111" s="139"/>
      <c r="UNJ111" s="139"/>
      <c r="UNK111" s="139"/>
      <c r="UNL111" s="139"/>
      <c r="UNM111" s="139"/>
      <c r="UNN111" s="139"/>
      <c r="UNO111" s="139"/>
      <c r="UNP111" s="139"/>
      <c r="UNQ111" s="139"/>
      <c r="UNR111" s="139"/>
      <c r="UNS111" s="139"/>
      <c r="UNT111" s="139"/>
      <c r="UNU111" s="139"/>
      <c r="UNV111" s="139"/>
      <c r="UNW111" s="139"/>
      <c r="UNX111" s="139"/>
      <c r="UNY111" s="139"/>
      <c r="UNZ111" s="139"/>
      <c r="UOA111" s="139"/>
      <c r="UOB111" s="139"/>
      <c r="UOC111" s="139"/>
      <c r="UOD111" s="139"/>
      <c r="UOE111" s="139"/>
      <c r="UOF111" s="139"/>
      <c r="UOG111" s="139"/>
      <c r="UOH111" s="139"/>
      <c r="UOI111" s="139"/>
      <c r="UOJ111" s="139"/>
      <c r="UOK111" s="139"/>
      <c r="UOL111" s="139"/>
      <c r="UOM111" s="139"/>
      <c r="UON111" s="139"/>
      <c r="UOO111" s="139"/>
      <c r="UOP111" s="139"/>
      <c r="UOQ111" s="139"/>
      <c r="UOR111" s="139"/>
      <c r="UOS111" s="139"/>
      <c r="UOT111" s="139"/>
      <c r="UOU111" s="139"/>
      <c r="UOV111" s="139"/>
      <c r="UOW111" s="139"/>
      <c r="UOX111" s="139"/>
      <c r="UOY111" s="139"/>
      <c r="UOZ111" s="139"/>
      <c r="UPA111" s="139"/>
      <c r="UPB111" s="139"/>
      <c r="UPC111" s="139"/>
      <c r="UPD111" s="139"/>
      <c r="UPE111" s="139"/>
      <c r="UPF111" s="139"/>
      <c r="UPG111" s="139"/>
      <c r="UPH111" s="139"/>
      <c r="UPI111" s="139"/>
      <c r="UPJ111" s="139"/>
      <c r="UPK111" s="139"/>
      <c r="UPL111" s="139"/>
      <c r="UPM111" s="139"/>
      <c r="UPN111" s="139"/>
      <c r="UPO111" s="139"/>
      <c r="UPP111" s="139"/>
      <c r="UPQ111" s="139"/>
      <c r="UPR111" s="139"/>
      <c r="UPS111" s="139"/>
      <c r="UPT111" s="139"/>
      <c r="UPU111" s="139"/>
      <c r="UPV111" s="139"/>
      <c r="UPW111" s="139"/>
      <c r="UPX111" s="139"/>
      <c r="UPY111" s="139"/>
      <c r="UPZ111" s="139"/>
      <c r="UQA111" s="139"/>
      <c r="UQB111" s="139"/>
      <c r="UQC111" s="139"/>
      <c r="UQD111" s="139"/>
      <c r="UQE111" s="139"/>
      <c r="UQF111" s="139"/>
      <c r="UQG111" s="139"/>
      <c r="UQH111" s="139"/>
      <c r="UQI111" s="139"/>
      <c r="UQJ111" s="139"/>
      <c r="UQK111" s="139"/>
      <c r="UQL111" s="139"/>
      <c r="UQM111" s="139"/>
      <c r="UQN111" s="139"/>
      <c r="UQO111" s="139"/>
      <c r="UQP111" s="139"/>
      <c r="UQQ111" s="139"/>
      <c r="UQR111" s="139"/>
      <c r="UQS111" s="139"/>
      <c r="UQT111" s="139"/>
      <c r="UQU111" s="139"/>
      <c r="UQV111" s="139"/>
      <c r="UQW111" s="139"/>
      <c r="UQX111" s="139"/>
      <c r="UQY111" s="139"/>
      <c r="UQZ111" s="139"/>
      <c r="URA111" s="139"/>
      <c r="URB111" s="139"/>
      <c r="URC111" s="139"/>
      <c r="URD111" s="139"/>
      <c r="URE111" s="139"/>
      <c r="URF111" s="139"/>
      <c r="URG111" s="139"/>
      <c r="URH111" s="139"/>
      <c r="URI111" s="139"/>
      <c r="URJ111" s="139"/>
      <c r="URK111" s="139"/>
      <c r="URL111" s="139"/>
      <c r="URM111" s="139"/>
      <c r="URN111" s="139"/>
      <c r="URO111" s="139"/>
      <c r="URP111" s="139"/>
      <c r="URQ111" s="139"/>
      <c r="URR111" s="139"/>
      <c r="URS111" s="139"/>
      <c r="URT111" s="139"/>
      <c r="URU111" s="139"/>
      <c r="URV111" s="139"/>
      <c r="URW111" s="139"/>
      <c r="URX111" s="139"/>
      <c r="URY111" s="139"/>
      <c r="URZ111" s="139"/>
      <c r="USA111" s="139"/>
      <c r="USB111" s="139"/>
      <c r="USC111" s="139"/>
      <c r="USD111" s="139"/>
      <c r="USE111" s="139"/>
      <c r="USF111" s="139"/>
      <c r="USG111" s="139"/>
      <c r="USH111" s="139"/>
      <c r="USI111" s="139"/>
      <c r="USJ111" s="139"/>
      <c r="USK111" s="139"/>
      <c r="USL111" s="139"/>
      <c r="USM111" s="139"/>
      <c r="USN111" s="139"/>
      <c r="USO111" s="139"/>
      <c r="USP111" s="139"/>
      <c r="USQ111" s="139"/>
      <c r="USR111" s="139"/>
      <c r="USS111" s="139"/>
      <c r="UST111" s="139"/>
      <c r="USU111" s="139"/>
      <c r="USV111" s="139"/>
      <c r="USW111" s="139"/>
      <c r="USX111" s="139"/>
      <c r="USY111" s="139"/>
      <c r="USZ111" s="139"/>
      <c r="UTA111" s="139"/>
      <c r="UTB111" s="139"/>
      <c r="UTC111" s="139"/>
      <c r="UTD111" s="139"/>
      <c r="UTE111" s="139"/>
      <c r="UTF111" s="139"/>
      <c r="UTG111" s="139"/>
      <c r="UTH111" s="139"/>
      <c r="UTI111" s="139"/>
      <c r="UTJ111" s="139"/>
      <c r="UTK111" s="139"/>
      <c r="UTL111" s="139"/>
      <c r="UTM111" s="139"/>
      <c r="UTN111" s="139"/>
      <c r="UTO111" s="139"/>
      <c r="UTP111" s="139"/>
      <c r="UTQ111" s="139"/>
      <c r="UTR111" s="139"/>
      <c r="UTS111" s="139"/>
      <c r="UTT111" s="139"/>
      <c r="UTU111" s="139"/>
      <c r="UTV111" s="139"/>
      <c r="UTW111" s="139"/>
      <c r="UTX111" s="139"/>
      <c r="UTY111" s="139"/>
      <c r="UTZ111" s="139"/>
      <c r="UUA111" s="139"/>
      <c r="UUB111" s="139"/>
      <c r="UUC111" s="139"/>
      <c r="UUD111" s="139"/>
      <c r="UUE111" s="139"/>
      <c r="UUF111" s="139"/>
      <c r="UUG111" s="139"/>
      <c r="UUH111" s="139"/>
      <c r="UUI111" s="139"/>
      <c r="UUJ111" s="139"/>
      <c r="UUK111" s="139"/>
      <c r="UUL111" s="139"/>
      <c r="UUM111" s="139"/>
      <c r="UUN111" s="139"/>
      <c r="UUO111" s="139"/>
      <c r="UUP111" s="139"/>
      <c r="UUQ111" s="139"/>
      <c r="UUR111" s="139"/>
      <c r="UUS111" s="139"/>
      <c r="UUT111" s="139"/>
      <c r="UUU111" s="139"/>
      <c r="UUV111" s="139"/>
      <c r="UUW111" s="139"/>
      <c r="UUX111" s="139"/>
      <c r="UUY111" s="139"/>
      <c r="UUZ111" s="139"/>
      <c r="UVA111" s="139"/>
      <c r="UVB111" s="139"/>
      <c r="UVC111" s="139"/>
      <c r="UVD111" s="139"/>
      <c r="UVE111" s="139"/>
      <c r="UVF111" s="139"/>
      <c r="UVG111" s="139"/>
      <c r="UVH111" s="139"/>
      <c r="UVI111" s="139"/>
      <c r="UVJ111" s="139"/>
      <c r="UVK111" s="139"/>
      <c r="UVL111" s="139"/>
      <c r="UVM111" s="139"/>
      <c r="UVN111" s="139"/>
      <c r="UVO111" s="139"/>
      <c r="UVP111" s="139"/>
      <c r="UVQ111" s="139"/>
      <c r="UVR111" s="139"/>
      <c r="UVS111" s="139"/>
      <c r="UVT111" s="139"/>
      <c r="UVU111" s="139"/>
      <c r="UVV111" s="139"/>
      <c r="UVW111" s="139"/>
      <c r="UVX111" s="139"/>
      <c r="UVY111" s="139"/>
      <c r="UVZ111" s="139"/>
      <c r="UWA111" s="139"/>
      <c r="UWB111" s="139"/>
      <c r="UWC111" s="139"/>
      <c r="UWD111" s="139"/>
      <c r="UWE111" s="139"/>
      <c r="UWF111" s="139"/>
      <c r="UWG111" s="139"/>
      <c r="UWH111" s="139"/>
      <c r="UWI111" s="139"/>
      <c r="UWJ111" s="139"/>
      <c r="UWK111" s="139"/>
      <c r="UWL111" s="139"/>
      <c r="UWM111" s="139"/>
      <c r="UWN111" s="139"/>
      <c r="UWO111" s="139"/>
      <c r="UWP111" s="139"/>
      <c r="UWQ111" s="139"/>
      <c r="UWR111" s="139"/>
      <c r="UWS111" s="139"/>
      <c r="UWT111" s="139"/>
      <c r="UWU111" s="139"/>
      <c r="UWV111" s="139"/>
      <c r="UWW111" s="139"/>
      <c r="UWX111" s="139"/>
      <c r="UWY111" s="139"/>
      <c r="UWZ111" s="139"/>
      <c r="UXA111" s="139"/>
      <c r="UXB111" s="139"/>
      <c r="UXC111" s="139"/>
      <c r="UXD111" s="139"/>
      <c r="UXE111" s="139"/>
      <c r="UXF111" s="139"/>
      <c r="UXG111" s="139"/>
      <c r="UXH111" s="139"/>
      <c r="UXI111" s="139"/>
      <c r="UXJ111" s="139"/>
      <c r="UXK111" s="139"/>
      <c r="UXL111" s="139"/>
      <c r="UXM111" s="139"/>
      <c r="UXN111" s="139"/>
      <c r="UXO111" s="139"/>
      <c r="UXP111" s="139"/>
      <c r="UXQ111" s="139"/>
      <c r="UXR111" s="139"/>
      <c r="UXS111" s="139"/>
      <c r="UXT111" s="139"/>
      <c r="UXU111" s="139"/>
      <c r="UXV111" s="139"/>
      <c r="UXW111" s="139"/>
      <c r="UXX111" s="139"/>
      <c r="UXY111" s="139"/>
      <c r="UXZ111" s="139"/>
      <c r="UYA111" s="139"/>
      <c r="UYB111" s="139"/>
      <c r="UYC111" s="139"/>
      <c r="UYD111" s="139"/>
      <c r="UYE111" s="139"/>
      <c r="UYF111" s="139"/>
      <c r="UYG111" s="139"/>
      <c r="UYH111" s="139"/>
      <c r="UYI111" s="139"/>
      <c r="UYJ111" s="139"/>
      <c r="UYK111" s="139"/>
      <c r="UYL111" s="139"/>
      <c r="UYM111" s="139"/>
      <c r="UYN111" s="139"/>
      <c r="UYO111" s="139"/>
      <c r="UYP111" s="139"/>
      <c r="UYQ111" s="139"/>
      <c r="UYR111" s="139"/>
      <c r="UYS111" s="139"/>
      <c r="UYT111" s="139"/>
      <c r="UYU111" s="139"/>
      <c r="UYV111" s="139"/>
      <c r="UYW111" s="139"/>
      <c r="UYX111" s="139"/>
      <c r="UYY111" s="139"/>
      <c r="UYZ111" s="139"/>
      <c r="UZA111" s="139"/>
      <c r="UZB111" s="139"/>
      <c r="UZC111" s="139"/>
      <c r="UZD111" s="139"/>
      <c r="UZE111" s="139"/>
      <c r="UZF111" s="139"/>
      <c r="UZG111" s="139"/>
      <c r="UZH111" s="139"/>
      <c r="UZI111" s="139"/>
      <c r="UZJ111" s="139"/>
      <c r="UZK111" s="139"/>
      <c r="UZL111" s="139"/>
      <c r="UZM111" s="139"/>
      <c r="UZN111" s="139"/>
      <c r="UZO111" s="139"/>
      <c r="UZP111" s="139"/>
      <c r="UZQ111" s="139"/>
      <c r="UZR111" s="139"/>
      <c r="UZS111" s="139"/>
      <c r="UZT111" s="139"/>
      <c r="UZU111" s="139"/>
      <c r="UZV111" s="139"/>
      <c r="UZW111" s="139"/>
      <c r="UZX111" s="139"/>
      <c r="UZY111" s="139"/>
      <c r="UZZ111" s="139"/>
      <c r="VAA111" s="139"/>
      <c r="VAB111" s="139"/>
      <c r="VAC111" s="139"/>
      <c r="VAD111" s="139"/>
      <c r="VAE111" s="139"/>
      <c r="VAF111" s="139"/>
      <c r="VAG111" s="139"/>
      <c r="VAH111" s="139"/>
      <c r="VAI111" s="139"/>
      <c r="VAJ111" s="139"/>
      <c r="VAK111" s="139"/>
      <c r="VAL111" s="139"/>
      <c r="VAM111" s="139"/>
      <c r="VAN111" s="139"/>
      <c r="VAO111" s="139"/>
      <c r="VAP111" s="139"/>
      <c r="VAQ111" s="139"/>
      <c r="VAR111" s="139"/>
      <c r="VAS111" s="139"/>
      <c r="VAT111" s="139"/>
      <c r="VAU111" s="139"/>
      <c r="VAV111" s="139"/>
      <c r="VAW111" s="139"/>
      <c r="VAX111" s="139"/>
      <c r="VAY111" s="139"/>
      <c r="VAZ111" s="139"/>
      <c r="VBA111" s="139"/>
      <c r="VBB111" s="139"/>
      <c r="VBC111" s="139"/>
      <c r="VBD111" s="139"/>
      <c r="VBE111" s="139"/>
      <c r="VBF111" s="139"/>
      <c r="VBG111" s="139"/>
      <c r="VBH111" s="139"/>
      <c r="VBI111" s="139"/>
      <c r="VBJ111" s="139"/>
      <c r="VBK111" s="139"/>
      <c r="VBL111" s="139"/>
      <c r="VBM111" s="139"/>
      <c r="VBN111" s="139"/>
      <c r="VBO111" s="139"/>
      <c r="VBP111" s="139"/>
      <c r="VBQ111" s="139"/>
      <c r="VBR111" s="139"/>
      <c r="VBS111" s="139"/>
      <c r="VBT111" s="139"/>
      <c r="VBU111" s="139"/>
      <c r="VBV111" s="139"/>
      <c r="VBW111" s="139"/>
      <c r="VBX111" s="139"/>
      <c r="VBY111" s="139"/>
      <c r="VBZ111" s="139"/>
      <c r="VCA111" s="139"/>
      <c r="VCB111" s="139"/>
      <c r="VCC111" s="139"/>
      <c r="VCD111" s="139"/>
      <c r="VCE111" s="139"/>
      <c r="VCF111" s="139"/>
      <c r="VCG111" s="139"/>
      <c r="VCH111" s="139"/>
      <c r="VCI111" s="139"/>
      <c r="VCJ111" s="139"/>
      <c r="VCK111" s="139"/>
      <c r="VCL111" s="139"/>
      <c r="VCM111" s="139"/>
      <c r="VCN111" s="139"/>
      <c r="VCO111" s="139"/>
      <c r="VCP111" s="139"/>
      <c r="VCQ111" s="139"/>
      <c r="VCR111" s="139"/>
      <c r="VCS111" s="139"/>
      <c r="VCT111" s="139"/>
      <c r="VCU111" s="139"/>
      <c r="VCV111" s="139"/>
      <c r="VCW111" s="139"/>
      <c r="VCX111" s="139"/>
      <c r="VCY111" s="139"/>
      <c r="VCZ111" s="139"/>
      <c r="VDA111" s="139"/>
      <c r="VDB111" s="139"/>
      <c r="VDC111" s="139"/>
      <c r="VDD111" s="139"/>
      <c r="VDE111" s="139"/>
      <c r="VDF111" s="139"/>
      <c r="VDG111" s="139"/>
      <c r="VDH111" s="139"/>
      <c r="VDI111" s="139"/>
      <c r="VDJ111" s="139"/>
      <c r="VDK111" s="139"/>
      <c r="VDL111" s="139"/>
      <c r="VDM111" s="139"/>
      <c r="VDN111" s="139"/>
      <c r="VDO111" s="139"/>
      <c r="VDP111" s="139"/>
      <c r="VDQ111" s="139"/>
      <c r="VDR111" s="139"/>
      <c r="VDS111" s="139"/>
      <c r="VDT111" s="139"/>
      <c r="VDU111" s="139"/>
      <c r="VDV111" s="139"/>
      <c r="VDW111" s="139"/>
      <c r="VDX111" s="139"/>
      <c r="VDY111" s="139"/>
      <c r="VDZ111" s="139"/>
      <c r="VEA111" s="139"/>
      <c r="VEB111" s="139"/>
      <c r="VEC111" s="139"/>
      <c r="VED111" s="139"/>
      <c r="VEE111" s="139"/>
      <c r="VEF111" s="139"/>
      <c r="VEG111" s="139"/>
      <c r="VEH111" s="139"/>
      <c r="VEI111" s="139"/>
      <c r="VEJ111" s="139"/>
      <c r="VEK111" s="139"/>
      <c r="VEL111" s="139"/>
      <c r="VEM111" s="139"/>
      <c r="VEN111" s="139"/>
      <c r="VEO111" s="139"/>
      <c r="VEP111" s="139"/>
      <c r="VEQ111" s="139"/>
      <c r="VER111" s="139"/>
      <c r="VES111" s="139"/>
      <c r="VET111" s="139"/>
      <c r="VEU111" s="139"/>
      <c r="VEV111" s="139"/>
      <c r="VEW111" s="139"/>
      <c r="VEX111" s="139"/>
      <c r="VEY111" s="139"/>
      <c r="VEZ111" s="139"/>
      <c r="VFA111" s="139"/>
      <c r="VFB111" s="139"/>
      <c r="VFC111" s="139"/>
      <c r="VFD111" s="139"/>
      <c r="VFE111" s="139"/>
      <c r="VFF111" s="139"/>
      <c r="VFG111" s="139"/>
      <c r="VFH111" s="139"/>
      <c r="VFI111" s="139"/>
      <c r="VFJ111" s="139"/>
      <c r="VFK111" s="139"/>
      <c r="VFL111" s="139"/>
      <c r="VFM111" s="139"/>
      <c r="VFN111" s="139"/>
      <c r="VFO111" s="139"/>
      <c r="VFP111" s="139"/>
      <c r="VFQ111" s="139"/>
      <c r="VFR111" s="139"/>
      <c r="VFS111" s="139"/>
      <c r="VFT111" s="139"/>
      <c r="VFU111" s="139"/>
      <c r="VFV111" s="139"/>
      <c r="VFW111" s="139"/>
      <c r="VFX111" s="139"/>
      <c r="VFY111" s="139"/>
      <c r="VFZ111" s="139"/>
      <c r="VGA111" s="139"/>
      <c r="VGB111" s="139"/>
      <c r="VGC111" s="139"/>
      <c r="VGD111" s="139"/>
      <c r="VGE111" s="139"/>
      <c r="VGF111" s="139"/>
      <c r="VGG111" s="139"/>
      <c r="VGH111" s="139"/>
      <c r="VGI111" s="139"/>
      <c r="VGJ111" s="139"/>
      <c r="VGK111" s="139"/>
      <c r="VGL111" s="139"/>
      <c r="VGM111" s="139"/>
      <c r="VGN111" s="139"/>
      <c r="VGO111" s="139"/>
      <c r="VGP111" s="139"/>
      <c r="VGQ111" s="139"/>
      <c r="VGR111" s="139"/>
      <c r="VGS111" s="139"/>
      <c r="VGT111" s="139"/>
      <c r="VGU111" s="139"/>
      <c r="VGV111" s="139"/>
      <c r="VGW111" s="139"/>
      <c r="VGX111" s="139"/>
      <c r="VGY111" s="139"/>
      <c r="VGZ111" s="139"/>
      <c r="VHA111" s="139"/>
      <c r="VHB111" s="139"/>
      <c r="VHC111" s="139"/>
      <c r="VHD111" s="139"/>
      <c r="VHE111" s="139"/>
      <c r="VHF111" s="139"/>
      <c r="VHG111" s="139"/>
      <c r="VHH111" s="139"/>
      <c r="VHI111" s="139"/>
      <c r="VHJ111" s="139"/>
      <c r="VHK111" s="139"/>
      <c r="VHL111" s="139"/>
      <c r="VHM111" s="139"/>
      <c r="VHN111" s="139"/>
      <c r="VHO111" s="139"/>
      <c r="VHP111" s="139"/>
      <c r="VHQ111" s="139"/>
      <c r="VHR111" s="139"/>
      <c r="VHS111" s="139"/>
      <c r="VHT111" s="139"/>
      <c r="VHU111" s="139"/>
      <c r="VHV111" s="139"/>
      <c r="VHW111" s="139"/>
      <c r="VHX111" s="139"/>
      <c r="VHY111" s="139"/>
      <c r="VHZ111" s="139"/>
      <c r="VIA111" s="139"/>
      <c r="VIB111" s="139"/>
      <c r="VIC111" s="139"/>
      <c r="VID111" s="139"/>
      <c r="VIE111" s="139"/>
      <c r="VIF111" s="139"/>
      <c r="VIG111" s="139"/>
      <c r="VIH111" s="139"/>
      <c r="VII111" s="139"/>
      <c r="VIJ111" s="139"/>
      <c r="VIK111" s="139"/>
      <c r="VIL111" s="139"/>
      <c r="VIM111" s="139"/>
      <c r="VIN111" s="139"/>
      <c r="VIO111" s="139"/>
      <c r="VIP111" s="139"/>
      <c r="VIQ111" s="139"/>
      <c r="VIR111" s="139"/>
      <c r="VIS111" s="139"/>
      <c r="VIT111" s="139"/>
      <c r="VIU111" s="139"/>
      <c r="VIV111" s="139"/>
      <c r="VIW111" s="139"/>
      <c r="VIX111" s="139"/>
      <c r="VIY111" s="139"/>
      <c r="VIZ111" s="139"/>
      <c r="VJA111" s="139"/>
      <c r="VJB111" s="139"/>
      <c r="VJC111" s="139"/>
      <c r="VJD111" s="139"/>
      <c r="VJE111" s="139"/>
      <c r="VJF111" s="139"/>
      <c r="VJG111" s="139"/>
      <c r="VJH111" s="139"/>
      <c r="VJI111" s="139"/>
      <c r="VJJ111" s="139"/>
      <c r="VJK111" s="139"/>
      <c r="VJL111" s="139"/>
      <c r="VJM111" s="139"/>
      <c r="VJN111" s="139"/>
      <c r="VJO111" s="139"/>
      <c r="VJP111" s="139"/>
      <c r="VJQ111" s="139"/>
      <c r="VJR111" s="139"/>
      <c r="VJS111" s="139"/>
      <c r="VJT111" s="139"/>
      <c r="VJU111" s="139"/>
      <c r="VJV111" s="139"/>
      <c r="VJW111" s="139"/>
      <c r="VJX111" s="139"/>
      <c r="VJY111" s="139"/>
      <c r="VJZ111" s="139"/>
      <c r="VKA111" s="139"/>
      <c r="VKB111" s="139"/>
      <c r="VKC111" s="139"/>
      <c r="VKD111" s="139"/>
      <c r="VKE111" s="139"/>
      <c r="VKF111" s="139"/>
      <c r="VKG111" s="139"/>
      <c r="VKH111" s="139"/>
      <c r="VKI111" s="139"/>
      <c r="VKJ111" s="139"/>
      <c r="VKK111" s="139"/>
      <c r="VKL111" s="139"/>
      <c r="VKM111" s="139"/>
      <c r="VKN111" s="139"/>
      <c r="VKO111" s="139"/>
      <c r="VKP111" s="139"/>
      <c r="VKQ111" s="139"/>
      <c r="VKR111" s="139"/>
      <c r="VKS111" s="139"/>
      <c r="VKT111" s="139"/>
      <c r="VKU111" s="139"/>
      <c r="VKV111" s="139"/>
      <c r="VKW111" s="139"/>
      <c r="VKX111" s="139"/>
      <c r="VKY111" s="139"/>
      <c r="VKZ111" s="139"/>
      <c r="VLA111" s="139"/>
      <c r="VLB111" s="139"/>
      <c r="VLC111" s="139"/>
      <c r="VLD111" s="139"/>
      <c r="VLE111" s="139"/>
      <c r="VLF111" s="139"/>
      <c r="VLG111" s="139"/>
      <c r="VLH111" s="139"/>
      <c r="VLI111" s="139"/>
      <c r="VLJ111" s="139"/>
      <c r="VLK111" s="139"/>
      <c r="VLL111" s="139"/>
      <c r="VLM111" s="139"/>
      <c r="VLN111" s="139"/>
      <c r="VLO111" s="139"/>
      <c r="VLP111" s="139"/>
      <c r="VLQ111" s="139"/>
      <c r="VLR111" s="139"/>
      <c r="VLS111" s="139"/>
      <c r="VLT111" s="139"/>
      <c r="VLU111" s="139"/>
      <c r="VLV111" s="139"/>
      <c r="VLW111" s="139"/>
      <c r="VLX111" s="139"/>
      <c r="VLY111" s="139"/>
      <c r="VLZ111" s="139"/>
      <c r="VMA111" s="139"/>
      <c r="VMB111" s="139"/>
      <c r="VMC111" s="139"/>
      <c r="VMD111" s="139"/>
      <c r="VME111" s="139"/>
      <c r="VMF111" s="139"/>
      <c r="VMG111" s="139"/>
      <c r="VMH111" s="139"/>
      <c r="VMI111" s="139"/>
      <c r="VMJ111" s="139"/>
      <c r="VMK111" s="139"/>
      <c r="VML111" s="139"/>
      <c r="VMM111" s="139"/>
      <c r="VMN111" s="139"/>
      <c r="VMO111" s="139"/>
      <c r="VMP111" s="139"/>
      <c r="VMQ111" s="139"/>
      <c r="VMR111" s="139"/>
      <c r="VMS111" s="139"/>
      <c r="VMT111" s="139"/>
      <c r="VMU111" s="139"/>
      <c r="VMV111" s="139"/>
      <c r="VMW111" s="139"/>
      <c r="VMX111" s="139"/>
      <c r="VMY111" s="139"/>
      <c r="VMZ111" s="139"/>
      <c r="VNA111" s="139"/>
      <c r="VNB111" s="139"/>
      <c r="VNC111" s="139"/>
      <c r="VND111" s="139"/>
      <c r="VNE111" s="139"/>
      <c r="VNF111" s="139"/>
      <c r="VNG111" s="139"/>
      <c r="VNH111" s="139"/>
      <c r="VNI111" s="139"/>
      <c r="VNJ111" s="139"/>
      <c r="VNK111" s="139"/>
      <c r="VNL111" s="139"/>
      <c r="VNM111" s="139"/>
      <c r="VNN111" s="139"/>
      <c r="VNO111" s="139"/>
      <c r="VNP111" s="139"/>
      <c r="VNQ111" s="139"/>
      <c r="VNR111" s="139"/>
      <c r="VNS111" s="139"/>
      <c r="VNT111" s="139"/>
      <c r="VNU111" s="139"/>
      <c r="VNV111" s="139"/>
      <c r="VNW111" s="139"/>
      <c r="VNX111" s="139"/>
      <c r="VNY111" s="139"/>
      <c r="VNZ111" s="139"/>
      <c r="VOA111" s="139"/>
      <c r="VOB111" s="139"/>
      <c r="VOC111" s="139"/>
      <c r="VOD111" s="139"/>
      <c r="VOE111" s="139"/>
      <c r="VOF111" s="139"/>
      <c r="VOG111" s="139"/>
      <c r="VOH111" s="139"/>
      <c r="VOI111" s="139"/>
      <c r="VOJ111" s="139"/>
      <c r="VOK111" s="139"/>
      <c r="VOL111" s="139"/>
      <c r="VOM111" s="139"/>
      <c r="VON111" s="139"/>
      <c r="VOO111" s="139"/>
      <c r="VOP111" s="139"/>
      <c r="VOQ111" s="139"/>
      <c r="VOR111" s="139"/>
      <c r="VOS111" s="139"/>
      <c r="VOT111" s="139"/>
      <c r="VOU111" s="139"/>
      <c r="VOV111" s="139"/>
      <c r="VOW111" s="139"/>
      <c r="VOX111" s="139"/>
      <c r="VOY111" s="139"/>
      <c r="VOZ111" s="139"/>
      <c r="VPA111" s="139"/>
      <c r="VPB111" s="139"/>
      <c r="VPC111" s="139"/>
      <c r="VPD111" s="139"/>
      <c r="VPE111" s="139"/>
      <c r="VPF111" s="139"/>
      <c r="VPG111" s="139"/>
      <c r="VPH111" s="139"/>
      <c r="VPI111" s="139"/>
      <c r="VPJ111" s="139"/>
      <c r="VPK111" s="139"/>
      <c r="VPL111" s="139"/>
      <c r="VPM111" s="139"/>
      <c r="VPN111" s="139"/>
      <c r="VPO111" s="139"/>
      <c r="VPP111" s="139"/>
      <c r="VPQ111" s="139"/>
      <c r="VPR111" s="139"/>
      <c r="VPS111" s="139"/>
      <c r="VPT111" s="139"/>
      <c r="VPU111" s="139"/>
      <c r="VPV111" s="139"/>
      <c r="VPW111" s="139"/>
      <c r="VPX111" s="139"/>
      <c r="VPY111" s="139"/>
      <c r="VPZ111" s="139"/>
      <c r="VQA111" s="139"/>
      <c r="VQB111" s="139"/>
      <c r="VQC111" s="139"/>
      <c r="VQD111" s="139"/>
      <c r="VQE111" s="139"/>
      <c r="VQF111" s="139"/>
      <c r="VQG111" s="139"/>
      <c r="VQH111" s="139"/>
      <c r="VQI111" s="139"/>
      <c r="VQJ111" s="139"/>
      <c r="VQK111" s="139"/>
      <c r="VQL111" s="139"/>
      <c r="VQM111" s="139"/>
      <c r="VQN111" s="139"/>
      <c r="VQO111" s="139"/>
      <c r="VQP111" s="139"/>
      <c r="VQQ111" s="139"/>
      <c r="VQR111" s="139"/>
      <c r="VQS111" s="139"/>
      <c r="VQT111" s="139"/>
      <c r="VQU111" s="139"/>
      <c r="VQV111" s="139"/>
      <c r="VQW111" s="139"/>
      <c r="VQX111" s="139"/>
      <c r="VQY111" s="139"/>
      <c r="VQZ111" s="139"/>
      <c r="VRA111" s="139"/>
      <c r="VRB111" s="139"/>
      <c r="VRC111" s="139"/>
      <c r="VRD111" s="139"/>
      <c r="VRE111" s="139"/>
      <c r="VRF111" s="139"/>
      <c r="VRG111" s="139"/>
      <c r="VRH111" s="139"/>
      <c r="VRI111" s="139"/>
      <c r="VRJ111" s="139"/>
      <c r="VRK111" s="139"/>
      <c r="VRL111" s="139"/>
      <c r="VRM111" s="139"/>
      <c r="VRN111" s="139"/>
      <c r="VRO111" s="139"/>
      <c r="VRP111" s="139"/>
      <c r="VRQ111" s="139"/>
      <c r="VRR111" s="139"/>
      <c r="VRS111" s="139"/>
      <c r="VRT111" s="139"/>
      <c r="VRU111" s="139"/>
      <c r="VRV111" s="139"/>
      <c r="VRW111" s="139"/>
      <c r="VRX111" s="139"/>
      <c r="VRY111" s="139"/>
      <c r="VRZ111" s="139"/>
      <c r="VSA111" s="139"/>
      <c r="VSB111" s="139"/>
      <c r="VSC111" s="139"/>
      <c r="VSD111" s="139"/>
      <c r="VSE111" s="139"/>
      <c r="VSF111" s="139"/>
      <c r="VSG111" s="139"/>
      <c r="VSH111" s="139"/>
      <c r="VSI111" s="139"/>
      <c r="VSJ111" s="139"/>
      <c r="VSK111" s="139"/>
      <c r="VSL111" s="139"/>
      <c r="VSM111" s="139"/>
      <c r="VSN111" s="139"/>
      <c r="VSO111" s="139"/>
      <c r="VSP111" s="139"/>
      <c r="VSQ111" s="139"/>
      <c r="VSR111" s="139"/>
      <c r="VSS111" s="139"/>
      <c r="VST111" s="139"/>
      <c r="VSU111" s="139"/>
      <c r="VSV111" s="139"/>
      <c r="VSW111" s="139"/>
      <c r="VSX111" s="139"/>
      <c r="VSY111" s="139"/>
      <c r="VSZ111" s="139"/>
      <c r="VTA111" s="139"/>
      <c r="VTB111" s="139"/>
      <c r="VTC111" s="139"/>
      <c r="VTD111" s="139"/>
      <c r="VTE111" s="139"/>
      <c r="VTF111" s="139"/>
      <c r="VTG111" s="139"/>
      <c r="VTH111" s="139"/>
      <c r="VTI111" s="139"/>
      <c r="VTJ111" s="139"/>
      <c r="VTK111" s="139"/>
      <c r="VTL111" s="139"/>
      <c r="VTM111" s="139"/>
      <c r="VTN111" s="139"/>
      <c r="VTO111" s="139"/>
      <c r="VTP111" s="139"/>
      <c r="VTQ111" s="139"/>
      <c r="VTR111" s="139"/>
      <c r="VTS111" s="139"/>
      <c r="VTT111" s="139"/>
      <c r="VTU111" s="139"/>
      <c r="VTV111" s="139"/>
      <c r="VTW111" s="139"/>
      <c r="VTX111" s="139"/>
      <c r="VTY111" s="139"/>
      <c r="VTZ111" s="139"/>
      <c r="VUA111" s="139"/>
      <c r="VUB111" s="139"/>
      <c r="VUC111" s="139"/>
      <c r="VUD111" s="139"/>
      <c r="VUE111" s="139"/>
      <c r="VUF111" s="139"/>
      <c r="VUG111" s="139"/>
      <c r="VUH111" s="139"/>
      <c r="VUI111" s="139"/>
      <c r="VUJ111" s="139"/>
      <c r="VUK111" s="139"/>
      <c r="VUL111" s="139"/>
      <c r="VUM111" s="139"/>
      <c r="VUN111" s="139"/>
      <c r="VUO111" s="139"/>
      <c r="VUP111" s="139"/>
      <c r="VUQ111" s="139"/>
      <c r="VUR111" s="139"/>
      <c r="VUS111" s="139"/>
      <c r="VUT111" s="139"/>
      <c r="VUU111" s="139"/>
      <c r="VUV111" s="139"/>
      <c r="VUW111" s="139"/>
      <c r="VUX111" s="139"/>
      <c r="VUY111" s="139"/>
      <c r="VUZ111" s="139"/>
      <c r="VVA111" s="139"/>
      <c r="VVB111" s="139"/>
      <c r="VVC111" s="139"/>
      <c r="VVD111" s="139"/>
      <c r="VVE111" s="139"/>
      <c r="VVF111" s="139"/>
      <c r="VVG111" s="139"/>
      <c r="VVH111" s="139"/>
      <c r="VVI111" s="139"/>
      <c r="VVJ111" s="139"/>
      <c r="VVK111" s="139"/>
      <c r="VVL111" s="139"/>
      <c r="VVM111" s="139"/>
      <c r="VVN111" s="139"/>
      <c r="VVO111" s="139"/>
      <c r="VVP111" s="139"/>
      <c r="VVQ111" s="139"/>
      <c r="VVR111" s="139"/>
      <c r="VVS111" s="139"/>
      <c r="VVT111" s="139"/>
      <c r="VVU111" s="139"/>
      <c r="VVV111" s="139"/>
      <c r="VVW111" s="139"/>
      <c r="VVX111" s="139"/>
      <c r="VVY111" s="139"/>
      <c r="VVZ111" s="139"/>
      <c r="VWA111" s="139"/>
      <c r="VWB111" s="139"/>
      <c r="VWC111" s="139"/>
      <c r="VWD111" s="139"/>
      <c r="VWE111" s="139"/>
      <c r="VWF111" s="139"/>
      <c r="VWG111" s="139"/>
      <c r="VWH111" s="139"/>
      <c r="VWI111" s="139"/>
      <c r="VWJ111" s="139"/>
      <c r="VWK111" s="139"/>
      <c r="VWL111" s="139"/>
      <c r="VWM111" s="139"/>
      <c r="VWN111" s="139"/>
      <c r="VWO111" s="139"/>
      <c r="VWP111" s="139"/>
      <c r="VWQ111" s="139"/>
      <c r="VWR111" s="139"/>
      <c r="VWS111" s="139"/>
      <c r="VWT111" s="139"/>
      <c r="VWU111" s="139"/>
      <c r="VWV111" s="139"/>
      <c r="VWW111" s="139"/>
      <c r="VWX111" s="139"/>
      <c r="VWY111" s="139"/>
      <c r="VWZ111" s="139"/>
      <c r="VXA111" s="139"/>
      <c r="VXB111" s="139"/>
      <c r="VXC111" s="139"/>
      <c r="VXD111" s="139"/>
      <c r="VXE111" s="139"/>
      <c r="VXF111" s="139"/>
      <c r="VXG111" s="139"/>
      <c r="VXH111" s="139"/>
      <c r="VXI111" s="139"/>
      <c r="VXJ111" s="139"/>
      <c r="VXK111" s="139"/>
      <c r="VXL111" s="139"/>
      <c r="VXM111" s="139"/>
      <c r="VXN111" s="139"/>
      <c r="VXO111" s="139"/>
      <c r="VXP111" s="139"/>
      <c r="VXQ111" s="139"/>
      <c r="VXR111" s="139"/>
      <c r="VXS111" s="139"/>
      <c r="VXT111" s="139"/>
      <c r="VXU111" s="139"/>
      <c r="VXV111" s="139"/>
      <c r="VXW111" s="139"/>
      <c r="VXX111" s="139"/>
      <c r="VXY111" s="139"/>
      <c r="VXZ111" s="139"/>
      <c r="VYA111" s="139"/>
      <c r="VYB111" s="139"/>
      <c r="VYC111" s="139"/>
      <c r="VYD111" s="139"/>
      <c r="VYE111" s="139"/>
      <c r="VYF111" s="139"/>
      <c r="VYG111" s="139"/>
      <c r="VYH111" s="139"/>
      <c r="VYI111" s="139"/>
      <c r="VYJ111" s="139"/>
      <c r="VYK111" s="139"/>
      <c r="VYL111" s="139"/>
      <c r="VYM111" s="139"/>
      <c r="VYN111" s="139"/>
      <c r="VYO111" s="139"/>
      <c r="VYP111" s="139"/>
      <c r="VYQ111" s="139"/>
      <c r="VYR111" s="139"/>
      <c r="VYS111" s="139"/>
      <c r="VYT111" s="139"/>
      <c r="VYU111" s="139"/>
      <c r="VYV111" s="139"/>
      <c r="VYW111" s="139"/>
      <c r="VYX111" s="139"/>
      <c r="VYY111" s="139"/>
      <c r="VYZ111" s="139"/>
      <c r="VZA111" s="139"/>
      <c r="VZB111" s="139"/>
      <c r="VZC111" s="139"/>
      <c r="VZD111" s="139"/>
      <c r="VZE111" s="139"/>
      <c r="VZF111" s="139"/>
      <c r="VZG111" s="139"/>
      <c r="VZH111" s="139"/>
      <c r="VZI111" s="139"/>
      <c r="VZJ111" s="139"/>
      <c r="VZK111" s="139"/>
      <c r="VZL111" s="139"/>
      <c r="VZM111" s="139"/>
      <c r="VZN111" s="139"/>
      <c r="VZO111" s="139"/>
      <c r="VZP111" s="139"/>
      <c r="VZQ111" s="139"/>
      <c r="VZR111" s="139"/>
      <c r="VZS111" s="139"/>
      <c r="VZT111" s="139"/>
      <c r="VZU111" s="139"/>
      <c r="VZV111" s="139"/>
      <c r="VZW111" s="139"/>
      <c r="VZX111" s="139"/>
      <c r="VZY111" s="139"/>
      <c r="VZZ111" s="139"/>
      <c r="WAA111" s="139"/>
      <c r="WAB111" s="139"/>
      <c r="WAC111" s="139"/>
      <c r="WAD111" s="139"/>
      <c r="WAE111" s="139"/>
      <c r="WAF111" s="139"/>
      <c r="WAG111" s="139"/>
      <c r="WAH111" s="139"/>
      <c r="WAI111" s="139"/>
      <c r="WAJ111" s="139"/>
      <c r="WAK111" s="139"/>
      <c r="WAL111" s="139"/>
      <c r="WAM111" s="139"/>
      <c r="WAN111" s="139"/>
      <c r="WAO111" s="139"/>
      <c r="WAP111" s="139"/>
      <c r="WAQ111" s="139"/>
      <c r="WAR111" s="139"/>
      <c r="WAS111" s="139"/>
      <c r="WAT111" s="139"/>
      <c r="WAU111" s="139"/>
      <c r="WAV111" s="139"/>
      <c r="WAW111" s="139"/>
      <c r="WAX111" s="139"/>
      <c r="WAY111" s="139"/>
      <c r="WAZ111" s="139"/>
      <c r="WBA111" s="139"/>
      <c r="WBB111" s="139"/>
      <c r="WBC111" s="139"/>
      <c r="WBD111" s="139"/>
      <c r="WBE111" s="139"/>
      <c r="WBF111" s="139"/>
      <c r="WBG111" s="139"/>
      <c r="WBH111" s="139"/>
      <c r="WBI111" s="139"/>
      <c r="WBJ111" s="139"/>
      <c r="WBK111" s="139"/>
      <c r="WBL111" s="139"/>
      <c r="WBM111" s="139"/>
      <c r="WBN111" s="139"/>
      <c r="WBO111" s="139"/>
      <c r="WBP111" s="139"/>
      <c r="WBQ111" s="139"/>
      <c r="WBR111" s="139"/>
      <c r="WBS111" s="139"/>
      <c r="WBT111" s="139"/>
      <c r="WBU111" s="139"/>
      <c r="WBV111" s="139"/>
      <c r="WBW111" s="139"/>
      <c r="WBX111" s="139"/>
      <c r="WBY111" s="139"/>
      <c r="WBZ111" s="139"/>
      <c r="WCA111" s="139"/>
      <c r="WCB111" s="139"/>
      <c r="WCC111" s="139"/>
      <c r="WCD111" s="139"/>
      <c r="WCE111" s="139"/>
      <c r="WCF111" s="139"/>
      <c r="WCG111" s="139"/>
      <c r="WCH111" s="139"/>
      <c r="WCI111" s="139"/>
      <c r="WCJ111" s="139"/>
      <c r="WCK111" s="139"/>
      <c r="WCL111" s="139"/>
      <c r="WCM111" s="139"/>
      <c r="WCN111" s="139"/>
      <c r="WCO111" s="139"/>
      <c r="WCP111" s="139"/>
      <c r="WCQ111" s="139"/>
      <c r="WCR111" s="139"/>
      <c r="WCS111" s="139"/>
      <c r="WCT111" s="139"/>
      <c r="WCU111" s="139"/>
      <c r="WCV111" s="139"/>
      <c r="WCW111" s="139"/>
      <c r="WCX111" s="139"/>
      <c r="WCY111" s="139"/>
      <c r="WCZ111" s="139"/>
      <c r="WDA111" s="139"/>
      <c r="WDB111" s="139"/>
      <c r="WDC111" s="139"/>
      <c r="WDD111" s="139"/>
      <c r="WDE111" s="139"/>
      <c r="WDF111" s="139"/>
      <c r="WDG111" s="139"/>
      <c r="WDH111" s="139"/>
      <c r="WDI111" s="139"/>
      <c r="WDJ111" s="139"/>
      <c r="WDK111" s="139"/>
      <c r="WDL111" s="139"/>
      <c r="WDM111" s="139"/>
      <c r="WDN111" s="139"/>
      <c r="WDO111" s="139"/>
      <c r="WDP111" s="139"/>
      <c r="WDQ111" s="139"/>
      <c r="WDR111" s="139"/>
      <c r="WDS111" s="139"/>
      <c r="WDT111" s="139"/>
      <c r="WDU111" s="139"/>
      <c r="WDV111" s="139"/>
      <c r="WDW111" s="139"/>
      <c r="WDX111" s="139"/>
      <c r="WDY111" s="139"/>
      <c r="WDZ111" s="139"/>
      <c r="WEA111" s="139"/>
      <c r="WEB111" s="139"/>
      <c r="WEC111" s="139"/>
      <c r="WED111" s="139"/>
      <c r="WEE111" s="139"/>
      <c r="WEF111" s="139"/>
      <c r="WEG111" s="139"/>
      <c r="WEH111" s="139"/>
      <c r="WEI111" s="139"/>
      <c r="WEJ111" s="139"/>
      <c r="WEK111" s="139"/>
      <c r="WEL111" s="139"/>
      <c r="WEM111" s="139"/>
      <c r="WEN111" s="139"/>
      <c r="WEO111" s="139"/>
      <c r="WEP111" s="139"/>
      <c r="WEQ111" s="139"/>
      <c r="WER111" s="139"/>
      <c r="WES111" s="139"/>
      <c r="WET111" s="139"/>
      <c r="WEU111" s="139"/>
      <c r="WEV111" s="139"/>
      <c r="WEW111" s="139"/>
      <c r="WEX111" s="139"/>
      <c r="WEY111" s="139"/>
      <c r="WEZ111" s="139"/>
      <c r="WFA111" s="139"/>
      <c r="WFB111" s="139"/>
      <c r="WFC111" s="139"/>
      <c r="WFD111" s="139"/>
      <c r="WFE111" s="139"/>
      <c r="WFF111" s="139"/>
      <c r="WFG111" s="139"/>
      <c r="WFH111" s="139"/>
      <c r="WFI111" s="139"/>
      <c r="WFJ111" s="139"/>
      <c r="WFK111" s="139"/>
      <c r="WFL111" s="139"/>
      <c r="WFM111" s="139"/>
      <c r="WFN111" s="139"/>
      <c r="WFO111" s="139"/>
      <c r="WFP111" s="139"/>
      <c r="WFQ111" s="139"/>
      <c r="WFR111" s="139"/>
      <c r="WFS111" s="139"/>
      <c r="WFT111" s="139"/>
      <c r="WFU111" s="139"/>
      <c r="WFV111" s="139"/>
      <c r="WFW111" s="139"/>
      <c r="WFX111" s="139"/>
      <c r="WFY111" s="139"/>
      <c r="WFZ111" s="139"/>
      <c r="WGA111" s="139"/>
      <c r="WGB111" s="139"/>
      <c r="WGC111" s="139"/>
      <c r="WGD111" s="139"/>
      <c r="WGE111" s="139"/>
      <c r="WGF111" s="139"/>
      <c r="WGG111" s="139"/>
      <c r="WGH111" s="139"/>
      <c r="WGI111" s="139"/>
      <c r="WGJ111" s="139"/>
      <c r="WGK111" s="139"/>
      <c r="WGL111" s="139"/>
      <c r="WGM111" s="139"/>
      <c r="WGN111" s="139"/>
      <c r="WGO111" s="139"/>
      <c r="WGP111" s="139"/>
      <c r="WGQ111" s="139"/>
      <c r="WGR111" s="139"/>
      <c r="WGS111" s="139"/>
      <c r="WGT111" s="139"/>
      <c r="WGU111" s="139"/>
      <c r="WGV111" s="139"/>
      <c r="WGW111" s="139"/>
      <c r="WGX111" s="139"/>
      <c r="WGY111" s="139"/>
      <c r="WGZ111" s="139"/>
      <c r="WHA111" s="139"/>
      <c r="WHB111" s="139"/>
      <c r="WHC111" s="139"/>
      <c r="WHD111" s="139"/>
      <c r="WHE111" s="139"/>
      <c r="WHF111" s="139"/>
      <c r="WHG111" s="139"/>
      <c r="WHH111" s="139"/>
      <c r="WHI111" s="139"/>
      <c r="WHJ111" s="139"/>
      <c r="WHK111" s="139"/>
      <c r="WHL111" s="139"/>
      <c r="WHM111" s="139"/>
      <c r="WHN111" s="139"/>
      <c r="WHO111" s="139"/>
      <c r="WHP111" s="139"/>
      <c r="WHQ111" s="139"/>
      <c r="WHR111" s="139"/>
      <c r="WHS111" s="139"/>
      <c r="WHT111" s="139"/>
      <c r="WHU111" s="139"/>
      <c r="WHV111" s="139"/>
      <c r="WHW111" s="139"/>
      <c r="WHX111" s="139"/>
      <c r="WHY111" s="139"/>
      <c r="WHZ111" s="139"/>
      <c r="WIA111" s="139"/>
      <c r="WIB111" s="139"/>
      <c r="WIC111" s="139"/>
      <c r="WID111" s="139"/>
      <c r="WIE111" s="139"/>
      <c r="WIF111" s="139"/>
      <c r="WIG111" s="139"/>
      <c r="WIH111" s="139"/>
      <c r="WII111" s="139"/>
      <c r="WIJ111" s="139"/>
      <c r="WIK111" s="139"/>
      <c r="WIL111" s="139"/>
      <c r="WIM111" s="139"/>
      <c r="WIN111" s="139"/>
      <c r="WIO111" s="139"/>
      <c r="WIP111" s="139"/>
      <c r="WIQ111" s="139"/>
      <c r="WIR111" s="139"/>
      <c r="WIS111" s="139"/>
      <c r="WIT111" s="139"/>
      <c r="WIU111" s="139"/>
      <c r="WIV111" s="139"/>
      <c r="WIW111" s="139"/>
      <c r="WIX111" s="139"/>
      <c r="WIY111" s="139"/>
      <c r="WIZ111" s="139"/>
      <c r="WJA111" s="139"/>
      <c r="WJB111" s="139"/>
      <c r="WJC111" s="139"/>
      <c r="WJD111" s="139"/>
      <c r="WJE111" s="139"/>
      <c r="WJF111" s="139"/>
      <c r="WJG111" s="139"/>
      <c r="WJH111" s="139"/>
      <c r="WJI111" s="139"/>
      <c r="WJJ111" s="139"/>
      <c r="WJK111" s="139"/>
      <c r="WJL111" s="139"/>
      <c r="WJM111" s="139"/>
      <c r="WJN111" s="139"/>
      <c r="WJO111" s="139"/>
      <c r="WJP111" s="139"/>
      <c r="WJQ111" s="139"/>
      <c r="WJR111" s="139"/>
      <c r="WJS111" s="139"/>
      <c r="WJT111" s="139"/>
      <c r="WJU111" s="139"/>
      <c r="WJV111" s="139"/>
      <c r="WJW111" s="139"/>
      <c r="WJX111" s="139"/>
      <c r="WJY111" s="139"/>
      <c r="WJZ111" s="139"/>
      <c r="WKA111" s="139"/>
      <c r="WKB111" s="139"/>
      <c r="WKC111" s="139"/>
      <c r="WKD111" s="139"/>
      <c r="WKE111" s="139"/>
      <c r="WKF111" s="139"/>
      <c r="WKG111" s="139"/>
      <c r="WKH111" s="139"/>
      <c r="WKI111" s="139"/>
      <c r="WKJ111" s="139"/>
      <c r="WKK111" s="139"/>
      <c r="WKL111" s="139"/>
      <c r="WKM111" s="139"/>
      <c r="WKN111" s="139"/>
      <c r="WKO111" s="139"/>
      <c r="WKP111" s="139"/>
      <c r="WKQ111" s="139"/>
      <c r="WKR111" s="139"/>
      <c r="WKS111" s="139"/>
      <c r="WKT111" s="139"/>
      <c r="WKU111" s="139"/>
      <c r="WKV111" s="139"/>
      <c r="WKW111" s="139"/>
      <c r="WKX111" s="139"/>
      <c r="WKY111" s="139"/>
      <c r="WKZ111" s="139"/>
      <c r="WLA111" s="139"/>
      <c r="WLB111" s="139"/>
      <c r="WLC111" s="139"/>
      <c r="WLD111" s="139"/>
      <c r="WLE111" s="139"/>
      <c r="WLF111" s="139"/>
      <c r="WLG111" s="139"/>
      <c r="WLH111" s="139"/>
      <c r="WLI111" s="139"/>
      <c r="WLJ111" s="139"/>
      <c r="WLK111" s="139"/>
      <c r="WLL111" s="139"/>
      <c r="WLM111" s="139"/>
      <c r="WLN111" s="139"/>
      <c r="WLO111" s="139"/>
      <c r="WLP111" s="139"/>
      <c r="WLQ111" s="139"/>
      <c r="WLR111" s="139"/>
      <c r="WLS111" s="139"/>
      <c r="WLT111" s="139"/>
      <c r="WLU111" s="139"/>
      <c r="WLV111" s="139"/>
      <c r="WLW111" s="139"/>
      <c r="WLX111" s="139"/>
      <c r="WLY111" s="139"/>
      <c r="WLZ111" s="139"/>
      <c r="WMA111" s="139"/>
      <c r="WMB111" s="139"/>
      <c r="WMC111" s="139"/>
      <c r="WMD111" s="139"/>
      <c r="WME111" s="139"/>
      <c r="WMF111" s="139"/>
      <c r="WMG111" s="139"/>
      <c r="WMH111" s="139"/>
      <c r="WMI111" s="139"/>
      <c r="WMJ111" s="139"/>
      <c r="WMK111" s="139"/>
      <c r="WML111" s="139"/>
      <c r="WMM111" s="139"/>
      <c r="WMN111" s="139"/>
      <c r="WMO111" s="139"/>
      <c r="WMP111" s="139"/>
      <c r="WMQ111" s="139"/>
      <c r="WMR111" s="139"/>
      <c r="WMS111" s="139"/>
      <c r="WMT111" s="139"/>
      <c r="WMU111" s="139"/>
      <c r="WMV111" s="139"/>
      <c r="WMW111" s="139"/>
      <c r="WMX111" s="139"/>
      <c r="WMY111" s="139"/>
      <c r="WMZ111" s="139"/>
      <c r="WNA111" s="139"/>
      <c r="WNB111" s="139"/>
      <c r="WNC111" s="139"/>
      <c r="WND111" s="139"/>
      <c r="WNE111" s="139"/>
      <c r="WNF111" s="139"/>
      <c r="WNG111" s="139"/>
      <c r="WNH111" s="139"/>
      <c r="WNI111" s="139"/>
      <c r="WNJ111" s="139"/>
      <c r="WNK111" s="139"/>
      <c r="WNL111" s="139"/>
      <c r="WNM111" s="139"/>
      <c r="WNN111" s="139"/>
      <c r="WNO111" s="139"/>
      <c r="WNP111" s="139"/>
      <c r="WNQ111" s="139"/>
      <c r="WNR111" s="139"/>
      <c r="WNS111" s="139"/>
      <c r="WNT111" s="139"/>
      <c r="WNU111" s="139"/>
      <c r="WNV111" s="139"/>
      <c r="WNW111" s="139"/>
      <c r="WNX111" s="139"/>
      <c r="WNY111" s="139"/>
      <c r="WNZ111" s="139"/>
      <c r="WOA111" s="139"/>
      <c r="WOB111" s="139"/>
      <c r="WOC111" s="139"/>
      <c r="WOD111" s="139"/>
      <c r="WOE111" s="139"/>
      <c r="WOF111" s="139"/>
      <c r="WOG111" s="139"/>
      <c r="WOH111" s="139"/>
      <c r="WOI111" s="139"/>
      <c r="WOJ111" s="139"/>
      <c r="WOK111" s="139"/>
      <c r="WOL111" s="139"/>
      <c r="WOM111" s="139"/>
      <c r="WON111" s="139"/>
      <c r="WOO111" s="139"/>
      <c r="WOP111" s="139"/>
      <c r="WOQ111" s="139"/>
      <c r="WOR111" s="139"/>
      <c r="WOS111" s="139"/>
      <c r="WOT111" s="139"/>
      <c r="WOU111" s="139"/>
      <c r="WOV111" s="139"/>
      <c r="WOW111" s="139"/>
      <c r="WOX111" s="139"/>
      <c r="WOY111" s="139"/>
      <c r="WOZ111" s="139"/>
      <c r="WPA111" s="139"/>
      <c r="WPB111" s="139"/>
      <c r="WPC111" s="139"/>
      <c r="WPD111" s="139"/>
      <c r="WPE111" s="139"/>
      <c r="WPF111" s="139"/>
      <c r="WPG111" s="139"/>
      <c r="WPH111" s="139"/>
      <c r="WPI111" s="139"/>
      <c r="WPJ111" s="139"/>
      <c r="WPK111" s="139"/>
      <c r="WPL111" s="139"/>
      <c r="WPM111" s="139"/>
      <c r="WPN111" s="139"/>
      <c r="WPO111" s="139"/>
      <c r="WPP111" s="139"/>
      <c r="WPQ111" s="139"/>
      <c r="WPR111" s="139"/>
      <c r="WPS111" s="139"/>
      <c r="WPT111" s="139"/>
      <c r="WPU111" s="139"/>
      <c r="WPV111" s="139"/>
      <c r="WPW111" s="139"/>
      <c r="WPX111" s="139"/>
      <c r="WPY111" s="139"/>
      <c r="WPZ111" s="139"/>
      <c r="WQA111" s="139"/>
      <c r="WQB111" s="139"/>
      <c r="WQC111" s="139"/>
      <c r="WQD111" s="139"/>
      <c r="WQE111" s="139"/>
      <c r="WQF111" s="139"/>
      <c r="WQG111" s="139"/>
      <c r="WQH111" s="139"/>
      <c r="WQI111" s="139"/>
      <c r="WQJ111" s="139"/>
      <c r="WQK111" s="139"/>
      <c r="WQL111" s="139"/>
      <c r="WQM111" s="139"/>
      <c r="WQN111" s="139"/>
      <c r="WQO111" s="139"/>
      <c r="WQP111" s="139"/>
      <c r="WQQ111" s="139"/>
      <c r="WQR111" s="139"/>
      <c r="WQS111" s="139"/>
      <c r="WQT111" s="139"/>
      <c r="WQU111" s="139"/>
      <c r="WQV111" s="139"/>
      <c r="WQW111" s="139"/>
      <c r="WQX111" s="139"/>
      <c r="WQY111" s="139"/>
      <c r="WQZ111" s="139"/>
      <c r="WRA111" s="139"/>
      <c r="WRB111" s="139"/>
      <c r="WRC111" s="139"/>
      <c r="WRD111" s="139"/>
      <c r="WRE111" s="139"/>
      <c r="WRF111" s="139"/>
      <c r="WRG111" s="139"/>
      <c r="WRH111" s="139"/>
      <c r="WRI111" s="139"/>
      <c r="WRJ111" s="139"/>
      <c r="WRK111" s="139"/>
      <c r="WRL111" s="139"/>
      <c r="WRM111" s="139"/>
      <c r="WRN111" s="139"/>
      <c r="WRO111" s="139"/>
      <c r="WRP111" s="139"/>
      <c r="WRQ111" s="139"/>
      <c r="WRR111" s="139"/>
      <c r="WRS111" s="139"/>
      <c r="WRT111" s="139"/>
      <c r="WRU111" s="139"/>
      <c r="WRV111" s="139"/>
      <c r="WRW111" s="139"/>
      <c r="WRX111" s="139"/>
      <c r="WRY111" s="139"/>
      <c r="WRZ111" s="139"/>
      <c r="WSA111" s="139"/>
      <c r="WSB111" s="139"/>
      <c r="WSC111" s="139"/>
      <c r="WSD111" s="139"/>
      <c r="WSE111" s="139"/>
      <c r="WSF111" s="139"/>
      <c r="WSG111" s="139"/>
      <c r="WSH111" s="139"/>
      <c r="WSI111" s="139"/>
      <c r="WSJ111" s="139"/>
      <c r="WSK111" s="139"/>
      <c r="WSL111" s="139"/>
      <c r="WSM111" s="139"/>
      <c r="WSN111" s="139"/>
      <c r="WSO111" s="139"/>
      <c r="WSP111" s="139"/>
      <c r="WSQ111" s="139"/>
      <c r="WSR111" s="139"/>
      <c r="WSS111" s="139"/>
      <c r="WST111" s="139"/>
      <c r="WSU111" s="139"/>
      <c r="WSV111" s="139"/>
      <c r="WSW111" s="139"/>
      <c r="WSX111" s="139"/>
      <c r="WSY111" s="139"/>
      <c r="WSZ111" s="139"/>
      <c r="WTA111" s="139"/>
      <c r="WTB111" s="139"/>
      <c r="WTC111" s="139"/>
      <c r="WTD111" s="139"/>
      <c r="WTE111" s="139"/>
      <c r="WTF111" s="139"/>
      <c r="WTG111" s="139"/>
      <c r="WTH111" s="139"/>
      <c r="WTI111" s="139"/>
      <c r="WTJ111" s="139"/>
      <c r="WTK111" s="139"/>
      <c r="WTL111" s="139"/>
      <c r="WTM111" s="139"/>
      <c r="WTN111" s="139"/>
      <c r="WTO111" s="139"/>
      <c r="WTP111" s="139"/>
      <c r="WTQ111" s="139"/>
      <c r="WTR111" s="139"/>
      <c r="WTS111" s="139"/>
      <c r="WTT111" s="139"/>
      <c r="WTU111" s="139"/>
      <c r="WTV111" s="139"/>
      <c r="WTW111" s="139"/>
      <c r="WTX111" s="139"/>
      <c r="WTY111" s="139"/>
      <c r="WTZ111" s="139"/>
      <c r="WUA111" s="139"/>
      <c r="WUB111" s="139"/>
      <c r="WUC111" s="139"/>
      <c r="WUD111" s="139"/>
      <c r="WUE111" s="139"/>
      <c r="WUF111" s="139"/>
      <c r="WUG111" s="139"/>
      <c r="WUH111" s="139"/>
      <c r="WUI111" s="139"/>
      <c r="WUJ111" s="139"/>
      <c r="WUK111" s="139"/>
      <c r="WUL111" s="139"/>
      <c r="WUM111" s="139"/>
      <c r="WUN111" s="139"/>
      <c r="WUO111" s="139"/>
      <c r="WUP111" s="139"/>
      <c r="WUQ111" s="139"/>
      <c r="WUR111" s="139"/>
      <c r="WUS111" s="139"/>
      <c r="WUT111" s="139"/>
      <c r="WUU111" s="139"/>
      <c r="WUV111" s="139"/>
      <c r="WUW111" s="139"/>
      <c r="WUX111" s="139"/>
      <c r="WUY111" s="139"/>
      <c r="WUZ111" s="139"/>
      <c r="WVA111" s="139"/>
      <c r="WVB111" s="139"/>
      <c r="WVC111" s="139"/>
      <c r="WVD111" s="139"/>
      <c r="WVE111" s="139"/>
      <c r="WVF111" s="139"/>
      <c r="WVG111" s="139"/>
      <c r="WVH111" s="139"/>
      <c r="WVI111" s="139"/>
      <c r="WVJ111" s="139"/>
      <c r="WVK111" s="139"/>
      <c r="WVL111" s="139"/>
      <c r="WVM111" s="139"/>
      <c r="WVN111" s="139"/>
      <c r="WVO111" s="139"/>
      <c r="WVP111" s="139"/>
      <c r="WVQ111" s="139"/>
      <c r="WVR111" s="139"/>
      <c r="WVS111" s="139"/>
      <c r="WVT111" s="139"/>
      <c r="WVU111" s="139"/>
      <c r="WVV111" s="139"/>
      <c r="WVW111" s="139"/>
    </row>
    <row r="112" spans="1:16143" s="140" customFormat="1" x14ac:dyDescent="0.2">
      <c r="A112" s="139"/>
      <c r="B112" s="635" t="s">
        <v>359</v>
      </c>
      <c r="C112" s="338" t="str">
        <f t="shared" ref="C112:N112" si="30">+IF(C7&lt;&gt;0,"Ok","")</f>
        <v>Ok</v>
      </c>
      <c r="D112" s="338" t="str">
        <f t="shared" si="30"/>
        <v>Ok</v>
      </c>
      <c r="E112" s="338" t="str">
        <f t="shared" si="30"/>
        <v>Ok</v>
      </c>
      <c r="F112" s="338" t="str">
        <f t="shared" si="30"/>
        <v>Ok</v>
      </c>
      <c r="G112" s="338" t="str">
        <f t="shared" si="30"/>
        <v>Ok</v>
      </c>
      <c r="H112" s="338" t="str">
        <f t="shared" si="30"/>
        <v>Ok</v>
      </c>
      <c r="I112" s="338" t="str">
        <f t="shared" si="30"/>
        <v>Ok</v>
      </c>
      <c r="J112" s="338" t="str">
        <f t="shared" si="30"/>
        <v/>
      </c>
      <c r="K112" s="338" t="str">
        <f t="shared" si="30"/>
        <v/>
      </c>
      <c r="L112" s="338" t="str">
        <f t="shared" si="30"/>
        <v/>
      </c>
      <c r="M112" s="338" t="str">
        <f t="shared" si="30"/>
        <v/>
      </c>
      <c r="N112" s="338" t="str">
        <f t="shared" si="30"/>
        <v/>
      </c>
      <c r="Q112" s="171"/>
      <c r="R112" s="171"/>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c r="AR112" s="139"/>
      <c r="AS112" s="139"/>
      <c r="AT112" s="139"/>
      <c r="AU112" s="139"/>
      <c r="AV112" s="139"/>
      <c r="AW112" s="139"/>
      <c r="AX112" s="139"/>
      <c r="AY112" s="139"/>
      <c r="AZ112" s="139"/>
      <c r="BA112" s="139"/>
      <c r="BB112" s="139"/>
      <c r="BC112" s="139"/>
      <c r="BD112" s="139"/>
      <c r="BE112" s="139"/>
      <c r="BF112" s="139"/>
      <c r="BG112" s="139"/>
      <c r="BH112" s="139"/>
      <c r="BI112" s="139"/>
      <c r="BJ112" s="139"/>
      <c r="BK112" s="139"/>
      <c r="BL112" s="139"/>
      <c r="BM112" s="139"/>
      <c r="BN112" s="139"/>
      <c r="BO112" s="139"/>
      <c r="BP112" s="139"/>
      <c r="BQ112" s="139"/>
      <c r="BR112" s="139"/>
      <c r="BS112" s="139"/>
      <c r="BT112" s="139"/>
      <c r="BU112" s="139"/>
      <c r="BV112" s="139"/>
      <c r="BW112" s="139"/>
      <c r="BX112" s="139"/>
      <c r="BY112" s="139"/>
      <c r="BZ112" s="139"/>
      <c r="CA112" s="139"/>
      <c r="CB112" s="139"/>
      <c r="CC112" s="139"/>
      <c r="CD112" s="139"/>
      <c r="CE112" s="139"/>
      <c r="CF112" s="139"/>
      <c r="CG112" s="139"/>
      <c r="CH112" s="139"/>
      <c r="CI112" s="139"/>
      <c r="CJ112" s="139"/>
      <c r="CK112" s="139"/>
      <c r="CL112" s="139"/>
      <c r="CM112" s="139"/>
      <c r="CN112" s="139"/>
      <c r="CO112" s="139"/>
      <c r="CP112" s="139"/>
      <c r="CQ112" s="139"/>
      <c r="CR112" s="139"/>
      <c r="CS112" s="139"/>
      <c r="CT112" s="139"/>
      <c r="CU112" s="139"/>
      <c r="CV112" s="139"/>
      <c r="CW112" s="139"/>
      <c r="CX112" s="139"/>
      <c r="CY112" s="139"/>
      <c r="CZ112" s="139"/>
      <c r="DA112" s="139"/>
      <c r="DB112" s="139"/>
      <c r="DC112" s="139"/>
      <c r="DD112" s="139"/>
      <c r="DE112" s="139"/>
      <c r="DF112" s="139"/>
      <c r="DG112" s="139"/>
      <c r="DH112" s="139"/>
      <c r="DI112" s="139"/>
      <c r="DJ112" s="139"/>
      <c r="DK112" s="139"/>
      <c r="DL112" s="139"/>
      <c r="DM112" s="139"/>
      <c r="DN112" s="139"/>
      <c r="DO112" s="139"/>
      <c r="DP112" s="139"/>
      <c r="DQ112" s="139"/>
      <c r="DR112" s="139"/>
      <c r="DS112" s="139"/>
      <c r="DT112" s="139"/>
      <c r="DU112" s="139"/>
      <c r="DV112" s="139"/>
      <c r="DW112" s="139"/>
      <c r="DX112" s="139"/>
      <c r="DY112" s="139"/>
      <c r="DZ112" s="139"/>
      <c r="EA112" s="139"/>
      <c r="EB112" s="139"/>
      <c r="EC112" s="139"/>
      <c r="ED112" s="139"/>
      <c r="EE112" s="139"/>
      <c r="EF112" s="139"/>
      <c r="EG112" s="139"/>
      <c r="EH112" s="139"/>
      <c r="EI112" s="139"/>
      <c r="EJ112" s="139"/>
      <c r="EK112" s="139"/>
      <c r="EL112" s="139"/>
      <c r="EM112" s="139"/>
      <c r="EN112" s="139"/>
      <c r="EO112" s="139"/>
      <c r="EP112" s="139"/>
      <c r="EQ112" s="139"/>
      <c r="ER112" s="139"/>
      <c r="ES112" s="139"/>
      <c r="ET112" s="139"/>
      <c r="EU112" s="139"/>
      <c r="EV112" s="139"/>
      <c r="EW112" s="139"/>
      <c r="EX112" s="139"/>
      <c r="EY112" s="139"/>
      <c r="EZ112" s="139"/>
      <c r="FA112" s="139"/>
      <c r="FB112" s="139"/>
      <c r="FC112" s="139"/>
      <c r="FD112" s="139"/>
      <c r="FE112" s="139"/>
      <c r="FF112" s="139"/>
      <c r="FG112" s="139"/>
      <c r="FH112" s="139"/>
      <c r="FI112" s="139"/>
      <c r="FJ112" s="139"/>
      <c r="FK112" s="139"/>
      <c r="FL112" s="139"/>
      <c r="FM112" s="139"/>
      <c r="FN112" s="139"/>
      <c r="FO112" s="139"/>
      <c r="FP112" s="139"/>
      <c r="FQ112" s="139"/>
      <c r="FR112" s="139"/>
      <c r="FS112" s="139"/>
      <c r="FT112" s="139"/>
      <c r="FU112" s="139"/>
      <c r="FV112" s="139"/>
      <c r="FW112" s="139"/>
      <c r="FX112" s="139"/>
      <c r="FY112" s="139"/>
      <c r="FZ112" s="139"/>
      <c r="GA112" s="139"/>
      <c r="GB112" s="139"/>
      <c r="GC112" s="139"/>
      <c r="GD112" s="139"/>
      <c r="GE112" s="139"/>
      <c r="GF112" s="139"/>
      <c r="GG112" s="139"/>
      <c r="GH112" s="139"/>
      <c r="GI112" s="139"/>
      <c r="GJ112" s="139"/>
      <c r="GK112" s="139"/>
      <c r="GL112" s="139"/>
      <c r="GM112" s="139"/>
      <c r="GN112" s="139"/>
      <c r="GO112" s="139"/>
      <c r="GP112" s="139"/>
      <c r="GQ112" s="139"/>
      <c r="GR112" s="139"/>
      <c r="GS112" s="139"/>
      <c r="GT112" s="139"/>
      <c r="GU112" s="139"/>
      <c r="GV112" s="139"/>
      <c r="GW112" s="139"/>
      <c r="GX112" s="139"/>
      <c r="GY112" s="139"/>
      <c r="GZ112" s="139"/>
      <c r="HA112" s="139"/>
      <c r="HB112" s="139"/>
      <c r="HC112" s="139"/>
      <c r="HD112" s="139"/>
      <c r="HE112" s="139"/>
      <c r="HF112" s="139"/>
      <c r="HG112" s="139"/>
      <c r="HH112" s="139"/>
      <c r="HI112" s="139"/>
      <c r="HJ112" s="139"/>
      <c r="HK112" s="139"/>
      <c r="HL112" s="139"/>
      <c r="HM112" s="139"/>
      <c r="HN112" s="139"/>
      <c r="HO112" s="139"/>
      <c r="HP112" s="139"/>
      <c r="HQ112" s="139"/>
      <c r="HR112" s="139"/>
      <c r="HS112" s="139"/>
      <c r="HT112" s="139"/>
      <c r="HU112" s="139"/>
      <c r="HV112" s="139"/>
      <c r="HW112" s="139"/>
      <c r="HX112" s="139"/>
      <c r="HY112" s="139"/>
      <c r="HZ112" s="139"/>
      <c r="IA112" s="139"/>
      <c r="IB112" s="139"/>
      <c r="IC112" s="139"/>
      <c r="ID112" s="139"/>
      <c r="IE112" s="139"/>
      <c r="IF112" s="139"/>
      <c r="IG112" s="139"/>
      <c r="IH112" s="139"/>
      <c r="II112" s="139"/>
      <c r="IJ112" s="139"/>
      <c r="IK112" s="139"/>
      <c r="IL112" s="139"/>
      <c r="IM112" s="139"/>
      <c r="IN112" s="139"/>
      <c r="IO112" s="139"/>
      <c r="IP112" s="139"/>
      <c r="IQ112" s="139"/>
      <c r="IR112" s="139"/>
      <c r="IS112" s="139"/>
      <c r="IT112" s="139"/>
      <c r="IU112" s="139"/>
      <c r="IV112" s="139"/>
      <c r="IW112" s="139"/>
      <c r="IX112" s="139"/>
      <c r="IY112" s="139"/>
      <c r="IZ112" s="139"/>
      <c r="JA112" s="139"/>
      <c r="JB112" s="139"/>
      <c r="JC112" s="139"/>
      <c r="JD112" s="139"/>
      <c r="JE112" s="139"/>
      <c r="JF112" s="139"/>
      <c r="JG112" s="139"/>
      <c r="JH112" s="139"/>
      <c r="JI112" s="139"/>
      <c r="JJ112" s="139"/>
      <c r="JK112" s="139"/>
      <c r="JL112" s="139"/>
      <c r="JM112" s="139"/>
      <c r="JN112" s="139"/>
      <c r="JO112" s="139"/>
      <c r="JP112" s="139"/>
      <c r="JQ112" s="139"/>
      <c r="JR112" s="139"/>
      <c r="JS112" s="139"/>
      <c r="JT112" s="139"/>
      <c r="JU112" s="139"/>
      <c r="JV112" s="139"/>
      <c r="JW112" s="139"/>
      <c r="JX112" s="139"/>
      <c r="JY112" s="139"/>
      <c r="JZ112" s="139"/>
      <c r="KA112" s="139"/>
      <c r="KB112" s="139"/>
      <c r="KC112" s="139"/>
      <c r="KD112" s="139"/>
      <c r="KE112" s="139"/>
      <c r="KF112" s="139"/>
      <c r="KG112" s="139"/>
      <c r="KH112" s="139"/>
      <c r="KI112" s="139"/>
      <c r="KJ112" s="139"/>
      <c r="KK112" s="139"/>
      <c r="KL112" s="139"/>
      <c r="KM112" s="139"/>
      <c r="KN112" s="139"/>
      <c r="KO112" s="139"/>
      <c r="KP112" s="139"/>
      <c r="KQ112" s="139"/>
      <c r="KR112" s="139"/>
      <c r="KS112" s="139"/>
      <c r="KT112" s="139"/>
      <c r="KU112" s="139"/>
      <c r="KV112" s="139"/>
      <c r="KW112" s="139"/>
      <c r="KX112" s="139"/>
      <c r="KY112" s="139"/>
      <c r="KZ112" s="139"/>
      <c r="LA112" s="139"/>
      <c r="LB112" s="139"/>
      <c r="LC112" s="139"/>
      <c r="LD112" s="139"/>
      <c r="LE112" s="139"/>
      <c r="LF112" s="139"/>
      <c r="LG112" s="139"/>
      <c r="LH112" s="139"/>
      <c r="LI112" s="139"/>
      <c r="LJ112" s="139"/>
      <c r="LK112" s="139"/>
      <c r="LL112" s="139"/>
      <c r="LM112" s="139"/>
      <c r="LN112" s="139"/>
      <c r="LO112" s="139"/>
      <c r="LP112" s="139"/>
      <c r="LQ112" s="139"/>
      <c r="LR112" s="139"/>
      <c r="LS112" s="139"/>
      <c r="LT112" s="139"/>
      <c r="LU112" s="139"/>
      <c r="LV112" s="139"/>
      <c r="LW112" s="139"/>
      <c r="LX112" s="139"/>
      <c r="LY112" s="139"/>
      <c r="LZ112" s="139"/>
      <c r="MA112" s="139"/>
      <c r="MB112" s="139"/>
      <c r="MC112" s="139"/>
      <c r="MD112" s="139"/>
      <c r="ME112" s="139"/>
      <c r="MF112" s="139"/>
      <c r="MG112" s="139"/>
      <c r="MH112" s="139"/>
      <c r="MI112" s="139"/>
      <c r="MJ112" s="139"/>
      <c r="MK112" s="139"/>
      <c r="ML112" s="139"/>
      <c r="MM112" s="139"/>
      <c r="MN112" s="139"/>
      <c r="MO112" s="139"/>
      <c r="MP112" s="139"/>
      <c r="MQ112" s="139"/>
      <c r="MR112" s="139"/>
      <c r="MS112" s="139"/>
      <c r="MT112" s="139"/>
      <c r="MU112" s="139"/>
      <c r="MV112" s="139"/>
      <c r="MW112" s="139"/>
      <c r="MX112" s="139"/>
      <c r="MY112" s="139"/>
      <c r="MZ112" s="139"/>
      <c r="NA112" s="139"/>
      <c r="NB112" s="139"/>
      <c r="NC112" s="139"/>
      <c r="ND112" s="139"/>
      <c r="NE112" s="139"/>
      <c r="NF112" s="139"/>
      <c r="NG112" s="139"/>
      <c r="NH112" s="139"/>
      <c r="NI112" s="139"/>
      <c r="NJ112" s="139"/>
      <c r="NK112" s="139"/>
      <c r="NL112" s="139"/>
      <c r="NM112" s="139"/>
      <c r="NN112" s="139"/>
      <c r="NO112" s="139"/>
      <c r="NP112" s="139"/>
      <c r="NQ112" s="139"/>
      <c r="NR112" s="139"/>
      <c r="NS112" s="139"/>
      <c r="NT112" s="139"/>
      <c r="NU112" s="139"/>
      <c r="NV112" s="139"/>
      <c r="NW112" s="139"/>
      <c r="NX112" s="139"/>
      <c r="NY112" s="139"/>
      <c r="NZ112" s="139"/>
      <c r="OA112" s="139"/>
      <c r="OB112" s="139"/>
      <c r="OC112" s="139"/>
      <c r="OD112" s="139"/>
      <c r="OE112" s="139"/>
      <c r="OF112" s="139"/>
      <c r="OG112" s="139"/>
      <c r="OH112" s="139"/>
      <c r="OI112" s="139"/>
      <c r="OJ112" s="139"/>
      <c r="OK112" s="139"/>
      <c r="OL112" s="139"/>
      <c r="OM112" s="139"/>
      <c r="ON112" s="139"/>
      <c r="OO112" s="139"/>
      <c r="OP112" s="139"/>
      <c r="OQ112" s="139"/>
      <c r="OR112" s="139"/>
      <c r="OS112" s="139"/>
      <c r="OT112" s="139"/>
      <c r="OU112" s="139"/>
      <c r="OV112" s="139"/>
      <c r="OW112" s="139"/>
      <c r="OX112" s="139"/>
      <c r="OY112" s="139"/>
      <c r="OZ112" s="139"/>
      <c r="PA112" s="139"/>
      <c r="PB112" s="139"/>
      <c r="PC112" s="139"/>
      <c r="PD112" s="139"/>
      <c r="PE112" s="139"/>
      <c r="PF112" s="139"/>
      <c r="PG112" s="139"/>
      <c r="PH112" s="139"/>
      <c r="PI112" s="139"/>
      <c r="PJ112" s="139"/>
      <c r="PK112" s="139"/>
      <c r="PL112" s="139"/>
      <c r="PM112" s="139"/>
      <c r="PN112" s="139"/>
      <c r="PO112" s="139"/>
      <c r="PP112" s="139"/>
      <c r="PQ112" s="139"/>
      <c r="PR112" s="139"/>
      <c r="PS112" s="139"/>
      <c r="PT112" s="139"/>
      <c r="PU112" s="139"/>
      <c r="PV112" s="139"/>
      <c r="PW112" s="139"/>
      <c r="PX112" s="139"/>
      <c r="PY112" s="139"/>
      <c r="PZ112" s="139"/>
      <c r="QA112" s="139"/>
      <c r="QB112" s="139"/>
      <c r="QC112" s="139"/>
      <c r="QD112" s="139"/>
      <c r="QE112" s="139"/>
      <c r="QF112" s="139"/>
      <c r="QG112" s="139"/>
      <c r="QH112" s="139"/>
      <c r="QI112" s="139"/>
      <c r="QJ112" s="139"/>
      <c r="QK112" s="139"/>
      <c r="QL112" s="139"/>
      <c r="QM112" s="139"/>
      <c r="QN112" s="139"/>
      <c r="QO112" s="139"/>
      <c r="QP112" s="139"/>
      <c r="QQ112" s="139"/>
      <c r="QR112" s="139"/>
      <c r="QS112" s="139"/>
      <c r="QT112" s="139"/>
      <c r="QU112" s="139"/>
      <c r="QV112" s="139"/>
      <c r="QW112" s="139"/>
      <c r="QX112" s="139"/>
      <c r="QY112" s="139"/>
      <c r="QZ112" s="139"/>
      <c r="RA112" s="139"/>
      <c r="RB112" s="139"/>
      <c r="RC112" s="139"/>
      <c r="RD112" s="139"/>
      <c r="RE112" s="139"/>
      <c r="RF112" s="139"/>
      <c r="RG112" s="139"/>
      <c r="RH112" s="139"/>
      <c r="RI112" s="139"/>
      <c r="RJ112" s="139"/>
      <c r="RK112" s="139"/>
      <c r="RL112" s="139"/>
      <c r="RM112" s="139"/>
      <c r="RN112" s="139"/>
      <c r="RO112" s="139"/>
      <c r="RP112" s="139"/>
      <c r="RQ112" s="139"/>
      <c r="RR112" s="139"/>
      <c r="RS112" s="139"/>
      <c r="RT112" s="139"/>
      <c r="RU112" s="139"/>
      <c r="RV112" s="139"/>
      <c r="RW112" s="139"/>
      <c r="RX112" s="139"/>
      <c r="RY112" s="139"/>
      <c r="RZ112" s="139"/>
      <c r="SA112" s="139"/>
      <c r="SB112" s="139"/>
      <c r="SC112" s="139"/>
      <c r="SD112" s="139"/>
      <c r="SE112" s="139"/>
      <c r="SF112" s="139"/>
      <c r="SG112" s="139"/>
      <c r="SH112" s="139"/>
      <c r="SI112" s="139"/>
      <c r="SJ112" s="139"/>
      <c r="SK112" s="139"/>
      <c r="SL112" s="139"/>
      <c r="SM112" s="139"/>
      <c r="SN112" s="139"/>
      <c r="SO112" s="139"/>
      <c r="SP112" s="139"/>
      <c r="SQ112" s="139"/>
      <c r="SR112" s="139"/>
      <c r="SS112" s="139"/>
      <c r="ST112" s="139"/>
      <c r="SU112" s="139"/>
      <c r="SV112" s="139"/>
      <c r="SW112" s="139"/>
      <c r="SX112" s="139"/>
      <c r="SY112" s="139"/>
      <c r="SZ112" s="139"/>
      <c r="TA112" s="139"/>
      <c r="TB112" s="139"/>
      <c r="TC112" s="139"/>
      <c r="TD112" s="139"/>
      <c r="TE112" s="139"/>
      <c r="TF112" s="139"/>
      <c r="TG112" s="139"/>
      <c r="TH112" s="139"/>
      <c r="TI112" s="139"/>
      <c r="TJ112" s="139"/>
      <c r="TK112" s="139"/>
      <c r="TL112" s="139"/>
      <c r="TM112" s="139"/>
      <c r="TN112" s="139"/>
      <c r="TO112" s="139"/>
      <c r="TP112" s="139"/>
      <c r="TQ112" s="139"/>
      <c r="TR112" s="139"/>
      <c r="TS112" s="139"/>
      <c r="TT112" s="139"/>
      <c r="TU112" s="139"/>
      <c r="TV112" s="139"/>
      <c r="TW112" s="139"/>
      <c r="TX112" s="139"/>
      <c r="TY112" s="139"/>
      <c r="TZ112" s="139"/>
      <c r="UA112" s="139"/>
      <c r="UB112" s="139"/>
      <c r="UC112" s="139"/>
      <c r="UD112" s="139"/>
      <c r="UE112" s="139"/>
      <c r="UF112" s="139"/>
      <c r="UG112" s="139"/>
      <c r="UH112" s="139"/>
      <c r="UI112" s="139"/>
      <c r="UJ112" s="139"/>
      <c r="UK112" s="139"/>
      <c r="UL112" s="139"/>
      <c r="UM112" s="139"/>
      <c r="UN112" s="139"/>
      <c r="UO112" s="139"/>
      <c r="UP112" s="139"/>
      <c r="UQ112" s="139"/>
      <c r="UR112" s="139"/>
      <c r="US112" s="139"/>
      <c r="UT112" s="139"/>
      <c r="UU112" s="139"/>
      <c r="UV112" s="139"/>
      <c r="UW112" s="139"/>
      <c r="UX112" s="139"/>
      <c r="UY112" s="139"/>
      <c r="UZ112" s="139"/>
      <c r="VA112" s="139"/>
      <c r="VB112" s="139"/>
      <c r="VC112" s="139"/>
      <c r="VD112" s="139"/>
      <c r="VE112" s="139"/>
      <c r="VF112" s="139"/>
      <c r="VG112" s="139"/>
      <c r="VH112" s="139"/>
      <c r="VI112" s="139"/>
      <c r="VJ112" s="139"/>
      <c r="VK112" s="139"/>
      <c r="VL112" s="139"/>
      <c r="VM112" s="139"/>
      <c r="VN112" s="139"/>
      <c r="VO112" s="139"/>
      <c r="VP112" s="139"/>
      <c r="VQ112" s="139"/>
      <c r="VR112" s="139"/>
      <c r="VS112" s="139"/>
      <c r="VT112" s="139"/>
      <c r="VU112" s="139"/>
      <c r="VV112" s="139"/>
      <c r="VW112" s="139"/>
      <c r="VX112" s="139"/>
      <c r="VY112" s="139"/>
      <c r="VZ112" s="139"/>
      <c r="WA112" s="139"/>
      <c r="WB112" s="139"/>
      <c r="WC112" s="139"/>
      <c r="WD112" s="139"/>
      <c r="WE112" s="139"/>
      <c r="WF112" s="139"/>
      <c r="WG112" s="139"/>
      <c r="WH112" s="139"/>
      <c r="WI112" s="139"/>
      <c r="WJ112" s="139"/>
      <c r="WK112" s="139"/>
      <c r="WL112" s="139"/>
      <c r="WM112" s="139"/>
      <c r="WN112" s="139"/>
      <c r="WO112" s="139"/>
      <c r="WP112" s="139"/>
      <c r="WQ112" s="139"/>
      <c r="WR112" s="139"/>
      <c r="WS112" s="139"/>
      <c r="WT112" s="139"/>
      <c r="WU112" s="139"/>
      <c r="WV112" s="139"/>
      <c r="WW112" s="139"/>
      <c r="WX112" s="139"/>
      <c r="WY112" s="139"/>
      <c r="WZ112" s="139"/>
      <c r="XA112" s="139"/>
      <c r="XB112" s="139"/>
      <c r="XC112" s="139"/>
      <c r="XD112" s="139"/>
      <c r="XE112" s="139"/>
      <c r="XF112" s="139"/>
      <c r="XG112" s="139"/>
      <c r="XH112" s="139"/>
      <c r="XI112" s="139"/>
      <c r="XJ112" s="139"/>
      <c r="XK112" s="139"/>
      <c r="XL112" s="139"/>
      <c r="XM112" s="139"/>
      <c r="XN112" s="139"/>
      <c r="XO112" s="139"/>
      <c r="XP112" s="139"/>
      <c r="XQ112" s="139"/>
      <c r="XR112" s="139"/>
      <c r="XS112" s="139"/>
      <c r="XT112" s="139"/>
      <c r="XU112" s="139"/>
      <c r="XV112" s="139"/>
      <c r="XW112" s="139"/>
      <c r="XX112" s="139"/>
      <c r="XY112" s="139"/>
      <c r="XZ112" s="139"/>
      <c r="YA112" s="139"/>
      <c r="YB112" s="139"/>
      <c r="YC112" s="139"/>
      <c r="YD112" s="139"/>
      <c r="YE112" s="139"/>
      <c r="YF112" s="139"/>
      <c r="YG112" s="139"/>
      <c r="YH112" s="139"/>
      <c r="YI112" s="139"/>
      <c r="YJ112" s="139"/>
      <c r="YK112" s="139"/>
      <c r="YL112" s="139"/>
      <c r="YM112" s="139"/>
      <c r="YN112" s="139"/>
      <c r="YO112" s="139"/>
      <c r="YP112" s="139"/>
      <c r="YQ112" s="139"/>
      <c r="YR112" s="139"/>
      <c r="YS112" s="139"/>
      <c r="YT112" s="139"/>
      <c r="YU112" s="139"/>
      <c r="YV112" s="139"/>
      <c r="YW112" s="139"/>
      <c r="YX112" s="139"/>
      <c r="YY112" s="139"/>
      <c r="YZ112" s="139"/>
      <c r="ZA112" s="139"/>
      <c r="ZB112" s="139"/>
      <c r="ZC112" s="139"/>
      <c r="ZD112" s="139"/>
      <c r="ZE112" s="139"/>
      <c r="ZF112" s="139"/>
      <c r="ZG112" s="139"/>
      <c r="ZH112" s="139"/>
      <c r="ZI112" s="139"/>
      <c r="ZJ112" s="139"/>
      <c r="ZK112" s="139"/>
      <c r="ZL112" s="139"/>
      <c r="ZM112" s="139"/>
      <c r="ZN112" s="139"/>
      <c r="ZO112" s="139"/>
      <c r="ZP112" s="139"/>
      <c r="ZQ112" s="139"/>
      <c r="ZR112" s="139"/>
      <c r="ZS112" s="139"/>
      <c r="ZT112" s="139"/>
      <c r="ZU112" s="139"/>
      <c r="ZV112" s="139"/>
      <c r="ZW112" s="139"/>
      <c r="ZX112" s="139"/>
      <c r="ZY112" s="139"/>
      <c r="ZZ112" s="139"/>
      <c r="AAA112" s="139"/>
      <c r="AAB112" s="139"/>
      <c r="AAC112" s="139"/>
      <c r="AAD112" s="139"/>
      <c r="AAE112" s="139"/>
      <c r="AAF112" s="139"/>
      <c r="AAG112" s="139"/>
      <c r="AAH112" s="139"/>
      <c r="AAI112" s="139"/>
      <c r="AAJ112" s="139"/>
      <c r="AAK112" s="139"/>
      <c r="AAL112" s="139"/>
      <c r="AAM112" s="139"/>
      <c r="AAN112" s="139"/>
      <c r="AAO112" s="139"/>
      <c r="AAP112" s="139"/>
      <c r="AAQ112" s="139"/>
      <c r="AAR112" s="139"/>
      <c r="AAS112" s="139"/>
      <c r="AAT112" s="139"/>
      <c r="AAU112" s="139"/>
      <c r="AAV112" s="139"/>
      <c r="AAW112" s="139"/>
      <c r="AAX112" s="139"/>
      <c r="AAY112" s="139"/>
      <c r="AAZ112" s="139"/>
      <c r="ABA112" s="139"/>
      <c r="ABB112" s="139"/>
      <c r="ABC112" s="139"/>
      <c r="ABD112" s="139"/>
      <c r="ABE112" s="139"/>
      <c r="ABF112" s="139"/>
      <c r="ABG112" s="139"/>
      <c r="ABH112" s="139"/>
      <c r="ABI112" s="139"/>
      <c r="ABJ112" s="139"/>
      <c r="ABK112" s="139"/>
      <c r="ABL112" s="139"/>
      <c r="ABM112" s="139"/>
      <c r="ABN112" s="139"/>
      <c r="ABO112" s="139"/>
      <c r="ABP112" s="139"/>
      <c r="ABQ112" s="139"/>
      <c r="ABR112" s="139"/>
      <c r="ABS112" s="139"/>
      <c r="ABT112" s="139"/>
      <c r="ABU112" s="139"/>
      <c r="ABV112" s="139"/>
      <c r="ABW112" s="139"/>
      <c r="ABX112" s="139"/>
      <c r="ABY112" s="139"/>
      <c r="ABZ112" s="139"/>
      <c r="ACA112" s="139"/>
      <c r="ACB112" s="139"/>
      <c r="ACC112" s="139"/>
      <c r="ACD112" s="139"/>
      <c r="ACE112" s="139"/>
      <c r="ACF112" s="139"/>
      <c r="ACG112" s="139"/>
      <c r="ACH112" s="139"/>
      <c r="ACI112" s="139"/>
      <c r="ACJ112" s="139"/>
      <c r="ACK112" s="139"/>
      <c r="ACL112" s="139"/>
      <c r="ACM112" s="139"/>
      <c r="ACN112" s="139"/>
      <c r="ACO112" s="139"/>
      <c r="ACP112" s="139"/>
      <c r="ACQ112" s="139"/>
      <c r="ACR112" s="139"/>
      <c r="ACS112" s="139"/>
      <c r="ACT112" s="139"/>
      <c r="ACU112" s="139"/>
      <c r="ACV112" s="139"/>
      <c r="ACW112" s="139"/>
      <c r="ACX112" s="139"/>
      <c r="ACY112" s="139"/>
      <c r="ACZ112" s="139"/>
      <c r="ADA112" s="139"/>
      <c r="ADB112" s="139"/>
      <c r="ADC112" s="139"/>
      <c r="ADD112" s="139"/>
      <c r="ADE112" s="139"/>
      <c r="ADF112" s="139"/>
      <c r="ADG112" s="139"/>
      <c r="ADH112" s="139"/>
      <c r="ADI112" s="139"/>
      <c r="ADJ112" s="139"/>
      <c r="ADK112" s="139"/>
      <c r="ADL112" s="139"/>
      <c r="ADM112" s="139"/>
      <c r="ADN112" s="139"/>
      <c r="ADO112" s="139"/>
      <c r="ADP112" s="139"/>
      <c r="ADQ112" s="139"/>
      <c r="ADR112" s="139"/>
      <c r="ADS112" s="139"/>
      <c r="ADT112" s="139"/>
      <c r="ADU112" s="139"/>
      <c r="ADV112" s="139"/>
      <c r="ADW112" s="139"/>
      <c r="ADX112" s="139"/>
      <c r="ADY112" s="139"/>
      <c r="ADZ112" s="139"/>
      <c r="AEA112" s="139"/>
      <c r="AEB112" s="139"/>
      <c r="AEC112" s="139"/>
      <c r="AED112" s="139"/>
      <c r="AEE112" s="139"/>
      <c r="AEF112" s="139"/>
      <c r="AEG112" s="139"/>
      <c r="AEH112" s="139"/>
      <c r="AEI112" s="139"/>
      <c r="AEJ112" s="139"/>
      <c r="AEK112" s="139"/>
      <c r="AEL112" s="139"/>
      <c r="AEM112" s="139"/>
      <c r="AEN112" s="139"/>
      <c r="AEO112" s="139"/>
      <c r="AEP112" s="139"/>
      <c r="AEQ112" s="139"/>
      <c r="AER112" s="139"/>
      <c r="AES112" s="139"/>
      <c r="AET112" s="139"/>
      <c r="AEU112" s="139"/>
      <c r="AEV112" s="139"/>
      <c r="AEW112" s="139"/>
      <c r="AEX112" s="139"/>
      <c r="AEY112" s="139"/>
      <c r="AEZ112" s="139"/>
      <c r="AFA112" s="139"/>
      <c r="AFB112" s="139"/>
      <c r="AFC112" s="139"/>
      <c r="AFD112" s="139"/>
      <c r="AFE112" s="139"/>
      <c r="AFF112" s="139"/>
      <c r="AFG112" s="139"/>
      <c r="AFH112" s="139"/>
      <c r="AFI112" s="139"/>
      <c r="AFJ112" s="139"/>
      <c r="AFK112" s="139"/>
      <c r="AFL112" s="139"/>
      <c r="AFM112" s="139"/>
      <c r="AFN112" s="139"/>
      <c r="AFO112" s="139"/>
      <c r="AFP112" s="139"/>
      <c r="AFQ112" s="139"/>
      <c r="AFR112" s="139"/>
      <c r="AFS112" s="139"/>
      <c r="AFT112" s="139"/>
      <c r="AFU112" s="139"/>
      <c r="AFV112" s="139"/>
      <c r="AFW112" s="139"/>
      <c r="AFX112" s="139"/>
      <c r="AFY112" s="139"/>
      <c r="AFZ112" s="139"/>
      <c r="AGA112" s="139"/>
      <c r="AGB112" s="139"/>
      <c r="AGC112" s="139"/>
      <c r="AGD112" s="139"/>
      <c r="AGE112" s="139"/>
      <c r="AGF112" s="139"/>
      <c r="AGG112" s="139"/>
      <c r="AGH112" s="139"/>
      <c r="AGI112" s="139"/>
      <c r="AGJ112" s="139"/>
      <c r="AGK112" s="139"/>
      <c r="AGL112" s="139"/>
      <c r="AGM112" s="139"/>
      <c r="AGN112" s="139"/>
      <c r="AGO112" s="139"/>
      <c r="AGP112" s="139"/>
      <c r="AGQ112" s="139"/>
      <c r="AGR112" s="139"/>
      <c r="AGS112" s="139"/>
      <c r="AGT112" s="139"/>
      <c r="AGU112" s="139"/>
      <c r="AGV112" s="139"/>
      <c r="AGW112" s="139"/>
      <c r="AGX112" s="139"/>
      <c r="AGY112" s="139"/>
      <c r="AGZ112" s="139"/>
      <c r="AHA112" s="139"/>
      <c r="AHB112" s="139"/>
      <c r="AHC112" s="139"/>
      <c r="AHD112" s="139"/>
      <c r="AHE112" s="139"/>
      <c r="AHF112" s="139"/>
      <c r="AHG112" s="139"/>
      <c r="AHH112" s="139"/>
      <c r="AHI112" s="139"/>
      <c r="AHJ112" s="139"/>
      <c r="AHK112" s="139"/>
      <c r="AHL112" s="139"/>
      <c r="AHM112" s="139"/>
      <c r="AHN112" s="139"/>
      <c r="AHO112" s="139"/>
      <c r="AHP112" s="139"/>
      <c r="AHQ112" s="139"/>
      <c r="AHR112" s="139"/>
      <c r="AHS112" s="139"/>
      <c r="AHT112" s="139"/>
      <c r="AHU112" s="139"/>
      <c r="AHV112" s="139"/>
      <c r="AHW112" s="139"/>
      <c r="AHX112" s="139"/>
      <c r="AHY112" s="139"/>
      <c r="AHZ112" s="139"/>
      <c r="AIA112" s="139"/>
      <c r="AIB112" s="139"/>
      <c r="AIC112" s="139"/>
      <c r="AID112" s="139"/>
      <c r="AIE112" s="139"/>
      <c r="AIF112" s="139"/>
      <c r="AIG112" s="139"/>
      <c r="AIH112" s="139"/>
      <c r="AII112" s="139"/>
      <c r="AIJ112" s="139"/>
      <c r="AIK112" s="139"/>
      <c r="AIL112" s="139"/>
      <c r="AIM112" s="139"/>
      <c r="AIN112" s="139"/>
      <c r="AIO112" s="139"/>
      <c r="AIP112" s="139"/>
      <c r="AIQ112" s="139"/>
      <c r="AIR112" s="139"/>
      <c r="AIS112" s="139"/>
      <c r="AIT112" s="139"/>
      <c r="AIU112" s="139"/>
      <c r="AIV112" s="139"/>
      <c r="AIW112" s="139"/>
      <c r="AIX112" s="139"/>
      <c r="AIY112" s="139"/>
      <c r="AIZ112" s="139"/>
      <c r="AJA112" s="139"/>
      <c r="AJB112" s="139"/>
      <c r="AJC112" s="139"/>
      <c r="AJD112" s="139"/>
      <c r="AJE112" s="139"/>
      <c r="AJF112" s="139"/>
      <c r="AJG112" s="139"/>
      <c r="AJH112" s="139"/>
      <c r="AJI112" s="139"/>
      <c r="AJJ112" s="139"/>
      <c r="AJK112" s="139"/>
      <c r="AJL112" s="139"/>
      <c r="AJM112" s="139"/>
      <c r="AJN112" s="139"/>
      <c r="AJO112" s="139"/>
      <c r="AJP112" s="139"/>
      <c r="AJQ112" s="139"/>
      <c r="AJR112" s="139"/>
      <c r="AJS112" s="139"/>
      <c r="AJT112" s="139"/>
      <c r="AJU112" s="139"/>
      <c r="AJV112" s="139"/>
      <c r="AJW112" s="139"/>
      <c r="AJX112" s="139"/>
      <c r="AJY112" s="139"/>
      <c r="AJZ112" s="139"/>
      <c r="AKA112" s="139"/>
      <c r="AKB112" s="139"/>
      <c r="AKC112" s="139"/>
      <c r="AKD112" s="139"/>
      <c r="AKE112" s="139"/>
      <c r="AKF112" s="139"/>
      <c r="AKG112" s="139"/>
      <c r="AKH112" s="139"/>
      <c r="AKI112" s="139"/>
      <c r="AKJ112" s="139"/>
      <c r="AKK112" s="139"/>
      <c r="AKL112" s="139"/>
      <c r="AKM112" s="139"/>
      <c r="AKN112" s="139"/>
      <c r="AKO112" s="139"/>
      <c r="AKP112" s="139"/>
      <c r="AKQ112" s="139"/>
      <c r="AKR112" s="139"/>
      <c r="AKS112" s="139"/>
      <c r="AKT112" s="139"/>
      <c r="AKU112" s="139"/>
      <c r="AKV112" s="139"/>
      <c r="AKW112" s="139"/>
      <c r="AKX112" s="139"/>
      <c r="AKY112" s="139"/>
      <c r="AKZ112" s="139"/>
      <c r="ALA112" s="139"/>
      <c r="ALB112" s="139"/>
      <c r="ALC112" s="139"/>
      <c r="ALD112" s="139"/>
      <c r="ALE112" s="139"/>
      <c r="ALF112" s="139"/>
      <c r="ALG112" s="139"/>
      <c r="ALH112" s="139"/>
      <c r="ALI112" s="139"/>
      <c r="ALJ112" s="139"/>
      <c r="ALK112" s="139"/>
      <c r="ALL112" s="139"/>
      <c r="ALM112" s="139"/>
      <c r="ALN112" s="139"/>
      <c r="ALO112" s="139"/>
      <c r="ALP112" s="139"/>
      <c r="ALQ112" s="139"/>
      <c r="ALR112" s="139"/>
      <c r="ALS112" s="139"/>
      <c r="ALT112" s="139"/>
      <c r="ALU112" s="139"/>
      <c r="ALV112" s="139"/>
      <c r="ALW112" s="139"/>
      <c r="ALX112" s="139"/>
      <c r="ALY112" s="139"/>
      <c r="ALZ112" s="139"/>
      <c r="AMA112" s="139"/>
      <c r="AMB112" s="139"/>
      <c r="AMC112" s="139"/>
      <c r="AMD112" s="139"/>
      <c r="AME112" s="139"/>
      <c r="AMF112" s="139"/>
      <c r="AMG112" s="139"/>
      <c r="AMH112" s="139"/>
      <c r="AMI112" s="139"/>
      <c r="AMJ112" s="139"/>
      <c r="AMK112" s="139"/>
      <c r="AML112" s="139"/>
      <c r="AMM112" s="139"/>
      <c r="AMN112" s="139"/>
      <c r="AMO112" s="139"/>
      <c r="AMP112" s="139"/>
      <c r="AMQ112" s="139"/>
      <c r="AMR112" s="139"/>
      <c r="AMS112" s="139"/>
      <c r="AMT112" s="139"/>
      <c r="AMU112" s="139"/>
      <c r="AMV112" s="139"/>
      <c r="AMW112" s="139"/>
      <c r="AMX112" s="139"/>
      <c r="AMY112" s="139"/>
      <c r="AMZ112" s="139"/>
      <c r="ANA112" s="139"/>
      <c r="ANB112" s="139"/>
      <c r="ANC112" s="139"/>
      <c r="AND112" s="139"/>
      <c r="ANE112" s="139"/>
      <c r="ANF112" s="139"/>
      <c r="ANG112" s="139"/>
      <c r="ANH112" s="139"/>
      <c r="ANI112" s="139"/>
      <c r="ANJ112" s="139"/>
      <c r="ANK112" s="139"/>
      <c r="ANL112" s="139"/>
      <c r="ANM112" s="139"/>
      <c r="ANN112" s="139"/>
      <c r="ANO112" s="139"/>
      <c r="ANP112" s="139"/>
      <c r="ANQ112" s="139"/>
      <c r="ANR112" s="139"/>
      <c r="ANS112" s="139"/>
      <c r="ANT112" s="139"/>
      <c r="ANU112" s="139"/>
      <c r="ANV112" s="139"/>
      <c r="ANW112" s="139"/>
      <c r="ANX112" s="139"/>
      <c r="ANY112" s="139"/>
      <c r="ANZ112" s="139"/>
      <c r="AOA112" s="139"/>
      <c r="AOB112" s="139"/>
      <c r="AOC112" s="139"/>
      <c r="AOD112" s="139"/>
      <c r="AOE112" s="139"/>
      <c r="AOF112" s="139"/>
      <c r="AOG112" s="139"/>
      <c r="AOH112" s="139"/>
      <c r="AOI112" s="139"/>
      <c r="AOJ112" s="139"/>
      <c r="AOK112" s="139"/>
      <c r="AOL112" s="139"/>
      <c r="AOM112" s="139"/>
      <c r="AON112" s="139"/>
      <c r="AOO112" s="139"/>
      <c r="AOP112" s="139"/>
      <c r="AOQ112" s="139"/>
      <c r="AOR112" s="139"/>
      <c r="AOS112" s="139"/>
      <c r="AOT112" s="139"/>
      <c r="AOU112" s="139"/>
      <c r="AOV112" s="139"/>
      <c r="AOW112" s="139"/>
      <c r="AOX112" s="139"/>
      <c r="AOY112" s="139"/>
      <c r="AOZ112" s="139"/>
      <c r="APA112" s="139"/>
      <c r="APB112" s="139"/>
      <c r="APC112" s="139"/>
      <c r="APD112" s="139"/>
      <c r="APE112" s="139"/>
      <c r="APF112" s="139"/>
      <c r="APG112" s="139"/>
      <c r="APH112" s="139"/>
      <c r="API112" s="139"/>
      <c r="APJ112" s="139"/>
      <c r="APK112" s="139"/>
      <c r="APL112" s="139"/>
      <c r="APM112" s="139"/>
      <c r="APN112" s="139"/>
      <c r="APO112" s="139"/>
      <c r="APP112" s="139"/>
      <c r="APQ112" s="139"/>
      <c r="APR112" s="139"/>
      <c r="APS112" s="139"/>
      <c r="APT112" s="139"/>
      <c r="APU112" s="139"/>
      <c r="APV112" s="139"/>
      <c r="APW112" s="139"/>
      <c r="APX112" s="139"/>
      <c r="APY112" s="139"/>
      <c r="APZ112" s="139"/>
      <c r="AQA112" s="139"/>
      <c r="AQB112" s="139"/>
      <c r="AQC112" s="139"/>
      <c r="AQD112" s="139"/>
      <c r="AQE112" s="139"/>
      <c r="AQF112" s="139"/>
      <c r="AQG112" s="139"/>
      <c r="AQH112" s="139"/>
      <c r="AQI112" s="139"/>
      <c r="AQJ112" s="139"/>
      <c r="AQK112" s="139"/>
      <c r="AQL112" s="139"/>
      <c r="AQM112" s="139"/>
      <c r="AQN112" s="139"/>
      <c r="AQO112" s="139"/>
      <c r="AQP112" s="139"/>
      <c r="AQQ112" s="139"/>
      <c r="AQR112" s="139"/>
      <c r="AQS112" s="139"/>
      <c r="AQT112" s="139"/>
      <c r="AQU112" s="139"/>
      <c r="AQV112" s="139"/>
      <c r="AQW112" s="139"/>
      <c r="AQX112" s="139"/>
      <c r="AQY112" s="139"/>
      <c r="AQZ112" s="139"/>
      <c r="ARA112" s="139"/>
      <c r="ARB112" s="139"/>
      <c r="ARC112" s="139"/>
      <c r="ARD112" s="139"/>
      <c r="ARE112" s="139"/>
      <c r="ARF112" s="139"/>
      <c r="ARG112" s="139"/>
      <c r="ARH112" s="139"/>
      <c r="ARI112" s="139"/>
      <c r="ARJ112" s="139"/>
      <c r="ARK112" s="139"/>
      <c r="ARL112" s="139"/>
      <c r="ARM112" s="139"/>
      <c r="ARN112" s="139"/>
      <c r="ARO112" s="139"/>
      <c r="ARP112" s="139"/>
      <c r="ARQ112" s="139"/>
      <c r="ARR112" s="139"/>
      <c r="ARS112" s="139"/>
      <c r="ART112" s="139"/>
      <c r="ARU112" s="139"/>
      <c r="ARV112" s="139"/>
      <c r="ARW112" s="139"/>
      <c r="ARX112" s="139"/>
      <c r="ARY112" s="139"/>
      <c r="ARZ112" s="139"/>
      <c r="ASA112" s="139"/>
      <c r="ASB112" s="139"/>
      <c r="ASC112" s="139"/>
      <c r="ASD112" s="139"/>
      <c r="ASE112" s="139"/>
      <c r="ASF112" s="139"/>
      <c r="ASG112" s="139"/>
      <c r="ASH112" s="139"/>
      <c r="ASI112" s="139"/>
      <c r="ASJ112" s="139"/>
      <c r="ASK112" s="139"/>
      <c r="ASL112" s="139"/>
      <c r="ASM112" s="139"/>
      <c r="ASN112" s="139"/>
      <c r="ASO112" s="139"/>
      <c r="ASP112" s="139"/>
      <c r="ASQ112" s="139"/>
      <c r="ASR112" s="139"/>
      <c r="ASS112" s="139"/>
      <c r="AST112" s="139"/>
      <c r="ASU112" s="139"/>
      <c r="ASV112" s="139"/>
      <c r="ASW112" s="139"/>
      <c r="ASX112" s="139"/>
      <c r="ASY112" s="139"/>
      <c r="ASZ112" s="139"/>
      <c r="ATA112" s="139"/>
      <c r="ATB112" s="139"/>
      <c r="ATC112" s="139"/>
      <c r="ATD112" s="139"/>
      <c r="ATE112" s="139"/>
      <c r="ATF112" s="139"/>
      <c r="ATG112" s="139"/>
      <c r="ATH112" s="139"/>
      <c r="ATI112" s="139"/>
      <c r="ATJ112" s="139"/>
      <c r="ATK112" s="139"/>
      <c r="ATL112" s="139"/>
      <c r="ATM112" s="139"/>
      <c r="ATN112" s="139"/>
      <c r="ATO112" s="139"/>
      <c r="ATP112" s="139"/>
      <c r="ATQ112" s="139"/>
      <c r="ATR112" s="139"/>
      <c r="ATS112" s="139"/>
      <c r="ATT112" s="139"/>
      <c r="ATU112" s="139"/>
      <c r="ATV112" s="139"/>
      <c r="ATW112" s="139"/>
      <c r="ATX112" s="139"/>
      <c r="ATY112" s="139"/>
      <c r="ATZ112" s="139"/>
      <c r="AUA112" s="139"/>
      <c r="AUB112" s="139"/>
      <c r="AUC112" s="139"/>
      <c r="AUD112" s="139"/>
      <c r="AUE112" s="139"/>
      <c r="AUF112" s="139"/>
      <c r="AUG112" s="139"/>
      <c r="AUH112" s="139"/>
      <c r="AUI112" s="139"/>
      <c r="AUJ112" s="139"/>
      <c r="AUK112" s="139"/>
      <c r="AUL112" s="139"/>
      <c r="AUM112" s="139"/>
      <c r="AUN112" s="139"/>
      <c r="AUO112" s="139"/>
      <c r="AUP112" s="139"/>
      <c r="AUQ112" s="139"/>
      <c r="AUR112" s="139"/>
      <c r="AUS112" s="139"/>
      <c r="AUT112" s="139"/>
      <c r="AUU112" s="139"/>
      <c r="AUV112" s="139"/>
      <c r="AUW112" s="139"/>
      <c r="AUX112" s="139"/>
      <c r="AUY112" s="139"/>
      <c r="AUZ112" s="139"/>
      <c r="AVA112" s="139"/>
      <c r="AVB112" s="139"/>
      <c r="AVC112" s="139"/>
      <c r="AVD112" s="139"/>
      <c r="AVE112" s="139"/>
      <c r="AVF112" s="139"/>
      <c r="AVG112" s="139"/>
      <c r="AVH112" s="139"/>
      <c r="AVI112" s="139"/>
      <c r="AVJ112" s="139"/>
      <c r="AVK112" s="139"/>
      <c r="AVL112" s="139"/>
      <c r="AVM112" s="139"/>
      <c r="AVN112" s="139"/>
      <c r="AVO112" s="139"/>
      <c r="AVP112" s="139"/>
      <c r="AVQ112" s="139"/>
      <c r="AVR112" s="139"/>
      <c r="AVS112" s="139"/>
      <c r="AVT112" s="139"/>
      <c r="AVU112" s="139"/>
      <c r="AVV112" s="139"/>
      <c r="AVW112" s="139"/>
      <c r="AVX112" s="139"/>
      <c r="AVY112" s="139"/>
      <c r="AVZ112" s="139"/>
      <c r="AWA112" s="139"/>
      <c r="AWB112" s="139"/>
      <c r="AWC112" s="139"/>
      <c r="AWD112" s="139"/>
      <c r="AWE112" s="139"/>
      <c r="AWF112" s="139"/>
      <c r="AWG112" s="139"/>
      <c r="AWH112" s="139"/>
      <c r="AWI112" s="139"/>
      <c r="AWJ112" s="139"/>
      <c r="AWK112" s="139"/>
      <c r="AWL112" s="139"/>
      <c r="AWM112" s="139"/>
      <c r="AWN112" s="139"/>
      <c r="AWO112" s="139"/>
      <c r="AWP112" s="139"/>
      <c r="AWQ112" s="139"/>
      <c r="AWR112" s="139"/>
      <c r="AWS112" s="139"/>
      <c r="AWT112" s="139"/>
      <c r="AWU112" s="139"/>
      <c r="AWV112" s="139"/>
      <c r="AWW112" s="139"/>
      <c r="AWX112" s="139"/>
      <c r="AWY112" s="139"/>
      <c r="AWZ112" s="139"/>
      <c r="AXA112" s="139"/>
      <c r="AXB112" s="139"/>
      <c r="AXC112" s="139"/>
      <c r="AXD112" s="139"/>
      <c r="AXE112" s="139"/>
      <c r="AXF112" s="139"/>
      <c r="AXG112" s="139"/>
      <c r="AXH112" s="139"/>
      <c r="AXI112" s="139"/>
      <c r="AXJ112" s="139"/>
      <c r="AXK112" s="139"/>
      <c r="AXL112" s="139"/>
      <c r="AXM112" s="139"/>
      <c r="AXN112" s="139"/>
      <c r="AXO112" s="139"/>
      <c r="AXP112" s="139"/>
      <c r="AXQ112" s="139"/>
      <c r="AXR112" s="139"/>
      <c r="AXS112" s="139"/>
      <c r="AXT112" s="139"/>
      <c r="AXU112" s="139"/>
      <c r="AXV112" s="139"/>
      <c r="AXW112" s="139"/>
      <c r="AXX112" s="139"/>
      <c r="AXY112" s="139"/>
      <c r="AXZ112" s="139"/>
      <c r="AYA112" s="139"/>
      <c r="AYB112" s="139"/>
      <c r="AYC112" s="139"/>
      <c r="AYD112" s="139"/>
      <c r="AYE112" s="139"/>
      <c r="AYF112" s="139"/>
      <c r="AYG112" s="139"/>
      <c r="AYH112" s="139"/>
      <c r="AYI112" s="139"/>
      <c r="AYJ112" s="139"/>
      <c r="AYK112" s="139"/>
      <c r="AYL112" s="139"/>
      <c r="AYM112" s="139"/>
      <c r="AYN112" s="139"/>
      <c r="AYO112" s="139"/>
      <c r="AYP112" s="139"/>
      <c r="AYQ112" s="139"/>
      <c r="AYR112" s="139"/>
      <c r="AYS112" s="139"/>
      <c r="AYT112" s="139"/>
      <c r="AYU112" s="139"/>
      <c r="AYV112" s="139"/>
      <c r="AYW112" s="139"/>
      <c r="AYX112" s="139"/>
      <c r="AYY112" s="139"/>
      <c r="AYZ112" s="139"/>
      <c r="AZA112" s="139"/>
      <c r="AZB112" s="139"/>
      <c r="AZC112" s="139"/>
      <c r="AZD112" s="139"/>
      <c r="AZE112" s="139"/>
      <c r="AZF112" s="139"/>
      <c r="AZG112" s="139"/>
      <c r="AZH112" s="139"/>
      <c r="AZI112" s="139"/>
      <c r="AZJ112" s="139"/>
      <c r="AZK112" s="139"/>
      <c r="AZL112" s="139"/>
      <c r="AZM112" s="139"/>
      <c r="AZN112" s="139"/>
      <c r="AZO112" s="139"/>
      <c r="AZP112" s="139"/>
      <c r="AZQ112" s="139"/>
      <c r="AZR112" s="139"/>
      <c r="AZS112" s="139"/>
      <c r="AZT112" s="139"/>
      <c r="AZU112" s="139"/>
      <c r="AZV112" s="139"/>
      <c r="AZW112" s="139"/>
      <c r="AZX112" s="139"/>
      <c r="AZY112" s="139"/>
      <c r="AZZ112" s="139"/>
      <c r="BAA112" s="139"/>
      <c r="BAB112" s="139"/>
      <c r="BAC112" s="139"/>
      <c r="BAD112" s="139"/>
      <c r="BAE112" s="139"/>
      <c r="BAF112" s="139"/>
      <c r="BAG112" s="139"/>
      <c r="BAH112" s="139"/>
      <c r="BAI112" s="139"/>
      <c r="BAJ112" s="139"/>
      <c r="BAK112" s="139"/>
      <c r="BAL112" s="139"/>
      <c r="BAM112" s="139"/>
      <c r="BAN112" s="139"/>
      <c r="BAO112" s="139"/>
      <c r="BAP112" s="139"/>
      <c r="BAQ112" s="139"/>
      <c r="BAR112" s="139"/>
      <c r="BAS112" s="139"/>
      <c r="BAT112" s="139"/>
      <c r="BAU112" s="139"/>
      <c r="BAV112" s="139"/>
      <c r="BAW112" s="139"/>
      <c r="BAX112" s="139"/>
      <c r="BAY112" s="139"/>
      <c r="BAZ112" s="139"/>
      <c r="BBA112" s="139"/>
      <c r="BBB112" s="139"/>
      <c r="BBC112" s="139"/>
      <c r="BBD112" s="139"/>
      <c r="BBE112" s="139"/>
      <c r="BBF112" s="139"/>
      <c r="BBG112" s="139"/>
      <c r="BBH112" s="139"/>
      <c r="BBI112" s="139"/>
      <c r="BBJ112" s="139"/>
      <c r="BBK112" s="139"/>
      <c r="BBL112" s="139"/>
      <c r="BBM112" s="139"/>
      <c r="BBN112" s="139"/>
      <c r="BBO112" s="139"/>
      <c r="BBP112" s="139"/>
      <c r="BBQ112" s="139"/>
      <c r="BBR112" s="139"/>
      <c r="BBS112" s="139"/>
      <c r="BBT112" s="139"/>
      <c r="BBU112" s="139"/>
      <c r="BBV112" s="139"/>
      <c r="BBW112" s="139"/>
      <c r="BBX112" s="139"/>
      <c r="BBY112" s="139"/>
      <c r="BBZ112" s="139"/>
      <c r="BCA112" s="139"/>
      <c r="BCB112" s="139"/>
      <c r="BCC112" s="139"/>
      <c r="BCD112" s="139"/>
      <c r="BCE112" s="139"/>
      <c r="BCF112" s="139"/>
      <c r="BCG112" s="139"/>
      <c r="BCH112" s="139"/>
      <c r="BCI112" s="139"/>
      <c r="BCJ112" s="139"/>
      <c r="BCK112" s="139"/>
      <c r="BCL112" s="139"/>
      <c r="BCM112" s="139"/>
      <c r="BCN112" s="139"/>
      <c r="BCO112" s="139"/>
      <c r="BCP112" s="139"/>
      <c r="BCQ112" s="139"/>
      <c r="BCR112" s="139"/>
      <c r="BCS112" s="139"/>
      <c r="BCT112" s="139"/>
      <c r="BCU112" s="139"/>
      <c r="BCV112" s="139"/>
      <c r="BCW112" s="139"/>
      <c r="BCX112" s="139"/>
      <c r="BCY112" s="139"/>
      <c r="BCZ112" s="139"/>
      <c r="BDA112" s="139"/>
      <c r="BDB112" s="139"/>
      <c r="BDC112" s="139"/>
      <c r="BDD112" s="139"/>
      <c r="BDE112" s="139"/>
      <c r="BDF112" s="139"/>
      <c r="BDG112" s="139"/>
      <c r="BDH112" s="139"/>
      <c r="BDI112" s="139"/>
      <c r="BDJ112" s="139"/>
      <c r="BDK112" s="139"/>
      <c r="BDL112" s="139"/>
      <c r="BDM112" s="139"/>
      <c r="BDN112" s="139"/>
      <c r="BDO112" s="139"/>
      <c r="BDP112" s="139"/>
      <c r="BDQ112" s="139"/>
      <c r="BDR112" s="139"/>
      <c r="BDS112" s="139"/>
      <c r="BDT112" s="139"/>
      <c r="BDU112" s="139"/>
      <c r="BDV112" s="139"/>
      <c r="BDW112" s="139"/>
      <c r="BDX112" s="139"/>
      <c r="BDY112" s="139"/>
      <c r="BDZ112" s="139"/>
      <c r="BEA112" s="139"/>
      <c r="BEB112" s="139"/>
      <c r="BEC112" s="139"/>
      <c r="BED112" s="139"/>
      <c r="BEE112" s="139"/>
      <c r="BEF112" s="139"/>
      <c r="BEG112" s="139"/>
      <c r="BEH112" s="139"/>
      <c r="BEI112" s="139"/>
      <c r="BEJ112" s="139"/>
      <c r="BEK112" s="139"/>
      <c r="BEL112" s="139"/>
      <c r="BEM112" s="139"/>
      <c r="BEN112" s="139"/>
      <c r="BEO112" s="139"/>
      <c r="BEP112" s="139"/>
      <c r="BEQ112" s="139"/>
      <c r="BER112" s="139"/>
      <c r="BES112" s="139"/>
      <c r="BET112" s="139"/>
      <c r="BEU112" s="139"/>
      <c r="BEV112" s="139"/>
      <c r="BEW112" s="139"/>
      <c r="BEX112" s="139"/>
      <c r="BEY112" s="139"/>
      <c r="BEZ112" s="139"/>
      <c r="BFA112" s="139"/>
      <c r="BFB112" s="139"/>
      <c r="BFC112" s="139"/>
      <c r="BFD112" s="139"/>
      <c r="BFE112" s="139"/>
      <c r="BFF112" s="139"/>
      <c r="BFG112" s="139"/>
      <c r="BFH112" s="139"/>
      <c r="BFI112" s="139"/>
      <c r="BFJ112" s="139"/>
      <c r="BFK112" s="139"/>
      <c r="BFL112" s="139"/>
      <c r="BFM112" s="139"/>
      <c r="BFN112" s="139"/>
      <c r="BFO112" s="139"/>
      <c r="BFP112" s="139"/>
      <c r="BFQ112" s="139"/>
      <c r="BFR112" s="139"/>
      <c r="BFS112" s="139"/>
      <c r="BFT112" s="139"/>
      <c r="BFU112" s="139"/>
      <c r="BFV112" s="139"/>
      <c r="BFW112" s="139"/>
      <c r="BFX112" s="139"/>
      <c r="BFY112" s="139"/>
      <c r="BFZ112" s="139"/>
      <c r="BGA112" s="139"/>
      <c r="BGB112" s="139"/>
      <c r="BGC112" s="139"/>
      <c r="BGD112" s="139"/>
      <c r="BGE112" s="139"/>
      <c r="BGF112" s="139"/>
      <c r="BGG112" s="139"/>
      <c r="BGH112" s="139"/>
      <c r="BGI112" s="139"/>
      <c r="BGJ112" s="139"/>
      <c r="BGK112" s="139"/>
      <c r="BGL112" s="139"/>
      <c r="BGM112" s="139"/>
      <c r="BGN112" s="139"/>
      <c r="BGO112" s="139"/>
      <c r="BGP112" s="139"/>
      <c r="BGQ112" s="139"/>
      <c r="BGR112" s="139"/>
      <c r="BGS112" s="139"/>
      <c r="BGT112" s="139"/>
      <c r="BGU112" s="139"/>
      <c r="BGV112" s="139"/>
      <c r="BGW112" s="139"/>
      <c r="BGX112" s="139"/>
      <c r="BGY112" s="139"/>
      <c r="BGZ112" s="139"/>
      <c r="BHA112" s="139"/>
      <c r="BHB112" s="139"/>
      <c r="BHC112" s="139"/>
      <c r="BHD112" s="139"/>
      <c r="BHE112" s="139"/>
      <c r="BHF112" s="139"/>
      <c r="BHG112" s="139"/>
      <c r="BHH112" s="139"/>
      <c r="BHI112" s="139"/>
      <c r="BHJ112" s="139"/>
      <c r="BHK112" s="139"/>
      <c r="BHL112" s="139"/>
      <c r="BHM112" s="139"/>
      <c r="BHN112" s="139"/>
      <c r="BHO112" s="139"/>
      <c r="BHP112" s="139"/>
      <c r="BHQ112" s="139"/>
      <c r="BHR112" s="139"/>
      <c r="BHS112" s="139"/>
      <c r="BHT112" s="139"/>
      <c r="BHU112" s="139"/>
      <c r="BHV112" s="139"/>
      <c r="BHW112" s="139"/>
      <c r="BHX112" s="139"/>
      <c r="BHY112" s="139"/>
      <c r="BHZ112" s="139"/>
      <c r="BIA112" s="139"/>
      <c r="BIB112" s="139"/>
      <c r="BIC112" s="139"/>
      <c r="BID112" s="139"/>
      <c r="BIE112" s="139"/>
      <c r="BIF112" s="139"/>
      <c r="BIG112" s="139"/>
      <c r="BIH112" s="139"/>
      <c r="BII112" s="139"/>
      <c r="BIJ112" s="139"/>
      <c r="BIK112" s="139"/>
      <c r="BIL112" s="139"/>
      <c r="BIM112" s="139"/>
      <c r="BIN112" s="139"/>
      <c r="BIO112" s="139"/>
      <c r="BIP112" s="139"/>
      <c r="BIQ112" s="139"/>
      <c r="BIR112" s="139"/>
      <c r="BIS112" s="139"/>
      <c r="BIT112" s="139"/>
      <c r="BIU112" s="139"/>
      <c r="BIV112" s="139"/>
      <c r="BIW112" s="139"/>
      <c r="BIX112" s="139"/>
      <c r="BIY112" s="139"/>
      <c r="BIZ112" s="139"/>
      <c r="BJA112" s="139"/>
      <c r="BJB112" s="139"/>
      <c r="BJC112" s="139"/>
      <c r="BJD112" s="139"/>
      <c r="BJE112" s="139"/>
      <c r="BJF112" s="139"/>
      <c r="BJG112" s="139"/>
      <c r="BJH112" s="139"/>
      <c r="BJI112" s="139"/>
      <c r="BJJ112" s="139"/>
      <c r="BJK112" s="139"/>
      <c r="BJL112" s="139"/>
      <c r="BJM112" s="139"/>
      <c r="BJN112" s="139"/>
      <c r="BJO112" s="139"/>
      <c r="BJP112" s="139"/>
      <c r="BJQ112" s="139"/>
      <c r="BJR112" s="139"/>
      <c r="BJS112" s="139"/>
      <c r="BJT112" s="139"/>
      <c r="BJU112" s="139"/>
      <c r="BJV112" s="139"/>
      <c r="BJW112" s="139"/>
      <c r="BJX112" s="139"/>
      <c r="BJY112" s="139"/>
      <c r="BJZ112" s="139"/>
      <c r="BKA112" s="139"/>
      <c r="BKB112" s="139"/>
      <c r="BKC112" s="139"/>
      <c r="BKD112" s="139"/>
      <c r="BKE112" s="139"/>
      <c r="BKF112" s="139"/>
      <c r="BKG112" s="139"/>
      <c r="BKH112" s="139"/>
      <c r="BKI112" s="139"/>
      <c r="BKJ112" s="139"/>
      <c r="BKK112" s="139"/>
      <c r="BKL112" s="139"/>
      <c r="BKM112" s="139"/>
      <c r="BKN112" s="139"/>
      <c r="BKO112" s="139"/>
      <c r="BKP112" s="139"/>
      <c r="BKQ112" s="139"/>
      <c r="BKR112" s="139"/>
      <c r="BKS112" s="139"/>
      <c r="BKT112" s="139"/>
      <c r="BKU112" s="139"/>
      <c r="BKV112" s="139"/>
      <c r="BKW112" s="139"/>
      <c r="BKX112" s="139"/>
      <c r="BKY112" s="139"/>
      <c r="BKZ112" s="139"/>
      <c r="BLA112" s="139"/>
      <c r="BLB112" s="139"/>
      <c r="BLC112" s="139"/>
      <c r="BLD112" s="139"/>
      <c r="BLE112" s="139"/>
      <c r="BLF112" s="139"/>
      <c r="BLG112" s="139"/>
      <c r="BLH112" s="139"/>
      <c r="BLI112" s="139"/>
      <c r="BLJ112" s="139"/>
      <c r="BLK112" s="139"/>
      <c r="BLL112" s="139"/>
      <c r="BLM112" s="139"/>
      <c r="BLN112" s="139"/>
      <c r="BLO112" s="139"/>
      <c r="BLP112" s="139"/>
      <c r="BLQ112" s="139"/>
      <c r="BLR112" s="139"/>
      <c r="BLS112" s="139"/>
      <c r="BLT112" s="139"/>
      <c r="BLU112" s="139"/>
      <c r="BLV112" s="139"/>
      <c r="BLW112" s="139"/>
      <c r="BLX112" s="139"/>
      <c r="BLY112" s="139"/>
      <c r="BLZ112" s="139"/>
      <c r="BMA112" s="139"/>
      <c r="BMB112" s="139"/>
      <c r="BMC112" s="139"/>
      <c r="BMD112" s="139"/>
      <c r="BME112" s="139"/>
      <c r="BMF112" s="139"/>
      <c r="BMG112" s="139"/>
      <c r="BMH112" s="139"/>
      <c r="BMI112" s="139"/>
      <c r="BMJ112" s="139"/>
      <c r="BMK112" s="139"/>
      <c r="BML112" s="139"/>
      <c r="BMM112" s="139"/>
      <c r="BMN112" s="139"/>
      <c r="BMO112" s="139"/>
      <c r="BMP112" s="139"/>
      <c r="BMQ112" s="139"/>
      <c r="BMR112" s="139"/>
      <c r="BMS112" s="139"/>
      <c r="BMT112" s="139"/>
      <c r="BMU112" s="139"/>
      <c r="BMV112" s="139"/>
      <c r="BMW112" s="139"/>
      <c r="BMX112" s="139"/>
      <c r="BMY112" s="139"/>
      <c r="BMZ112" s="139"/>
      <c r="BNA112" s="139"/>
      <c r="BNB112" s="139"/>
      <c r="BNC112" s="139"/>
      <c r="BND112" s="139"/>
      <c r="BNE112" s="139"/>
      <c r="BNF112" s="139"/>
      <c r="BNG112" s="139"/>
      <c r="BNH112" s="139"/>
      <c r="BNI112" s="139"/>
      <c r="BNJ112" s="139"/>
      <c r="BNK112" s="139"/>
      <c r="BNL112" s="139"/>
      <c r="BNM112" s="139"/>
      <c r="BNN112" s="139"/>
      <c r="BNO112" s="139"/>
      <c r="BNP112" s="139"/>
      <c r="BNQ112" s="139"/>
      <c r="BNR112" s="139"/>
      <c r="BNS112" s="139"/>
      <c r="BNT112" s="139"/>
      <c r="BNU112" s="139"/>
      <c r="BNV112" s="139"/>
      <c r="BNW112" s="139"/>
      <c r="BNX112" s="139"/>
      <c r="BNY112" s="139"/>
      <c r="BNZ112" s="139"/>
      <c r="BOA112" s="139"/>
      <c r="BOB112" s="139"/>
      <c r="BOC112" s="139"/>
      <c r="BOD112" s="139"/>
      <c r="BOE112" s="139"/>
      <c r="BOF112" s="139"/>
      <c r="BOG112" s="139"/>
      <c r="BOH112" s="139"/>
      <c r="BOI112" s="139"/>
      <c r="BOJ112" s="139"/>
      <c r="BOK112" s="139"/>
      <c r="BOL112" s="139"/>
      <c r="BOM112" s="139"/>
      <c r="BON112" s="139"/>
      <c r="BOO112" s="139"/>
      <c r="BOP112" s="139"/>
      <c r="BOQ112" s="139"/>
      <c r="BOR112" s="139"/>
      <c r="BOS112" s="139"/>
      <c r="BOT112" s="139"/>
      <c r="BOU112" s="139"/>
      <c r="BOV112" s="139"/>
      <c r="BOW112" s="139"/>
      <c r="BOX112" s="139"/>
      <c r="BOY112" s="139"/>
      <c r="BOZ112" s="139"/>
      <c r="BPA112" s="139"/>
      <c r="BPB112" s="139"/>
      <c r="BPC112" s="139"/>
      <c r="BPD112" s="139"/>
      <c r="BPE112" s="139"/>
      <c r="BPF112" s="139"/>
      <c r="BPG112" s="139"/>
      <c r="BPH112" s="139"/>
      <c r="BPI112" s="139"/>
      <c r="BPJ112" s="139"/>
      <c r="BPK112" s="139"/>
      <c r="BPL112" s="139"/>
      <c r="BPM112" s="139"/>
      <c r="BPN112" s="139"/>
      <c r="BPO112" s="139"/>
      <c r="BPP112" s="139"/>
      <c r="BPQ112" s="139"/>
      <c r="BPR112" s="139"/>
      <c r="BPS112" s="139"/>
      <c r="BPT112" s="139"/>
      <c r="BPU112" s="139"/>
      <c r="BPV112" s="139"/>
      <c r="BPW112" s="139"/>
      <c r="BPX112" s="139"/>
      <c r="BPY112" s="139"/>
      <c r="BPZ112" s="139"/>
      <c r="BQA112" s="139"/>
      <c r="BQB112" s="139"/>
      <c r="BQC112" s="139"/>
      <c r="BQD112" s="139"/>
      <c r="BQE112" s="139"/>
      <c r="BQF112" s="139"/>
      <c r="BQG112" s="139"/>
      <c r="BQH112" s="139"/>
      <c r="BQI112" s="139"/>
      <c r="BQJ112" s="139"/>
      <c r="BQK112" s="139"/>
      <c r="BQL112" s="139"/>
      <c r="BQM112" s="139"/>
      <c r="BQN112" s="139"/>
      <c r="BQO112" s="139"/>
      <c r="BQP112" s="139"/>
      <c r="BQQ112" s="139"/>
      <c r="BQR112" s="139"/>
      <c r="BQS112" s="139"/>
      <c r="BQT112" s="139"/>
      <c r="BQU112" s="139"/>
      <c r="BQV112" s="139"/>
      <c r="BQW112" s="139"/>
      <c r="BQX112" s="139"/>
      <c r="BQY112" s="139"/>
      <c r="BQZ112" s="139"/>
      <c r="BRA112" s="139"/>
      <c r="BRB112" s="139"/>
      <c r="BRC112" s="139"/>
      <c r="BRD112" s="139"/>
      <c r="BRE112" s="139"/>
      <c r="BRF112" s="139"/>
      <c r="BRG112" s="139"/>
      <c r="BRH112" s="139"/>
      <c r="BRI112" s="139"/>
      <c r="BRJ112" s="139"/>
      <c r="BRK112" s="139"/>
      <c r="BRL112" s="139"/>
      <c r="BRM112" s="139"/>
      <c r="BRN112" s="139"/>
      <c r="BRO112" s="139"/>
      <c r="BRP112" s="139"/>
      <c r="BRQ112" s="139"/>
      <c r="BRR112" s="139"/>
      <c r="BRS112" s="139"/>
      <c r="BRT112" s="139"/>
      <c r="BRU112" s="139"/>
      <c r="BRV112" s="139"/>
      <c r="BRW112" s="139"/>
      <c r="BRX112" s="139"/>
      <c r="BRY112" s="139"/>
      <c r="BRZ112" s="139"/>
      <c r="BSA112" s="139"/>
      <c r="BSB112" s="139"/>
      <c r="BSC112" s="139"/>
      <c r="BSD112" s="139"/>
      <c r="BSE112" s="139"/>
      <c r="BSF112" s="139"/>
      <c r="BSG112" s="139"/>
      <c r="BSH112" s="139"/>
      <c r="BSI112" s="139"/>
      <c r="BSJ112" s="139"/>
      <c r="BSK112" s="139"/>
      <c r="BSL112" s="139"/>
      <c r="BSM112" s="139"/>
      <c r="BSN112" s="139"/>
      <c r="BSO112" s="139"/>
      <c r="BSP112" s="139"/>
      <c r="BSQ112" s="139"/>
      <c r="BSR112" s="139"/>
      <c r="BSS112" s="139"/>
      <c r="BST112" s="139"/>
      <c r="BSU112" s="139"/>
      <c r="BSV112" s="139"/>
      <c r="BSW112" s="139"/>
      <c r="BSX112" s="139"/>
      <c r="BSY112" s="139"/>
      <c r="BSZ112" s="139"/>
      <c r="BTA112" s="139"/>
      <c r="BTB112" s="139"/>
      <c r="BTC112" s="139"/>
      <c r="BTD112" s="139"/>
      <c r="BTE112" s="139"/>
      <c r="BTF112" s="139"/>
      <c r="BTG112" s="139"/>
      <c r="BTH112" s="139"/>
      <c r="BTI112" s="139"/>
      <c r="BTJ112" s="139"/>
      <c r="BTK112" s="139"/>
      <c r="BTL112" s="139"/>
      <c r="BTM112" s="139"/>
      <c r="BTN112" s="139"/>
      <c r="BTO112" s="139"/>
      <c r="BTP112" s="139"/>
      <c r="BTQ112" s="139"/>
      <c r="BTR112" s="139"/>
      <c r="BTS112" s="139"/>
      <c r="BTT112" s="139"/>
      <c r="BTU112" s="139"/>
      <c r="BTV112" s="139"/>
      <c r="BTW112" s="139"/>
      <c r="BTX112" s="139"/>
      <c r="BTY112" s="139"/>
      <c r="BTZ112" s="139"/>
      <c r="BUA112" s="139"/>
      <c r="BUB112" s="139"/>
      <c r="BUC112" s="139"/>
      <c r="BUD112" s="139"/>
      <c r="BUE112" s="139"/>
      <c r="BUF112" s="139"/>
      <c r="BUG112" s="139"/>
      <c r="BUH112" s="139"/>
      <c r="BUI112" s="139"/>
      <c r="BUJ112" s="139"/>
      <c r="BUK112" s="139"/>
      <c r="BUL112" s="139"/>
      <c r="BUM112" s="139"/>
      <c r="BUN112" s="139"/>
      <c r="BUO112" s="139"/>
      <c r="BUP112" s="139"/>
      <c r="BUQ112" s="139"/>
      <c r="BUR112" s="139"/>
      <c r="BUS112" s="139"/>
      <c r="BUT112" s="139"/>
      <c r="BUU112" s="139"/>
      <c r="BUV112" s="139"/>
      <c r="BUW112" s="139"/>
      <c r="BUX112" s="139"/>
      <c r="BUY112" s="139"/>
      <c r="BUZ112" s="139"/>
      <c r="BVA112" s="139"/>
      <c r="BVB112" s="139"/>
      <c r="BVC112" s="139"/>
      <c r="BVD112" s="139"/>
      <c r="BVE112" s="139"/>
      <c r="BVF112" s="139"/>
      <c r="BVG112" s="139"/>
      <c r="BVH112" s="139"/>
      <c r="BVI112" s="139"/>
      <c r="BVJ112" s="139"/>
      <c r="BVK112" s="139"/>
      <c r="BVL112" s="139"/>
      <c r="BVM112" s="139"/>
      <c r="BVN112" s="139"/>
      <c r="BVO112" s="139"/>
      <c r="BVP112" s="139"/>
      <c r="BVQ112" s="139"/>
      <c r="BVR112" s="139"/>
      <c r="BVS112" s="139"/>
      <c r="BVT112" s="139"/>
      <c r="BVU112" s="139"/>
      <c r="BVV112" s="139"/>
      <c r="BVW112" s="139"/>
      <c r="BVX112" s="139"/>
      <c r="BVY112" s="139"/>
      <c r="BVZ112" s="139"/>
      <c r="BWA112" s="139"/>
      <c r="BWB112" s="139"/>
      <c r="BWC112" s="139"/>
      <c r="BWD112" s="139"/>
      <c r="BWE112" s="139"/>
      <c r="BWF112" s="139"/>
      <c r="BWG112" s="139"/>
      <c r="BWH112" s="139"/>
      <c r="BWI112" s="139"/>
      <c r="BWJ112" s="139"/>
      <c r="BWK112" s="139"/>
      <c r="BWL112" s="139"/>
      <c r="BWM112" s="139"/>
      <c r="BWN112" s="139"/>
      <c r="BWO112" s="139"/>
      <c r="BWP112" s="139"/>
      <c r="BWQ112" s="139"/>
      <c r="BWR112" s="139"/>
      <c r="BWS112" s="139"/>
      <c r="BWT112" s="139"/>
      <c r="BWU112" s="139"/>
      <c r="BWV112" s="139"/>
      <c r="BWW112" s="139"/>
      <c r="BWX112" s="139"/>
      <c r="BWY112" s="139"/>
      <c r="BWZ112" s="139"/>
      <c r="BXA112" s="139"/>
      <c r="BXB112" s="139"/>
      <c r="BXC112" s="139"/>
      <c r="BXD112" s="139"/>
      <c r="BXE112" s="139"/>
      <c r="BXF112" s="139"/>
      <c r="BXG112" s="139"/>
      <c r="BXH112" s="139"/>
      <c r="BXI112" s="139"/>
      <c r="BXJ112" s="139"/>
      <c r="BXK112" s="139"/>
      <c r="BXL112" s="139"/>
      <c r="BXM112" s="139"/>
      <c r="BXN112" s="139"/>
      <c r="BXO112" s="139"/>
      <c r="BXP112" s="139"/>
      <c r="BXQ112" s="139"/>
      <c r="BXR112" s="139"/>
      <c r="BXS112" s="139"/>
      <c r="BXT112" s="139"/>
      <c r="BXU112" s="139"/>
      <c r="BXV112" s="139"/>
      <c r="BXW112" s="139"/>
      <c r="BXX112" s="139"/>
      <c r="BXY112" s="139"/>
      <c r="BXZ112" s="139"/>
      <c r="BYA112" s="139"/>
      <c r="BYB112" s="139"/>
      <c r="BYC112" s="139"/>
      <c r="BYD112" s="139"/>
      <c r="BYE112" s="139"/>
      <c r="BYF112" s="139"/>
      <c r="BYG112" s="139"/>
      <c r="BYH112" s="139"/>
      <c r="BYI112" s="139"/>
      <c r="BYJ112" s="139"/>
      <c r="BYK112" s="139"/>
      <c r="BYL112" s="139"/>
      <c r="BYM112" s="139"/>
      <c r="BYN112" s="139"/>
      <c r="BYO112" s="139"/>
      <c r="BYP112" s="139"/>
      <c r="BYQ112" s="139"/>
      <c r="BYR112" s="139"/>
      <c r="BYS112" s="139"/>
      <c r="BYT112" s="139"/>
      <c r="BYU112" s="139"/>
      <c r="BYV112" s="139"/>
      <c r="BYW112" s="139"/>
      <c r="BYX112" s="139"/>
      <c r="BYY112" s="139"/>
      <c r="BYZ112" s="139"/>
      <c r="BZA112" s="139"/>
      <c r="BZB112" s="139"/>
      <c r="BZC112" s="139"/>
      <c r="BZD112" s="139"/>
      <c r="BZE112" s="139"/>
      <c r="BZF112" s="139"/>
      <c r="BZG112" s="139"/>
      <c r="BZH112" s="139"/>
      <c r="BZI112" s="139"/>
      <c r="BZJ112" s="139"/>
      <c r="BZK112" s="139"/>
      <c r="BZL112" s="139"/>
      <c r="BZM112" s="139"/>
      <c r="BZN112" s="139"/>
      <c r="BZO112" s="139"/>
      <c r="BZP112" s="139"/>
      <c r="BZQ112" s="139"/>
      <c r="BZR112" s="139"/>
      <c r="BZS112" s="139"/>
      <c r="BZT112" s="139"/>
      <c r="BZU112" s="139"/>
      <c r="BZV112" s="139"/>
      <c r="BZW112" s="139"/>
      <c r="BZX112" s="139"/>
      <c r="BZY112" s="139"/>
      <c r="BZZ112" s="139"/>
      <c r="CAA112" s="139"/>
      <c r="CAB112" s="139"/>
      <c r="CAC112" s="139"/>
      <c r="CAD112" s="139"/>
      <c r="CAE112" s="139"/>
      <c r="CAF112" s="139"/>
      <c r="CAG112" s="139"/>
      <c r="CAH112" s="139"/>
      <c r="CAI112" s="139"/>
      <c r="CAJ112" s="139"/>
      <c r="CAK112" s="139"/>
      <c r="CAL112" s="139"/>
      <c r="CAM112" s="139"/>
      <c r="CAN112" s="139"/>
      <c r="CAO112" s="139"/>
      <c r="CAP112" s="139"/>
      <c r="CAQ112" s="139"/>
      <c r="CAR112" s="139"/>
      <c r="CAS112" s="139"/>
      <c r="CAT112" s="139"/>
      <c r="CAU112" s="139"/>
      <c r="CAV112" s="139"/>
      <c r="CAW112" s="139"/>
      <c r="CAX112" s="139"/>
      <c r="CAY112" s="139"/>
      <c r="CAZ112" s="139"/>
      <c r="CBA112" s="139"/>
      <c r="CBB112" s="139"/>
      <c r="CBC112" s="139"/>
      <c r="CBD112" s="139"/>
      <c r="CBE112" s="139"/>
      <c r="CBF112" s="139"/>
      <c r="CBG112" s="139"/>
      <c r="CBH112" s="139"/>
      <c r="CBI112" s="139"/>
      <c r="CBJ112" s="139"/>
      <c r="CBK112" s="139"/>
      <c r="CBL112" s="139"/>
      <c r="CBM112" s="139"/>
      <c r="CBN112" s="139"/>
      <c r="CBO112" s="139"/>
      <c r="CBP112" s="139"/>
      <c r="CBQ112" s="139"/>
      <c r="CBR112" s="139"/>
      <c r="CBS112" s="139"/>
      <c r="CBT112" s="139"/>
      <c r="CBU112" s="139"/>
      <c r="CBV112" s="139"/>
      <c r="CBW112" s="139"/>
      <c r="CBX112" s="139"/>
      <c r="CBY112" s="139"/>
      <c r="CBZ112" s="139"/>
      <c r="CCA112" s="139"/>
      <c r="CCB112" s="139"/>
      <c r="CCC112" s="139"/>
      <c r="CCD112" s="139"/>
      <c r="CCE112" s="139"/>
      <c r="CCF112" s="139"/>
      <c r="CCG112" s="139"/>
      <c r="CCH112" s="139"/>
      <c r="CCI112" s="139"/>
      <c r="CCJ112" s="139"/>
      <c r="CCK112" s="139"/>
      <c r="CCL112" s="139"/>
      <c r="CCM112" s="139"/>
      <c r="CCN112" s="139"/>
      <c r="CCO112" s="139"/>
      <c r="CCP112" s="139"/>
      <c r="CCQ112" s="139"/>
      <c r="CCR112" s="139"/>
      <c r="CCS112" s="139"/>
      <c r="CCT112" s="139"/>
      <c r="CCU112" s="139"/>
      <c r="CCV112" s="139"/>
      <c r="CCW112" s="139"/>
      <c r="CCX112" s="139"/>
      <c r="CCY112" s="139"/>
      <c r="CCZ112" s="139"/>
      <c r="CDA112" s="139"/>
      <c r="CDB112" s="139"/>
      <c r="CDC112" s="139"/>
      <c r="CDD112" s="139"/>
      <c r="CDE112" s="139"/>
      <c r="CDF112" s="139"/>
      <c r="CDG112" s="139"/>
      <c r="CDH112" s="139"/>
      <c r="CDI112" s="139"/>
      <c r="CDJ112" s="139"/>
      <c r="CDK112" s="139"/>
      <c r="CDL112" s="139"/>
      <c r="CDM112" s="139"/>
      <c r="CDN112" s="139"/>
      <c r="CDO112" s="139"/>
      <c r="CDP112" s="139"/>
      <c r="CDQ112" s="139"/>
      <c r="CDR112" s="139"/>
      <c r="CDS112" s="139"/>
      <c r="CDT112" s="139"/>
      <c r="CDU112" s="139"/>
      <c r="CDV112" s="139"/>
      <c r="CDW112" s="139"/>
      <c r="CDX112" s="139"/>
      <c r="CDY112" s="139"/>
      <c r="CDZ112" s="139"/>
      <c r="CEA112" s="139"/>
      <c r="CEB112" s="139"/>
      <c r="CEC112" s="139"/>
      <c r="CED112" s="139"/>
      <c r="CEE112" s="139"/>
      <c r="CEF112" s="139"/>
      <c r="CEG112" s="139"/>
      <c r="CEH112" s="139"/>
      <c r="CEI112" s="139"/>
      <c r="CEJ112" s="139"/>
      <c r="CEK112" s="139"/>
      <c r="CEL112" s="139"/>
      <c r="CEM112" s="139"/>
      <c r="CEN112" s="139"/>
      <c r="CEO112" s="139"/>
      <c r="CEP112" s="139"/>
      <c r="CEQ112" s="139"/>
      <c r="CER112" s="139"/>
      <c r="CES112" s="139"/>
      <c r="CET112" s="139"/>
      <c r="CEU112" s="139"/>
      <c r="CEV112" s="139"/>
      <c r="CEW112" s="139"/>
      <c r="CEX112" s="139"/>
      <c r="CEY112" s="139"/>
      <c r="CEZ112" s="139"/>
      <c r="CFA112" s="139"/>
      <c r="CFB112" s="139"/>
      <c r="CFC112" s="139"/>
      <c r="CFD112" s="139"/>
      <c r="CFE112" s="139"/>
      <c r="CFF112" s="139"/>
      <c r="CFG112" s="139"/>
      <c r="CFH112" s="139"/>
      <c r="CFI112" s="139"/>
      <c r="CFJ112" s="139"/>
      <c r="CFK112" s="139"/>
      <c r="CFL112" s="139"/>
      <c r="CFM112" s="139"/>
      <c r="CFN112" s="139"/>
      <c r="CFO112" s="139"/>
      <c r="CFP112" s="139"/>
      <c r="CFQ112" s="139"/>
      <c r="CFR112" s="139"/>
      <c r="CFS112" s="139"/>
      <c r="CFT112" s="139"/>
      <c r="CFU112" s="139"/>
      <c r="CFV112" s="139"/>
      <c r="CFW112" s="139"/>
      <c r="CFX112" s="139"/>
      <c r="CFY112" s="139"/>
      <c r="CFZ112" s="139"/>
      <c r="CGA112" s="139"/>
      <c r="CGB112" s="139"/>
      <c r="CGC112" s="139"/>
      <c r="CGD112" s="139"/>
      <c r="CGE112" s="139"/>
      <c r="CGF112" s="139"/>
      <c r="CGG112" s="139"/>
      <c r="CGH112" s="139"/>
      <c r="CGI112" s="139"/>
      <c r="CGJ112" s="139"/>
      <c r="CGK112" s="139"/>
      <c r="CGL112" s="139"/>
      <c r="CGM112" s="139"/>
      <c r="CGN112" s="139"/>
      <c r="CGO112" s="139"/>
      <c r="CGP112" s="139"/>
      <c r="CGQ112" s="139"/>
      <c r="CGR112" s="139"/>
      <c r="CGS112" s="139"/>
      <c r="CGT112" s="139"/>
      <c r="CGU112" s="139"/>
      <c r="CGV112" s="139"/>
      <c r="CGW112" s="139"/>
      <c r="CGX112" s="139"/>
      <c r="CGY112" s="139"/>
      <c r="CGZ112" s="139"/>
      <c r="CHA112" s="139"/>
      <c r="CHB112" s="139"/>
      <c r="CHC112" s="139"/>
      <c r="CHD112" s="139"/>
      <c r="CHE112" s="139"/>
      <c r="CHF112" s="139"/>
      <c r="CHG112" s="139"/>
      <c r="CHH112" s="139"/>
      <c r="CHI112" s="139"/>
      <c r="CHJ112" s="139"/>
      <c r="CHK112" s="139"/>
      <c r="CHL112" s="139"/>
      <c r="CHM112" s="139"/>
      <c r="CHN112" s="139"/>
      <c r="CHO112" s="139"/>
      <c r="CHP112" s="139"/>
      <c r="CHQ112" s="139"/>
      <c r="CHR112" s="139"/>
      <c r="CHS112" s="139"/>
      <c r="CHT112" s="139"/>
      <c r="CHU112" s="139"/>
      <c r="CHV112" s="139"/>
      <c r="CHW112" s="139"/>
      <c r="CHX112" s="139"/>
      <c r="CHY112" s="139"/>
      <c r="CHZ112" s="139"/>
      <c r="CIA112" s="139"/>
      <c r="CIB112" s="139"/>
      <c r="CIC112" s="139"/>
      <c r="CID112" s="139"/>
      <c r="CIE112" s="139"/>
      <c r="CIF112" s="139"/>
      <c r="CIG112" s="139"/>
      <c r="CIH112" s="139"/>
      <c r="CII112" s="139"/>
      <c r="CIJ112" s="139"/>
      <c r="CIK112" s="139"/>
      <c r="CIL112" s="139"/>
      <c r="CIM112" s="139"/>
      <c r="CIN112" s="139"/>
      <c r="CIO112" s="139"/>
      <c r="CIP112" s="139"/>
      <c r="CIQ112" s="139"/>
      <c r="CIR112" s="139"/>
      <c r="CIS112" s="139"/>
      <c r="CIT112" s="139"/>
      <c r="CIU112" s="139"/>
      <c r="CIV112" s="139"/>
      <c r="CIW112" s="139"/>
      <c r="CIX112" s="139"/>
      <c r="CIY112" s="139"/>
      <c r="CIZ112" s="139"/>
      <c r="CJA112" s="139"/>
      <c r="CJB112" s="139"/>
      <c r="CJC112" s="139"/>
      <c r="CJD112" s="139"/>
      <c r="CJE112" s="139"/>
      <c r="CJF112" s="139"/>
      <c r="CJG112" s="139"/>
      <c r="CJH112" s="139"/>
      <c r="CJI112" s="139"/>
      <c r="CJJ112" s="139"/>
      <c r="CJK112" s="139"/>
      <c r="CJL112" s="139"/>
      <c r="CJM112" s="139"/>
      <c r="CJN112" s="139"/>
      <c r="CJO112" s="139"/>
      <c r="CJP112" s="139"/>
      <c r="CJQ112" s="139"/>
      <c r="CJR112" s="139"/>
      <c r="CJS112" s="139"/>
      <c r="CJT112" s="139"/>
      <c r="CJU112" s="139"/>
      <c r="CJV112" s="139"/>
      <c r="CJW112" s="139"/>
      <c r="CJX112" s="139"/>
      <c r="CJY112" s="139"/>
      <c r="CJZ112" s="139"/>
      <c r="CKA112" s="139"/>
      <c r="CKB112" s="139"/>
      <c r="CKC112" s="139"/>
      <c r="CKD112" s="139"/>
      <c r="CKE112" s="139"/>
      <c r="CKF112" s="139"/>
      <c r="CKG112" s="139"/>
      <c r="CKH112" s="139"/>
      <c r="CKI112" s="139"/>
      <c r="CKJ112" s="139"/>
      <c r="CKK112" s="139"/>
      <c r="CKL112" s="139"/>
      <c r="CKM112" s="139"/>
      <c r="CKN112" s="139"/>
      <c r="CKO112" s="139"/>
      <c r="CKP112" s="139"/>
      <c r="CKQ112" s="139"/>
      <c r="CKR112" s="139"/>
      <c r="CKS112" s="139"/>
      <c r="CKT112" s="139"/>
      <c r="CKU112" s="139"/>
      <c r="CKV112" s="139"/>
      <c r="CKW112" s="139"/>
      <c r="CKX112" s="139"/>
      <c r="CKY112" s="139"/>
      <c r="CKZ112" s="139"/>
      <c r="CLA112" s="139"/>
      <c r="CLB112" s="139"/>
      <c r="CLC112" s="139"/>
      <c r="CLD112" s="139"/>
      <c r="CLE112" s="139"/>
      <c r="CLF112" s="139"/>
      <c r="CLG112" s="139"/>
      <c r="CLH112" s="139"/>
      <c r="CLI112" s="139"/>
      <c r="CLJ112" s="139"/>
      <c r="CLK112" s="139"/>
      <c r="CLL112" s="139"/>
      <c r="CLM112" s="139"/>
      <c r="CLN112" s="139"/>
      <c r="CLO112" s="139"/>
      <c r="CLP112" s="139"/>
      <c r="CLQ112" s="139"/>
      <c r="CLR112" s="139"/>
      <c r="CLS112" s="139"/>
      <c r="CLT112" s="139"/>
      <c r="CLU112" s="139"/>
      <c r="CLV112" s="139"/>
      <c r="CLW112" s="139"/>
      <c r="CLX112" s="139"/>
      <c r="CLY112" s="139"/>
      <c r="CLZ112" s="139"/>
      <c r="CMA112" s="139"/>
      <c r="CMB112" s="139"/>
      <c r="CMC112" s="139"/>
      <c r="CMD112" s="139"/>
      <c r="CME112" s="139"/>
      <c r="CMF112" s="139"/>
      <c r="CMG112" s="139"/>
      <c r="CMH112" s="139"/>
      <c r="CMI112" s="139"/>
      <c r="CMJ112" s="139"/>
      <c r="CMK112" s="139"/>
      <c r="CML112" s="139"/>
      <c r="CMM112" s="139"/>
      <c r="CMN112" s="139"/>
      <c r="CMO112" s="139"/>
      <c r="CMP112" s="139"/>
      <c r="CMQ112" s="139"/>
      <c r="CMR112" s="139"/>
      <c r="CMS112" s="139"/>
      <c r="CMT112" s="139"/>
      <c r="CMU112" s="139"/>
      <c r="CMV112" s="139"/>
      <c r="CMW112" s="139"/>
      <c r="CMX112" s="139"/>
      <c r="CMY112" s="139"/>
      <c r="CMZ112" s="139"/>
      <c r="CNA112" s="139"/>
      <c r="CNB112" s="139"/>
      <c r="CNC112" s="139"/>
      <c r="CND112" s="139"/>
      <c r="CNE112" s="139"/>
      <c r="CNF112" s="139"/>
      <c r="CNG112" s="139"/>
      <c r="CNH112" s="139"/>
      <c r="CNI112" s="139"/>
      <c r="CNJ112" s="139"/>
      <c r="CNK112" s="139"/>
      <c r="CNL112" s="139"/>
      <c r="CNM112" s="139"/>
      <c r="CNN112" s="139"/>
      <c r="CNO112" s="139"/>
      <c r="CNP112" s="139"/>
      <c r="CNQ112" s="139"/>
      <c r="CNR112" s="139"/>
      <c r="CNS112" s="139"/>
      <c r="CNT112" s="139"/>
      <c r="CNU112" s="139"/>
      <c r="CNV112" s="139"/>
      <c r="CNW112" s="139"/>
      <c r="CNX112" s="139"/>
      <c r="CNY112" s="139"/>
      <c r="CNZ112" s="139"/>
      <c r="COA112" s="139"/>
      <c r="COB112" s="139"/>
      <c r="COC112" s="139"/>
      <c r="COD112" s="139"/>
      <c r="COE112" s="139"/>
      <c r="COF112" s="139"/>
      <c r="COG112" s="139"/>
      <c r="COH112" s="139"/>
      <c r="COI112" s="139"/>
      <c r="COJ112" s="139"/>
      <c r="COK112" s="139"/>
      <c r="COL112" s="139"/>
      <c r="COM112" s="139"/>
      <c r="CON112" s="139"/>
      <c r="COO112" s="139"/>
      <c r="COP112" s="139"/>
      <c r="COQ112" s="139"/>
      <c r="COR112" s="139"/>
      <c r="COS112" s="139"/>
      <c r="COT112" s="139"/>
      <c r="COU112" s="139"/>
      <c r="COV112" s="139"/>
      <c r="COW112" s="139"/>
      <c r="COX112" s="139"/>
      <c r="COY112" s="139"/>
      <c r="COZ112" s="139"/>
      <c r="CPA112" s="139"/>
      <c r="CPB112" s="139"/>
      <c r="CPC112" s="139"/>
      <c r="CPD112" s="139"/>
      <c r="CPE112" s="139"/>
      <c r="CPF112" s="139"/>
      <c r="CPG112" s="139"/>
      <c r="CPH112" s="139"/>
      <c r="CPI112" s="139"/>
      <c r="CPJ112" s="139"/>
      <c r="CPK112" s="139"/>
      <c r="CPL112" s="139"/>
      <c r="CPM112" s="139"/>
      <c r="CPN112" s="139"/>
      <c r="CPO112" s="139"/>
      <c r="CPP112" s="139"/>
      <c r="CPQ112" s="139"/>
      <c r="CPR112" s="139"/>
      <c r="CPS112" s="139"/>
      <c r="CPT112" s="139"/>
      <c r="CPU112" s="139"/>
      <c r="CPV112" s="139"/>
      <c r="CPW112" s="139"/>
      <c r="CPX112" s="139"/>
      <c r="CPY112" s="139"/>
      <c r="CPZ112" s="139"/>
      <c r="CQA112" s="139"/>
      <c r="CQB112" s="139"/>
      <c r="CQC112" s="139"/>
      <c r="CQD112" s="139"/>
      <c r="CQE112" s="139"/>
      <c r="CQF112" s="139"/>
      <c r="CQG112" s="139"/>
      <c r="CQH112" s="139"/>
      <c r="CQI112" s="139"/>
      <c r="CQJ112" s="139"/>
      <c r="CQK112" s="139"/>
      <c r="CQL112" s="139"/>
      <c r="CQM112" s="139"/>
      <c r="CQN112" s="139"/>
      <c r="CQO112" s="139"/>
      <c r="CQP112" s="139"/>
      <c r="CQQ112" s="139"/>
      <c r="CQR112" s="139"/>
      <c r="CQS112" s="139"/>
      <c r="CQT112" s="139"/>
      <c r="CQU112" s="139"/>
      <c r="CQV112" s="139"/>
      <c r="CQW112" s="139"/>
      <c r="CQX112" s="139"/>
      <c r="CQY112" s="139"/>
      <c r="CQZ112" s="139"/>
      <c r="CRA112" s="139"/>
      <c r="CRB112" s="139"/>
      <c r="CRC112" s="139"/>
      <c r="CRD112" s="139"/>
      <c r="CRE112" s="139"/>
      <c r="CRF112" s="139"/>
      <c r="CRG112" s="139"/>
      <c r="CRH112" s="139"/>
      <c r="CRI112" s="139"/>
      <c r="CRJ112" s="139"/>
      <c r="CRK112" s="139"/>
      <c r="CRL112" s="139"/>
      <c r="CRM112" s="139"/>
      <c r="CRN112" s="139"/>
      <c r="CRO112" s="139"/>
      <c r="CRP112" s="139"/>
      <c r="CRQ112" s="139"/>
      <c r="CRR112" s="139"/>
      <c r="CRS112" s="139"/>
      <c r="CRT112" s="139"/>
      <c r="CRU112" s="139"/>
      <c r="CRV112" s="139"/>
      <c r="CRW112" s="139"/>
      <c r="CRX112" s="139"/>
      <c r="CRY112" s="139"/>
      <c r="CRZ112" s="139"/>
      <c r="CSA112" s="139"/>
      <c r="CSB112" s="139"/>
      <c r="CSC112" s="139"/>
      <c r="CSD112" s="139"/>
      <c r="CSE112" s="139"/>
      <c r="CSF112" s="139"/>
      <c r="CSG112" s="139"/>
      <c r="CSH112" s="139"/>
      <c r="CSI112" s="139"/>
      <c r="CSJ112" s="139"/>
      <c r="CSK112" s="139"/>
      <c r="CSL112" s="139"/>
      <c r="CSM112" s="139"/>
      <c r="CSN112" s="139"/>
      <c r="CSO112" s="139"/>
      <c r="CSP112" s="139"/>
      <c r="CSQ112" s="139"/>
      <c r="CSR112" s="139"/>
      <c r="CSS112" s="139"/>
      <c r="CST112" s="139"/>
      <c r="CSU112" s="139"/>
      <c r="CSV112" s="139"/>
      <c r="CSW112" s="139"/>
      <c r="CSX112" s="139"/>
      <c r="CSY112" s="139"/>
      <c r="CSZ112" s="139"/>
      <c r="CTA112" s="139"/>
      <c r="CTB112" s="139"/>
      <c r="CTC112" s="139"/>
      <c r="CTD112" s="139"/>
      <c r="CTE112" s="139"/>
      <c r="CTF112" s="139"/>
      <c r="CTG112" s="139"/>
      <c r="CTH112" s="139"/>
      <c r="CTI112" s="139"/>
      <c r="CTJ112" s="139"/>
      <c r="CTK112" s="139"/>
      <c r="CTL112" s="139"/>
      <c r="CTM112" s="139"/>
      <c r="CTN112" s="139"/>
      <c r="CTO112" s="139"/>
      <c r="CTP112" s="139"/>
      <c r="CTQ112" s="139"/>
      <c r="CTR112" s="139"/>
      <c r="CTS112" s="139"/>
      <c r="CTT112" s="139"/>
      <c r="CTU112" s="139"/>
      <c r="CTV112" s="139"/>
      <c r="CTW112" s="139"/>
      <c r="CTX112" s="139"/>
      <c r="CTY112" s="139"/>
      <c r="CTZ112" s="139"/>
      <c r="CUA112" s="139"/>
      <c r="CUB112" s="139"/>
      <c r="CUC112" s="139"/>
      <c r="CUD112" s="139"/>
      <c r="CUE112" s="139"/>
      <c r="CUF112" s="139"/>
      <c r="CUG112" s="139"/>
      <c r="CUH112" s="139"/>
      <c r="CUI112" s="139"/>
      <c r="CUJ112" s="139"/>
      <c r="CUK112" s="139"/>
      <c r="CUL112" s="139"/>
      <c r="CUM112" s="139"/>
      <c r="CUN112" s="139"/>
      <c r="CUO112" s="139"/>
      <c r="CUP112" s="139"/>
      <c r="CUQ112" s="139"/>
      <c r="CUR112" s="139"/>
      <c r="CUS112" s="139"/>
      <c r="CUT112" s="139"/>
      <c r="CUU112" s="139"/>
      <c r="CUV112" s="139"/>
      <c r="CUW112" s="139"/>
      <c r="CUX112" s="139"/>
      <c r="CUY112" s="139"/>
      <c r="CUZ112" s="139"/>
      <c r="CVA112" s="139"/>
      <c r="CVB112" s="139"/>
      <c r="CVC112" s="139"/>
      <c r="CVD112" s="139"/>
      <c r="CVE112" s="139"/>
      <c r="CVF112" s="139"/>
      <c r="CVG112" s="139"/>
      <c r="CVH112" s="139"/>
      <c r="CVI112" s="139"/>
      <c r="CVJ112" s="139"/>
      <c r="CVK112" s="139"/>
      <c r="CVL112" s="139"/>
      <c r="CVM112" s="139"/>
      <c r="CVN112" s="139"/>
      <c r="CVO112" s="139"/>
      <c r="CVP112" s="139"/>
      <c r="CVQ112" s="139"/>
      <c r="CVR112" s="139"/>
      <c r="CVS112" s="139"/>
      <c r="CVT112" s="139"/>
      <c r="CVU112" s="139"/>
      <c r="CVV112" s="139"/>
      <c r="CVW112" s="139"/>
      <c r="CVX112" s="139"/>
      <c r="CVY112" s="139"/>
      <c r="CVZ112" s="139"/>
      <c r="CWA112" s="139"/>
      <c r="CWB112" s="139"/>
      <c r="CWC112" s="139"/>
      <c r="CWD112" s="139"/>
      <c r="CWE112" s="139"/>
      <c r="CWF112" s="139"/>
      <c r="CWG112" s="139"/>
      <c r="CWH112" s="139"/>
      <c r="CWI112" s="139"/>
      <c r="CWJ112" s="139"/>
      <c r="CWK112" s="139"/>
      <c r="CWL112" s="139"/>
      <c r="CWM112" s="139"/>
      <c r="CWN112" s="139"/>
      <c r="CWO112" s="139"/>
      <c r="CWP112" s="139"/>
      <c r="CWQ112" s="139"/>
      <c r="CWR112" s="139"/>
      <c r="CWS112" s="139"/>
      <c r="CWT112" s="139"/>
      <c r="CWU112" s="139"/>
      <c r="CWV112" s="139"/>
      <c r="CWW112" s="139"/>
      <c r="CWX112" s="139"/>
      <c r="CWY112" s="139"/>
      <c r="CWZ112" s="139"/>
      <c r="CXA112" s="139"/>
      <c r="CXB112" s="139"/>
      <c r="CXC112" s="139"/>
      <c r="CXD112" s="139"/>
      <c r="CXE112" s="139"/>
      <c r="CXF112" s="139"/>
      <c r="CXG112" s="139"/>
      <c r="CXH112" s="139"/>
      <c r="CXI112" s="139"/>
      <c r="CXJ112" s="139"/>
      <c r="CXK112" s="139"/>
      <c r="CXL112" s="139"/>
      <c r="CXM112" s="139"/>
      <c r="CXN112" s="139"/>
      <c r="CXO112" s="139"/>
      <c r="CXP112" s="139"/>
      <c r="CXQ112" s="139"/>
      <c r="CXR112" s="139"/>
      <c r="CXS112" s="139"/>
      <c r="CXT112" s="139"/>
      <c r="CXU112" s="139"/>
      <c r="CXV112" s="139"/>
      <c r="CXW112" s="139"/>
      <c r="CXX112" s="139"/>
      <c r="CXY112" s="139"/>
      <c r="CXZ112" s="139"/>
      <c r="CYA112" s="139"/>
      <c r="CYB112" s="139"/>
      <c r="CYC112" s="139"/>
      <c r="CYD112" s="139"/>
      <c r="CYE112" s="139"/>
      <c r="CYF112" s="139"/>
      <c r="CYG112" s="139"/>
      <c r="CYH112" s="139"/>
      <c r="CYI112" s="139"/>
      <c r="CYJ112" s="139"/>
      <c r="CYK112" s="139"/>
      <c r="CYL112" s="139"/>
      <c r="CYM112" s="139"/>
      <c r="CYN112" s="139"/>
      <c r="CYO112" s="139"/>
      <c r="CYP112" s="139"/>
      <c r="CYQ112" s="139"/>
      <c r="CYR112" s="139"/>
      <c r="CYS112" s="139"/>
      <c r="CYT112" s="139"/>
      <c r="CYU112" s="139"/>
      <c r="CYV112" s="139"/>
      <c r="CYW112" s="139"/>
      <c r="CYX112" s="139"/>
      <c r="CYY112" s="139"/>
      <c r="CYZ112" s="139"/>
      <c r="CZA112" s="139"/>
      <c r="CZB112" s="139"/>
      <c r="CZC112" s="139"/>
      <c r="CZD112" s="139"/>
      <c r="CZE112" s="139"/>
      <c r="CZF112" s="139"/>
      <c r="CZG112" s="139"/>
      <c r="CZH112" s="139"/>
      <c r="CZI112" s="139"/>
      <c r="CZJ112" s="139"/>
      <c r="CZK112" s="139"/>
      <c r="CZL112" s="139"/>
      <c r="CZM112" s="139"/>
      <c r="CZN112" s="139"/>
      <c r="CZO112" s="139"/>
      <c r="CZP112" s="139"/>
      <c r="CZQ112" s="139"/>
      <c r="CZR112" s="139"/>
      <c r="CZS112" s="139"/>
      <c r="CZT112" s="139"/>
      <c r="CZU112" s="139"/>
      <c r="CZV112" s="139"/>
      <c r="CZW112" s="139"/>
      <c r="CZX112" s="139"/>
      <c r="CZY112" s="139"/>
      <c r="CZZ112" s="139"/>
      <c r="DAA112" s="139"/>
      <c r="DAB112" s="139"/>
      <c r="DAC112" s="139"/>
      <c r="DAD112" s="139"/>
      <c r="DAE112" s="139"/>
      <c r="DAF112" s="139"/>
      <c r="DAG112" s="139"/>
      <c r="DAH112" s="139"/>
      <c r="DAI112" s="139"/>
      <c r="DAJ112" s="139"/>
      <c r="DAK112" s="139"/>
      <c r="DAL112" s="139"/>
      <c r="DAM112" s="139"/>
      <c r="DAN112" s="139"/>
      <c r="DAO112" s="139"/>
      <c r="DAP112" s="139"/>
      <c r="DAQ112" s="139"/>
      <c r="DAR112" s="139"/>
      <c r="DAS112" s="139"/>
      <c r="DAT112" s="139"/>
      <c r="DAU112" s="139"/>
      <c r="DAV112" s="139"/>
      <c r="DAW112" s="139"/>
      <c r="DAX112" s="139"/>
      <c r="DAY112" s="139"/>
      <c r="DAZ112" s="139"/>
      <c r="DBA112" s="139"/>
      <c r="DBB112" s="139"/>
      <c r="DBC112" s="139"/>
      <c r="DBD112" s="139"/>
      <c r="DBE112" s="139"/>
      <c r="DBF112" s="139"/>
      <c r="DBG112" s="139"/>
      <c r="DBH112" s="139"/>
      <c r="DBI112" s="139"/>
      <c r="DBJ112" s="139"/>
      <c r="DBK112" s="139"/>
      <c r="DBL112" s="139"/>
      <c r="DBM112" s="139"/>
      <c r="DBN112" s="139"/>
      <c r="DBO112" s="139"/>
      <c r="DBP112" s="139"/>
      <c r="DBQ112" s="139"/>
      <c r="DBR112" s="139"/>
      <c r="DBS112" s="139"/>
      <c r="DBT112" s="139"/>
      <c r="DBU112" s="139"/>
      <c r="DBV112" s="139"/>
      <c r="DBW112" s="139"/>
      <c r="DBX112" s="139"/>
      <c r="DBY112" s="139"/>
      <c r="DBZ112" s="139"/>
      <c r="DCA112" s="139"/>
      <c r="DCB112" s="139"/>
      <c r="DCC112" s="139"/>
      <c r="DCD112" s="139"/>
      <c r="DCE112" s="139"/>
      <c r="DCF112" s="139"/>
      <c r="DCG112" s="139"/>
      <c r="DCH112" s="139"/>
      <c r="DCI112" s="139"/>
      <c r="DCJ112" s="139"/>
      <c r="DCK112" s="139"/>
      <c r="DCL112" s="139"/>
      <c r="DCM112" s="139"/>
      <c r="DCN112" s="139"/>
      <c r="DCO112" s="139"/>
      <c r="DCP112" s="139"/>
      <c r="DCQ112" s="139"/>
      <c r="DCR112" s="139"/>
      <c r="DCS112" s="139"/>
      <c r="DCT112" s="139"/>
      <c r="DCU112" s="139"/>
      <c r="DCV112" s="139"/>
      <c r="DCW112" s="139"/>
      <c r="DCX112" s="139"/>
      <c r="DCY112" s="139"/>
      <c r="DCZ112" s="139"/>
      <c r="DDA112" s="139"/>
      <c r="DDB112" s="139"/>
      <c r="DDC112" s="139"/>
      <c r="DDD112" s="139"/>
      <c r="DDE112" s="139"/>
      <c r="DDF112" s="139"/>
      <c r="DDG112" s="139"/>
      <c r="DDH112" s="139"/>
      <c r="DDI112" s="139"/>
      <c r="DDJ112" s="139"/>
      <c r="DDK112" s="139"/>
      <c r="DDL112" s="139"/>
      <c r="DDM112" s="139"/>
      <c r="DDN112" s="139"/>
      <c r="DDO112" s="139"/>
      <c r="DDP112" s="139"/>
      <c r="DDQ112" s="139"/>
      <c r="DDR112" s="139"/>
      <c r="DDS112" s="139"/>
      <c r="DDT112" s="139"/>
      <c r="DDU112" s="139"/>
      <c r="DDV112" s="139"/>
      <c r="DDW112" s="139"/>
      <c r="DDX112" s="139"/>
      <c r="DDY112" s="139"/>
      <c r="DDZ112" s="139"/>
      <c r="DEA112" s="139"/>
      <c r="DEB112" s="139"/>
      <c r="DEC112" s="139"/>
      <c r="DED112" s="139"/>
      <c r="DEE112" s="139"/>
      <c r="DEF112" s="139"/>
      <c r="DEG112" s="139"/>
      <c r="DEH112" s="139"/>
      <c r="DEI112" s="139"/>
      <c r="DEJ112" s="139"/>
      <c r="DEK112" s="139"/>
      <c r="DEL112" s="139"/>
      <c r="DEM112" s="139"/>
      <c r="DEN112" s="139"/>
      <c r="DEO112" s="139"/>
      <c r="DEP112" s="139"/>
      <c r="DEQ112" s="139"/>
      <c r="DER112" s="139"/>
      <c r="DES112" s="139"/>
      <c r="DET112" s="139"/>
      <c r="DEU112" s="139"/>
      <c r="DEV112" s="139"/>
      <c r="DEW112" s="139"/>
      <c r="DEX112" s="139"/>
      <c r="DEY112" s="139"/>
      <c r="DEZ112" s="139"/>
      <c r="DFA112" s="139"/>
      <c r="DFB112" s="139"/>
      <c r="DFC112" s="139"/>
      <c r="DFD112" s="139"/>
      <c r="DFE112" s="139"/>
      <c r="DFF112" s="139"/>
      <c r="DFG112" s="139"/>
      <c r="DFH112" s="139"/>
      <c r="DFI112" s="139"/>
      <c r="DFJ112" s="139"/>
      <c r="DFK112" s="139"/>
      <c r="DFL112" s="139"/>
      <c r="DFM112" s="139"/>
      <c r="DFN112" s="139"/>
      <c r="DFO112" s="139"/>
      <c r="DFP112" s="139"/>
      <c r="DFQ112" s="139"/>
      <c r="DFR112" s="139"/>
      <c r="DFS112" s="139"/>
      <c r="DFT112" s="139"/>
      <c r="DFU112" s="139"/>
      <c r="DFV112" s="139"/>
      <c r="DFW112" s="139"/>
      <c r="DFX112" s="139"/>
      <c r="DFY112" s="139"/>
      <c r="DFZ112" s="139"/>
      <c r="DGA112" s="139"/>
      <c r="DGB112" s="139"/>
      <c r="DGC112" s="139"/>
      <c r="DGD112" s="139"/>
      <c r="DGE112" s="139"/>
      <c r="DGF112" s="139"/>
      <c r="DGG112" s="139"/>
      <c r="DGH112" s="139"/>
      <c r="DGI112" s="139"/>
      <c r="DGJ112" s="139"/>
      <c r="DGK112" s="139"/>
      <c r="DGL112" s="139"/>
      <c r="DGM112" s="139"/>
      <c r="DGN112" s="139"/>
      <c r="DGO112" s="139"/>
      <c r="DGP112" s="139"/>
      <c r="DGQ112" s="139"/>
      <c r="DGR112" s="139"/>
      <c r="DGS112" s="139"/>
      <c r="DGT112" s="139"/>
      <c r="DGU112" s="139"/>
      <c r="DGV112" s="139"/>
      <c r="DGW112" s="139"/>
      <c r="DGX112" s="139"/>
      <c r="DGY112" s="139"/>
      <c r="DGZ112" s="139"/>
      <c r="DHA112" s="139"/>
      <c r="DHB112" s="139"/>
      <c r="DHC112" s="139"/>
      <c r="DHD112" s="139"/>
      <c r="DHE112" s="139"/>
      <c r="DHF112" s="139"/>
      <c r="DHG112" s="139"/>
      <c r="DHH112" s="139"/>
      <c r="DHI112" s="139"/>
      <c r="DHJ112" s="139"/>
      <c r="DHK112" s="139"/>
      <c r="DHL112" s="139"/>
      <c r="DHM112" s="139"/>
      <c r="DHN112" s="139"/>
      <c r="DHO112" s="139"/>
      <c r="DHP112" s="139"/>
      <c r="DHQ112" s="139"/>
      <c r="DHR112" s="139"/>
      <c r="DHS112" s="139"/>
      <c r="DHT112" s="139"/>
      <c r="DHU112" s="139"/>
      <c r="DHV112" s="139"/>
      <c r="DHW112" s="139"/>
      <c r="DHX112" s="139"/>
      <c r="DHY112" s="139"/>
      <c r="DHZ112" s="139"/>
      <c r="DIA112" s="139"/>
      <c r="DIB112" s="139"/>
      <c r="DIC112" s="139"/>
      <c r="DID112" s="139"/>
      <c r="DIE112" s="139"/>
      <c r="DIF112" s="139"/>
      <c r="DIG112" s="139"/>
      <c r="DIH112" s="139"/>
      <c r="DII112" s="139"/>
      <c r="DIJ112" s="139"/>
      <c r="DIK112" s="139"/>
      <c r="DIL112" s="139"/>
      <c r="DIM112" s="139"/>
      <c r="DIN112" s="139"/>
      <c r="DIO112" s="139"/>
      <c r="DIP112" s="139"/>
      <c r="DIQ112" s="139"/>
      <c r="DIR112" s="139"/>
      <c r="DIS112" s="139"/>
      <c r="DIT112" s="139"/>
      <c r="DIU112" s="139"/>
      <c r="DIV112" s="139"/>
      <c r="DIW112" s="139"/>
      <c r="DIX112" s="139"/>
      <c r="DIY112" s="139"/>
      <c r="DIZ112" s="139"/>
      <c r="DJA112" s="139"/>
      <c r="DJB112" s="139"/>
      <c r="DJC112" s="139"/>
      <c r="DJD112" s="139"/>
      <c r="DJE112" s="139"/>
      <c r="DJF112" s="139"/>
      <c r="DJG112" s="139"/>
      <c r="DJH112" s="139"/>
      <c r="DJI112" s="139"/>
      <c r="DJJ112" s="139"/>
      <c r="DJK112" s="139"/>
      <c r="DJL112" s="139"/>
      <c r="DJM112" s="139"/>
      <c r="DJN112" s="139"/>
      <c r="DJO112" s="139"/>
      <c r="DJP112" s="139"/>
      <c r="DJQ112" s="139"/>
      <c r="DJR112" s="139"/>
      <c r="DJS112" s="139"/>
      <c r="DJT112" s="139"/>
      <c r="DJU112" s="139"/>
      <c r="DJV112" s="139"/>
      <c r="DJW112" s="139"/>
      <c r="DJX112" s="139"/>
      <c r="DJY112" s="139"/>
      <c r="DJZ112" s="139"/>
      <c r="DKA112" s="139"/>
      <c r="DKB112" s="139"/>
      <c r="DKC112" s="139"/>
      <c r="DKD112" s="139"/>
      <c r="DKE112" s="139"/>
      <c r="DKF112" s="139"/>
      <c r="DKG112" s="139"/>
      <c r="DKH112" s="139"/>
      <c r="DKI112" s="139"/>
      <c r="DKJ112" s="139"/>
      <c r="DKK112" s="139"/>
      <c r="DKL112" s="139"/>
      <c r="DKM112" s="139"/>
      <c r="DKN112" s="139"/>
      <c r="DKO112" s="139"/>
      <c r="DKP112" s="139"/>
      <c r="DKQ112" s="139"/>
      <c r="DKR112" s="139"/>
      <c r="DKS112" s="139"/>
      <c r="DKT112" s="139"/>
      <c r="DKU112" s="139"/>
      <c r="DKV112" s="139"/>
      <c r="DKW112" s="139"/>
      <c r="DKX112" s="139"/>
      <c r="DKY112" s="139"/>
      <c r="DKZ112" s="139"/>
      <c r="DLA112" s="139"/>
      <c r="DLB112" s="139"/>
      <c r="DLC112" s="139"/>
      <c r="DLD112" s="139"/>
      <c r="DLE112" s="139"/>
      <c r="DLF112" s="139"/>
      <c r="DLG112" s="139"/>
      <c r="DLH112" s="139"/>
      <c r="DLI112" s="139"/>
      <c r="DLJ112" s="139"/>
      <c r="DLK112" s="139"/>
      <c r="DLL112" s="139"/>
      <c r="DLM112" s="139"/>
      <c r="DLN112" s="139"/>
      <c r="DLO112" s="139"/>
      <c r="DLP112" s="139"/>
      <c r="DLQ112" s="139"/>
      <c r="DLR112" s="139"/>
      <c r="DLS112" s="139"/>
      <c r="DLT112" s="139"/>
      <c r="DLU112" s="139"/>
      <c r="DLV112" s="139"/>
      <c r="DLW112" s="139"/>
      <c r="DLX112" s="139"/>
      <c r="DLY112" s="139"/>
      <c r="DLZ112" s="139"/>
      <c r="DMA112" s="139"/>
      <c r="DMB112" s="139"/>
      <c r="DMC112" s="139"/>
      <c r="DMD112" s="139"/>
      <c r="DME112" s="139"/>
      <c r="DMF112" s="139"/>
      <c r="DMG112" s="139"/>
      <c r="DMH112" s="139"/>
      <c r="DMI112" s="139"/>
      <c r="DMJ112" s="139"/>
      <c r="DMK112" s="139"/>
      <c r="DML112" s="139"/>
      <c r="DMM112" s="139"/>
      <c r="DMN112" s="139"/>
      <c r="DMO112" s="139"/>
      <c r="DMP112" s="139"/>
      <c r="DMQ112" s="139"/>
      <c r="DMR112" s="139"/>
      <c r="DMS112" s="139"/>
      <c r="DMT112" s="139"/>
      <c r="DMU112" s="139"/>
      <c r="DMV112" s="139"/>
      <c r="DMW112" s="139"/>
      <c r="DMX112" s="139"/>
      <c r="DMY112" s="139"/>
      <c r="DMZ112" s="139"/>
      <c r="DNA112" s="139"/>
      <c r="DNB112" s="139"/>
      <c r="DNC112" s="139"/>
      <c r="DND112" s="139"/>
      <c r="DNE112" s="139"/>
      <c r="DNF112" s="139"/>
      <c r="DNG112" s="139"/>
      <c r="DNH112" s="139"/>
      <c r="DNI112" s="139"/>
      <c r="DNJ112" s="139"/>
      <c r="DNK112" s="139"/>
      <c r="DNL112" s="139"/>
      <c r="DNM112" s="139"/>
      <c r="DNN112" s="139"/>
      <c r="DNO112" s="139"/>
      <c r="DNP112" s="139"/>
      <c r="DNQ112" s="139"/>
      <c r="DNR112" s="139"/>
      <c r="DNS112" s="139"/>
      <c r="DNT112" s="139"/>
      <c r="DNU112" s="139"/>
      <c r="DNV112" s="139"/>
      <c r="DNW112" s="139"/>
      <c r="DNX112" s="139"/>
      <c r="DNY112" s="139"/>
      <c r="DNZ112" s="139"/>
      <c r="DOA112" s="139"/>
      <c r="DOB112" s="139"/>
      <c r="DOC112" s="139"/>
      <c r="DOD112" s="139"/>
      <c r="DOE112" s="139"/>
      <c r="DOF112" s="139"/>
      <c r="DOG112" s="139"/>
      <c r="DOH112" s="139"/>
      <c r="DOI112" s="139"/>
      <c r="DOJ112" s="139"/>
      <c r="DOK112" s="139"/>
      <c r="DOL112" s="139"/>
      <c r="DOM112" s="139"/>
      <c r="DON112" s="139"/>
      <c r="DOO112" s="139"/>
      <c r="DOP112" s="139"/>
      <c r="DOQ112" s="139"/>
      <c r="DOR112" s="139"/>
      <c r="DOS112" s="139"/>
      <c r="DOT112" s="139"/>
      <c r="DOU112" s="139"/>
      <c r="DOV112" s="139"/>
      <c r="DOW112" s="139"/>
      <c r="DOX112" s="139"/>
      <c r="DOY112" s="139"/>
      <c r="DOZ112" s="139"/>
      <c r="DPA112" s="139"/>
      <c r="DPB112" s="139"/>
      <c r="DPC112" s="139"/>
      <c r="DPD112" s="139"/>
      <c r="DPE112" s="139"/>
      <c r="DPF112" s="139"/>
      <c r="DPG112" s="139"/>
      <c r="DPH112" s="139"/>
      <c r="DPI112" s="139"/>
      <c r="DPJ112" s="139"/>
      <c r="DPK112" s="139"/>
      <c r="DPL112" s="139"/>
      <c r="DPM112" s="139"/>
      <c r="DPN112" s="139"/>
      <c r="DPO112" s="139"/>
      <c r="DPP112" s="139"/>
      <c r="DPQ112" s="139"/>
      <c r="DPR112" s="139"/>
      <c r="DPS112" s="139"/>
      <c r="DPT112" s="139"/>
      <c r="DPU112" s="139"/>
      <c r="DPV112" s="139"/>
      <c r="DPW112" s="139"/>
      <c r="DPX112" s="139"/>
      <c r="DPY112" s="139"/>
      <c r="DPZ112" s="139"/>
      <c r="DQA112" s="139"/>
      <c r="DQB112" s="139"/>
      <c r="DQC112" s="139"/>
      <c r="DQD112" s="139"/>
      <c r="DQE112" s="139"/>
      <c r="DQF112" s="139"/>
      <c r="DQG112" s="139"/>
      <c r="DQH112" s="139"/>
      <c r="DQI112" s="139"/>
      <c r="DQJ112" s="139"/>
      <c r="DQK112" s="139"/>
      <c r="DQL112" s="139"/>
      <c r="DQM112" s="139"/>
      <c r="DQN112" s="139"/>
      <c r="DQO112" s="139"/>
      <c r="DQP112" s="139"/>
      <c r="DQQ112" s="139"/>
      <c r="DQR112" s="139"/>
      <c r="DQS112" s="139"/>
      <c r="DQT112" s="139"/>
      <c r="DQU112" s="139"/>
      <c r="DQV112" s="139"/>
      <c r="DQW112" s="139"/>
      <c r="DQX112" s="139"/>
      <c r="DQY112" s="139"/>
      <c r="DQZ112" s="139"/>
      <c r="DRA112" s="139"/>
      <c r="DRB112" s="139"/>
      <c r="DRC112" s="139"/>
      <c r="DRD112" s="139"/>
      <c r="DRE112" s="139"/>
      <c r="DRF112" s="139"/>
      <c r="DRG112" s="139"/>
      <c r="DRH112" s="139"/>
      <c r="DRI112" s="139"/>
      <c r="DRJ112" s="139"/>
      <c r="DRK112" s="139"/>
      <c r="DRL112" s="139"/>
      <c r="DRM112" s="139"/>
      <c r="DRN112" s="139"/>
      <c r="DRO112" s="139"/>
      <c r="DRP112" s="139"/>
      <c r="DRQ112" s="139"/>
      <c r="DRR112" s="139"/>
      <c r="DRS112" s="139"/>
      <c r="DRT112" s="139"/>
      <c r="DRU112" s="139"/>
      <c r="DRV112" s="139"/>
      <c r="DRW112" s="139"/>
      <c r="DRX112" s="139"/>
      <c r="DRY112" s="139"/>
      <c r="DRZ112" s="139"/>
      <c r="DSA112" s="139"/>
      <c r="DSB112" s="139"/>
      <c r="DSC112" s="139"/>
      <c r="DSD112" s="139"/>
      <c r="DSE112" s="139"/>
      <c r="DSF112" s="139"/>
      <c r="DSG112" s="139"/>
      <c r="DSH112" s="139"/>
      <c r="DSI112" s="139"/>
      <c r="DSJ112" s="139"/>
      <c r="DSK112" s="139"/>
      <c r="DSL112" s="139"/>
      <c r="DSM112" s="139"/>
      <c r="DSN112" s="139"/>
      <c r="DSO112" s="139"/>
      <c r="DSP112" s="139"/>
      <c r="DSQ112" s="139"/>
      <c r="DSR112" s="139"/>
      <c r="DSS112" s="139"/>
      <c r="DST112" s="139"/>
      <c r="DSU112" s="139"/>
      <c r="DSV112" s="139"/>
      <c r="DSW112" s="139"/>
      <c r="DSX112" s="139"/>
      <c r="DSY112" s="139"/>
      <c r="DSZ112" s="139"/>
      <c r="DTA112" s="139"/>
      <c r="DTB112" s="139"/>
      <c r="DTC112" s="139"/>
      <c r="DTD112" s="139"/>
      <c r="DTE112" s="139"/>
      <c r="DTF112" s="139"/>
      <c r="DTG112" s="139"/>
      <c r="DTH112" s="139"/>
      <c r="DTI112" s="139"/>
      <c r="DTJ112" s="139"/>
      <c r="DTK112" s="139"/>
      <c r="DTL112" s="139"/>
      <c r="DTM112" s="139"/>
      <c r="DTN112" s="139"/>
      <c r="DTO112" s="139"/>
      <c r="DTP112" s="139"/>
      <c r="DTQ112" s="139"/>
      <c r="DTR112" s="139"/>
      <c r="DTS112" s="139"/>
      <c r="DTT112" s="139"/>
      <c r="DTU112" s="139"/>
      <c r="DTV112" s="139"/>
      <c r="DTW112" s="139"/>
      <c r="DTX112" s="139"/>
      <c r="DTY112" s="139"/>
      <c r="DTZ112" s="139"/>
      <c r="DUA112" s="139"/>
      <c r="DUB112" s="139"/>
      <c r="DUC112" s="139"/>
      <c r="DUD112" s="139"/>
      <c r="DUE112" s="139"/>
      <c r="DUF112" s="139"/>
      <c r="DUG112" s="139"/>
      <c r="DUH112" s="139"/>
      <c r="DUI112" s="139"/>
      <c r="DUJ112" s="139"/>
      <c r="DUK112" s="139"/>
      <c r="DUL112" s="139"/>
      <c r="DUM112" s="139"/>
      <c r="DUN112" s="139"/>
      <c r="DUO112" s="139"/>
      <c r="DUP112" s="139"/>
      <c r="DUQ112" s="139"/>
      <c r="DUR112" s="139"/>
      <c r="DUS112" s="139"/>
      <c r="DUT112" s="139"/>
      <c r="DUU112" s="139"/>
      <c r="DUV112" s="139"/>
      <c r="DUW112" s="139"/>
      <c r="DUX112" s="139"/>
      <c r="DUY112" s="139"/>
      <c r="DUZ112" s="139"/>
      <c r="DVA112" s="139"/>
      <c r="DVB112" s="139"/>
      <c r="DVC112" s="139"/>
      <c r="DVD112" s="139"/>
      <c r="DVE112" s="139"/>
      <c r="DVF112" s="139"/>
      <c r="DVG112" s="139"/>
      <c r="DVH112" s="139"/>
      <c r="DVI112" s="139"/>
      <c r="DVJ112" s="139"/>
      <c r="DVK112" s="139"/>
      <c r="DVL112" s="139"/>
      <c r="DVM112" s="139"/>
      <c r="DVN112" s="139"/>
      <c r="DVO112" s="139"/>
      <c r="DVP112" s="139"/>
      <c r="DVQ112" s="139"/>
      <c r="DVR112" s="139"/>
      <c r="DVS112" s="139"/>
      <c r="DVT112" s="139"/>
      <c r="DVU112" s="139"/>
      <c r="DVV112" s="139"/>
      <c r="DVW112" s="139"/>
      <c r="DVX112" s="139"/>
      <c r="DVY112" s="139"/>
      <c r="DVZ112" s="139"/>
      <c r="DWA112" s="139"/>
      <c r="DWB112" s="139"/>
      <c r="DWC112" s="139"/>
      <c r="DWD112" s="139"/>
      <c r="DWE112" s="139"/>
      <c r="DWF112" s="139"/>
      <c r="DWG112" s="139"/>
      <c r="DWH112" s="139"/>
      <c r="DWI112" s="139"/>
      <c r="DWJ112" s="139"/>
      <c r="DWK112" s="139"/>
      <c r="DWL112" s="139"/>
      <c r="DWM112" s="139"/>
      <c r="DWN112" s="139"/>
      <c r="DWO112" s="139"/>
      <c r="DWP112" s="139"/>
      <c r="DWQ112" s="139"/>
      <c r="DWR112" s="139"/>
      <c r="DWS112" s="139"/>
      <c r="DWT112" s="139"/>
      <c r="DWU112" s="139"/>
      <c r="DWV112" s="139"/>
      <c r="DWW112" s="139"/>
      <c r="DWX112" s="139"/>
      <c r="DWY112" s="139"/>
      <c r="DWZ112" s="139"/>
      <c r="DXA112" s="139"/>
      <c r="DXB112" s="139"/>
      <c r="DXC112" s="139"/>
      <c r="DXD112" s="139"/>
      <c r="DXE112" s="139"/>
      <c r="DXF112" s="139"/>
      <c r="DXG112" s="139"/>
      <c r="DXH112" s="139"/>
      <c r="DXI112" s="139"/>
      <c r="DXJ112" s="139"/>
      <c r="DXK112" s="139"/>
      <c r="DXL112" s="139"/>
      <c r="DXM112" s="139"/>
      <c r="DXN112" s="139"/>
      <c r="DXO112" s="139"/>
      <c r="DXP112" s="139"/>
      <c r="DXQ112" s="139"/>
      <c r="DXR112" s="139"/>
      <c r="DXS112" s="139"/>
      <c r="DXT112" s="139"/>
      <c r="DXU112" s="139"/>
      <c r="DXV112" s="139"/>
      <c r="DXW112" s="139"/>
      <c r="DXX112" s="139"/>
      <c r="DXY112" s="139"/>
      <c r="DXZ112" s="139"/>
      <c r="DYA112" s="139"/>
      <c r="DYB112" s="139"/>
      <c r="DYC112" s="139"/>
      <c r="DYD112" s="139"/>
      <c r="DYE112" s="139"/>
      <c r="DYF112" s="139"/>
      <c r="DYG112" s="139"/>
      <c r="DYH112" s="139"/>
      <c r="DYI112" s="139"/>
      <c r="DYJ112" s="139"/>
      <c r="DYK112" s="139"/>
      <c r="DYL112" s="139"/>
      <c r="DYM112" s="139"/>
      <c r="DYN112" s="139"/>
      <c r="DYO112" s="139"/>
      <c r="DYP112" s="139"/>
      <c r="DYQ112" s="139"/>
      <c r="DYR112" s="139"/>
      <c r="DYS112" s="139"/>
      <c r="DYT112" s="139"/>
      <c r="DYU112" s="139"/>
      <c r="DYV112" s="139"/>
      <c r="DYW112" s="139"/>
      <c r="DYX112" s="139"/>
      <c r="DYY112" s="139"/>
      <c r="DYZ112" s="139"/>
      <c r="DZA112" s="139"/>
      <c r="DZB112" s="139"/>
      <c r="DZC112" s="139"/>
      <c r="DZD112" s="139"/>
      <c r="DZE112" s="139"/>
      <c r="DZF112" s="139"/>
      <c r="DZG112" s="139"/>
      <c r="DZH112" s="139"/>
      <c r="DZI112" s="139"/>
      <c r="DZJ112" s="139"/>
      <c r="DZK112" s="139"/>
      <c r="DZL112" s="139"/>
      <c r="DZM112" s="139"/>
      <c r="DZN112" s="139"/>
      <c r="DZO112" s="139"/>
      <c r="DZP112" s="139"/>
      <c r="DZQ112" s="139"/>
      <c r="DZR112" s="139"/>
      <c r="DZS112" s="139"/>
      <c r="DZT112" s="139"/>
      <c r="DZU112" s="139"/>
      <c r="DZV112" s="139"/>
      <c r="DZW112" s="139"/>
      <c r="DZX112" s="139"/>
      <c r="DZY112" s="139"/>
      <c r="DZZ112" s="139"/>
      <c r="EAA112" s="139"/>
      <c r="EAB112" s="139"/>
      <c r="EAC112" s="139"/>
      <c r="EAD112" s="139"/>
      <c r="EAE112" s="139"/>
      <c r="EAF112" s="139"/>
      <c r="EAG112" s="139"/>
      <c r="EAH112" s="139"/>
      <c r="EAI112" s="139"/>
      <c r="EAJ112" s="139"/>
      <c r="EAK112" s="139"/>
      <c r="EAL112" s="139"/>
      <c r="EAM112" s="139"/>
      <c r="EAN112" s="139"/>
      <c r="EAO112" s="139"/>
      <c r="EAP112" s="139"/>
      <c r="EAQ112" s="139"/>
      <c r="EAR112" s="139"/>
      <c r="EAS112" s="139"/>
      <c r="EAT112" s="139"/>
      <c r="EAU112" s="139"/>
      <c r="EAV112" s="139"/>
      <c r="EAW112" s="139"/>
      <c r="EAX112" s="139"/>
      <c r="EAY112" s="139"/>
      <c r="EAZ112" s="139"/>
      <c r="EBA112" s="139"/>
      <c r="EBB112" s="139"/>
      <c r="EBC112" s="139"/>
      <c r="EBD112" s="139"/>
      <c r="EBE112" s="139"/>
      <c r="EBF112" s="139"/>
      <c r="EBG112" s="139"/>
      <c r="EBH112" s="139"/>
      <c r="EBI112" s="139"/>
      <c r="EBJ112" s="139"/>
      <c r="EBK112" s="139"/>
      <c r="EBL112" s="139"/>
      <c r="EBM112" s="139"/>
      <c r="EBN112" s="139"/>
      <c r="EBO112" s="139"/>
      <c r="EBP112" s="139"/>
      <c r="EBQ112" s="139"/>
      <c r="EBR112" s="139"/>
      <c r="EBS112" s="139"/>
      <c r="EBT112" s="139"/>
      <c r="EBU112" s="139"/>
      <c r="EBV112" s="139"/>
      <c r="EBW112" s="139"/>
      <c r="EBX112" s="139"/>
      <c r="EBY112" s="139"/>
      <c r="EBZ112" s="139"/>
      <c r="ECA112" s="139"/>
      <c r="ECB112" s="139"/>
      <c r="ECC112" s="139"/>
      <c r="ECD112" s="139"/>
      <c r="ECE112" s="139"/>
      <c r="ECF112" s="139"/>
      <c r="ECG112" s="139"/>
      <c r="ECH112" s="139"/>
      <c r="ECI112" s="139"/>
      <c r="ECJ112" s="139"/>
      <c r="ECK112" s="139"/>
      <c r="ECL112" s="139"/>
      <c r="ECM112" s="139"/>
      <c r="ECN112" s="139"/>
      <c r="ECO112" s="139"/>
      <c r="ECP112" s="139"/>
      <c r="ECQ112" s="139"/>
      <c r="ECR112" s="139"/>
      <c r="ECS112" s="139"/>
      <c r="ECT112" s="139"/>
      <c r="ECU112" s="139"/>
      <c r="ECV112" s="139"/>
      <c r="ECW112" s="139"/>
      <c r="ECX112" s="139"/>
      <c r="ECY112" s="139"/>
      <c r="ECZ112" s="139"/>
      <c r="EDA112" s="139"/>
      <c r="EDB112" s="139"/>
      <c r="EDC112" s="139"/>
      <c r="EDD112" s="139"/>
      <c r="EDE112" s="139"/>
      <c r="EDF112" s="139"/>
      <c r="EDG112" s="139"/>
      <c r="EDH112" s="139"/>
      <c r="EDI112" s="139"/>
      <c r="EDJ112" s="139"/>
      <c r="EDK112" s="139"/>
      <c r="EDL112" s="139"/>
      <c r="EDM112" s="139"/>
      <c r="EDN112" s="139"/>
      <c r="EDO112" s="139"/>
      <c r="EDP112" s="139"/>
      <c r="EDQ112" s="139"/>
      <c r="EDR112" s="139"/>
      <c r="EDS112" s="139"/>
      <c r="EDT112" s="139"/>
      <c r="EDU112" s="139"/>
      <c r="EDV112" s="139"/>
      <c r="EDW112" s="139"/>
      <c r="EDX112" s="139"/>
      <c r="EDY112" s="139"/>
      <c r="EDZ112" s="139"/>
      <c r="EEA112" s="139"/>
      <c r="EEB112" s="139"/>
      <c r="EEC112" s="139"/>
      <c r="EED112" s="139"/>
      <c r="EEE112" s="139"/>
      <c r="EEF112" s="139"/>
      <c r="EEG112" s="139"/>
      <c r="EEH112" s="139"/>
      <c r="EEI112" s="139"/>
      <c r="EEJ112" s="139"/>
      <c r="EEK112" s="139"/>
      <c r="EEL112" s="139"/>
      <c r="EEM112" s="139"/>
      <c r="EEN112" s="139"/>
      <c r="EEO112" s="139"/>
      <c r="EEP112" s="139"/>
      <c r="EEQ112" s="139"/>
      <c r="EER112" s="139"/>
      <c r="EES112" s="139"/>
      <c r="EET112" s="139"/>
      <c r="EEU112" s="139"/>
      <c r="EEV112" s="139"/>
      <c r="EEW112" s="139"/>
      <c r="EEX112" s="139"/>
      <c r="EEY112" s="139"/>
      <c r="EEZ112" s="139"/>
      <c r="EFA112" s="139"/>
      <c r="EFB112" s="139"/>
      <c r="EFC112" s="139"/>
      <c r="EFD112" s="139"/>
      <c r="EFE112" s="139"/>
      <c r="EFF112" s="139"/>
      <c r="EFG112" s="139"/>
      <c r="EFH112" s="139"/>
      <c r="EFI112" s="139"/>
      <c r="EFJ112" s="139"/>
      <c r="EFK112" s="139"/>
      <c r="EFL112" s="139"/>
      <c r="EFM112" s="139"/>
      <c r="EFN112" s="139"/>
      <c r="EFO112" s="139"/>
      <c r="EFP112" s="139"/>
      <c r="EFQ112" s="139"/>
      <c r="EFR112" s="139"/>
      <c r="EFS112" s="139"/>
      <c r="EFT112" s="139"/>
      <c r="EFU112" s="139"/>
      <c r="EFV112" s="139"/>
      <c r="EFW112" s="139"/>
      <c r="EFX112" s="139"/>
      <c r="EFY112" s="139"/>
      <c r="EFZ112" s="139"/>
      <c r="EGA112" s="139"/>
      <c r="EGB112" s="139"/>
      <c r="EGC112" s="139"/>
      <c r="EGD112" s="139"/>
      <c r="EGE112" s="139"/>
      <c r="EGF112" s="139"/>
      <c r="EGG112" s="139"/>
      <c r="EGH112" s="139"/>
      <c r="EGI112" s="139"/>
      <c r="EGJ112" s="139"/>
      <c r="EGK112" s="139"/>
      <c r="EGL112" s="139"/>
      <c r="EGM112" s="139"/>
      <c r="EGN112" s="139"/>
      <c r="EGO112" s="139"/>
      <c r="EGP112" s="139"/>
      <c r="EGQ112" s="139"/>
      <c r="EGR112" s="139"/>
      <c r="EGS112" s="139"/>
      <c r="EGT112" s="139"/>
      <c r="EGU112" s="139"/>
      <c r="EGV112" s="139"/>
      <c r="EGW112" s="139"/>
      <c r="EGX112" s="139"/>
      <c r="EGY112" s="139"/>
      <c r="EGZ112" s="139"/>
      <c r="EHA112" s="139"/>
      <c r="EHB112" s="139"/>
      <c r="EHC112" s="139"/>
      <c r="EHD112" s="139"/>
      <c r="EHE112" s="139"/>
      <c r="EHF112" s="139"/>
      <c r="EHG112" s="139"/>
      <c r="EHH112" s="139"/>
      <c r="EHI112" s="139"/>
      <c r="EHJ112" s="139"/>
      <c r="EHK112" s="139"/>
      <c r="EHL112" s="139"/>
      <c r="EHM112" s="139"/>
      <c r="EHN112" s="139"/>
      <c r="EHO112" s="139"/>
      <c r="EHP112" s="139"/>
      <c r="EHQ112" s="139"/>
      <c r="EHR112" s="139"/>
      <c r="EHS112" s="139"/>
      <c r="EHT112" s="139"/>
      <c r="EHU112" s="139"/>
      <c r="EHV112" s="139"/>
      <c r="EHW112" s="139"/>
      <c r="EHX112" s="139"/>
      <c r="EHY112" s="139"/>
      <c r="EHZ112" s="139"/>
      <c r="EIA112" s="139"/>
      <c r="EIB112" s="139"/>
      <c r="EIC112" s="139"/>
      <c r="EID112" s="139"/>
      <c r="EIE112" s="139"/>
      <c r="EIF112" s="139"/>
      <c r="EIG112" s="139"/>
      <c r="EIH112" s="139"/>
      <c r="EII112" s="139"/>
      <c r="EIJ112" s="139"/>
      <c r="EIK112" s="139"/>
      <c r="EIL112" s="139"/>
      <c r="EIM112" s="139"/>
      <c r="EIN112" s="139"/>
      <c r="EIO112" s="139"/>
      <c r="EIP112" s="139"/>
      <c r="EIQ112" s="139"/>
      <c r="EIR112" s="139"/>
      <c r="EIS112" s="139"/>
      <c r="EIT112" s="139"/>
      <c r="EIU112" s="139"/>
      <c r="EIV112" s="139"/>
      <c r="EIW112" s="139"/>
      <c r="EIX112" s="139"/>
      <c r="EIY112" s="139"/>
      <c r="EIZ112" s="139"/>
      <c r="EJA112" s="139"/>
      <c r="EJB112" s="139"/>
      <c r="EJC112" s="139"/>
      <c r="EJD112" s="139"/>
      <c r="EJE112" s="139"/>
      <c r="EJF112" s="139"/>
      <c r="EJG112" s="139"/>
      <c r="EJH112" s="139"/>
      <c r="EJI112" s="139"/>
      <c r="EJJ112" s="139"/>
      <c r="EJK112" s="139"/>
      <c r="EJL112" s="139"/>
      <c r="EJM112" s="139"/>
      <c r="EJN112" s="139"/>
      <c r="EJO112" s="139"/>
      <c r="EJP112" s="139"/>
      <c r="EJQ112" s="139"/>
      <c r="EJR112" s="139"/>
      <c r="EJS112" s="139"/>
      <c r="EJT112" s="139"/>
      <c r="EJU112" s="139"/>
      <c r="EJV112" s="139"/>
      <c r="EJW112" s="139"/>
      <c r="EJX112" s="139"/>
      <c r="EJY112" s="139"/>
      <c r="EJZ112" s="139"/>
      <c r="EKA112" s="139"/>
      <c r="EKB112" s="139"/>
      <c r="EKC112" s="139"/>
      <c r="EKD112" s="139"/>
      <c r="EKE112" s="139"/>
      <c r="EKF112" s="139"/>
      <c r="EKG112" s="139"/>
      <c r="EKH112" s="139"/>
      <c r="EKI112" s="139"/>
      <c r="EKJ112" s="139"/>
      <c r="EKK112" s="139"/>
      <c r="EKL112" s="139"/>
      <c r="EKM112" s="139"/>
      <c r="EKN112" s="139"/>
      <c r="EKO112" s="139"/>
      <c r="EKP112" s="139"/>
      <c r="EKQ112" s="139"/>
      <c r="EKR112" s="139"/>
      <c r="EKS112" s="139"/>
      <c r="EKT112" s="139"/>
      <c r="EKU112" s="139"/>
      <c r="EKV112" s="139"/>
      <c r="EKW112" s="139"/>
      <c r="EKX112" s="139"/>
      <c r="EKY112" s="139"/>
      <c r="EKZ112" s="139"/>
      <c r="ELA112" s="139"/>
      <c r="ELB112" s="139"/>
      <c r="ELC112" s="139"/>
      <c r="ELD112" s="139"/>
      <c r="ELE112" s="139"/>
      <c r="ELF112" s="139"/>
      <c r="ELG112" s="139"/>
      <c r="ELH112" s="139"/>
      <c r="ELI112" s="139"/>
      <c r="ELJ112" s="139"/>
      <c r="ELK112" s="139"/>
      <c r="ELL112" s="139"/>
      <c r="ELM112" s="139"/>
      <c r="ELN112" s="139"/>
      <c r="ELO112" s="139"/>
      <c r="ELP112" s="139"/>
      <c r="ELQ112" s="139"/>
      <c r="ELR112" s="139"/>
      <c r="ELS112" s="139"/>
      <c r="ELT112" s="139"/>
      <c r="ELU112" s="139"/>
      <c r="ELV112" s="139"/>
      <c r="ELW112" s="139"/>
      <c r="ELX112" s="139"/>
      <c r="ELY112" s="139"/>
      <c r="ELZ112" s="139"/>
      <c r="EMA112" s="139"/>
      <c r="EMB112" s="139"/>
      <c r="EMC112" s="139"/>
      <c r="EMD112" s="139"/>
      <c r="EME112" s="139"/>
      <c r="EMF112" s="139"/>
      <c r="EMG112" s="139"/>
      <c r="EMH112" s="139"/>
      <c r="EMI112" s="139"/>
      <c r="EMJ112" s="139"/>
      <c r="EMK112" s="139"/>
      <c r="EML112" s="139"/>
      <c r="EMM112" s="139"/>
      <c r="EMN112" s="139"/>
      <c r="EMO112" s="139"/>
      <c r="EMP112" s="139"/>
      <c r="EMQ112" s="139"/>
      <c r="EMR112" s="139"/>
      <c r="EMS112" s="139"/>
      <c r="EMT112" s="139"/>
      <c r="EMU112" s="139"/>
      <c r="EMV112" s="139"/>
      <c r="EMW112" s="139"/>
      <c r="EMX112" s="139"/>
      <c r="EMY112" s="139"/>
      <c r="EMZ112" s="139"/>
      <c r="ENA112" s="139"/>
      <c r="ENB112" s="139"/>
      <c r="ENC112" s="139"/>
      <c r="END112" s="139"/>
      <c r="ENE112" s="139"/>
      <c r="ENF112" s="139"/>
      <c r="ENG112" s="139"/>
      <c r="ENH112" s="139"/>
      <c r="ENI112" s="139"/>
      <c r="ENJ112" s="139"/>
      <c r="ENK112" s="139"/>
      <c r="ENL112" s="139"/>
      <c r="ENM112" s="139"/>
      <c r="ENN112" s="139"/>
      <c r="ENO112" s="139"/>
      <c r="ENP112" s="139"/>
      <c r="ENQ112" s="139"/>
      <c r="ENR112" s="139"/>
      <c r="ENS112" s="139"/>
      <c r="ENT112" s="139"/>
      <c r="ENU112" s="139"/>
      <c r="ENV112" s="139"/>
      <c r="ENW112" s="139"/>
      <c r="ENX112" s="139"/>
      <c r="ENY112" s="139"/>
      <c r="ENZ112" s="139"/>
      <c r="EOA112" s="139"/>
      <c r="EOB112" s="139"/>
      <c r="EOC112" s="139"/>
      <c r="EOD112" s="139"/>
      <c r="EOE112" s="139"/>
      <c r="EOF112" s="139"/>
      <c r="EOG112" s="139"/>
      <c r="EOH112" s="139"/>
      <c r="EOI112" s="139"/>
      <c r="EOJ112" s="139"/>
      <c r="EOK112" s="139"/>
      <c r="EOL112" s="139"/>
      <c r="EOM112" s="139"/>
      <c r="EON112" s="139"/>
      <c r="EOO112" s="139"/>
      <c r="EOP112" s="139"/>
      <c r="EOQ112" s="139"/>
      <c r="EOR112" s="139"/>
      <c r="EOS112" s="139"/>
      <c r="EOT112" s="139"/>
      <c r="EOU112" s="139"/>
      <c r="EOV112" s="139"/>
      <c r="EOW112" s="139"/>
      <c r="EOX112" s="139"/>
      <c r="EOY112" s="139"/>
      <c r="EOZ112" s="139"/>
      <c r="EPA112" s="139"/>
      <c r="EPB112" s="139"/>
      <c r="EPC112" s="139"/>
      <c r="EPD112" s="139"/>
      <c r="EPE112" s="139"/>
      <c r="EPF112" s="139"/>
      <c r="EPG112" s="139"/>
      <c r="EPH112" s="139"/>
      <c r="EPI112" s="139"/>
      <c r="EPJ112" s="139"/>
      <c r="EPK112" s="139"/>
      <c r="EPL112" s="139"/>
      <c r="EPM112" s="139"/>
      <c r="EPN112" s="139"/>
      <c r="EPO112" s="139"/>
      <c r="EPP112" s="139"/>
      <c r="EPQ112" s="139"/>
      <c r="EPR112" s="139"/>
      <c r="EPS112" s="139"/>
      <c r="EPT112" s="139"/>
      <c r="EPU112" s="139"/>
      <c r="EPV112" s="139"/>
      <c r="EPW112" s="139"/>
      <c r="EPX112" s="139"/>
      <c r="EPY112" s="139"/>
      <c r="EPZ112" s="139"/>
      <c r="EQA112" s="139"/>
      <c r="EQB112" s="139"/>
      <c r="EQC112" s="139"/>
      <c r="EQD112" s="139"/>
      <c r="EQE112" s="139"/>
      <c r="EQF112" s="139"/>
      <c r="EQG112" s="139"/>
      <c r="EQH112" s="139"/>
      <c r="EQI112" s="139"/>
      <c r="EQJ112" s="139"/>
      <c r="EQK112" s="139"/>
      <c r="EQL112" s="139"/>
      <c r="EQM112" s="139"/>
      <c r="EQN112" s="139"/>
      <c r="EQO112" s="139"/>
      <c r="EQP112" s="139"/>
      <c r="EQQ112" s="139"/>
      <c r="EQR112" s="139"/>
      <c r="EQS112" s="139"/>
      <c r="EQT112" s="139"/>
      <c r="EQU112" s="139"/>
      <c r="EQV112" s="139"/>
      <c r="EQW112" s="139"/>
      <c r="EQX112" s="139"/>
      <c r="EQY112" s="139"/>
      <c r="EQZ112" s="139"/>
      <c r="ERA112" s="139"/>
      <c r="ERB112" s="139"/>
      <c r="ERC112" s="139"/>
      <c r="ERD112" s="139"/>
      <c r="ERE112" s="139"/>
      <c r="ERF112" s="139"/>
      <c r="ERG112" s="139"/>
      <c r="ERH112" s="139"/>
      <c r="ERI112" s="139"/>
      <c r="ERJ112" s="139"/>
      <c r="ERK112" s="139"/>
      <c r="ERL112" s="139"/>
      <c r="ERM112" s="139"/>
      <c r="ERN112" s="139"/>
      <c r="ERO112" s="139"/>
      <c r="ERP112" s="139"/>
      <c r="ERQ112" s="139"/>
      <c r="ERR112" s="139"/>
      <c r="ERS112" s="139"/>
      <c r="ERT112" s="139"/>
      <c r="ERU112" s="139"/>
      <c r="ERV112" s="139"/>
      <c r="ERW112" s="139"/>
      <c r="ERX112" s="139"/>
      <c r="ERY112" s="139"/>
      <c r="ERZ112" s="139"/>
      <c r="ESA112" s="139"/>
      <c r="ESB112" s="139"/>
      <c r="ESC112" s="139"/>
      <c r="ESD112" s="139"/>
      <c r="ESE112" s="139"/>
      <c r="ESF112" s="139"/>
      <c r="ESG112" s="139"/>
      <c r="ESH112" s="139"/>
      <c r="ESI112" s="139"/>
      <c r="ESJ112" s="139"/>
      <c r="ESK112" s="139"/>
      <c r="ESL112" s="139"/>
      <c r="ESM112" s="139"/>
      <c r="ESN112" s="139"/>
      <c r="ESO112" s="139"/>
      <c r="ESP112" s="139"/>
      <c r="ESQ112" s="139"/>
      <c r="ESR112" s="139"/>
      <c r="ESS112" s="139"/>
      <c r="EST112" s="139"/>
      <c r="ESU112" s="139"/>
      <c r="ESV112" s="139"/>
      <c r="ESW112" s="139"/>
      <c r="ESX112" s="139"/>
      <c r="ESY112" s="139"/>
      <c r="ESZ112" s="139"/>
      <c r="ETA112" s="139"/>
      <c r="ETB112" s="139"/>
      <c r="ETC112" s="139"/>
      <c r="ETD112" s="139"/>
      <c r="ETE112" s="139"/>
      <c r="ETF112" s="139"/>
      <c r="ETG112" s="139"/>
      <c r="ETH112" s="139"/>
      <c r="ETI112" s="139"/>
      <c r="ETJ112" s="139"/>
      <c r="ETK112" s="139"/>
      <c r="ETL112" s="139"/>
      <c r="ETM112" s="139"/>
      <c r="ETN112" s="139"/>
      <c r="ETO112" s="139"/>
      <c r="ETP112" s="139"/>
      <c r="ETQ112" s="139"/>
      <c r="ETR112" s="139"/>
      <c r="ETS112" s="139"/>
      <c r="ETT112" s="139"/>
      <c r="ETU112" s="139"/>
      <c r="ETV112" s="139"/>
      <c r="ETW112" s="139"/>
      <c r="ETX112" s="139"/>
      <c r="ETY112" s="139"/>
      <c r="ETZ112" s="139"/>
      <c r="EUA112" s="139"/>
      <c r="EUB112" s="139"/>
      <c r="EUC112" s="139"/>
      <c r="EUD112" s="139"/>
      <c r="EUE112" s="139"/>
      <c r="EUF112" s="139"/>
      <c r="EUG112" s="139"/>
      <c r="EUH112" s="139"/>
      <c r="EUI112" s="139"/>
      <c r="EUJ112" s="139"/>
      <c r="EUK112" s="139"/>
      <c r="EUL112" s="139"/>
      <c r="EUM112" s="139"/>
      <c r="EUN112" s="139"/>
      <c r="EUO112" s="139"/>
      <c r="EUP112" s="139"/>
      <c r="EUQ112" s="139"/>
      <c r="EUR112" s="139"/>
      <c r="EUS112" s="139"/>
      <c r="EUT112" s="139"/>
      <c r="EUU112" s="139"/>
      <c r="EUV112" s="139"/>
      <c r="EUW112" s="139"/>
      <c r="EUX112" s="139"/>
      <c r="EUY112" s="139"/>
      <c r="EUZ112" s="139"/>
      <c r="EVA112" s="139"/>
      <c r="EVB112" s="139"/>
      <c r="EVC112" s="139"/>
      <c r="EVD112" s="139"/>
      <c r="EVE112" s="139"/>
      <c r="EVF112" s="139"/>
      <c r="EVG112" s="139"/>
      <c r="EVH112" s="139"/>
      <c r="EVI112" s="139"/>
      <c r="EVJ112" s="139"/>
      <c r="EVK112" s="139"/>
      <c r="EVL112" s="139"/>
      <c r="EVM112" s="139"/>
      <c r="EVN112" s="139"/>
      <c r="EVO112" s="139"/>
      <c r="EVP112" s="139"/>
      <c r="EVQ112" s="139"/>
      <c r="EVR112" s="139"/>
      <c r="EVS112" s="139"/>
      <c r="EVT112" s="139"/>
      <c r="EVU112" s="139"/>
      <c r="EVV112" s="139"/>
      <c r="EVW112" s="139"/>
      <c r="EVX112" s="139"/>
      <c r="EVY112" s="139"/>
      <c r="EVZ112" s="139"/>
      <c r="EWA112" s="139"/>
      <c r="EWB112" s="139"/>
      <c r="EWC112" s="139"/>
      <c r="EWD112" s="139"/>
      <c r="EWE112" s="139"/>
      <c r="EWF112" s="139"/>
      <c r="EWG112" s="139"/>
      <c r="EWH112" s="139"/>
      <c r="EWI112" s="139"/>
      <c r="EWJ112" s="139"/>
      <c r="EWK112" s="139"/>
      <c r="EWL112" s="139"/>
      <c r="EWM112" s="139"/>
      <c r="EWN112" s="139"/>
      <c r="EWO112" s="139"/>
      <c r="EWP112" s="139"/>
      <c r="EWQ112" s="139"/>
      <c r="EWR112" s="139"/>
      <c r="EWS112" s="139"/>
      <c r="EWT112" s="139"/>
      <c r="EWU112" s="139"/>
      <c r="EWV112" s="139"/>
      <c r="EWW112" s="139"/>
      <c r="EWX112" s="139"/>
      <c r="EWY112" s="139"/>
      <c r="EWZ112" s="139"/>
      <c r="EXA112" s="139"/>
      <c r="EXB112" s="139"/>
      <c r="EXC112" s="139"/>
      <c r="EXD112" s="139"/>
      <c r="EXE112" s="139"/>
      <c r="EXF112" s="139"/>
      <c r="EXG112" s="139"/>
      <c r="EXH112" s="139"/>
      <c r="EXI112" s="139"/>
      <c r="EXJ112" s="139"/>
      <c r="EXK112" s="139"/>
      <c r="EXL112" s="139"/>
      <c r="EXM112" s="139"/>
      <c r="EXN112" s="139"/>
      <c r="EXO112" s="139"/>
      <c r="EXP112" s="139"/>
      <c r="EXQ112" s="139"/>
      <c r="EXR112" s="139"/>
      <c r="EXS112" s="139"/>
      <c r="EXT112" s="139"/>
      <c r="EXU112" s="139"/>
      <c r="EXV112" s="139"/>
      <c r="EXW112" s="139"/>
      <c r="EXX112" s="139"/>
      <c r="EXY112" s="139"/>
      <c r="EXZ112" s="139"/>
      <c r="EYA112" s="139"/>
      <c r="EYB112" s="139"/>
      <c r="EYC112" s="139"/>
      <c r="EYD112" s="139"/>
      <c r="EYE112" s="139"/>
      <c r="EYF112" s="139"/>
      <c r="EYG112" s="139"/>
      <c r="EYH112" s="139"/>
      <c r="EYI112" s="139"/>
      <c r="EYJ112" s="139"/>
      <c r="EYK112" s="139"/>
      <c r="EYL112" s="139"/>
      <c r="EYM112" s="139"/>
      <c r="EYN112" s="139"/>
      <c r="EYO112" s="139"/>
      <c r="EYP112" s="139"/>
      <c r="EYQ112" s="139"/>
      <c r="EYR112" s="139"/>
      <c r="EYS112" s="139"/>
      <c r="EYT112" s="139"/>
      <c r="EYU112" s="139"/>
      <c r="EYV112" s="139"/>
      <c r="EYW112" s="139"/>
      <c r="EYX112" s="139"/>
      <c r="EYY112" s="139"/>
      <c r="EYZ112" s="139"/>
      <c r="EZA112" s="139"/>
      <c r="EZB112" s="139"/>
      <c r="EZC112" s="139"/>
      <c r="EZD112" s="139"/>
      <c r="EZE112" s="139"/>
      <c r="EZF112" s="139"/>
      <c r="EZG112" s="139"/>
      <c r="EZH112" s="139"/>
      <c r="EZI112" s="139"/>
      <c r="EZJ112" s="139"/>
      <c r="EZK112" s="139"/>
      <c r="EZL112" s="139"/>
      <c r="EZM112" s="139"/>
      <c r="EZN112" s="139"/>
      <c r="EZO112" s="139"/>
      <c r="EZP112" s="139"/>
      <c r="EZQ112" s="139"/>
      <c r="EZR112" s="139"/>
      <c r="EZS112" s="139"/>
      <c r="EZT112" s="139"/>
      <c r="EZU112" s="139"/>
      <c r="EZV112" s="139"/>
      <c r="EZW112" s="139"/>
      <c r="EZX112" s="139"/>
      <c r="EZY112" s="139"/>
      <c r="EZZ112" s="139"/>
      <c r="FAA112" s="139"/>
      <c r="FAB112" s="139"/>
      <c r="FAC112" s="139"/>
      <c r="FAD112" s="139"/>
      <c r="FAE112" s="139"/>
      <c r="FAF112" s="139"/>
      <c r="FAG112" s="139"/>
      <c r="FAH112" s="139"/>
      <c r="FAI112" s="139"/>
      <c r="FAJ112" s="139"/>
      <c r="FAK112" s="139"/>
      <c r="FAL112" s="139"/>
      <c r="FAM112" s="139"/>
      <c r="FAN112" s="139"/>
      <c r="FAO112" s="139"/>
      <c r="FAP112" s="139"/>
      <c r="FAQ112" s="139"/>
      <c r="FAR112" s="139"/>
      <c r="FAS112" s="139"/>
      <c r="FAT112" s="139"/>
      <c r="FAU112" s="139"/>
      <c r="FAV112" s="139"/>
      <c r="FAW112" s="139"/>
      <c r="FAX112" s="139"/>
      <c r="FAY112" s="139"/>
      <c r="FAZ112" s="139"/>
      <c r="FBA112" s="139"/>
      <c r="FBB112" s="139"/>
      <c r="FBC112" s="139"/>
      <c r="FBD112" s="139"/>
      <c r="FBE112" s="139"/>
      <c r="FBF112" s="139"/>
      <c r="FBG112" s="139"/>
      <c r="FBH112" s="139"/>
      <c r="FBI112" s="139"/>
      <c r="FBJ112" s="139"/>
      <c r="FBK112" s="139"/>
      <c r="FBL112" s="139"/>
      <c r="FBM112" s="139"/>
      <c r="FBN112" s="139"/>
      <c r="FBO112" s="139"/>
      <c r="FBP112" s="139"/>
      <c r="FBQ112" s="139"/>
      <c r="FBR112" s="139"/>
      <c r="FBS112" s="139"/>
      <c r="FBT112" s="139"/>
      <c r="FBU112" s="139"/>
      <c r="FBV112" s="139"/>
      <c r="FBW112" s="139"/>
      <c r="FBX112" s="139"/>
      <c r="FBY112" s="139"/>
      <c r="FBZ112" s="139"/>
      <c r="FCA112" s="139"/>
      <c r="FCB112" s="139"/>
      <c r="FCC112" s="139"/>
      <c r="FCD112" s="139"/>
      <c r="FCE112" s="139"/>
      <c r="FCF112" s="139"/>
      <c r="FCG112" s="139"/>
      <c r="FCH112" s="139"/>
      <c r="FCI112" s="139"/>
      <c r="FCJ112" s="139"/>
      <c r="FCK112" s="139"/>
      <c r="FCL112" s="139"/>
      <c r="FCM112" s="139"/>
      <c r="FCN112" s="139"/>
      <c r="FCO112" s="139"/>
      <c r="FCP112" s="139"/>
      <c r="FCQ112" s="139"/>
      <c r="FCR112" s="139"/>
      <c r="FCS112" s="139"/>
      <c r="FCT112" s="139"/>
      <c r="FCU112" s="139"/>
      <c r="FCV112" s="139"/>
      <c r="FCW112" s="139"/>
      <c r="FCX112" s="139"/>
      <c r="FCY112" s="139"/>
      <c r="FCZ112" s="139"/>
      <c r="FDA112" s="139"/>
      <c r="FDB112" s="139"/>
      <c r="FDC112" s="139"/>
      <c r="FDD112" s="139"/>
      <c r="FDE112" s="139"/>
      <c r="FDF112" s="139"/>
      <c r="FDG112" s="139"/>
      <c r="FDH112" s="139"/>
      <c r="FDI112" s="139"/>
      <c r="FDJ112" s="139"/>
      <c r="FDK112" s="139"/>
      <c r="FDL112" s="139"/>
      <c r="FDM112" s="139"/>
      <c r="FDN112" s="139"/>
      <c r="FDO112" s="139"/>
      <c r="FDP112" s="139"/>
      <c r="FDQ112" s="139"/>
      <c r="FDR112" s="139"/>
      <c r="FDS112" s="139"/>
      <c r="FDT112" s="139"/>
      <c r="FDU112" s="139"/>
      <c r="FDV112" s="139"/>
      <c r="FDW112" s="139"/>
      <c r="FDX112" s="139"/>
      <c r="FDY112" s="139"/>
      <c r="FDZ112" s="139"/>
      <c r="FEA112" s="139"/>
      <c r="FEB112" s="139"/>
      <c r="FEC112" s="139"/>
      <c r="FED112" s="139"/>
      <c r="FEE112" s="139"/>
      <c r="FEF112" s="139"/>
      <c r="FEG112" s="139"/>
      <c r="FEH112" s="139"/>
      <c r="FEI112" s="139"/>
      <c r="FEJ112" s="139"/>
      <c r="FEK112" s="139"/>
      <c r="FEL112" s="139"/>
      <c r="FEM112" s="139"/>
      <c r="FEN112" s="139"/>
      <c r="FEO112" s="139"/>
      <c r="FEP112" s="139"/>
      <c r="FEQ112" s="139"/>
      <c r="FER112" s="139"/>
      <c r="FES112" s="139"/>
      <c r="FET112" s="139"/>
      <c r="FEU112" s="139"/>
      <c r="FEV112" s="139"/>
      <c r="FEW112" s="139"/>
      <c r="FEX112" s="139"/>
      <c r="FEY112" s="139"/>
      <c r="FEZ112" s="139"/>
      <c r="FFA112" s="139"/>
      <c r="FFB112" s="139"/>
      <c r="FFC112" s="139"/>
      <c r="FFD112" s="139"/>
      <c r="FFE112" s="139"/>
      <c r="FFF112" s="139"/>
      <c r="FFG112" s="139"/>
      <c r="FFH112" s="139"/>
      <c r="FFI112" s="139"/>
      <c r="FFJ112" s="139"/>
      <c r="FFK112" s="139"/>
      <c r="FFL112" s="139"/>
      <c r="FFM112" s="139"/>
      <c r="FFN112" s="139"/>
      <c r="FFO112" s="139"/>
      <c r="FFP112" s="139"/>
      <c r="FFQ112" s="139"/>
      <c r="FFR112" s="139"/>
      <c r="FFS112" s="139"/>
      <c r="FFT112" s="139"/>
      <c r="FFU112" s="139"/>
      <c r="FFV112" s="139"/>
      <c r="FFW112" s="139"/>
      <c r="FFX112" s="139"/>
      <c r="FFY112" s="139"/>
      <c r="FFZ112" s="139"/>
      <c r="FGA112" s="139"/>
      <c r="FGB112" s="139"/>
      <c r="FGC112" s="139"/>
      <c r="FGD112" s="139"/>
      <c r="FGE112" s="139"/>
      <c r="FGF112" s="139"/>
      <c r="FGG112" s="139"/>
      <c r="FGH112" s="139"/>
      <c r="FGI112" s="139"/>
      <c r="FGJ112" s="139"/>
      <c r="FGK112" s="139"/>
      <c r="FGL112" s="139"/>
      <c r="FGM112" s="139"/>
      <c r="FGN112" s="139"/>
      <c r="FGO112" s="139"/>
      <c r="FGP112" s="139"/>
      <c r="FGQ112" s="139"/>
      <c r="FGR112" s="139"/>
      <c r="FGS112" s="139"/>
      <c r="FGT112" s="139"/>
      <c r="FGU112" s="139"/>
      <c r="FGV112" s="139"/>
      <c r="FGW112" s="139"/>
      <c r="FGX112" s="139"/>
      <c r="FGY112" s="139"/>
      <c r="FGZ112" s="139"/>
      <c r="FHA112" s="139"/>
      <c r="FHB112" s="139"/>
      <c r="FHC112" s="139"/>
      <c r="FHD112" s="139"/>
      <c r="FHE112" s="139"/>
      <c r="FHF112" s="139"/>
      <c r="FHG112" s="139"/>
      <c r="FHH112" s="139"/>
      <c r="FHI112" s="139"/>
      <c r="FHJ112" s="139"/>
      <c r="FHK112" s="139"/>
      <c r="FHL112" s="139"/>
      <c r="FHM112" s="139"/>
      <c r="FHN112" s="139"/>
      <c r="FHO112" s="139"/>
      <c r="FHP112" s="139"/>
      <c r="FHQ112" s="139"/>
      <c r="FHR112" s="139"/>
      <c r="FHS112" s="139"/>
      <c r="FHT112" s="139"/>
      <c r="FHU112" s="139"/>
      <c r="FHV112" s="139"/>
      <c r="FHW112" s="139"/>
      <c r="FHX112" s="139"/>
      <c r="FHY112" s="139"/>
      <c r="FHZ112" s="139"/>
      <c r="FIA112" s="139"/>
      <c r="FIB112" s="139"/>
      <c r="FIC112" s="139"/>
      <c r="FID112" s="139"/>
      <c r="FIE112" s="139"/>
      <c r="FIF112" s="139"/>
      <c r="FIG112" s="139"/>
      <c r="FIH112" s="139"/>
      <c r="FII112" s="139"/>
      <c r="FIJ112" s="139"/>
      <c r="FIK112" s="139"/>
      <c r="FIL112" s="139"/>
      <c r="FIM112" s="139"/>
      <c r="FIN112" s="139"/>
      <c r="FIO112" s="139"/>
      <c r="FIP112" s="139"/>
      <c r="FIQ112" s="139"/>
      <c r="FIR112" s="139"/>
      <c r="FIS112" s="139"/>
      <c r="FIT112" s="139"/>
      <c r="FIU112" s="139"/>
      <c r="FIV112" s="139"/>
      <c r="FIW112" s="139"/>
      <c r="FIX112" s="139"/>
      <c r="FIY112" s="139"/>
      <c r="FIZ112" s="139"/>
      <c r="FJA112" s="139"/>
      <c r="FJB112" s="139"/>
      <c r="FJC112" s="139"/>
      <c r="FJD112" s="139"/>
      <c r="FJE112" s="139"/>
      <c r="FJF112" s="139"/>
      <c r="FJG112" s="139"/>
      <c r="FJH112" s="139"/>
      <c r="FJI112" s="139"/>
      <c r="FJJ112" s="139"/>
      <c r="FJK112" s="139"/>
      <c r="FJL112" s="139"/>
      <c r="FJM112" s="139"/>
      <c r="FJN112" s="139"/>
      <c r="FJO112" s="139"/>
      <c r="FJP112" s="139"/>
      <c r="FJQ112" s="139"/>
      <c r="FJR112" s="139"/>
      <c r="FJS112" s="139"/>
      <c r="FJT112" s="139"/>
      <c r="FJU112" s="139"/>
      <c r="FJV112" s="139"/>
      <c r="FJW112" s="139"/>
      <c r="FJX112" s="139"/>
      <c r="FJY112" s="139"/>
      <c r="FJZ112" s="139"/>
      <c r="FKA112" s="139"/>
      <c r="FKB112" s="139"/>
      <c r="FKC112" s="139"/>
      <c r="FKD112" s="139"/>
      <c r="FKE112" s="139"/>
      <c r="FKF112" s="139"/>
      <c r="FKG112" s="139"/>
      <c r="FKH112" s="139"/>
      <c r="FKI112" s="139"/>
      <c r="FKJ112" s="139"/>
      <c r="FKK112" s="139"/>
      <c r="FKL112" s="139"/>
      <c r="FKM112" s="139"/>
      <c r="FKN112" s="139"/>
      <c r="FKO112" s="139"/>
      <c r="FKP112" s="139"/>
      <c r="FKQ112" s="139"/>
      <c r="FKR112" s="139"/>
      <c r="FKS112" s="139"/>
      <c r="FKT112" s="139"/>
      <c r="FKU112" s="139"/>
      <c r="FKV112" s="139"/>
      <c r="FKW112" s="139"/>
      <c r="FKX112" s="139"/>
      <c r="FKY112" s="139"/>
      <c r="FKZ112" s="139"/>
      <c r="FLA112" s="139"/>
      <c r="FLB112" s="139"/>
      <c r="FLC112" s="139"/>
      <c r="FLD112" s="139"/>
      <c r="FLE112" s="139"/>
      <c r="FLF112" s="139"/>
      <c r="FLG112" s="139"/>
      <c r="FLH112" s="139"/>
      <c r="FLI112" s="139"/>
      <c r="FLJ112" s="139"/>
      <c r="FLK112" s="139"/>
      <c r="FLL112" s="139"/>
      <c r="FLM112" s="139"/>
      <c r="FLN112" s="139"/>
      <c r="FLO112" s="139"/>
      <c r="FLP112" s="139"/>
      <c r="FLQ112" s="139"/>
      <c r="FLR112" s="139"/>
      <c r="FLS112" s="139"/>
      <c r="FLT112" s="139"/>
      <c r="FLU112" s="139"/>
      <c r="FLV112" s="139"/>
      <c r="FLW112" s="139"/>
      <c r="FLX112" s="139"/>
      <c r="FLY112" s="139"/>
      <c r="FLZ112" s="139"/>
      <c r="FMA112" s="139"/>
      <c r="FMB112" s="139"/>
      <c r="FMC112" s="139"/>
      <c r="FMD112" s="139"/>
      <c r="FME112" s="139"/>
      <c r="FMF112" s="139"/>
      <c r="FMG112" s="139"/>
      <c r="FMH112" s="139"/>
      <c r="FMI112" s="139"/>
      <c r="FMJ112" s="139"/>
      <c r="FMK112" s="139"/>
      <c r="FML112" s="139"/>
      <c r="FMM112" s="139"/>
      <c r="FMN112" s="139"/>
      <c r="FMO112" s="139"/>
      <c r="FMP112" s="139"/>
      <c r="FMQ112" s="139"/>
      <c r="FMR112" s="139"/>
      <c r="FMS112" s="139"/>
      <c r="FMT112" s="139"/>
      <c r="FMU112" s="139"/>
      <c r="FMV112" s="139"/>
      <c r="FMW112" s="139"/>
      <c r="FMX112" s="139"/>
      <c r="FMY112" s="139"/>
      <c r="FMZ112" s="139"/>
      <c r="FNA112" s="139"/>
      <c r="FNB112" s="139"/>
      <c r="FNC112" s="139"/>
      <c r="FND112" s="139"/>
      <c r="FNE112" s="139"/>
      <c r="FNF112" s="139"/>
      <c r="FNG112" s="139"/>
      <c r="FNH112" s="139"/>
      <c r="FNI112" s="139"/>
      <c r="FNJ112" s="139"/>
      <c r="FNK112" s="139"/>
      <c r="FNL112" s="139"/>
      <c r="FNM112" s="139"/>
      <c r="FNN112" s="139"/>
      <c r="FNO112" s="139"/>
      <c r="FNP112" s="139"/>
      <c r="FNQ112" s="139"/>
      <c r="FNR112" s="139"/>
      <c r="FNS112" s="139"/>
      <c r="FNT112" s="139"/>
      <c r="FNU112" s="139"/>
      <c r="FNV112" s="139"/>
      <c r="FNW112" s="139"/>
      <c r="FNX112" s="139"/>
      <c r="FNY112" s="139"/>
      <c r="FNZ112" s="139"/>
      <c r="FOA112" s="139"/>
      <c r="FOB112" s="139"/>
      <c r="FOC112" s="139"/>
      <c r="FOD112" s="139"/>
      <c r="FOE112" s="139"/>
      <c r="FOF112" s="139"/>
      <c r="FOG112" s="139"/>
      <c r="FOH112" s="139"/>
      <c r="FOI112" s="139"/>
      <c r="FOJ112" s="139"/>
      <c r="FOK112" s="139"/>
      <c r="FOL112" s="139"/>
      <c r="FOM112" s="139"/>
      <c r="FON112" s="139"/>
      <c r="FOO112" s="139"/>
      <c r="FOP112" s="139"/>
      <c r="FOQ112" s="139"/>
      <c r="FOR112" s="139"/>
      <c r="FOS112" s="139"/>
      <c r="FOT112" s="139"/>
      <c r="FOU112" s="139"/>
      <c r="FOV112" s="139"/>
      <c r="FOW112" s="139"/>
      <c r="FOX112" s="139"/>
      <c r="FOY112" s="139"/>
      <c r="FOZ112" s="139"/>
      <c r="FPA112" s="139"/>
      <c r="FPB112" s="139"/>
      <c r="FPC112" s="139"/>
      <c r="FPD112" s="139"/>
      <c r="FPE112" s="139"/>
      <c r="FPF112" s="139"/>
      <c r="FPG112" s="139"/>
      <c r="FPH112" s="139"/>
      <c r="FPI112" s="139"/>
      <c r="FPJ112" s="139"/>
      <c r="FPK112" s="139"/>
      <c r="FPL112" s="139"/>
      <c r="FPM112" s="139"/>
      <c r="FPN112" s="139"/>
      <c r="FPO112" s="139"/>
      <c r="FPP112" s="139"/>
      <c r="FPQ112" s="139"/>
      <c r="FPR112" s="139"/>
      <c r="FPS112" s="139"/>
      <c r="FPT112" s="139"/>
      <c r="FPU112" s="139"/>
      <c r="FPV112" s="139"/>
      <c r="FPW112" s="139"/>
      <c r="FPX112" s="139"/>
      <c r="FPY112" s="139"/>
      <c r="FPZ112" s="139"/>
      <c r="FQA112" s="139"/>
      <c r="FQB112" s="139"/>
      <c r="FQC112" s="139"/>
      <c r="FQD112" s="139"/>
      <c r="FQE112" s="139"/>
      <c r="FQF112" s="139"/>
      <c r="FQG112" s="139"/>
      <c r="FQH112" s="139"/>
      <c r="FQI112" s="139"/>
      <c r="FQJ112" s="139"/>
      <c r="FQK112" s="139"/>
      <c r="FQL112" s="139"/>
      <c r="FQM112" s="139"/>
      <c r="FQN112" s="139"/>
      <c r="FQO112" s="139"/>
      <c r="FQP112" s="139"/>
      <c r="FQQ112" s="139"/>
      <c r="FQR112" s="139"/>
      <c r="FQS112" s="139"/>
      <c r="FQT112" s="139"/>
      <c r="FQU112" s="139"/>
      <c r="FQV112" s="139"/>
      <c r="FQW112" s="139"/>
      <c r="FQX112" s="139"/>
      <c r="FQY112" s="139"/>
      <c r="FQZ112" s="139"/>
      <c r="FRA112" s="139"/>
      <c r="FRB112" s="139"/>
      <c r="FRC112" s="139"/>
      <c r="FRD112" s="139"/>
      <c r="FRE112" s="139"/>
      <c r="FRF112" s="139"/>
      <c r="FRG112" s="139"/>
      <c r="FRH112" s="139"/>
      <c r="FRI112" s="139"/>
      <c r="FRJ112" s="139"/>
      <c r="FRK112" s="139"/>
      <c r="FRL112" s="139"/>
      <c r="FRM112" s="139"/>
      <c r="FRN112" s="139"/>
      <c r="FRO112" s="139"/>
      <c r="FRP112" s="139"/>
      <c r="FRQ112" s="139"/>
      <c r="FRR112" s="139"/>
      <c r="FRS112" s="139"/>
      <c r="FRT112" s="139"/>
      <c r="FRU112" s="139"/>
      <c r="FRV112" s="139"/>
      <c r="FRW112" s="139"/>
      <c r="FRX112" s="139"/>
      <c r="FRY112" s="139"/>
      <c r="FRZ112" s="139"/>
      <c r="FSA112" s="139"/>
      <c r="FSB112" s="139"/>
      <c r="FSC112" s="139"/>
      <c r="FSD112" s="139"/>
      <c r="FSE112" s="139"/>
      <c r="FSF112" s="139"/>
      <c r="FSG112" s="139"/>
      <c r="FSH112" s="139"/>
      <c r="FSI112" s="139"/>
      <c r="FSJ112" s="139"/>
      <c r="FSK112" s="139"/>
      <c r="FSL112" s="139"/>
      <c r="FSM112" s="139"/>
      <c r="FSN112" s="139"/>
      <c r="FSO112" s="139"/>
      <c r="FSP112" s="139"/>
      <c r="FSQ112" s="139"/>
      <c r="FSR112" s="139"/>
      <c r="FSS112" s="139"/>
      <c r="FST112" s="139"/>
      <c r="FSU112" s="139"/>
      <c r="FSV112" s="139"/>
      <c r="FSW112" s="139"/>
      <c r="FSX112" s="139"/>
      <c r="FSY112" s="139"/>
      <c r="FSZ112" s="139"/>
      <c r="FTA112" s="139"/>
      <c r="FTB112" s="139"/>
      <c r="FTC112" s="139"/>
      <c r="FTD112" s="139"/>
      <c r="FTE112" s="139"/>
      <c r="FTF112" s="139"/>
      <c r="FTG112" s="139"/>
      <c r="FTH112" s="139"/>
      <c r="FTI112" s="139"/>
      <c r="FTJ112" s="139"/>
      <c r="FTK112" s="139"/>
      <c r="FTL112" s="139"/>
      <c r="FTM112" s="139"/>
      <c r="FTN112" s="139"/>
      <c r="FTO112" s="139"/>
      <c r="FTP112" s="139"/>
      <c r="FTQ112" s="139"/>
      <c r="FTR112" s="139"/>
      <c r="FTS112" s="139"/>
      <c r="FTT112" s="139"/>
      <c r="FTU112" s="139"/>
      <c r="FTV112" s="139"/>
      <c r="FTW112" s="139"/>
      <c r="FTX112" s="139"/>
      <c r="FTY112" s="139"/>
      <c r="FTZ112" s="139"/>
      <c r="FUA112" s="139"/>
      <c r="FUB112" s="139"/>
      <c r="FUC112" s="139"/>
      <c r="FUD112" s="139"/>
      <c r="FUE112" s="139"/>
      <c r="FUF112" s="139"/>
      <c r="FUG112" s="139"/>
      <c r="FUH112" s="139"/>
      <c r="FUI112" s="139"/>
      <c r="FUJ112" s="139"/>
      <c r="FUK112" s="139"/>
      <c r="FUL112" s="139"/>
      <c r="FUM112" s="139"/>
      <c r="FUN112" s="139"/>
      <c r="FUO112" s="139"/>
      <c r="FUP112" s="139"/>
      <c r="FUQ112" s="139"/>
      <c r="FUR112" s="139"/>
      <c r="FUS112" s="139"/>
      <c r="FUT112" s="139"/>
      <c r="FUU112" s="139"/>
      <c r="FUV112" s="139"/>
      <c r="FUW112" s="139"/>
      <c r="FUX112" s="139"/>
      <c r="FUY112" s="139"/>
      <c r="FUZ112" s="139"/>
      <c r="FVA112" s="139"/>
      <c r="FVB112" s="139"/>
      <c r="FVC112" s="139"/>
      <c r="FVD112" s="139"/>
      <c r="FVE112" s="139"/>
      <c r="FVF112" s="139"/>
      <c r="FVG112" s="139"/>
      <c r="FVH112" s="139"/>
      <c r="FVI112" s="139"/>
      <c r="FVJ112" s="139"/>
      <c r="FVK112" s="139"/>
      <c r="FVL112" s="139"/>
      <c r="FVM112" s="139"/>
      <c r="FVN112" s="139"/>
      <c r="FVO112" s="139"/>
      <c r="FVP112" s="139"/>
      <c r="FVQ112" s="139"/>
      <c r="FVR112" s="139"/>
      <c r="FVS112" s="139"/>
      <c r="FVT112" s="139"/>
      <c r="FVU112" s="139"/>
      <c r="FVV112" s="139"/>
      <c r="FVW112" s="139"/>
      <c r="FVX112" s="139"/>
      <c r="FVY112" s="139"/>
      <c r="FVZ112" s="139"/>
      <c r="FWA112" s="139"/>
      <c r="FWB112" s="139"/>
      <c r="FWC112" s="139"/>
      <c r="FWD112" s="139"/>
      <c r="FWE112" s="139"/>
      <c r="FWF112" s="139"/>
      <c r="FWG112" s="139"/>
      <c r="FWH112" s="139"/>
      <c r="FWI112" s="139"/>
      <c r="FWJ112" s="139"/>
      <c r="FWK112" s="139"/>
      <c r="FWL112" s="139"/>
      <c r="FWM112" s="139"/>
      <c r="FWN112" s="139"/>
      <c r="FWO112" s="139"/>
      <c r="FWP112" s="139"/>
      <c r="FWQ112" s="139"/>
      <c r="FWR112" s="139"/>
      <c r="FWS112" s="139"/>
      <c r="FWT112" s="139"/>
      <c r="FWU112" s="139"/>
      <c r="FWV112" s="139"/>
      <c r="FWW112" s="139"/>
      <c r="FWX112" s="139"/>
      <c r="FWY112" s="139"/>
      <c r="FWZ112" s="139"/>
      <c r="FXA112" s="139"/>
      <c r="FXB112" s="139"/>
      <c r="FXC112" s="139"/>
      <c r="FXD112" s="139"/>
      <c r="FXE112" s="139"/>
      <c r="FXF112" s="139"/>
      <c r="FXG112" s="139"/>
      <c r="FXH112" s="139"/>
      <c r="FXI112" s="139"/>
      <c r="FXJ112" s="139"/>
      <c r="FXK112" s="139"/>
      <c r="FXL112" s="139"/>
      <c r="FXM112" s="139"/>
      <c r="FXN112" s="139"/>
      <c r="FXO112" s="139"/>
      <c r="FXP112" s="139"/>
      <c r="FXQ112" s="139"/>
      <c r="FXR112" s="139"/>
      <c r="FXS112" s="139"/>
      <c r="FXT112" s="139"/>
      <c r="FXU112" s="139"/>
      <c r="FXV112" s="139"/>
      <c r="FXW112" s="139"/>
      <c r="FXX112" s="139"/>
      <c r="FXY112" s="139"/>
      <c r="FXZ112" s="139"/>
      <c r="FYA112" s="139"/>
      <c r="FYB112" s="139"/>
      <c r="FYC112" s="139"/>
      <c r="FYD112" s="139"/>
      <c r="FYE112" s="139"/>
      <c r="FYF112" s="139"/>
      <c r="FYG112" s="139"/>
      <c r="FYH112" s="139"/>
      <c r="FYI112" s="139"/>
      <c r="FYJ112" s="139"/>
      <c r="FYK112" s="139"/>
      <c r="FYL112" s="139"/>
      <c r="FYM112" s="139"/>
      <c r="FYN112" s="139"/>
      <c r="FYO112" s="139"/>
      <c r="FYP112" s="139"/>
      <c r="FYQ112" s="139"/>
      <c r="FYR112" s="139"/>
      <c r="FYS112" s="139"/>
      <c r="FYT112" s="139"/>
      <c r="FYU112" s="139"/>
      <c r="FYV112" s="139"/>
      <c r="FYW112" s="139"/>
      <c r="FYX112" s="139"/>
      <c r="FYY112" s="139"/>
      <c r="FYZ112" s="139"/>
      <c r="FZA112" s="139"/>
      <c r="FZB112" s="139"/>
      <c r="FZC112" s="139"/>
      <c r="FZD112" s="139"/>
      <c r="FZE112" s="139"/>
      <c r="FZF112" s="139"/>
      <c r="FZG112" s="139"/>
      <c r="FZH112" s="139"/>
      <c r="FZI112" s="139"/>
      <c r="FZJ112" s="139"/>
      <c r="FZK112" s="139"/>
      <c r="FZL112" s="139"/>
      <c r="FZM112" s="139"/>
      <c r="FZN112" s="139"/>
      <c r="FZO112" s="139"/>
      <c r="FZP112" s="139"/>
      <c r="FZQ112" s="139"/>
      <c r="FZR112" s="139"/>
      <c r="FZS112" s="139"/>
      <c r="FZT112" s="139"/>
      <c r="FZU112" s="139"/>
      <c r="FZV112" s="139"/>
      <c r="FZW112" s="139"/>
      <c r="FZX112" s="139"/>
      <c r="FZY112" s="139"/>
      <c r="FZZ112" s="139"/>
      <c r="GAA112" s="139"/>
      <c r="GAB112" s="139"/>
      <c r="GAC112" s="139"/>
      <c r="GAD112" s="139"/>
      <c r="GAE112" s="139"/>
      <c r="GAF112" s="139"/>
      <c r="GAG112" s="139"/>
      <c r="GAH112" s="139"/>
      <c r="GAI112" s="139"/>
      <c r="GAJ112" s="139"/>
      <c r="GAK112" s="139"/>
      <c r="GAL112" s="139"/>
      <c r="GAM112" s="139"/>
      <c r="GAN112" s="139"/>
      <c r="GAO112" s="139"/>
      <c r="GAP112" s="139"/>
      <c r="GAQ112" s="139"/>
      <c r="GAR112" s="139"/>
      <c r="GAS112" s="139"/>
      <c r="GAT112" s="139"/>
      <c r="GAU112" s="139"/>
      <c r="GAV112" s="139"/>
      <c r="GAW112" s="139"/>
      <c r="GAX112" s="139"/>
      <c r="GAY112" s="139"/>
      <c r="GAZ112" s="139"/>
      <c r="GBA112" s="139"/>
      <c r="GBB112" s="139"/>
      <c r="GBC112" s="139"/>
      <c r="GBD112" s="139"/>
      <c r="GBE112" s="139"/>
      <c r="GBF112" s="139"/>
      <c r="GBG112" s="139"/>
      <c r="GBH112" s="139"/>
      <c r="GBI112" s="139"/>
      <c r="GBJ112" s="139"/>
      <c r="GBK112" s="139"/>
      <c r="GBL112" s="139"/>
      <c r="GBM112" s="139"/>
      <c r="GBN112" s="139"/>
      <c r="GBO112" s="139"/>
      <c r="GBP112" s="139"/>
      <c r="GBQ112" s="139"/>
      <c r="GBR112" s="139"/>
      <c r="GBS112" s="139"/>
      <c r="GBT112" s="139"/>
      <c r="GBU112" s="139"/>
      <c r="GBV112" s="139"/>
      <c r="GBW112" s="139"/>
      <c r="GBX112" s="139"/>
      <c r="GBY112" s="139"/>
      <c r="GBZ112" s="139"/>
      <c r="GCA112" s="139"/>
      <c r="GCB112" s="139"/>
      <c r="GCC112" s="139"/>
      <c r="GCD112" s="139"/>
      <c r="GCE112" s="139"/>
      <c r="GCF112" s="139"/>
      <c r="GCG112" s="139"/>
      <c r="GCH112" s="139"/>
      <c r="GCI112" s="139"/>
      <c r="GCJ112" s="139"/>
      <c r="GCK112" s="139"/>
      <c r="GCL112" s="139"/>
      <c r="GCM112" s="139"/>
      <c r="GCN112" s="139"/>
      <c r="GCO112" s="139"/>
      <c r="GCP112" s="139"/>
      <c r="GCQ112" s="139"/>
      <c r="GCR112" s="139"/>
      <c r="GCS112" s="139"/>
      <c r="GCT112" s="139"/>
      <c r="GCU112" s="139"/>
      <c r="GCV112" s="139"/>
      <c r="GCW112" s="139"/>
      <c r="GCX112" s="139"/>
      <c r="GCY112" s="139"/>
      <c r="GCZ112" s="139"/>
      <c r="GDA112" s="139"/>
      <c r="GDB112" s="139"/>
      <c r="GDC112" s="139"/>
      <c r="GDD112" s="139"/>
      <c r="GDE112" s="139"/>
      <c r="GDF112" s="139"/>
      <c r="GDG112" s="139"/>
      <c r="GDH112" s="139"/>
      <c r="GDI112" s="139"/>
      <c r="GDJ112" s="139"/>
      <c r="GDK112" s="139"/>
      <c r="GDL112" s="139"/>
      <c r="GDM112" s="139"/>
      <c r="GDN112" s="139"/>
      <c r="GDO112" s="139"/>
      <c r="GDP112" s="139"/>
      <c r="GDQ112" s="139"/>
      <c r="GDR112" s="139"/>
      <c r="GDS112" s="139"/>
      <c r="GDT112" s="139"/>
      <c r="GDU112" s="139"/>
      <c r="GDV112" s="139"/>
      <c r="GDW112" s="139"/>
      <c r="GDX112" s="139"/>
      <c r="GDY112" s="139"/>
      <c r="GDZ112" s="139"/>
      <c r="GEA112" s="139"/>
      <c r="GEB112" s="139"/>
      <c r="GEC112" s="139"/>
      <c r="GED112" s="139"/>
      <c r="GEE112" s="139"/>
      <c r="GEF112" s="139"/>
      <c r="GEG112" s="139"/>
      <c r="GEH112" s="139"/>
      <c r="GEI112" s="139"/>
      <c r="GEJ112" s="139"/>
      <c r="GEK112" s="139"/>
      <c r="GEL112" s="139"/>
      <c r="GEM112" s="139"/>
      <c r="GEN112" s="139"/>
      <c r="GEO112" s="139"/>
      <c r="GEP112" s="139"/>
      <c r="GEQ112" s="139"/>
      <c r="GER112" s="139"/>
      <c r="GES112" s="139"/>
      <c r="GET112" s="139"/>
      <c r="GEU112" s="139"/>
      <c r="GEV112" s="139"/>
      <c r="GEW112" s="139"/>
      <c r="GEX112" s="139"/>
      <c r="GEY112" s="139"/>
      <c r="GEZ112" s="139"/>
      <c r="GFA112" s="139"/>
      <c r="GFB112" s="139"/>
      <c r="GFC112" s="139"/>
      <c r="GFD112" s="139"/>
      <c r="GFE112" s="139"/>
      <c r="GFF112" s="139"/>
      <c r="GFG112" s="139"/>
      <c r="GFH112" s="139"/>
      <c r="GFI112" s="139"/>
      <c r="GFJ112" s="139"/>
      <c r="GFK112" s="139"/>
      <c r="GFL112" s="139"/>
      <c r="GFM112" s="139"/>
      <c r="GFN112" s="139"/>
      <c r="GFO112" s="139"/>
      <c r="GFP112" s="139"/>
      <c r="GFQ112" s="139"/>
      <c r="GFR112" s="139"/>
      <c r="GFS112" s="139"/>
      <c r="GFT112" s="139"/>
      <c r="GFU112" s="139"/>
      <c r="GFV112" s="139"/>
      <c r="GFW112" s="139"/>
      <c r="GFX112" s="139"/>
      <c r="GFY112" s="139"/>
      <c r="GFZ112" s="139"/>
      <c r="GGA112" s="139"/>
      <c r="GGB112" s="139"/>
      <c r="GGC112" s="139"/>
      <c r="GGD112" s="139"/>
      <c r="GGE112" s="139"/>
      <c r="GGF112" s="139"/>
      <c r="GGG112" s="139"/>
      <c r="GGH112" s="139"/>
      <c r="GGI112" s="139"/>
      <c r="GGJ112" s="139"/>
      <c r="GGK112" s="139"/>
      <c r="GGL112" s="139"/>
      <c r="GGM112" s="139"/>
      <c r="GGN112" s="139"/>
      <c r="GGO112" s="139"/>
      <c r="GGP112" s="139"/>
      <c r="GGQ112" s="139"/>
      <c r="GGR112" s="139"/>
      <c r="GGS112" s="139"/>
      <c r="GGT112" s="139"/>
      <c r="GGU112" s="139"/>
      <c r="GGV112" s="139"/>
      <c r="GGW112" s="139"/>
      <c r="GGX112" s="139"/>
      <c r="GGY112" s="139"/>
      <c r="GGZ112" s="139"/>
      <c r="GHA112" s="139"/>
      <c r="GHB112" s="139"/>
      <c r="GHC112" s="139"/>
      <c r="GHD112" s="139"/>
      <c r="GHE112" s="139"/>
      <c r="GHF112" s="139"/>
      <c r="GHG112" s="139"/>
      <c r="GHH112" s="139"/>
      <c r="GHI112" s="139"/>
      <c r="GHJ112" s="139"/>
      <c r="GHK112" s="139"/>
      <c r="GHL112" s="139"/>
      <c r="GHM112" s="139"/>
      <c r="GHN112" s="139"/>
      <c r="GHO112" s="139"/>
      <c r="GHP112" s="139"/>
      <c r="GHQ112" s="139"/>
      <c r="GHR112" s="139"/>
      <c r="GHS112" s="139"/>
      <c r="GHT112" s="139"/>
      <c r="GHU112" s="139"/>
      <c r="GHV112" s="139"/>
      <c r="GHW112" s="139"/>
      <c r="GHX112" s="139"/>
      <c r="GHY112" s="139"/>
      <c r="GHZ112" s="139"/>
      <c r="GIA112" s="139"/>
      <c r="GIB112" s="139"/>
      <c r="GIC112" s="139"/>
      <c r="GID112" s="139"/>
      <c r="GIE112" s="139"/>
      <c r="GIF112" s="139"/>
      <c r="GIG112" s="139"/>
      <c r="GIH112" s="139"/>
      <c r="GII112" s="139"/>
      <c r="GIJ112" s="139"/>
      <c r="GIK112" s="139"/>
      <c r="GIL112" s="139"/>
      <c r="GIM112" s="139"/>
      <c r="GIN112" s="139"/>
      <c r="GIO112" s="139"/>
      <c r="GIP112" s="139"/>
      <c r="GIQ112" s="139"/>
      <c r="GIR112" s="139"/>
      <c r="GIS112" s="139"/>
      <c r="GIT112" s="139"/>
      <c r="GIU112" s="139"/>
      <c r="GIV112" s="139"/>
      <c r="GIW112" s="139"/>
      <c r="GIX112" s="139"/>
      <c r="GIY112" s="139"/>
      <c r="GIZ112" s="139"/>
      <c r="GJA112" s="139"/>
      <c r="GJB112" s="139"/>
      <c r="GJC112" s="139"/>
      <c r="GJD112" s="139"/>
      <c r="GJE112" s="139"/>
      <c r="GJF112" s="139"/>
      <c r="GJG112" s="139"/>
      <c r="GJH112" s="139"/>
      <c r="GJI112" s="139"/>
      <c r="GJJ112" s="139"/>
      <c r="GJK112" s="139"/>
      <c r="GJL112" s="139"/>
      <c r="GJM112" s="139"/>
      <c r="GJN112" s="139"/>
      <c r="GJO112" s="139"/>
      <c r="GJP112" s="139"/>
      <c r="GJQ112" s="139"/>
      <c r="GJR112" s="139"/>
      <c r="GJS112" s="139"/>
      <c r="GJT112" s="139"/>
      <c r="GJU112" s="139"/>
      <c r="GJV112" s="139"/>
      <c r="GJW112" s="139"/>
      <c r="GJX112" s="139"/>
      <c r="GJY112" s="139"/>
      <c r="GJZ112" s="139"/>
      <c r="GKA112" s="139"/>
      <c r="GKB112" s="139"/>
      <c r="GKC112" s="139"/>
      <c r="GKD112" s="139"/>
      <c r="GKE112" s="139"/>
      <c r="GKF112" s="139"/>
      <c r="GKG112" s="139"/>
      <c r="GKH112" s="139"/>
      <c r="GKI112" s="139"/>
      <c r="GKJ112" s="139"/>
      <c r="GKK112" s="139"/>
      <c r="GKL112" s="139"/>
      <c r="GKM112" s="139"/>
      <c r="GKN112" s="139"/>
      <c r="GKO112" s="139"/>
      <c r="GKP112" s="139"/>
      <c r="GKQ112" s="139"/>
      <c r="GKR112" s="139"/>
      <c r="GKS112" s="139"/>
      <c r="GKT112" s="139"/>
      <c r="GKU112" s="139"/>
      <c r="GKV112" s="139"/>
      <c r="GKW112" s="139"/>
      <c r="GKX112" s="139"/>
      <c r="GKY112" s="139"/>
      <c r="GKZ112" s="139"/>
      <c r="GLA112" s="139"/>
      <c r="GLB112" s="139"/>
      <c r="GLC112" s="139"/>
      <c r="GLD112" s="139"/>
      <c r="GLE112" s="139"/>
      <c r="GLF112" s="139"/>
      <c r="GLG112" s="139"/>
      <c r="GLH112" s="139"/>
      <c r="GLI112" s="139"/>
      <c r="GLJ112" s="139"/>
      <c r="GLK112" s="139"/>
      <c r="GLL112" s="139"/>
      <c r="GLM112" s="139"/>
      <c r="GLN112" s="139"/>
      <c r="GLO112" s="139"/>
      <c r="GLP112" s="139"/>
      <c r="GLQ112" s="139"/>
      <c r="GLR112" s="139"/>
      <c r="GLS112" s="139"/>
      <c r="GLT112" s="139"/>
      <c r="GLU112" s="139"/>
      <c r="GLV112" s="139"/>
      <c r="GLW112" s="139"/>
      <c r="GLX112" s="139"/>
      <c r="GLY112" s="139"/>
      <c r="GLZ112" s="139"/>
      <c r="GMA112" s="139"/>
      <c r="GMB112" s="139"/>
      <c r="GMC112" s="139"/>
      <c r="GMD112" s="139"/>
      <c r="GME112" s="139"/>
      <c r="GMF112" s="139"/>
      <c r="GMG112" s="139"/>
      <c r="GMH112" s="139"/>
      <c r="GMI112" s="139"/>
      <c r="GMJ112" s="139"/>
      <c r="GMK112" s="139"/>
      <c r="GML112" s="139"/>
      <c r="GMM112" s="139"/>
      <c r="GMN112" s="139"/>
      <c r="GMO112" s="139"/>
      <c r="GMP112" s="139"/>
      <c r="GMQ112" s="139"/>
      <c r="GMR112" s="139"/>
      <c r="GMS112" s="139"/>
      <c r="GMT112" s="139"/>
      <c r="GMU112" s="139"/>
      <c r="GMV112" s="139"/>
      <c r="GMW112" s="139"/>
      <c r="GMX112" s="139"/>
      <c r="GMY112" s="139"/>
      <c r="GMZ112" s="139"/>
      <c r="GNA112" s="139"/>
      <c r="GNB112" s="139"/>
      <c r="GNC112" s="139"/>
      <c r="GND112" s="139"/>
      <c r="GNE112" s="139"/>
      <c r="GNF112" s="139"/>
      <c r="GNG112" s="139"/>
      <c r="GNH112" s="139"/>
      <c r="GNI112" s="139"/>
      <c r="GNJ112" s="139"/>
      <c r="GNK112" s="139"/>
      <c r="GNL112" s="139"/>
      <c r="GNM112" s="139"/>
      <c r="GNN112" s="139"/>
      <c r="GNO112" s="139"/>
      <c r="GNP112" s="139"/>
      <c r="GNQ112" s="139"/>
      <c r="GNR112" s="139"/>
      <c r="GNS112" s="139"/>
      <c r="GNT112" s="139"/>
      <c r="GNU112" s="139"/>
      <c r="GNV112" s="139"/>
      <c r="GNW112" s="139"/>
      <c r="GNX112" s="139"/>
      <c r="GNY112" s="139"/>
      <c r="GNZ112" s="139"/>
      <c r="GOA112" s="139"/>
      <c r="GOB112" s="139"/>
      <c r="GOC112" s="139"/>
      <c r="GOD112" s="139"/>
      <c r="GOE112" s="139"/>
      <c r="GOF112" s="139"/>
      <c r="GOG112" s="139"/>
      <c r="GOH112" s="139"/>
      <c r="GOI112" s="139"/>
      <c r="GOJ112" s="139"/>
      <c r="GOK112" s="139"/>
      <c r="GOL112" s="139"/>
      <c r="GOM112" s="139"/>
      <c r="GON112" s="139"/>
      <c r="GOO112" s="139"/>
      <c r="GOP112" s="139"/>
      <c r="GOQ112" s="139"/>
      <c r="GOR112" s="139"/>
      <c r="GOS112" s="139"/>
      <c r="GOT112" s="139"/>
      <c r="GOU112" s="139"/>
      <c r="GOV112" s="139"/>
      <c r="GOW112" s="139"/>
      <c r="GOX112" s="139"/>
      <c r="GOY112" s="139"/>
      <c r="GOZ112" s="139"/>
      <c r="GPA112" s="139"/>
      <c r="GPB112" s="139"/>
      <c r="GPC112" s="139"/>
      <c r="GPD112" s="139"/>
      <c r="GPE112" s="139"/>
      <c r="GPF112" s="139"/>
      <c r="GPG112" s="139"/>
      <c r="GPH112" s="139"/>
      <c r="GPI112" s="139"/>
      <c r="GPJ112" s="139"/>
      <c r="GPK112" s="139"/>
      <c r="GPL112" s="139"/>
      <c r="GPM112" s="139"/>
      <c r="GPN112" s="139"/>
      <c r="GPO112" s="139"/>
      <c r="GPP112" s="139"/>
      <c r="GPQ112" s="139"/>
      <c r="GPR112" s="139"/>
      <c r="GPS112" s="139"/>
      <c r="GPT112" s="139"/>
      <c r="GPU112" s="139"/>
      <c r="GPV112" s="139"/>
      <c r="GPW112" s="139"/>
      <c r="GPX112" s="139"/>
      <c r="GPY112" s="139"/>
      <c r="GPZ112" s="139"/>
      <c r="GQA112" s="139"/>
      <c r="GQB112" s="139"/>
      <c r="GQC112" s="139"/>
      <c r="GQD112" s="139"/>
      <c r="GQE112" s="139"/>
      <c r="GQF112" s="139"/>
      <c r="GQG112" s="139"/>
      <c r="GQH112" s="139"/>
      <c r="GQI112" s="139"/>
      <c r="GQJ112" s="139"/>
      <c r="GQK112" s="139"/>
      <c r="GQL112" s="139"/>
      <c r="GQM112" s="139"/>
      <c r="GQN112" s="139"/>
      <c r="GQO112" s="139"/>
      <c r="GQP112" s="139"/>
      <c r="GQQ112" s="139"/>
      <c r="GQR112" s="139"/>
      <c r="GQS112" s="139"/>
      <c r="GQT112" s="139"/>
      <c r="GQU112" s="139"/>
      <c r="GQV112" s="139"/>
      <c r="GQW112" s="139"/>
      <c r="GQX112" s="139"/>
      <c r="GQY112" s="139"/>
      <c r="GQZ112" s="139"/>
      <c r="GRA112" s="139"/>
      <c r="GRB112" s="139"/>
      <c r="GRC112" s="139"/>
      <c r="GRD112" s="139"/>
      <c r="GRE112" s="139"/>
      <c r="GRF112" s="139"/>
      <c r="GRG112" s="139"/>
      <c r="GRH112" s="139"/>
      <c r="GRI112" s="139"/>
      <c r="GRJ112" s="139"/>
      <c r="GRK112" s="139"/>
      <c r="GRL112" s="139"/>
      <c r="GRM112" s="139"/>
      <c r="GRN112" s="139"/>
      <c r="GRO112" s="139"/>
      <c r="GRP112" s="139"/>
      <c r="GRQ112" s="139"/>
      <c r="GRR112" s="139"/>
      <c r="GRS112" s="139"/>
      <c r="GRT112" s="139"/>
      <c r="GRU112" s="139"/>
      <c r="GRV112" s="139"/>
      <c r="GRW112" s="139"/>
      <c r="GRX112" s="139"/>
      <c r="GRY112" s="139"/>
      <c r="GRZ112" s="139"/>
      <c r="GSA112" s="139"/>
      <c r="GSB112" s="139"/>
      <c r="GSC112" s="139"/>
      <c r="GSD112" s="139"/>
      <c r="GSE112" s="139"/>
      <c r="GSF112" s="139"/>
      <c r="GSG112" s="139"/>
      <c r="GSH112" s="139"/>
      <c r="GSI112" s="139"/>
      <c r="GSJ112" s="139"/>
      <c r="GSK112" s="139"/>
      <c r="GSL112" s="139"/>
      <c r="GSM112" s="139"/>
      <c r="GSN112" s="139"/>
      <c r="GSO112" s="139"/>
      <c r="GSP112" s="139"/>
      <c r="GSQ112" s="139"/>
      <c r="GSR112" s="139"/>
      <c r="GSS112" s="139"/>
      <c r="GST112" s="139"/>
      <c r="GSU112" s="139"/>
      <c r="GSV112" s="139"/>
      <c r="GSW112" s="139"/>
      <c r="GSX112" s="139"/>
      <c r="GSY112" s="139"/>
      <c r="GSZ112" s="139"/>
      <c r="GTA112" s="139"/>
      <c r="GTB112" s="139"/>
      <c r="GTC112" s="139"/>
      <c r="GTD112" s="139"/>
      <c r="GTE112" s="139"/>
      <c r="GTF112" s="139"/>
      <c r="GTG112" s="139"/>
      <c r="GTH112" s="139"/>
      <c r="GTI112" s="139"/>
      <c r="GTJ112" s="139"/>
      <c r="GTK112" s="139"/>
      <c r="GTL112" s="139"/>
      <c r="GTM112" s="139"/>
      <c r="GTN112" s="139"/>
      <c r="GTO112" s="139"/>
      <c r="GTP112" s="139"/>
      <c r="GTQ112" s="139"/>
      <c r="GTR112" s="139"/>
      <c r="GTS112" s="139"/>
      <c r="GTT112" s="139"/>
      <c r="GTU112" s="139"/>
      <c r="GTV112" s="139"/>
      <c r="GTW112" s="139"/>
      <c r="GTX112" s="139"/>
      <c r="GTY112" s="139"/>
      <c r="GTZ112" s="139"/>
      <c r="GUA112" s="139"/>
      <c r="GUB112" s="139"/>
      <c r="GUC112" s="139"/>
      <c r="GUD112" s="139"/>
      <c r="GUE112" s="139"/>
      <c r="GUF112" s="139"/>
      <c r="GUG112" s="139"/>
      <c r="GUH112" s="139"/>
      <c r="GUI112" s="139"/>
      <c r="GUJ112" s="139"/>
      <c r="GUK112" s="139"/>
      <c r="GUL112" s="139"/>
      <c r="GUM112" s="139"/>
      <c r="GUN112" s="139"/>
      <c r="GUO112" s="139"/>
      <c r="GUP112" s="139"/>
      <c r="GUQ112" s="139"/>
      <c r="GUR112" s="139"/>
      <c r="GUS112" s="139"/>
      <c r="GUT112" s="139"/>
      <c r="GUU112" s="139"/>
      <c r="GUV112" s="139"/>
      <c r="GUW112" s="139"/>
      <c r="GUX112" s="139"/>
      <c r="GUY112" s="139"/>
      <c r="GUZ112" s="139"/>
      <c r="GVA112" s="139"/>
      <c r="GVB112" s="139"/>
      <c r="GVC112" s="139"/>
      <c r="GVD112" s="139"/>
      <c r="GVE112" s="139"/>
      <c r="GVF112" s="139"/>
      <c r="GVG112" s="139"/>
      <c r="GVH112" s="139"/>
      <c r="GVI112" s="139"/>
      <c r="GVJ112" s="139"/>
      <c r="GVK112" s="139"/>
      <c r="GVL112" s="139"/>
      <c r="GVM112" s="139"/>
      <c r="GVN112" s="139"/>
      <c r="GVO112" s="139"/>
      <c r="GVP112" s="139"/>
      <c r="GVQ112" s="139"/>
      <c r="GVR112" s="139"/>
      <c r="GVS112" s="139"/>
      <c r="GVT112" s="139"/>
      <c r="GVU112" s="139"/>
      <c r="GVV112" s="139"/>
      <c r="GVW112" s="139"/>
      <c r="GVX112" s="139"/>
      <c r="GVY112" s="139"/>
      <c r="GVZ112" s="139"/>
      <c r="GWA112" s="139"/>
      <c r="GWB112" s="139"/>
      <c r="GWC112" s="139"/>
      <c r="GWD112" s="139"/>
      <c r="GWE112" s="139"/>
      <c r="GWF112" s="139"/>
      <c r="GWG112" s="139"/>
      <c r="GWH112" s="139"/>
      <c r="GWI112" s="139"/>
      <c r="GWJ112" s="139"/>
      <c r="GWK112" s="139"/>
      <c r="GWL112" s="139"/>
      <c r="GWM112" s="139"/>
      <c r="GWN112" s="139"/>
      <c r="GWO112" s="139"/>
      <c r="GWP112" s="139"/>
      <c r="GWQ112" s="139"/>
      <c r="GWR112" s="139"/>
      <c r="GWS112" s="139"/>
      <c r="GWT112" s="139"/>
      <c r="GWU112" s="139"/>
      <c r="GWV112" s="139"/>
      <c r="GWW112" s="139"/>
      <c r="GWX112" s="139"/>
      <c r="GWY112" s="139"/>
      <c r="GWZ112" s="139"/>
      <c r="GXA112" s="139"/>
      <c r="GXB112" s="139"/>
      <c r="GXC112" s="139"/>
      <c r="GXD112" s="139"/>
      <c r="GXE112" s="139"/>
      <c r="GXF112" s="139"/>
      <c r="GXG112" s="139"/>
      <c r="GXH112" s="139"/>
      <c r="GXI112" s="139"/>
      <c r="GXJ112" s="139"/>
      <c r="GXK112" s="139"/>
      <c r="GXL112" s="139"/>
      <c r="GXM112" s="139"/>
      <c r="GXN112" s="139"/>
      <c r="GXO112" s="139"/>
      <c r="GXP112" s="139"/>
      <c r="GXQ112" s="139"/>
      <c r="GXR112" s="139"/>
      <c r="GXS112" s="139"/>
      <c r="GXT112" s="139"/>
      <c r="GXU112" s="139"/>
      <c r="GXV112" s="139"/>
      <c r="GXW112" s="139"/>
      <c r="GXX112" s="139"/>
      <c r="GXY112" s="139"/>
      <c r="GXZ112" s="139"/>
      <c r="GYA112" s="139"/>
      <c r="GYB112" s="139"/>
      <c r="GYC112" s="139"/>
      <c r="GYD112" s="139"/>
      <c r="GYE112" s="139"/>
      <c r="GYF112" s="139"/>
      <c r="GYG112" s="139"/>
      <c r="GYH112" s="139"/>
      <c r="GYI112" s="139"/>
      <c r="GYJ112" s="139"/>
      <c r="GYK112" s="139"/>
      <c r="GYL112" s="139"/>
      <c r="GYM112" s="139"/>
      <c r="GYN112" s="139"/>
      <c r="GYO112" s="139"/>
      <c r="GYP112" s="139"/>
      <c r="GYQ112" s="139"/>
      <c r="GYR112" s="139"/>
      <c r="GYS112" s="139"/>
      <c r="GYT112" s="139"/>
      <c r="GYU112" s="139"/>
      <c r="GYV112" s="139"/>
      <c r="GYW112" s="139"/>
      <c r="GYX112" s="139"/>
      <c r="GYY112" s="139"/>
      <c r="GYZ112" s="139"/>
      <c r="GZA112" s="139"/>
      <c r="GZB112" s="139"/>
      <c r="GZC112" s="139"/>
      <c r="GZD112" s="139"/>
      <c r="GZE112" s="139"/>
      <c r="GZF112" s="139"/>
      <c r="GZG112" s="139"/>
      <c r="GZH112" s="139"/>
      <c r="GZI112" s="139"/>
      <c r="GZJ112" s="139"/>
      <c r="GZK112" s="139"/>
      <c r="GZL112" s="139"/>
      <c r="GZM112" s="139"/>
      <c r="GZN112" s="139"/>
      <c r="GZO112" s="139"/>
      <c r="GZP112" s="139"/>
      <c r="GZQ112" s="139"/>
      <c r="GZR112" s="139"/>
      <c r="GZS112" s="139"/>
      <c r="GZT112" s="139"/>
      <c r="GZU112" s="139"/>
      <c r="GZV112" s="139"/>
      <c r="GZW112" s="139"/>
      <c r="GZX112" s="139"/>
      <c r="GZY112" s="139"/>
      <c r="GZZ112" s="139"/>
      <c r="HAA112" s="139"/>
      <c r="HAB112" s="139"/>
      <c r="HAC112" s="139"/>
      <c r="HAD112" s="139"/>
      <c r="HAE112" s="139"/>
      <c r="HAF112" s="139"/>
      <c r="HAG112" s="139"/>
      <c r="HAH112" s="139"/>
      <c r="HAI112" s="139"/>
      <c r="HAJ112" s="139"/>
      <c r="HAK112" s="139"/>
      <c r="HAL112" s="139"/>
      <c r="HAM112" s="139"/>
      <c r="HAN112" s="139"/>
      <c r="HAO112" s="139"/>
      <c r="HAP112" s="139"/>
      <c r="HAQ112" s="139"/>
      <c r="HAR112" s="139"/>
      <c r="HAS112" s="139"/>
      <c r="HAT112" s="139"/>
      <c r="HAU112" s="139"/>
      <c r="HAV112" s="139"/>
      <c r="HAW112" s="139"/>
      <c r="HAX112" s="139"/>
      <c r="HAY112" s="139"/>
      <c r="HAZ112" s="139"/>
      <c r="HBA112" s="139"/>
      <c r="HBB112" s="139"/>
      <c r="HBC112" s="139"/>
      <c r="HBD112" s="139"/>
      <c r="HBE112" s="139"/>
      <c r="HBF112" s="139"/>
      <c r="HBG112" s="139"/>
      <c r="HBH112" s="139"/>
      <c r="HBI112" s="139"/>
      <c r="HBJ112" s="139"/>
      <c r="HBK112" s="139"/>
      <c r="HBL112" s="139"/>
      <c r="HBM112" s="139"/>
      <c r="HBN112" s="139"/>
      <c r="HBO112" s="139"/>
      <c r="HBP112" s="139"/>
      <c r="HBQ112" s="139"/>
      <c r="HBR112" s="139"/>
      <c r="HBS112" s="139"/>
      <c r="HBT112" s="139"/>
      <c r="HBU112" s="139"/>
      <c r="HBV112" s="139"/>
      <c r="HBW112" s="139"/>
      <c r="HBX112" s="139"/>
      <c r="HBY112" s="139"/>
      <c r="HBZ112" s="139"/>
      <c r="HCA112" s="139"/>
      <c r="HCB112" s="139"/>
      <c r="HCC112" s="139"/>
      <c r="HCD112" s="139"/>
      <c r="HCE112" s="139"/>
      <c r="HCF112" s="139"/>
      <c r="HCG112" s="139"/>
      <c r="HCH112" s="139"/>
      <c r="HCI112" s="139"/>
      <c r="HCJ112" s="139"/>
      <c r="HCK112" s="139"/>
      <c r="HCL112" s="139"/>
      <c r="HCM112" s="139"/>
      <c r="HCN112" s="139"/>
      <c r="HCO112" s="139"/>
      <c r="HCP112" s="139"/>
      <c r="HCQ112" s="139"/>
      <c r="HCR112" s="139"/>
      <c r="HCS112" s="139"/>
      <c r="HCT112" s="139"/>
      <c r="HCU112" s="139"/>
      <c r="HCV112" s="139"/>
      <c r="HCW112" s="139"/>
      <c r="HCX112" s="139"/>
      <c r="HCY112" s="139"/>
      <c r="HCZ112" s="139"/>
      <c r="HDA112" s="139"/>
      <c r="HDB112" s="139"/>
      <c r="HDC112" s="139"/>
      <c r="HDD112" s="139"/>
      <c r="HDE112" s="139"/>
      <c r="HDF112" s="139"/>
      <c r="HDG112" s="139"/>
      <c r="HDH112" s="139"/>
      <c r="HDI112" s="139"/>
      <c r="HDJ112" s="139"/>
      <c r="HDK112" s="139"/>
      <c r="HDL112" s="139"/>
      <c r="HDM112" s="139"/>
      <c r="HDN112" s="139"/>
      <c r="HDO112" s="139"/>
      <c r="HDP112" s="139"/>
      <c r="HDQ112" s="139"/>
      <c r="HDR112" s="139"/>
      <c r="HDS112" s="139"/>
      <c r="HDT112" s="139"/>
      <c r="HDU112" s="139"/>
      <c r="HDV112" s="139"/>
      <c r="HDW112" s="139"/>
      <c r="HDX112" s="139"/>
      <c r="HDY112" s="139"/>
      <c r="HDZ112" s="139"/>
      <c r="HEA112" s="139"/>
      <c r="HEB112" s="139"/>
      <c r="HEC112" s="139"/>
      <c r="HED112" s="139"/>
      <c r="HEE112" s="139"/>
      <c r="HEF112" s="139"/>
      <c r="HEG112" s="139"/>
      <c r="HEH112" s="139"/>
      <c r="HEI112" s="139"/>
      <c r="HEJ112" s="139"/>
      <c r="HEK112" s="139"/>
      <c r="HEL112" s="139"/>
      <c r="HEM112" s="139"/>
      <c r="HEN112" s="139"/>
      <c r="HEO112" s="139"/>
      <c r="HEP112" s="139"/>
      <c r="HEQ112" s="139"/>
      <c r="HER112" s="139"/>
      <c r="HES112" s="139"/>
      <c r="HET112" s="139"/>
      <c r="HEU112" s="139"/>
      <c r="HEV112" s="139"/>
      <c r="HEW112" s="139"/>
      <c r="HEX112" s="139"/>
      <c r="HEY112" s="139"/>
      <c r="HEZ112" s="139"/>
      <c r="HFA112" s="139"/>
      <c r="HFB112" s="139"/>
      <c r="HFC112" s="139"/>
      <c r="HFD112" s="139"/>
      <c r="HFE112" s="139"/>
      <c r="HFF112" s="139"/>
      <c r="HFG112" s="139"/>
      <c r="HFH112" s="139"/>
      <c r="HFI112" s="139"/>
      <c r="HFJ112" s="139"/>
      <c r="HFK112" s="139"/>
      <c r="HFL112" s="139"/>
      <c r="HFM112" s="139"/>
      <c r="HFN112" s="139"/>
      <c r="HFO112" s="139"/>
      <c r="HFP112" s="139"/>
      <c r="HFQ112" s="139"/>
      <c r="HFR112" s="139"/>
      <c r="HFS112" s="139"/>
      <c r="HFT112" s="139"/>
      <c r="HFU112" s="139"/>
      <c r="HFV112" s="139"/>
      <c r="HFW112" s="139"/>
      <c r="HFX112" s="139"/>
      <c r="HFY112" s="139"/>
      <c r="HFZ112" s="139"/>
      <c r="HGA112" s="139"/>
      <c r="HGB112" s="139"/>
      <c r="HGC112" s="139"/>
      <c r="HGD112" s="139"/>
      <c r="HGE112" s="139"/>
      <c r="HGF112" s="139"/>
      <c r="HGG112" s="139"/>
      <c r="HGH112" s="139"/>
      <c r="HGI112" s="139"/>
      <c r="HGJ112" s="139"/>
      <c r="HGK112" s="139"/>
      <c r="HGL112" s="139"/>
      <c r="HGM112" s="139"/>
      <c r="HGN112" s="139"/>
      <c r="HGO112" s="139"/>
      <c r="HGP112" s="139"/>
      <c r="HGQ112" s="139"/>
      <c r="HGR112" s="139"/>
      <c r="HGS112" s="139"/>
      <c r="HGT112" s="139"/>
      <c r="HGU112" s="139"/>
      <c r="HGV112" s="139"/>
      <c r="HGW112" s="139"/>
      <c r="HGX112" s="139"/>
      <c r="HGY112" s="139"/>
      <c r="HGZ112" s="139"/>
      <c r="HHA112" s="139"/>
      <c r="HHB112" s="139"/>
      <c r="HHC112" s="139"/>
      <c r="HHD112" s="139"/>
      <c r="HHE112" s="139"/>
      <c r="HHF112" s="139"/>
      <c r="HHG112" s="139"/>
      <c r="HHH112" s="139"/>
      <c r="HHI112" s="139"/>
      <c r="HHJ112" s="139"/>
      <c r="HHK112" s="139"/>
      <c r="HHL112" s="139"/>
      <c r="HHM112" s="139"/>
      <c r="HHN112" s="139"/>
      <c r="HHO112" s="139"/>
      <c r="HHP112" s="139"/>
      <c r="HHQ112" s="139"/>
      <c r="HHR112" s="139"/>
      <c r="HHS112" s="139"/>
      <c r="HHT112" s="139"/>
      <c r="HHU112" s="139"/>
      <c r="HHV112" s="139"/>
      <c r="HHW112" s="139"/>
      <c r="HHX112" s="139"/>
      <c r="HHY112" s="139"/>
      <c r="HHZ112" s="139"/>
      <c r="HIA112" s="139"/>
      <c r="HIB112" s="139"/>
      <c r="HIC112" s="139"/>
      <c r="HID112" s="139"/>
      <c r="HIE112" s="139"/>
      <c r="HIF112" s="139"/>
      <c r="HIG112" s="139"/>
      <c r="HIH112" s="139"/>
      <c r="HII112" s="139"/>
      <c r="HIJ112" s="139"/>
      <c r="HIK112" s="139"/>
      <c r="HIL112" s="139"/>
      <c r="HIM112" s="139"/>
      <c r="HIN112" s="139"/>
      <c r="HIO112" s="139"/>
      <c r="HIP112" s="139"/>
      <c r="HIQ112" s="139"/>
      <c r="HIR112" s="139"/>
      <c r="HIS112" s="139"/>
      <c r="HIT112" s="139"/>
      <c r="HIU112" s="139"/>
      <c r="HIV112" s="139"/>
      <c r="HIW112" s="139"/>
      <c r="HIX112" s="139"/>
      <c r="HIY112" s="139"/>
      <c r="HIZ112" s="139"/>
      <c r="HJA112" s="139"/>
      <c r="HJB112" s="139"/>
      <c r="HJC112" s="139"/>
      <c r="HJD112" s="139"/>
      <c r="HJE112" s="139"/>
      <c r="HJF112" s="139"/>
      <c r="HJG112" s="139"/>
      <c r="HJH112" s="139"/>
      <c r="HJI112" s="139"/>
      <c r="HJJ112" s="139"/>
      <c r="HJK112" s="139"/>
      <c r="HJL112" s="139"/>
      <c r="HJM112" s="139"/>
      <c r="HJN112" s="139"/>
      <c r="HJO112" s="139"/>
      <c r="HJP112" s="139"/>
      <c r="HJQ112" s="139"/>
      <c r="HJR112" s="139"/>
      <c r="HJS112" s="139"/>
      <c r="HJT112" s="139"/>
      <c r="HJU112" s="139"/>
      <c r="HJV112" s="139"/>
      <c r="HJW112" s="139"/>
      <c r="HJX112" s="139"/>
      <c r="HJY112" s="139"/>
      <c r="HJZ112" s="139"/>
      <c r="HKA112" s="139"/>
      <c r="HKB112" s="139"/>
      <c r="HKC112" s="139"/>
      <c r="HKD112" s="139"/>
      <c r="HKE112" s="139"/>
      <c r="HKF112" s="139"/>
      <c r="HKG112" s="139"/>
      <c r="HKH112" s="139"/>
      <c r="HKI112" s="139"/>
      <c r="HKJ112" s="139"/>
      <c r="HKK112" s="139"/>
      <c r="HKL112" s="139"/>
      <c r="HKM112" s="139"/>
      <c r="HKN112" s="139"/>
      <c r="HKO112" s="139"/>
      <c r="HKP112" s="139"/>
      <c r="HKQ112" s="139"/>
      <c r="HKR112" s="139"/>
      <c r="HKS112" s="139"/>
      <c r="HKT112" s="139"/>
      <c r="HKU112" s="139"/>
      <c r="HKV112" s="139"/>
      <c r="HKW112" s="139"/>
      <c r="HKX112" s="139"/>
      <c r="HKY112" s="139"/>
      <c r="HKZ112" s="139"/>
      <c r="HLA112" s="139"/>
      <c r="HLB112" s="139"/>
      <c r="HLC112" s="139"/>
      <c r="HLD112" s="139"/>
      <c r="HLE112" s="139"/>
      <c r="HLF112" s="139"/>
      <c r="HLG112" s="139"/>
      <c r="HLH112" s="139"/>
      <c r="HLI112" s="139"/>
      <c r="HLJ112" s="139"/>
      <c r="HLK112" s="139"/>
      <c r="HLL112" s="139"/>
      <c r="HLM112" s="139"/>
      <c r="HLN112" s="139"/>
      <c r="HLO112" s="139"/>
      <c r="HLP112" s="139"/>
      <c r="HLQ112" s="139"/>
      <c r="HLR112" s="139"/>
      <c r="HLS112" s="139"/>
      <c r="HLT112" s="139"/>
      <c r="HLU112" s="139"/>
      <c r="HLV112" s="139"/>
      <c r="HLW112" s="139"/>
      <c r="HLX112" s="139"/>
      <c r="HLY112" s="139"/>
      <c r="HLZ112" s="139"/>
      <c r="HMA112" s="139"/>
      <c r="HMB112" s="139"/>
      <c r="HMC112" s="139"/>
      <c r="HMD112" s="139"/>
      <c r="HME112" s="139"/>
      <c r="HMF112" s="139"/>
      <c r="HMG112" s="139"/>
      <c r="HMH112" s="139"/>
      <c r="HMI112" s="139"/>
      <c r="HMJ112" s="139"/>
      <c r="HMK112" s="139"/>
      <c r="HML112" s="139"/>
      <c r="HMM112" s="139"/>
      <c r="HMN112" s="139"/>
      <c r="HMO112" s="139"/>
      <c r="HMP112" s="139"/>
      <c r="HMQ112" s="139"/>
      <c r="HMR112" s="139"/>
      <c r="HMS112" s="139"/>
      <c r="HMT112" s="139"/>
      <c r="HMU112" s="139"/>
      <c r="HMV112" s="139"/>
      <c r="HMW112" s="139"/>
      <c r="HMX112" s="139"/>
      <c r="HMY112" s="139"/>
      <c r="HMZ112" s="139"/>
      <c r="HNA112" s="139"/>
      <c r="HNB112" s="139"/>
      <c r="HNC112" s="139"/>
      <c r="HND112" s="139"/>
      <c r="HNE112" s="139"/>
      <c r="HNF112" s="139"/>
      <c r="HNG112" s="139"/>
      <c r="HNH112" s="139"/>
      <c r="HNI112" s="139"/>
      <c r="HNJ112" s="139"/>
      <c r="HNK112" s="139"/>
      <c r="HNL112" s="139"/>
      <c r="HNM112" s="139"/>
      <c r="HNN112" s="139"/>
      <c r="HNO112" s="139"/>
      <c r="HNP112" s="139"/>
      <c r="HNQ112" s="139"/>
      <c r="HNR112" s="139"/>
      <c r="HNS112" s="139"/>
      <c r="HNT112" s="139"/>
      <c r="HNU112" s="139"/>
      <c r="HNV112" s="139"/>
      <c r="HNW112" s="139"/>
      <c r="HNX112" s="139"/>
      <c r="HNY112" s="139"/>
      <c r="HNZ112" s="139"/>
      <c r="HOA112" s="139"/>
      <c r="HOB112" s="139"/>
      <c r="HOC112" s="139"/>
      <c r="HOD112" s="139"/>
      <c r="HOE112" s="139"/>
      <c r="HOF112" s="139"/>
      <c r="HOG112" s="139"/>
      <c r="HOH112" s="139"/>
      <c r="HOI112" s="139"/>
      <c r="HOJ112" s="139"/>
      <c r="HOK112" s="139"/>
      <c r="HOL112" s="139"/>
      <c r="HOM112" s="139"/>
      <c r="HON112" s="139"/>
      <c r="HOO112" s="139"/>
      <c r="HOP112" s="139"/>
      <c r="HOQ112" s="139"/>
      <c r="HOR112" s="139"/>
      <c r="HOS112" s="139"/>
      <c r="HOT112" s="139"/>
      <c r="HOU112" s="139"/>
      <c r="HOV112" s="139"/>
      <c r="HOW112" s="139"/>
      <c r="HOX112" s="139"/>
      <c r="HOY112" s="139"/>
      <c r="HOZ112" s="139"/>
      <c r="HPA112" s="139"/>
      <c r="HPB112" s="139"/>
      <c r="HPC112" s="139"/>
      <c r="HPD112" s="139"/>
      <c r="HPE112" s="139"/>
      <c r="HPF112" s="139"/>
      <c r="HPG112" s="139"/>
      <c r="HPH112" s="139"/>
      <c r="HPI112" s="139"/>
      <c r="HPJ112" s="139"/>
      <c r="HPK112" s="139"/>
      <c r="HPL112" s="139"/>
      <c r="HPM112" s="139"/>
      <c r="HPN112" s="139"/>
      <c r="HPO112" s="139"/>
      <c r="HPP112" s="139"/>
      <c r="HPQ112" s="139"/>
      <c r="HPR112" s="139"/>
      <c r="HPS112" s="139"/>
      <c r="HPT112" s="139"/>
      <c r="HPU112" s="139"/>
      <c r="HPV112" s="139"/>
      <c r="HPW112" s="139"/>
      <c r="HPX112" s="139"/>
      <c r="HPY112" s="139"/>
      <c r="HPZ112" s="139"/>
      <c r="HQA112" s="139"/>
      <c r="HQB112" s="139"/>
      <c r="HQC112" s="139"/>
      <c r="HQD112" s="139"/>
      <c r="HQE112" s="139"/>
      <c r="HQF112" s="139"/>
      <c r="HQG112" s="139"/>
      <c r="HQH112" s="139"/>
      <c r="HQI112" s="139"/>
      <c r="HQJ112" s="139"/>
      <c r="HQK112" s="139"/>
      <c r="HQL112" s="139"/>
      <c r="HQM112" s="139"/>
      <c r="HQN112" s="139"/>
      <c r="HQO112" s="139"/>
      <c r="HQP112" s="139"/>
      <c r="HQQ112" s="139"/>
      <c r="HQR112" s="139"/>
      <c r="HQS112" s="139"/>
      <c r="HQT112" s="139"/>
      <c r="HQU112" s="139"/>
      <c r="HQV112" s="139"/>
      <c r="HQW112" s="139"/>
      <c r="HQX112" s="139"/>
      <c r="HQY112" s="139"/>
      <c r="HQZ112" s="139"/>
      <c r="HRA112" s="139"/>
      <c r="HRB112" s="139"/>
      <c r="HRC112" s="139"/>
      <c r="HRD112" s="139"/>
      <c r="HRE112" s="139"/>
      <c r="HRF112" s="139"/>
      <c r="HRG112" s="139"/>
      <c r="HRH112" s="139"/>
      <c r="HRI112" s="139"/>
      <c r="HRJ112" s="139"/>
      <c r="HRK112" s="139"/>
      <c r="HRL112" s="139"/>
      <c r="HRM112" s="139"/>
      <c r="HRN112" s="139"/>
      <c r="HRO112" s="139"/>
      <c r="HRP112" s="139"/>
      <c r="HRQ112" s="139"/>
      <c r="HRR112" s="139"/>
      <c r="HRS112" s="139"/>
      <c r="HRT112" s="139"/>
      <c r="HRU112" s="139"/>
      <c r="HRV112" s="139"/>
      <c r="HRW112" s="139"/>
      <c r="HRX112" s="139"/>
      <c r="HRY112" s="139"/>
      <c r="HRZ112" s="139"/>
      <c r="HSA112" s="139"/>
      <c r="HSB112" s="139"/>
      <c r="HSC112" s="139"/>
      <c r="HSD112" s="139"/>
      <c r="HSE112" s="139"/>
      <c r="HSF112" s="139"/>
      <c r="HSG112" s="139"/>
      <c r="HSH112" s="139"/>
      <c r="HSI112" s="139"/>
      <c r="HSJ112" s="139"/>
      <c r="HSK112" s="139"/>
      <c r="HSL112" s="139"/>
      <c r="HSM112" s="139"/>
      <c r="HSN112" s="139"/>
      <c r="HSO112" s="139"/>
      <c r="HSP112" s="139"/>
      <c r="HSQ112" s="139"/>
      <c r="HSR112" s="139"/>
      <c r="HSS112" s="139"/>
      <c r="HST112" s="139"/>
      <c r="HSU112" s="139"/>
      <c r="HSV112" s="139"/>
      <c r="HSW112" s="139"/>
      <c r="HSX112" s="139"/>
      <c r="HSY112" s="139"/>
      <c r="HSZ112" s="139"/>
      <c r="HTA112" s="139"/>
      <c r="HTB112" s="139"/>
      <c r="HTC112" s="139"/>
      <c r="HTD112" s="139"/>
      <c r="HTE112" s="139"/>
      <c r="HTF112" s="139"/>
      <c r="HTG112" s="139"/>
      <c r="HTH112" s="139"/>
      <c r="HTI112" s="139"/>
      <c r="HTJ112" s="139"/>
      <c r="HTK112" s="139"/>
      <c r="HTL112" s="139"/>
      <c r="HTM112" s="139"/>
      <c r="HTN112" s="139"/>
      <c r="HTO112" s="139"/>
      <c r="HTP112" s="139"/>
      <c r="HTQ112" s="139"/>
      <c r="HTR112" s="139"/>
      <c r="HTS112" s="139"/>
      <c r="HTT112" s="139"/>
      <c r="HTU112" s="139"/>
      <c r="HTV112" s="139"/>
      <c r="HTW112" s="139"/>
      <c r="HTX112" s="139"/>
      <c r="HTY112" s="139"/>
      <c r="HTZ112" s="139"/>
      <c r="HUA112" s="139"/>
      <c r="HUB112" s="139"/>
      <c r="HUC112" s="139"/>
      <c r="HUD112" s="139"/>
      <c r="HUE112" s="139"/>
      <c r="HUF112" s="139"/>
      <c r="HUG112" s="139"/>
      <c r="HUH112" s="139"/>
      <c r="HUI112" s="139"/>
      <c r="HUJ112" s="139"/>
      <c r="HUK112" s="139"/>
      <c r="HUL112" s="139"/>
      <c r="HUM112" s="139"/>
      <c r="HUN112" s="139"/>
      <c r="HUO112" s="139"/>
      <c r="HUP112" s="139"/>
      <c r="HUQ112" s="139"/>
      <c r="HUR112" s="139"/>
      <c r="HUS112" s="139"/>
      <c r="HUT112" s="139"/>
      <c r="HUU112" s="139"/>
      <c r="HUV112" s="139"/>
      <c r="HUW112" s="139"/>
      <c r="HUX112" s="139"/>
      <c r="HUY112" s="139"/>
      <c r="HUZ112" s="139"/>
      <c r="HVA112" s="139"/>
      <c r="HVB112" s="139"/>
      <c r="HVC112" s="139"/>
      <c r="HVD112" s="139"/>
      <c r="HVE112" s="139"/>
      <c r="HVF112" s="139"/>
      <c r="HVG112" s="139"/>
      <c r="HVH112" s="139"/>
      <c r="HVI112" s="139"/>
      <c r="HVJ112" s="139"/>
      <c r="HVK112" s="139"/>
      <c r="HVL112" s="139"/>
      <c r="HVM112" s="139"/>
      <c r="HVN112" s="139"/>
      <c r="HVO112" s="139"/>
      <c r="HVP112" s="139"/>
      <c r="HVQ112" s="139"/>
      <c r="HVR112" s="139"/>
      <c r="HVS112" s="139"/>
      <c r="HVT112" s="139"/>
      <c r="HVU112" s="139"/>
      <c r="HVV112" s="139"/>
      <c r="HVW112" s="139"/>
      <c r="HVX112" s="139"/>
      <c r="HVY112" s="139"/>
      <c r="HVZ112" s="139"/>
      <c r="HWA112" s="139"/>
      <c r="HWB112" s="139"/>
      <c r="HWC112" s="139"/>
      <c r="HWD112" s="139"/>
      <c r="HWE112" s="139"/>
      <c r="HWF112" s="139"/>
      <c r="HWG112" s="139"/>
      <c r="HWH112" s="139"/>
      <c r="HWI112" s="139"/>
      <c r="HWJ112" s="139"/>
      <c r="HWK112" s="139"/>
      <c r="HWL112" s="139"/>
      <c r="HWM112" s="139"/>
      <c r="HWN112" s="139"/>
      <c r="HWO112" s="139"/>
      <c r="HWP112" s="139"/>
      <c r="HWQ112" s="139"/>
      <c r="HWR112" s="139"/>
      <c r="HWS112" s="139"/>
      <c r="HWT112" s="139"/>
      <c r="HWU112" s="139"/>
      <c r="HWV112" s="139"/>
      <c r="HWW112" s="139"/>
      <c r="HWX112" s="139"/>
      <c r="HWY112" s="139"/>
      <c r="HWZ112" s="139"/>
      <c r="HXA112" s="139"/>
      <c r="HXB112" s="139"/>
      <c r="HXC112" s="139"/>
      <c r="HXD112" s="139"/>
      <c r="HXE112" s="139"/>
      <c r="HXF112" s="139"/>
      <c r="HXG112" s="139"/>
      <c r="HXH112" s="139"/>
      <c r="HXI112" s="139"/>
      <c r="HXJ112" s="139"/>
      <c r="HXK112" s="139"/>
      <c r="HXL112" s="139"/>
      <c r="HXM112" s="139"/>
      <c r="HXN112" s="139"/>
      <c r="HXO112" s="139"/>
      <c r="HXP112" s="139"/>
      <c r="HXQ112" s="139"/>
      <c r="HXR112" s="139"/>
      <c r="HXS112" s="139"/>
      <c r="HXT112" s="139"/>
      <c r="HXU112" s="139"/>
      <c r="HXV112" s="139"/>
      <c r="HXW112" s="139"/>
      <c r="HXX112" s="139"/>
      <c r="HXY112" s="139"/>
      <c r="HXZ112" s="139"/>
      <c r="HYA112" s="139"/>
      <c r="HYB112" s="139"/>
      <c r="HYC112" s="139"/>
      <c r="HYD112" s="139"/>
      <c r="HYE112" s="139"/>
      <c r="HYF112" s="139"/>
      <c r="HYG112" s="139"/>
      <c r="HYH112" s="139"/>
      <c r="HYI112" s="139"/>
      <c r="HYJ112" s="139"/>
      <c r="HYK112" s="139"/>
      <c r="HYL112" s="139"/>
      <c r="HYM112" s="139"/>
      <c r="HYN112" s="139"/>
      <c r="HYO112" s="139"/>
      <c r="HYP112" s="139"/>
      <c r="HYQ112" s="139"/>
      <c r="HYR112" s="139"/>
      <c r="HYS112" s="139"/>
      <c r="HYT112" s="139"/>
      <c r="HYU112" s="139"/>
      <c r="HYV112" s="139"/>
      <c r="HYW112" s="139"/>
      <c r="HYX112" s="139"/>
      <c r="HYY112" s="139"/>
      <c r="HYZ112" s="139"/>
      <c r="HZA112" s="139"/>
      <c r="HZB112" s="139"/>
      <c r="HZC112" s="139"/>
      <c r="HZD112" s="139"/>
      <c r="HZE112" s="139"/>
      <c r="HZF112" s="139"/>
      <c r="HZG112" s="139"/>
      <c r="HZH112" s="139"/>
      <c r="HZI112" s="139"/>
      <c r="HZJ112" s="139"/>
      <c r="HZK112" s="139"/>
      <c r="HZL112" s="139"/>
      <c r="HZM112" s="139"/>
      <c r="HZN112" s="139"/>
      <c r="HZO112" s="139"/>
      <c r="HZP112" s="139"/>
      <c r="HZQ112" s="139"/>
      <c r="HZR112" s="139"/>
      <c r="HZS112" s="139"/>
      <c r="HZT112" s="139"/>
      <c r="HZU112" s="139"/>
      <c r="HZV112" s="139"/>
      <c r="HZW112" s="139"/>
      <c r="HZX112" s="139"/>
      <c r="HZY112" s="139"/>
      <c r="HZZ112" s="139"/>
      <c r="IAA112" s="139"/>
      <c r="IAB112" s="139"/>
      <c r="IAC112" s="139"/>
      <c r="IAD112" s="139"/>
      <c r="IAE112" s="139"/>
      <c r="IAF112" s="139"/>
      <c r="IAG112" s="139"/>
      <c r="IAH112" s="139"/>
      <c r="IAI112" s="139"/>
      <c r="IAJ112" s="139"/>
      <c r="IAK112" s="139"/>
      <c r="IAL112" s="139"/>
      <c r="IAM112" s="139"/>
      <c r="IAN112" s="139"/>
      <c r="IAO112" s="139"/>
      <c r="IAP112" s="139"/>
      <c r="IAQ112" s="139"/>
      <c r="IAR112" s="139"/>
      <c r="IAS112" s="139"/>
      <c r="IAT112" s="139"/>
      <c r="IAU112" s="139"/>
      <c r="IAV112" s="139"/>
      <c r="IAW112" s="139"/>
      <c r="IAX112" s="139"/>
      <c r="IAY112" s="139"/>
      <c r="IAZ112" s="139"/>
      <c r="IBA112" s="139"/>
      <c r="IBB112" s="139"/>
      <c r="IBC112" s="139"/>
      <c r="IBD112" s="139"/>
      <c r="IBE112" s="139"/>
      <c r="IBF112" s="139"/>
      <c r="IBG112" s="139"/>
      <c r="IBH112" s="139"/>
      <c r="IBI112" s="139"/>
      <c r="IBJ112" s="139"/>
      <c r="IBK112" s="139"/>
      <c r="IBL112" s="139"/>
      <c r="IBM112" s="139"/>
      <c r="IBN112" s="139"/>
      <c r="IBO112" s="139"/>
      <c r="IBP112" s="139"/>
      <c r="IBQ112" s="139"/>
      <c r="IBR112" s="139"/>
      <c r="IBS112" s="139"/>
      <c r="IBT112" s="139"/>
      <c r="IBU112" s="139"/>
      <c r="IBV112" s="139"/>
      <c r="IBW112" s="139"/>
      <c r="IBX112" s="139"/>
      <c r="IBY112" s="139"/>
      <c r="IBZ112" s="139"/>
      <c r="ICA112" s="139"/>
      <c r="ICB112" s="139"/>
      <c r="ICC112" s="139"/>
      <c r="ICD112" s="139"/>
      <c r="ICE112" s="139"/>
      <c r="ICF112" s="139"/>
      <c r="ICG112" s="139"/>
      <c r="ICH112" s="139"/>
      <c r="ICI112" s="139"/>
      <c r="ICJ112" s="139"/>
      <c r="ICK112" s="139"/>
      <c r="ICL112" s="139"/>
      <c r="ICM112" s="139"/>
      <c r="ICN112" s="139"/>
      <c r="ICO112" s="139"/>
      <c r="ICP112" s="139"/>
      <c r="ICQ112" s="139"/>
      <c r="ICR112" s="139"/>
      <c r="ICS112" s="139"/>
      <c r="ICT112" s="139"/>
      <c r="ICU112" s="139"/>
      <c r="ICV112" s="139"/>
      <c r="ICW112" s="139"/>
      <c r="ICX112" s="139"/>
      <c r="ICY112" s="139"/>
      <c r="ICZ112" s="139"/>
      <c r="IDA112" s="139"/>
      <c r="IDB112" s="139"/>
      <c r="IDC112" s="139"/>
      <c r="IDD112" s="139"/>
      <c r="IDE112" s="139"/>
      <c r="IDF112" s="139"/>
      <c r="IDG112" s="139"/>
      <c r="IDH112" s="139"/>
      <c r="IDI112" s="139"/>
      <c r="IDJ112" s="139"/>
      <c r="IDK112" s="139"/>
      <c r="IDL112" s="139"/>
      <c r="IDM112" s="139"/>
      <c r="IDN112" s="139"/>
      <c r="IDO112" s="139"/>
      <c r="IDP112" s="139"/>
      <c r="IDQ112" s="139"/>
      <c r="IDR112" s="139"/>
      <c r="IDS112" s="139"/>
      <c r="IDT112" s="139"/>
      <c r="IDU112" s="139"/>
      <c r="IDV112" s="139"/>
      <c r="IDW112" s="139"/>
      <c r="IDX112" s="139"/>
      <c r="IDY112" s="139"/>
      <c r="IDZ112" s="139"/>
      <c r="IEA112" s="139"/>
      <c r="IEB112" s="139"/>
      <c r="IEC112" s="139"/>
      <c r="IED112" s="139"/>
      <c r="IEE112" s="139"/>
      <c r="IEF112" s="139"/>
      <c r="IEG112" s="139"/>
      <c r="IEH112" s="139"/>
      <c r="IEI112" s="139"/>
      <c r="IEJ112" s="139"/>
      <c r="IEK112" s="139"/>
      <c r="IEL112" s="139"/>
      <c r="IEM112" s="139"/>
      <c r="IEN112" s="139"/>
      <c r="IEO112" s="139"/>
      <c r="IEP112" s="139"/>
      <c r="IEQ112" s="139"/>
      <c r="IER112" s="139"/>
      <c r="IES112" s="139"/>
      <c r="IET112" s="139"/>
      <c r="IEU112" s="139"/>
      <c r="IEV112" s="139"/>
      <c r="IEW112" s="139"/>
      <c r="IEX112" s="139"/>
      <c r="IEY112" s="139"/>
      <c r="IEZ112" s="139"/>
      <c r="IFA112" s="139"/>
      <c r="IFB112" s="139"/>
      <c r="IFC112" s="139"/>
      <c r="IFD112" s="139"/>
      <c r="IFE112" s="139"/>
      <c r="IFF112" s="139"/>
      <c r="IFG112" s="139"/>
      <c r="IFH112" s="139"/>
      <c r="IFI112" s="139"/>
      <c r="IFJ112" s="139"/>
      <c r="IFK112" s="139"/>
      <c r="IFL112" s="139"/>
      <c r="IFM112" s="139"/>
      <c r="IFN112" s="139"/>
      <c r="IFO112" s="139"/>
      <c r="IFP112" s="139"/>
      <c r="IFQ112" s="139"/>
      <c r="IFR112" s="139"/>
      <c r="IFS112" s="139"/>
      <c r="IFT112" s="139"/>
      <c r="IFU112" s="139"/>
      <c r="IFV112" s="139"/>
      <c r="IFW112" s="139"/>
      <c r="IFX112" s="139"/>
      <c r="IFY112" s="139"/>
      <c r="IFZ112" s="139"/>
      <c r="IGA112" s="139"/>
      <c r="IGB112" s="139"/>
      <c r="IGC112" s="139"/>
      <c r="IGD112" s="139"/>
      <c r="IGE112" s="139"/>
      <c r="IGF112" s="139"/>
      <c r="IGG112" s="139"/>
      <c r="IGH112" s="139"/>
      <c r="IGI112" s="139"/>
      <c r="IGJ112" s="139"/>
      <c r="IGK112" s="139"/>
      <c r="IGL112" s="139"/>
      <c r="IGM112" s="139"/>
      <c r="IGN112" s="139"/>
      <c r="IGO112" s="139"/>
      <c r="IGP112" s="139"/>
      <c r="IGQ112" s="139"/>
      <c r="IGR112" s="139"/>
      <c r="IGS112" s="139"/>
      <c r="IGT112" s="139"/>
      <c r="IGU112" s="139"/>
      <c r="IGV112" s="139"/>
      <c r="IGW112" s="139"/>
      <c r="IGX112" s="139"/>
      <c r="IGY112" s="139"/>
      <c r="IGZ112" s="139"/>
      <c r="IHA112" s="139"/>
      <c r="IHB112" s="139"/>
      <c r="IHC112" s="139"/>
      <c r="IHD112" s="139"/>
      <c r="IHE112" s="139"/>
      <c r="IHF112" s="139"/>
      <c r="IHG112" s="139"/>
      <c r="IHH112" s="139"/>
      <c r="IHI112" s="139"/>
      <c r="IHJ112" s="139"/>
      <c r="IHK112" s="139"/>
      <c r="IHL112" s="139"/>
      <c r="IHM112" s="139"/>
      <c r="IHN112" s="139"/>
      <c r="IHO112" s="139"/>
      <c r="IHP112" s="139"/>
      <c r="IHQ112" s="139"/>
      <c r="IHR112" s="139"/>
      <c r="IHS112" s="139"/>
      <c r="IHT112" s="139"/>
      <c r="IHU112" s="139"/>
      <c r="IHV112" s="139"/>
      <c r="IHW112" s="139"/>
      <c r="IHX112" s="139"/>
      <c r="IHY112" s="139"/>
      <c r="IHZ112" s="139"/>
      <c r="IIA112" s="139"/>
      <c r="IIB112" s="139"/>
      <c r="IIC112" s="139"/>
      <c r="IID112" s="139"/>
      <c r="IIE112" s="139"/>
      <c r="IIF112" s="139"/>
      <c r="IIG112" s="139"/>
      <c r="IIH112" s="139"/>
      <c r="III112" s="139"/>
      <c r="IIJ112" s="139"/>
      <c r="IIK112" s="139"/>
      <c r="IIL112" s="139"/>
      <c r="IIM112" s="139"/>
      <c r="IIN112" s="139"/>
      <c r="IIO112" s="139"/>
      <c r="IIP112" s="139"/>
      <c r="IIQ112" s="139"/>
      <c r="IIR112" s="139"/>
      <c r="IIS112" s="139"/>
      <c r="IIT112" s="139"/>
      <c r="IIU112" s="139"/>
      <c r="IIV112" s="139"/>
      <c r="IIW112" s="139"/>
      <c r="IIX112" s="139"/>
      <c r="IIY112" s="139"/>
      <c r="IIZ112" s="139"/>
      <c r="IJA112" s="139"/>
      <c r="IJB112" s="139"/>
      <c r="IJC112" s="139"/>
      <c r="IJD112" s="139"/>
      <c r="IJE112" s="139"/>
      <c r="IJF112" s="139"/>
      <c r="IJG112" s="139"/>
      <c r="IJH112" s="139"/>
      <c r="IJI112" s="139"/>
      <c r="IJJ112" s="139"/>
      <c r="IJK112" s="139"/>
      <c r="IJL112" s="139"/>
      <c r="IJM112" s="139"/>
      <c r="IJN112" s="139"/>
      <c r="IJO112" s="139"/>
      <c r="IJP112" s="139"/>
      <c r="IJQ112" s="139"/>
      <c r="IJR112" s="139"/>
      <c r="IJS112" s="139"/>
      <c r="IJT112" s="139"/>
      <c r="IJU112" s="139"/>
      <c r="IJV112" s="139"/>
      <c r="IJW112" s="139"/>
      <c r="IJX112" s="139"/>
      <c r="IJY112" s="139"/>
      <c r="IJZ112" s="139"/>
      <c r="IKA112" s="139"/>
      <c r="IKB112" s="139"/>
      <c r="IKC112" s="139"/>
      <c r="IKD112" s="139"/>
      <c r="IKE112" s="139"/>
      <c r="IKF112" s="139"/>
      <c r="IKG112" s="139"/>
      <c r="IKH112" s="139"/>
      <c r="IKI112" s="139"/>
      <c r="IKJ112" s="139"/>
      <c r="IKK112" s="139"/>
      <c r="IKL112" s="139"/>
      <c r="IKM112" s="139"/>
      <c r="IKN112" s="139"/>
      <c r="IKO112" s="139"/>
      <c r="IKP112" s="139"/>
      <c r="IKQ112" s="139"/>
      <c r="IKR112" s="139"/>
      <c r="IKS112" s="139"/>
      <c r="IKT112" s="139"/>
      <c r="IKU112" s="139"/>
      <c r="IKV112" s="139"/>
      <c r="IKW112" s="139"/>
      <c r="IKX112" s="139"/>
      <c r="IKY112" s="139"/>
      <c r="IKZ112" s="139"/>
      <c r="ILA112" s="139"/>
      <c r="ILB112" s="139"/>
      <c r="ILC112" s="139"/>
      <c r="ILD112" s="139"/>
      <c r="ILE112" s="139"/>
      <c r="ILF112" s="139"/>
      <c r="ILG112" s="139"/>
      <c r="ILH112" s="139"/>
      <c r="ILI112" s="139"/>
      <c r="ILJ112" s="139"/>
      <c r="ILK112" s="139"/>
      <c r="ILL112" s="139"/>
      <c r="ILM112" s="139"/>
      <c r="ILN112" s="139"/>
      <c r="ILO112" s="139"/>
      <c r="ILP112" s="139"/>
      <c r="ILQ112" s="139"/>
      <c r="ILR112" s="139"/>
      <c r="ILS112" s="139"/>
      <c r="ILT112" s="139"/>
      <c r="ILU112" s="139"/>
      <c r="ILV112" s="139"/>
      <c r="ILW112" s="139"/>
      <c r="ILX112" s="139"/>
      <c r="ILY112" s="139"/>
      <c r="ILZ112" s="139"/>
      <c r="IMA112" s="139"/>
      <c r="IMB112" s="139"/>
      <c r="IMC112" s="139"/>
      <c r="IMD112" s="139"/>
      <c r="IME112" s="139"/>
      <c r="IMF112" s="139"/>
      <c r="IMG112" s="139"/>
      <c r="IMH112" s="139"/>
      <c r="IMI112" s="139"/>
      <c r="IMJ112" s="139"/>
      <c r="IMK112" s="139"/>
      <c r="IML112" s="139"/>
      <c r="IMM112" s="139"/>
      <c r="IMN112" s="139"/>
      <c r="IMO112" s="139"/>
      <c r="IMP112" s="139"/>
      <c r="IMQ112" s="139"/>
      <c r="IMR112" s="139"/>
      <c r="IMS112" s="139"/>
      <c r="IMT112" s="139"/>
      <c r="IMU112" s="139"/>
      <c r="IMV112" s="139"/>
      <c r="IMW112" s="139"/>
      <c r="IMX112" s="139"/>
      <c r="IMY112" s="139"/>
      <c r="IMZ112" s="139"/>
      <c r="INA112" s="139"/>
      <c r="INB112" s="139"/>
      <c r="INC112" s="139"/>
      <c r="IND112" s="139"/>
      <c r="INE112" s="139"/>
      <c r="INF112" s="139"/>
      <c r="ING112" s="139"/>
      <c r="INH112" s="139"/>
      <c r="INI112" s="139"/>
      <c r="INJ112" s="139"/>
      <c r="INK112" s="139"/>
      <c r="INL112" s="139"/>
      <c r="INM112" s="139"/>
      <c r="INN112" s="139"/>
      <c r="INO112" s="139"/>
      <c r="INP112" s="139"/>
      <c r="INQ112" s="139"/>
      <c r="INR112" s="139"/>
      <c r="INS112" s="139"/>
      <c r="INT112" s="139"/>
      <c r="INU112" s="139"/>
      <c r="INV112" s="139"/>
      <c r="INW112" s="139"/>
      <c r="INX112" s="139"/>
      <c r="INY112" s="139"/>
      <c r="INZ112" s="139"/>
      <c r="IOA112" s="139"/>
      <c r="IOB112" s="139"/>
      <c r="IOC112" s="139"/>
      <c r="IOD112" s="139"/>
      <c r="IOE112" s="139"/>
      <c r="IOF112" s="139"/>
      <c r="IOG112" s="139"/>
      <c r="IOH112" s="139"/>
      <c r="IOI112" s="139"/>
      <c r="IOJ112" s="139"/>
      <c r="IOK112" s="139"/>
      <c r="IOL112" s="139"/>
      <c r="IOM112" s="139"/>
      <c r="ION112" s="139"/>
      <c r="IOO112" s="139"/>
      <c r="IOP112" s="139"/>
      <c r="IOQ112" s="139"/>
      <c r="IOR112" s="139"/>
      <c r="IOS112" s="139"/>
      <c r="IOT112" s="139"/>
      <c r="IOU112" s="139"/>
      <c r="IOV112" s="139"/>
      <c r="IOW112" s="139"/>
      <c r="IOX112" s="139"/>
      <c r="IOY112" s="139"/>
      <c r="IOZ112" s="139"/>
      <c r="IPA112" s="139"/>
      <c r="IPB112" s="139"/>
      <c r="IPC112" s="139"/>
      <c r="IPD112" s="139"/>
      <c r="IPE112" s="139"/>
      <c r="IPF112" s="139"/>
      <c r="IPG112" s="139"/>
      <c r="IPH112" s="139"/>
      <c r="IPI112" s="139"/>
      <c r="IPJ112" s="139"/>
      <c r="IPK112" s="139"/>
      <c r="IPL112" s="139"/>
      <c r="IPM112" s="139"/>
      <c r="IPN112" s="139"/>
      <c r="IPO112" s="139"/>
      <c r="IPP112" s="139"/>
      <c r="IPQ112" s="139"/>
      <c r="IPR112" s="139"/>
      <c r="IPS112" s="139"/>
      <c r="IPT112" s="139"/>
      <c r="IPU112" s="139"/>
      <c r="IPV112" s="139"/>
      <c r="IPW112" s="139"/>
      <c r="IPX112" s="139"/>
      <c r="IPY112" s="139"/>
      <c r="IPZ112" s="139"/>
      <c r="IQA112" s="139"/>
      <c r="IQB112" s="139"/>
      <c r="IQC112" s="139"/>
      <c r="IQD112" s="139"/>
      <c r="IQE112" s="139"/>
      <c r="IQF112" s="139"/>
      <c r="IQG112" s="139"/>
      <c r="IQH112" s="139"/>
      <c r="IQI112" s="139"/>
      <c r="IQJ112" s="139"/>
      <c r="IQK112" s="139"/>
      <c r="IQL112" s="139"/>
      <c r="IQM112" s="139"/>
      <c r="IQN112" s="139"/>
      <c r="IQO112" s="139"/>
      <c r="IQP112" s="139"/>
      <c r="IQQ112" s="139"/>
      <c r="IQR112" s="139"/>
      <c r="IQS112" s="139"/>
      <c r="IQT112" s="139"/>
      <c r="IQU112" s="139"/>
      <c r="IQV112" s="139"/>
      <c r="IQW112" s="139"/>
      <c r="IQX112" s="139"/>
      <c r="IQY112" s="139"/>
      <c r="IQZ112" s="139"/>
      <c r="IRA112" s="139"/>
      <c r="IRB112" s="139"/>
      <c r="IRC112" s="139"/>
      <c r="IRD112" s="139"/>
      <c r="IRE112" s="139"/>
      <c r="IRF112" s="139"/>
      <c r="IRG112" s="139"/>
      <c r="IRH112" s="139"/>
      <c r="IRI112" s="139"/>
      <c r="IRJ112" s="139"/>
      <c r="IRK112" s="139"/>
      <c r="IRL112" s="139"/>
      <c r="IRM112" s="139"/>
      <c r="IRN112" s="139"/>
      <c r="IRO112" s="139"/>
      <c r="IRP112" s="139"/>
      <c r="IRQ112" s="139"/>
      <c r="IRR112" s="139"/>
      <c r="IRS112" s="139"/>
      <c r="IRT112" s="139"/>
      <c r="IRU112" s="139"/>
      <c r="IRV112" s="139"/>
      <c r="IRW112" s="139"/>
      <c r="IRX112" s="139"/>
      <c r="IRY112" s="139"/>
      <c r="IRZ112" s="139"/>
      <c r="ISA112" s="139"/>
      <c r="ISB112" s="139"/>
      <c r="ISC112" s="139"/>
      <c r="ISD112" s="139"/>
      <c r="ISE112" s="139"/>
      <c r="ISF112" s="139"/>
      <c r="ISG112" s="139"/>
      <c r="ISH112" s="139"/>
      <c r="ISI112" s="139"/>
      <c r="ISJ112" s="139"/>
      <c r="ISK112" s="139"/>
      <c r="ISL112" s="139"/>
      <c r="ISM112" s="139"/>
      <c r="ISN112" s="139"/>
      <c r="ISO112" s="139"/>
      <c r="ISP112" s="139"/>
      <c r="ISQ112" s="139"/>
      <c r="ISR112" s="139"/>
      <c r="ISS112" s="139"/>
      <c r="IST112" s="139"/>
      <c r="ISU112" s="139"/>
      <c r="ISV112" s="139"/>
      <c r="ISW112" s="139"/>
      <c r="ISX112" s="139"/>
      <c r="ISY112" s="139"/>
      <c r="ISZ112" s="139"/>
      <c r="ITA112" s="139"/>
      <c r="ITB112" s="139"/>
      <c r="ITC112" s="139"/>
      <c r="ITD112" s="139"/>
      <c r="ITE112" s="139"/>
      <c r="ITF112" s="139"/>
      <c r="ITG112" s="139"/>
      <c r="ITH112" s="139"/>
      <c r="ITI112" s="139"/>
      <c r="ITJ112" s="139"/>
      <c r="ITK112" s="139"/>
      <c r="ITL112" s="139"/>
      <c r="ITM112" s="139"/>
      <c r="ITN112" s="139"/>
      <c r="ITO112" s="139"/>
      <c r="ITP112" s="139"/>
      <c r="ITQ112" s="139"/>
      <c r="ITR112" s="139"/>
      <c r="ITS112" s="139"/>
      <c r="ITT112" s="139"/>
      <c r="ITU112" s="139"/>
      <c r="ITV112" s="139"/>
      <c r="ITW112" s="139"/>
      <c r="ITX112" s="139"/>
      <c r="ITY112" s="139"/>
      <c r="ITZ112" s="139"/>
      <c r="IUA112" s="139"/>
      <c r="IUB112" s="139"/>
      <c r="IUC112" s="139"/>
      <c r="IUD112" s="139"/>
      <c r="IUE112" s="139"/>
      <c r="IUF112" s="139"/>
      <c r="IUG112" s="139"/>
      <c r="IUH112" s="139"/>
      <c r="IUI112" s="139"/>
      <c r="IUJ112" s="139"/>
      <c r="IUK112" s="139"/>
      <c r="IUL112" s="139"/>
      <c r="IUM112" s="139"/>
      <c r="IUN112" s="139"/>
      <c r="IUO112" s="139"/>
      <c r="IUP112" s="139"/>
      <c r="IUQ112" s="139"/>
      <c r="IUR112" s="139"/>
      <c r="IUS112" s="139"/>
      <c r="IUT112" s="139"/>
      <c r="IUU112" s="139"/>
      <c r="IUV112" s="139"/>
      <c r="IUW112" s="139"/>
      <c r="IUX112" s="139"/>
      <c r="IUY112" s="139"/>
      <c r="IUZ112" s="139"/>
      <c r="IVA112" s="139"/>
      <c r="IVB112" s="139"/>
      <c r="IVC112" s="139"/>
      <c r="IVD112" s="139"/>
      <c r="IVE112" s="139"/>
      <c r="IVF112" s="139"/>
      <c r="IVG112" s="139"/>
      <c r="IVH112" s="139"/>
      <c r="IVI112" s="139"/>
      <c r="IVJ112" s="139"/>
      <c r="IVK112" s="139"/>
      <c r="IVL112" s="139"/>
      <c r="IVM112" s="139"/>
      <c r="IVN112" s="139"/>
      <c r="IVO112" s="139"/>
      <c r="IVP112" s="139"/>
      <c r="IVQ112" s="139"/>
      <c r="IVR112" s="139"/>
      <c r="IVS112" s="139"/>
      <c r="IVT112" s="139"/>
      <c r="IVU112" s="139"/>
      <c r="IVV112" s="139"/>
      <c r="IVW112" s="139"/>
      <c r="IVX112" s="139"/>
      <c r="IVY112" s="139"/>
      <c r="IVZ112" s="139"/>
      <c r="IWA112" s="139"/>
      <c r="IWB112" s="139"/>
      <c r="IWC112" s="139"/>
      <c r="IWD112" s="139"/>
      <c r="IWE112" s="139"/>
      <c r="IWF112" s="139"/>
      <c r="IWG112" s="139"/>
      <c r="IWH112" s="139"/>
      <c r="IWI112" s="139"/>
      <c r="IWJ112" s="139"/>
      <c r="IWK112" s="139"/>
      <c r="IWL112" s="139"/>
      <c r="IWM112" s="139"/>
      <c r="IWN112" s="139"/>
      <c r="IWO112" s="139"/>
      <c r="IWP112" s="139"/>
      <c r="IWQ112" s="139"/>
      <c r="IWR112" s="139"/>
      <c r="IWS112" s="139"/>
      <c r="IWT112" s="139"/>
      <c r="IWU112" s="139"/>
      <c r="IWV112" s="139"/>
      <c r="IWW112" s="139"/>
      <c r="IWX112" s="139"/>
      <c r="IWY112" s="139"/>
      <c r="IWZ112" s="139"/>
      <c r="IXA112" s="139"/>
      <c r="IXB112" s="139"/>
      <c r="IXC112" s="139"/>
      <c r="IXD112" s="139"/>
      <c r="IXE112" s="139"/>
      <c r="IXF112" s="139"/>
      <c r="IXG112" s="139"/>
      <c r="IXH112" s="139"/>
      <c r="IXI112" s="139"/>
      <c r="IXJ112" s="139"/>
      <c r="IXK112" s="139"/>
      <c r="IXL112" s="139"/>
      <c r="IXM112" s="139"/>
      <c r="IXN112" s="139"/>
      <c r="IXO112" s="139"/>
      <c r="IXP112" s="139"/>
      <c r="IXQ112" s="139"/>
      <c r="IXR112" s="139"/>
      <c r="IXS112" s="139"/>
      <c r="IXT112" s="139"/>
      <c r="IXU112" s="139"/>
      <c r="IXV112" s="139"/>
      <c r="IXW112" s="139"/>
      <c r="IXX112" s="139"/>
      <c r="IXY112" s="139"/>
      <c r="IXZ112" s="139"/>
      <c r="IYA112" s="139"/>
      <c r="IYB112" s="139"/>
      <c r="IYC112" s="139"/>
      <c r="IYD112" s="139"/>
      <c r="IYE112" s="139"/>
      <c r="IYF112" s="139"/>
      <c r="IYG112" s="139"/>
      <c r="IYH112" s="139"/>
      <c r="IYI112" s="139"/>
      <c r="IYJ112" s="139"/>
      <c r="IYK112" s="139"/>
      <c r="IYL112" s="139"/>
      <c r="IYM112" s="139"/>
      <c r="IYN112" s="139"/>
      <c r="IYO112" s="139"/>
      <c r="IYP112" s="139"/>
      <c r="IYQ112" s="139"/>
      <c r="IYR112" s="139"/>
      <c r="IYS112" s="139"/>
      <c r="IYT112" s="139"/>
      <c r="IYU112" s="139"/>
      <c r="IYV112" s="139"/>
      <c r="IYW112" s="139"/>
      <c r="IYX112" s="139"/>
      <c r="IYY112" s="139"/>
      <c r="IYZ112" s="139"/>
      <c r="IZA112" s="139"/>
      <c r="IZB112" s="139"/>
      <c r="IZC112" s="139"/>
      <c r="IZD112" s="139"/>
      <c r="IZE112" s="139"/>
      <c r="IZF112" s="139"/>
      <c r="IZG112" s="139"/>
      <c r="IZH112" s="139"/>
      <c r="IZI112" s="139"/>
      <c r="IZJ112" s="139"/>
      <c r="IZK112" s="139"/>
      <c r="IZL112" s="139"/>
      <c r="IZM112" s="139"/>
      <c r="IZN112" s="139"/>
      <c r="IZO112" s="139"/>
      <c r="IZP112" s="139"/>
      <c r="IZQ112" s="139"/>
      <c r="IZR112" s="139"/>
      <c r="IZS112" s="139"/>
      <c r="IZT112" s="139"/>
      <c r="IZU112" s="139"/>
      <c r="IZV112" s="139"/>
      <c r="IZW112" s="139"/>
      <c r="IZX112" s="139"/>
      <c r="IZY112" s="139"/>
      <c r="IZZ112" s="139"/>
      <c r="JAA112" s="139"/>
      <c r="JAB112" s="139"/>
      <c r="JAC112" s="139"/>
      <c r="JAD112" s="139"/>
      <c r="JAE112" s="139"/>
      <c r="JAF112" s="139"/>
      <c r="JAG112" s="139"/>
      <c r="JAH112" s="139"/>
      <c r="JAI112" s="139"/>
      <c r="JAJ112" s="139"/>
      <c r="JAK112" s="139"/>
      <c r="JAL112" s="139"/>
      <c r="JAM112" s="139"/>
      <c r="JAN112" s="139"/>
      <c r="JAO112" s="139"/>
      <c r="JAP112" s="139"/>
      <c r="JAQ112" s="139"/>
      <c r="JAR112" s="139"/>
      <c r="JAS112" s="139"/>
      <c r="JAT112" s="139"/>
      <c r="JAU112" s="139"/>
      <c r="JAV112" s="139"/>
      <c r="JAW112" s="139"/>
      <c r="JAX112" s="139"/>
      <c r="JAY112" s="139"/>
      <c r="JAZ112" s="139"/>
      <c r="JBA112" s="139"/>
      <c r="JBB112" s="139"/>
      <c r="JBC112" s="139"/>
      <c r="JBD112" s="139"/>
      <c r="JBE112" s="139"/>
      <c r="JBF112" s="139"/>
      <c r="JBG112" s="139"/>
      <c r="JBH112" s="139"/>
      <c r="JBI112" s="139"/>
      <c r="JBJ112" s="139"/>
      <c r="JBK112" s="139"/>
      <c r="JBL112" s="139"/>
      <c r="JBM112" s="139"/>
      <c r="JBN112" s="139"/>
      <c r="JBO112" s="139"/>
      <c r="JBP112" s="139"/>
      <c r="JBQ112" s="139"/>
      <c r="JBR112" s="139"/>
      <c r="JBS112" s="139"/>
      <c r="JBT112" s="139"/>
      <c r="JBU112" s="139"/>
      <c r="JBV112" s="139"/>
      <c r="JBW112" s="139"/>
      <c r="JBX112" s="139"/>
      <c r="JBY112" s="139"/>
      <c r="JBZ112" s="139"/>
      <c r="JCA112" s="139"/>
      <c r="JCB112" s="139"/>
      <c r="JCC112" s="139"/>
      <c r="JCD112" s="139"/>
      <c r="JCE112" s="139"/>
      <c r="JCF112" s="139"/>
      <c r="JCG112" s="139"/>
      <c r="JCH112" s="139"/>
      <c r="JCI112" s="139"/>
      <c r="JCJ112" s="139"/>
      <c r="JCK112" s="139"/>
      <c r="JCL112" s="139"/>
      <c r="JCM112" s="139"/>
      <c r="JCN112" s="139"/>
      <c r="JCO112" s="139"/>
      <c r="JCP112" s="139"/>
      <c r="JCQ112" s="139"/>
      <c r="JCR112" s="139"/>
      <c r="JCS112" s="139"/>
      <c r="JCT112" s="139"/>
      <c r="JCU112" s="139"/>
      <c r="JCV112" s="139"/>
      <c r="JCW112" s="139"/>
      <c r="JCX112" s="139"/>
      <c r="JCY112" s="139"/>
      <c r="JCZ112" s="139"/>
      <c r="JDA112" s="139"/>
      <c r="JDB112" s="139"/>
      <c r="JDC112" s="139"/>
      <c r="JDD112" s="139"/>
      <c r="JDE112" s="139"/>
      <c r="JDF112" s="139"/>
      <c r="JDG112" s="139"/>
      <c r="JDH112" s="139"/>
      <c r="JDI112" s="139"/>
      <c r="JDJ112" s="139"/>
      <c r="JDK112" s="139"/>
      <c r="JDL112" s="139"/>
      <c r="JDM112" s="139"/>
      <c r="JDN112" s="139"/>
      <c r="JDO112" s="139"/>
      <c r="JDP112" s="139"/>
      <c r="JDQ112" s="139"/>
      <c r="JDR112" s="139"/>
      <c r="JDS112" s="139"/>
      <c r="JDT112" s="139"/>
      <c r="JDU112" s="139"/>
      <c r="JDV112" s="139"/>
      <c r="JDW112" s="139"/>
      <c r="JDX112" s="139"/>
      <c r="JDY112" s="139"/>
      <c r="JDZ112" s="139"/>
      <c r="JEA112" s="139"/>
      <c r="JEB112" s="139"/>
      <c r="JEC112" s="139"/>
      <c r="JED112" s="139"/>
      <c r="JEE112" s="139"/>
      <c r="JEF112" s="139"/>
      <c r="JEG112" s="139"/>
      <c r="JEH112" s="139"/>
      <c r="JEI112" s="139"/>
      <c r="JEJ112" s="139"/>
      <c r="JEK112" s="139"/>
      <c r="JEL112" s="139"/>
      <c r="JEM112" s="139"/>
      <c r="JEN112" s="139"/>
      <c r="JEO112" s="139"/>
      <c r="JEP112" s="139"/>
      <c r="JEQ112" s="139"/>
      <c r="JER112" s="139"/>
      <c r="JES112" s="139"/>
      <c r="JET112" s="139"/>
      <c r="JEU112" s="139"/>
      <c r="JEV112" s="139"/>
      <c r="JEW112" s="139"/>
      <c r="JEX112" s="139"/>
      <c r="JEY112" s="139"/>
      <c r="JEZ112" s="139"/>
      <c r="JFA112" s="139"/>
      <c r="JFB112" s="139"/>
      <c r="JFC112" s="139"/>
      <c r="JFD112" s="139"/>
      <c r="JFE112" s="139"/>
      <c r="JFF112" s="139"/>
      <c r="JFG112" s="139"/>
      <c r="JFH112" s="139"/>
      <c r="JFI112" s="139"/>
      <c r="JFJ112" s="139"/>
      <c r="JFK112" s="139"/>
      <c r="JFL112" s="139"/>
      <c r="JFM112" s="139"/>
      <c r="JFN112" s="139"/>
      <c r="JFO112" s="139"/>
      <c r="JFP112" s="139"/>
      <c r="JFQ112" s="139"/>
      <c r="JFR112" s="139"/>
      <c r="JFS112" s="139"/>
      <c r="JFT112" s="139"/>
      <c r="JFU112" s="139"/>
      <c r="JFV112" s="139"/>
      <c r="JFW112" s="139"/>
      <c r="JFX112" s="139"/>
      <c r="JFY112" s="139"/>
      <c r="JFZ112" s="139"/>
      <c r="JGA112" s="139"/>
      <c r="JGB112" s="139"/>
      <c r="JGC112" s="139"/>
      <c r="JGD112" s="139"/>
      <c r="JGE112" s="139"/>
      <c r="JGF112" s="139"/>
      <c r="JGG112" s="139"/>
      <c r="JGH112" s="139"/>
      <c r="JGI112" s="139"/>
      <c r="JGJ112" s="139"/>
      <c r="JGK112" s="139"/>
      <c r="JGL112" s="139"/>
      <c r="JGM112" s="139"/>
      <c r="JGN112" s="139"/>
      <c r="JGO112" s="139"/>
      <c r="JGP112" s="139"/>
      <c r="JGQ112" s="139"/>
      <c r="JGR112" s="139"/>
      <c r="JGS112" s="139"/>
      <c r="JGT112" s="139"/>
      <c r="JGU112" s="139"/>
      <c r="JGV112" s="139"/>
      <c r="JGW112" s="139"/>
      <c r="JGX112" s="139"/>
      <c r="JGY112" s="139"/>
      <c r="JGZ112" s="139"/>
      <c r="JHA112" s="139"/>
      <c r="JHB112" s="139"/>
      <c r="JHC112" s="139"/>
      <c r="JHD112" s="139"/>
      <c r="JHE112" s="139"/>
      <c r="JHF112" s="139"/>
      <c r="JHG112" s="139"/>
      <c r="JHH112" s="139"/>
      <c r="JHI112" s="139"/>
      <c r="JHJ112" s="139"/>
      <c r="JHK112" s="139"/>
      <c r="JHL112" s="139"/>
      <c r="JHM112" s="139"/>
      <c r="JHN112" s="139"/>
      <c r="JHO112" s="139"/>
      <c r="JHP112" s="139"/>
      <c r="JHQ112" s="139"/>
      <c r="JHR112" s="139"/>
      <c r="JHS112" s="139"/>
      <c r="JHT112" s="139"/>
      <c r="JHU112" s="139"/>
      <c r="JHV112" s="139"/>
      <c r="JHW112" s="139"/>
      <c r="JHX112" s="139"/>
      <c r="JHY112" s="139"/>
      <c r="JHZ112" s="139"/>
      <c r="JIA112" s="139"/>
      <c r="JIB112" s="139"/>
      <c r="JIC112" s="139"/>
      <c r="JID112" s="139"/>
      <c r="JIE112" s="139"/>
      <c r="JIF112" s="139"/>
      <c r="JIG112" s="139"/>
      <c r="JIH112" s="139"/>
      <c r="JII112" s="139"/>
      <c r="JIJ112" s="139"/>
      <c r="JIK112" s="139"/>
      <c r="JIL112" s="139"/>
      <c r="JIM112" s="139"/>
      <c r="JIN112" s="139"/>
      <c r="JIO112" s="139"/>
      <c r="JIP112" s="139"/>
      <c r="JIQ112" s="139"/>
      <c r="JIR112" s="139"/>
      <c r="JIS112" s="139"/>
      <c r="JIT112" s="139"/>
      <c r="JIU112" s="139"/>
      <c r="JIV112" s="139"/>
      <c r="JIW112" s="139"/>
      <c r="JIX112" s="139"/>
      <c r="JIY112" s="139"/>
      <c r="JIZ112" s="139"/>
      <c r="JJA112" s="139"/>
      <c r="JJB112" s="139"/>
      <c r="JJC112" s="139"/>
      <c r="JJD112" s="139"/>
      <c r="JJE112" s="139"/>
      <c r="JJF112" s="139"/>
      <c r="JJG112" s="139"/>
      <c r="JJH112" s="139"/>
      <c r="JJI112" s="139"/>
      <c r="JJJ112" s="139"/>
      <c r="JJK112" s="139"/>
      <c r="JJL112" s="139"/>
      <c r="JJM112" s="139"/>
      <c r="JJN112" s="139"/>
      <c r="JJO112" s="139"/>
      <c r="JJP112" s="139"/>
      <c r="JJQ112" s="139"/>
      <c r="JJR112" s="139"/>
      <c r="JJS112" s="139"/>
      <c r="JJT112" s="139"/>
      <c r="JJU112" s="139"/>
      <c r="JJV112" s="139"/>
      <c r="JJW112" s="139"/>
      <c r="JJX112" s="139"/>
      <c r="JJY112" s="139"/>
      <c r="JJZ112" s="139"/>
      <c r="JKA112" s="139"/>
      <c r="JKB112" s="139"/>
      <c r="JKC112" s="139"/>
      <c r="JKD112" s="139"/>
      <c r="JKE112" s="139"/>
      <c r="JKF112" s="139"/>
      <c r="JKG112" s="139"/>
      <c r="JKH112" s="139"/>
      <c r="JKI112" s="139"/>
      <c r="JKJ112" s="139"/>
      <c r="JKK112" s="139"/>
      <c r="JKL112" s="139"/>
      <c r="JKM112" s="139"/>
      <c r="JKN112" s="139"/>
      <c r="JKO112" s="139"/>
      <c r="JKP112" s="139"/>
      <c r="JKQ112" s="139"/>
      <c r="JKR112" s="139"/>
      <c r="JKS112" s="139"/>
      <c r="JKT112" s="139"/>
      <c r="JKU112" s="139"/>
      <c r="JKV112" s="139"/>
      <c r="JKW112" s="139"/>
      <c r="JKX112" s="139"/>
      <c r="JKY112" s="139"/>
      <c r="JKZ112" s="139"/>
      <c r="JLA112" s="139"/>
      <c r="JLB112" s="139"/>
      <c r="JLC112" s="139"/>
      <c r="JLD112" s="139"/>
      <c r="JLE112" s="139"/>
      <c r="JLF112" s="139"/>
      <c r="JLG112" s="139"/>
      <c r="JLH112" s="139"/>
      <c r="JLI112" s="139"/>
      <c r="JLJ112" s="139"/>
      <c r="JLK112" s="139"/>
      <c r="JLL112" s="139"/>
      <c r="JLM112" s="139"/>
      <c r="JLN112" s="139"/>
      <c r="JLO112" s="139"/>
      <c r="JLP112" s="139"/>
      <c r="JLQ112" s="139"/>
      <c r="JLR112" s="139"/>
      <c r="JLS112" s="139"/>
      <c r="JLT112" s="139"/>
      <c r="JLU112" s="139"/>
      <c r="JLV112" s="139"/>
      <c r="JLW112" s="139"/>
      <c r="JLX112" s="139"/>
      <c r="JLY112" s="139"/>
      <c r="JLZ112" s="139"/>
      <c r="JMA112" s="139"/>
      <c r="JMB112" s="139"/>
      <c r="JMC112" s="139"/>
      <c r="JMD112" s="139"/>
      <c r="JME112" s="139"/>
      <c r="JMF112" s="139"/>
      <c r="JMG112" s="139"/>
      <c r="JMH112" s="139"/>
      <c r="JMI112" s="139"/>
      <c r="JMJ112" s="139"/>
      <c r="JMK112" s="139"/>
      <c r="JML112" s="139"/>
      <c r="JMM112" s="139"/>
      <c r="JMN112" s="139"/>
      <c r="JMO112" s="139"/>
      <c r="JMP112" s="139"/>
      <c r="JMQ112" s="139"/>
      <c r="JMR112" s="139"/>
      <c r="JMS112" s="139"/>
      <c r="JMT112" s="139"/>
      <c r="JMU112" s="139"/>
      <c r="JMV112" s="139"/>
      <c r="JMW112" s="139"/>
      <c r="JMX112" s="139"/>
      <c r="JMY112" s="139"/>
      <c r="JMZ112" s="139"/>
      <c r="JNA112" s="139"/>
      <c r="JNB112" s="139"/>
      <c r="JNC112" s="139"/>
      <c r="JND112" s="139"/>
      <c r="JNE112" s="139"/>
      <c r="JNF112" s="139"/>
      <c r="JNG112" s="139"/>
      <c r="JNH112" s="139"/>
      <c r="JNI112" s="139"/>
      <c r="JNJ112" s="139"/>
      <c r="JNK112" s="139"/>
      <c r="JNL112" s="139"/>
      <c r="JNM112" s="139"/>
      <c r="JNN112" s="139"/>
      <c r="JNO112" s="139"/>
      <c r="JNP112" s="139"/>
      <c r="JNQ112" s="139"/>
      <c r="JNR112" s="139"/>
      <c r="JNS112" s="139"/>
      <c r="JNT112" s="139"/>
      <c r="JNU112" s="139"/>
      <c r="JNV112" s="139"/>
      <c r="JNW112" s="139"/>
      <c r="JNX112" s="139"/>
      <c r="JNY112" s="139"/>
      <c r="JNZ112" s="139"/>
      <c r="JOA112" s="139"/>
      <c r="JOB112" s="139"/>
      <c r="JOC112" s="139"/>
      <c r="JOD112" s="139"/>
      <c r="JOE112" s="139"/>
      <c r="JOF112" s="139"/>
      <c r="JOG112" s="139"/>
      <c r="JOH112" s="139"/>
      <c r="JOI112" s="139"/>
      <c r="JOJ112" s="139"/>
      <c r="JOK112" s="139"/>
      <c r="JOL112" s="139"/>
      <c r="JOM112" s="139"/>
      <c r="JON112" s="139"/>
      <c r="JOO112" s="139"/>
      <c r="JOP112" s="139"/>
      <c r="JOQ112" s="139"/>
      <c r="JOR112" s="139"/>
      <c r="JOS112" s="139"/>
      <c r="JOT112" s="139"/>
      <c r="JOU112" s="139"/>
      <c r="JOV112" s="139"/>
      <c r="JOW112" s="139"/>
      <c r="JOX112" s="139"/>
      <c r="JOY112" s="139"/>
      <c r="JOZ112" s="139"/>
      <c r="JPA112" s="139"/>
      <c r="JPB112" s="139"/>
      <c r="JPC112" s="139"/>
      <c r="JPD112" s="139"/>
      <c r="JPE112" s="139"/>
      <c r="JPF112" s="139"/>
      <c r="JPG112" s="139"/>
      <c r="JPH112" s="139"/>
      <c r="JPI112" s="139"/>
      <c r="JPJ112" s="139"/>
      <c r="JPK112" s="139"/>
      <c r="JPL112" s="139"/>
      <c r="JPM112" s="139"/>
      <c r="JPN112" s="139"/>
      <c r="JPO112" s="139"/>
      <c r="JPP112" s="139"/>
      <c r="JPQ112" s="139"/>
      <c r="JPR112" s="139"/>
      <c r="JPS112" s="139"/>
      <c r="JPT112" s="139"/>
      <c r="JPU112" s="139"/>
      <c r="JPV112" s="139"/>
      <c r="JPW112" s="139"/>
      <c r="JPX112" s="139"/>
      <c r="JPY112" s="139"/>
      <c r="JPZ112" s="139"/>
      <c r="JQA112" s="139"/>
      <c r="JQB112" s="139"/>
      <c r="JQC112" s="139"/>
      <c r="JQD112" s="139"/>
      <c r="JQE112" s="139"/>
      <c r="JQF112" s="139"/>
      <c r="JQG112" s="139"/>
      <c r="JQH112" s="139"/>
      <c r="JQI112" s="139"/>
      <c r="JQJ112" s="139"/>
      <c r="JQK112" s="139"/>
      <c r="JQL112" s="139"/>
      <c r="JQM112" s="139"/>
      <c r="JQN112" s="139"/>
      <c r="JQO112" s="139"/>
      <c r="JQP112" s="139"/>
      <c r="JQQ112" s="139"/>
      <c r="JQR112" s="139"/>
      <c r="JQS112" s="139"/>
      <c r="JQT112" s="139"/>
      <c r="JQU112" s="139"/>
      <c r="JQV112" s="139"/>
      <c r="JQW112" s="139"/>
      <c r="JQX112" s="139"/>
      <c r="JQY112" s="139"/>
      <c r="JQZ112" s="139"/>
      <c r="JRA112" s="139"/>
      <c r="JRB112" s="139"/>
      <c r="JRC112" s="139"/>
      <c r="JRD112" s="139"/>
      <c r="JRE112" s="139"/>
      <c r="JRF112" s="139"/>
      <c r="JRG112" s="139"/>
      <c r="JRH112" s="139"/>
      <c r="JRI112" s="139"/>
      <c r="JRJ112" s="139"/>
      <c r="JRK112" s="139"/>
      <c r="JRL112" s="139"/>
      <c r="JRM112" s="139"/>
      <c r="JRN112" s="139"/>
      <c r="JRO112" s="139"/>
      <c r="JRP112" s="139"/>
      <c r="JRQ112" s="139"/>
      <c r="JRR112" s="139"/>
      <c r="JRS112" s="139"/>
      <c r="JRT112" s="139"/>
      <c r="JRU112" s="139"/>
      <c r="JRV112" s="139"/>
      <c r="JRW112" s="139"/>
      <c r="JRX112" s="139"/>
      <c r="JRY112" s="139"/>
      <c r="JRZ112" s="139"/>
      <c r="JSA112" s="139"/>
      <c r="JSB112" s="139"/>
      <c r="JSC112" s="139"/>
      <c r="JSD112" s="139"/>
      <c r="JSE112" s="139"/>
      <c r="JSF112" s="139"/>
      <c r="JSG112" s="139"/>
      <c r="JSH112" s="139"/>
      <c r="JSI112" s="139"/>
      <c r="JSJ112" s="139"/>
      <c r="JSK112" s="139"/>
      <c r="JSL112" s="139"/>
      <c r="JSM112" s="139"/>
      <c r="JSN112" s="139"/>
      <c r="JSO112" s="139"/>
      <c r="JSP112" s="139"/>
      <c r="JSQ112" s="139"/>
      <c r="JSR112" s="139"/>
      <c r="JSS112" s="139"/>
      <c r="JST112" s="139"/>
      <c r="JSU112" s="139"/>
      <c r="JSV112" s="139"/>
      <c r="JSW112" s="139"/>
      <c r="JSX112" s="139"/>
      <c r="JSY112" s="139"/>
      <c r="JSZ112" s="139"/>
      <c r="JTA112" s="139"/>
      <c r="JTB112" s="139"/>
      <c r="JTC112" s="139"/>
      <c r="JTD112" s="139"/>
      <c r="JTE112" s="139"/>
      <c r="JTF112" s="139"/>
      <c r="JTG112" s="139"/>
      <c r="JTH112" s="139"/>
      <c r="JTI112" s="139"/>
      <c r="JTJ112" s="139"/>
      <c r="JTK112" s="139"/>
      <c r="JTL112" s="139"/>
      <c r="JTM112" s="139"/>
      <c r="JTN112" s="139"/>
      <c r="JTO112" s="139"/>
      <c r="JTP112" s="139"/>
      <c r="JTQ112" s="139"/>
      <c r="JTR112" s="139"/>
      <c r="JTS112" s="139"/>
      <c r="JTT112" s="139"/>
      <c r="JTU112" s="139"/>
      <c r="JTV112" s="139"/>
      <c r="JTW112" s="139"/>
      <c r="JTX112" s="139"/>
      <c r="JTY112" s="139"/>
      <c r="JTZ112" s="139"/>
      <c r="JUA112" s="139"/>
      <c r="JUB112" s="139"/>
      <c r="JUC112" s="139"/>
      <c r="JUD112" s="139"/>
      <c r="JUE112" s="139"/>
      <c r="JUF112" s="139"/>
      <c r="JUG112" s="139"/>
      <c r="JUH112" s="139"/>
      <c r="JUI112" s="139"/>
      <c r="JUJ112" s="139"/>
      <c r="JUK112" s="139"/>
      <c r="JUL112" s="139"/>
      <c r="JUM112" s="139"/>
      <c r="JUN112" s="139"/>
      <c r="JUO112" s="139"/>
      <c r="JUP112" s="139"/>
      <c r="JUQ112" s="139"/>
      <c r="JUR112" s="139"/>
      <c r="JUS112" s="139"/>
      <c r="JUT112" s="139"/>
      <c r="JUU112" s="139"/>
      <c r="JUV112" s="139"/>
      <c r="JUW112" s="139"/>
      <c r="JUX112" s="139"/>
      <c r="JUY112" s="139"/>
      <c r="JUZ112" s="139"/>
      <c r="JVA112" s="139"/>
      <c r="JVB112" s="139"/>
      <c r="JVC112" s="139"/>
      <c r="JVD112" s="139"/>
      <c r="JVE112" s="139"/>
      <c r="JVF112" s="139"/>
      <c r="JVG112" s="139"/>
      <c r="JVH112" s="139"/>
      <c r="JVI112" s="139"/>
      <c r="JVJ112" s="139"/>
      <c r="JVK112" s="139"/>
      <c r="JVL112" s="139"/>
      <c r="JVM112" s="139"/>
      <c r="JVN112" s="139"/>
      <c r="JVO112" s="139"/>
      <c r="JVP112" s="139"/>
      <c r="JVQ112" s="139"/>
      <c r="JVR112" s="139"/>
      <c r="JVS112" s="139"/>
      <c r="JVT112" s="139"/>
      <c r="JVU112" s="139"/>
      <c r="JVV112" s="139"/>
      <c r="JVW112" s="139"/>
      <c r="JVX112" s="139"/>
      <c r="JVY112" s="139"/>
      <c r="JVZ112" s="139"/>
      <c r="JWA112" s="139"/>
      <c r="JWB112" s="139"/>
      <c r="JWC112" s="139"/>
      <c r="JWD112" s="139"/>
      <c r="JWE112" s="139"/>
      <c r="JWF112" s="139"/>
      <c r="JWG112" s="139"/>
      <c r="JWH112" s="139"/>
      <c r="JWI112" s="139"/>
      <c r="JWJ112" s="139"/>
      <c r="JWK112" s="139"/>
      <c r="JWL112" s="139"/>
      <c r="JWM112" s="139"/>
      <c r="JWN112" s="139"/>
      <c r="JWO112" s="139"/>
      <c r="JWP112" s="139"/>
      <c r="JWQ112" s="139"/>
      <c r="JWR112" s="139"/>
      <c r="JWS112" s="139"/>
      <c r="JWT112" s="139"/>
      <c r="JWU112" s="139"/>
      <c r="JWV112" s="139"/>
      <c r="JWW112" s="139"/>
      <c r="JWX112" s="139"/>
      <c r="JWY112" s="139"/>
      <c r="JWZ112" s="139"/>
      <c r="JXA112" s="139"/>
      <c r="JXB112" s="139"/>
      <c r="JXC112" s="139"/>
      <c r="JXD112" s="139"/>
      <c r="JXE112" s="139"/>
      <c r="JXF112" s="139"/>
      <c r="JXG112" s="139"/>
      <c r="JXH112" s="139"/>
      <c r="JXI112" s="139"/>
      <c r="JXJ112" s="139"/>
      <c r="JXK112" s="139"/>
      <c r="JXL112" s="139"/>
      <c r="JXM112" s="139"/>
      <c r="JXN112" s="139"/>
      <c r="JXO112" s="139"/>
      <c r="JXP112" s="139"/>
      <c r="JXQ112" s="139"/>
      <c r="JXR112" s="139"/>
      <c r="JXS112" s="139"/>
      <c r="JXT112" s="139"/>
      <c r="JXU112" s="139"/>
      <c r="JXV112" s="139"/>
      <c r="JXW112" s="139"/>
      <c r="JXX112" s="139"/>
      <c r="JXY112" s="139"/>
      <c r="JXZ112" s="139"/>
      <c r="JYA112" s="139"/>
      <c r="JYB112" s="139"/>
      <c r="JYC112" s="139"/>
      <c r="JYD112" s="139"/>
      <c r="JYE112" s="139"/>
      <c r="JYF112" s="139"/>
      <c r="JYG112" s="139"/>
      <c r="JYH112" s="139"/>
      <c r="JYI112" s="139"/>
      <c r="JYJ112" s="139"/>
      <c r="JYK112" s="139"/>
      <c r="JYL112" s="139"/>
      <c r="JYM112" s="139"/>
      <c r="JYN112" s="139"/>
      <c r="JYO112" s="139"/>
      <c r="JYP112" s="139"/>
      <c r="JYQ112" s="139"/>
      <c r="JYR112" s="139"/>
      <c r="JYS112" s="139"/>
      <c r="JYT112" s="139"/>
      <c r="JYU112" s="139"/>
      <c r="JYV112" s="139"/>
      <c r="JYW112" s="139"/>
      <c r="JYX112" s="139"/>
      <c r="JYY112" s="139"/>
      <c r="JYZ112" s="139"/>
      <c r="JZA112" s="139"/>
      <c r="JZB112" s="139"/>
      <c r="JZC112" s="139"/>
      <c r="JZD112" s="139"/>
      <c r="JZE112" s="139"/>
      <c r="JZF112" s="139"/>
      <c r="JZG112" s="139"/>
      <c r="JZH112" s="139"/>
      <c r="JZI112" s="139"/>
      <c r="JZJ112" s="139"/>
      <c r="JZK112" s="139"/>
      <c r="JZL112" s="139"/>
      <c r="JZM112" s="139"/>
      <c r="JZN112" s="139"/>
      <c r="JZO112" s="139"/>
      <c r="JZP112" s="139"/>
      <c r="JZQ112" s="139"/>
      <c r="JZR112" s="139"/>
      <c r="JZS112" s="139"/>
      <c r="JZT112" s="139"/>
      <c r="JZU112" s="139"/>
      <c r="JZV112" s="139"/>
      <c r="JZW112" s="139"/>
      <c r="JZX112" s="139"/>
      <c r="JZY112" s="139"/>
      <c r="JZZ112" s="139"/>
      <c r="KAA112" s="139"/>
      <c r="KAB112" s="139"/>
      <c r="KAC112" s="139"/>
      <c r="KAD112" s="139"/>
      <c r="KAE112" s="139"/>
      <c r="KAF112" s="139"/>
      <c r="KAG112" s="139"/>
      <c r="KAH112" s="139"/>
      <c r="KAI112" s="139"/>
      <c r="KAJ112" s="139"/>
      <c r="KAK112" s="139"/>
      <c r="KAL112" s="139"/>
      <c r="KAM112" s="139"/>
      <c r="KAN112" s="139"/>
      <c r="KAO112" s="139"/>
      <c r="KAP112" s="139"/>
      <c r="KAQ112" s="139"/>
      <c r="KAR112" s="139"/>
      <c r="KAS112" s="139"/>
      <c r="KAT112" s="139"/>
      <c r="KAU112" s="139"/>
      <c r="KAV112" s="139"/>
      <c r="KAW112" s="139"/>
      <c r="KAX112" s="139"/>
      <c r="KAY112" s="139"/>
      <c r="KAZ112" s="139"/>
      <c r="KBA112" s="139"/>
      <c r="KBB112" s="139"/>
      <c r="KBC112" s="139"/>
      <c r="KBD112" s="139"/>
      <c r="KBE112" s="139"/>
      <c r="KBF112" s="139"/>
      <c r="KBG112" s="139"/>
      <c r="KBH112" s="139"/>
      <c r="KBI112" s="139"/>
      <c r="KBJ112" s="139"/>
      <c r="KBK112" s="139"/>
      <c r="KBL112" s="139"/>
      <c r="KBM112" s="139"/>
      <c r="KBN112" s="139"/>
      <c r="KBO112" s="139"/>
      <c r="KBP112" s="139"/>
      <c r="KBQ112" s="139"/>
      <c r="KBR112" s="139"/>
      <c r="KBS112" s="139"/>
      <c r="KBT112" s="139"/>
      <c r="KBU112" s="139"/>
      <c r="KBV112" s="139"/>
      <c r="KBW112" s="139"/>
      <c r="KBX112" s="139"/>
      <c r="KBY112" s="139"/>
      <c r="KBZ112" s="139"/>
      <c r="KCA112" s="139"/>
      <c r="KCB112" s="139"/>
      <c r="KCC112" s="139"/>
      <c r="KCD112" s="139"/>
      <c r="KCE112" s="139"/>
      <c r="KCF112" s="139"/>
      <c r="KCG112" s="139"/>
      <c r="KCH112" s="139"/>
      <c r="KCI112" s="139"/>
      <c r="KCJ112" s="139"/>
      <c r="KCK112" s="139"/>
      <c r="KCL112" s="139"/>
      <c r="KCM112" s="139"/>
      <c r="KCN112" s="139"/>
      <c r="KCO112" s="139"/>
      <c r="KCP112" s="139"/>
      <c r="KCQ112" s="139"/>
      <c r="KCR112" s="139"/>
      <c r="KCS112" s="139"/>
      <c r="KCT112" s="139"/>
      <c r="KCU112" s="139"/>
      <c r="KCV112" s="139"/>
      <c r="KCW112" s="139"/>
      <c r="KCX112" s="139"/>
      <c r="KCY112" s="139"/>
      <c r="KCZ112" s="139"/>
      <c r="KDA112" s="139"/>
      <c r="KDB112" s="139"/>
      <c r="KDC112" s="139"/>
      <c r="KDD112" s="139"/>
      <c r="KDE112" s="139"/>
      <c r="KDF112" s="139"/>
      <c r="KDG112" s="139"/>
      <c r="KDH112" s="139"/>
      <c r="KDI112" s="139"/>
      <c r="KDJ112" s="139"/>
      <c r="KDK112" s="139"/>
      <c r="KDL112" s="139"/>
      <c r="KDM112" s="139"/>
      <c r="KDN112" s="139"/>
      <c r="KDO112" s="139"/>
      <c r="KDP112" s="139"/>
      <c r="KDQ112" s="139"/>
      <c r="KDR112" s="139"/>
      <c r="KDS112" s="139"/>
      <c r="KDT112" s="139"/>
      <c r="KDU112" s="139"/>
      <c r="KDV112" s="139"/>
      <c r="KDW112" s="139"/>
      <c r="KDX112" s="139"/>
      <c r="KDY112" s="139"/>
      <c r="KDZ112" s="139"/>
      <c r="KEA112" s="139"/>
      <c r="KEB112" s="139"/>
      <c r="KEC112" s="139"/>
      <c r="KED112" s="139"/>
      <c r="KEE112" s="139"/>
      <c r="KEF112" s="139"/>
      <c r="KEG112" s="139"/>
      <c r="KEH112" s="139"/>
      <c r="KEI112" s="139"/>
      <c r="KEJ112" s="139"/>
      <c r="KEK112" s="139"/>
      <c r="KEL112" s="139"/>
      <c r="KEM112" s="139"/>
      <c r="KEN112" s="139"/>
      <c r="KEO112" s="139"/>
      <c r="KEP112" s="139"/>
      <c r="KEQ112" s="139"/>
      <c r="KER112" s="139"/>
      <c r="KES112" s="139"/>
      <c r="KET112" s="139"/>
      <c r="KEU112" s="139"/>
      <c r="KEV112" s="139"/>
      <c r="KEW112" s="139"/>
      <c r="KEX112" s="139"/>
      <c r="KEY112" s="139"/>
      <c r="KEZ112" s="139"/>
      <c r="KFA112" s="139"/>
      <c r="KFB112" s="139"/>
      <c r="KFC112" s="139"/>
      <c r="KFD112" s="139"/>
      <c r="KFE112" s="139"/>
      <c r="KFF112" s="139"/>
      <c r="KFG112" s="139"/>
      <c r="KFH112" s="139"/>
      <c r="KFI112" s="139"/>
      <c r="KFJ112" s="139"/>
      <c r="KFK112" s="139"/>
      <c r="KFL112" s="139"/>
      <c r="KFM112" s="139"/>
      <c r="KFN112" s="139"/>
      <c r="KFO112" s="139"/>
      <c r="KFP112" s="139"/>
      <c r="KFQ112" s="139"/>
      <c r="KFR112" s="139"/>
      <c r="KFS112" s="139"/>
      <c r="KFT112" s="139"/>
      <c r="KFU112" s="139"/>
      <c r="KFV112" s="139"/>
      <c r="KFW112" s="139"/>
      <c r="KFX112" s="139"/>
      <c r="KFY112" s="139"/>
      <c r="KFZ112" s="139"/>
      <c r="KGA112" s="139"/>
      <c r="KGB112" s="139"/>
      <c r="KGC112" s="139"/>
      <c r="KGD112" s="139"/>
      <c r="KGE112" s="139"/>
      <c r="KGF112" s="139"/>
      <c r="KGG112" s="139"/>
      <c r="KGH112" s="139"/>
      <c r="KGI112" s="139"/>
      <c r="KGJ112" s="139"/>
      <c r="KGK112" s="139"/>
      <c r="KGL112" s="139"/>
      <c r="KGM112" s="139"/>
      <c r="KGN112" s="139"/>
      <c r="KGO112" s="139"/>
      <c r="KGP112" s="139"/>
      <c r="KGQ112" s="139"/>
      <c r="KGR112" s="139"/>
      <c r="KGS112" s="139"/>
      <c r="KGT112" s="139"/>
      <c r="KGU112" s="139"/>
      <c r="KGV112" s="139"/>
      <c r="KGW112" s="139"/>
      <c r="KGX112" s="139"/>
      <c r="KGY112" s="139"/>
      <c r="KGZ112" s="139"/>
      <c r="KHA112" s="139"/>
      <c r="KHB112" s="139"/>
      <c r="KHC112" s="139"/>
      <c r="KHD112" s="139"/>
      <c r="KHE112" s="139"/>
      <c r="KHF112" s="139"/>
      <c r="KHG112" s="139"/>
      <c r="KHH112" s="139"/>
      <c r="KHI112" s="139"/>
      <c r="KHJ112" s="139"/>
      <c r="KHK112" s="139"/>
      <c r="KHL112" s="139"/>
      <c r="KHM112" s="139"/>
      <c r="KHN112" s="139"/>
      <c r="KHO112" s="139"/>
      <c r="KHP112" s="139"/>
      <c r="KHQ112" s="139"/>
      <c r="KHR112" s="139"/>
      <c r="KHS112" s="139"/>
      <c r="KHT112" s="139"/>
      <c r="KHU112" s="139"/>
      <c r="KHV112" s="139"/>
      <c r="KHW112" s="139"/>
      <c r="KHX112" s="139"/>
      <c r="KHY112" s="139"/>
      <c r="KHZ112" s="139"/>
      <c r="KIA112" s="139"/>
      <c r="KIB112" s="139"/>
      <c r="KIC112" s="139"/>
      <c r="KID112" s="139"/>
      <c r="KIE112" s="139"/>
      <c r="KIF112" s="139"/>
      <c r="KIG112" s="139"/>
      <c r="KIH112" s="139"/>
      <c r="KII112" s="139"/>
      <c r="KIJ112" s="139"/>
      <c r="KIK112" s="139"/>
      <c r="KIL112" s="139"/>
      <c r="KIM112" s="139"/>
      <c r="KIN112" s="139"/>
      <c r="KIO112" s="139"/>
      <c r="KIP112" s="139"/>
      <c r="KIQ112" s="139"/>
      <c r="KIR112" s="139"/>
      <c r="KIS112" s="139"/>
      <c r="KIT112" s="139"/>
      <c r="KIU112" s="139"/>
      <c r="KIV112" s="139"/>
      <c r="KIW112" s="139"/>
      <c r="KIX112" s="139"/>
      <c r="KIY112" s="139"/>
      <c r="KIZ112" s="139"/>
      <c r="KJA112" s="139"/>
      <c r="KJB112" s="139"/>
      <c r="KJC112" s="139"/>
      <c r="KJD112" s="139"/>
      <c r="KJE112" s="139"/>
      <c r="KJF112" s="139"/>
      <c r="KJG112" s="139"/>
      <c r="KJH112" s="139"/>
      <c r="KJI112" s="139"/>
      <c r="KJJ112" s="139"/>
      <c r="KJK112" s="139"/>
      <c r="KJL112" s="139"/>
      <c r="KJM112" s="139"/>
      <c r="KJN112" s="139"/>
      <c r="KJO112" s="139"/>
      <c r="KJP112" s="139"/>
      <c r="KJQ112" s="139"/>
      <c r="KJR112" s="139"/>
      <c r="KJS112" s="139"/>
      <c r="KJT112" s="139"/>
      <c r="KJU112" s="139"/>
      <c r="KJV112" s="139"/>
      <c r="KJW112" s="139"/>
      <c r="KJX112" s="139"/>
      <c r="KJY112" s="139"/>
      <c r="KJZ112" s="139"/>
      <c r="KKA112" s="139"/>
      <c r="KKB112" s="139"/>
      <c r="KKC112" s="139"/>
      <c r="KKD112" s="139"/>
      <c r="KKE112" s="139"/>
      <c r="KKF112" s="139"/>
      <c r="KKG112" s="139"/>
      <c r="KKH112" s="139"/>
      <c r="KKI112" s="139"/>
      <c r="KKJ112" s="139"/>
      <c r="KKK112" s="139"/>
      <c r="KKL112" s="139"/>
      <c r="KKM112" s="139"/>
      <c r="KKN112" s="139"/>
      <c r="KKO112" s="139"/>
      <c r="KKP112" s="139"/>
      <c r="KKQ112" s="139"/>
      <c r="KKR112" s="139"/>
      <c r="KKS112" s="139"/>
      <c r="KKT112" s="139"/>
      <c r="KKU112" s="139"/>
      <c r="KKV112" s="139"/>
      <c r="KKW112" s="139"/>
      <c r="KKX112" s="139"/>
      <c r="KKY112" s="139"/>
      <c r="KKZ112" s="139"/>
      <c r="KLA112" s="139"/>
      <c r="KLB112" s="139"/>
      <c r="KLC112" s="139"/>
      <c r="KLD112" s="139"/>
      <c r="KLE112" s="139"/>
      <c r="KLF112" s="139"/>
      <c r="KLG112" s="139"/>
      <c r="KLH112" s="139"/>
      <c r="KLI112" s="139"/>
      <c r="KLJ112" s="139"/>
      <c r="KLK112" s="139"/>
      <c r="KLL112" s="139"/>
      <c r="KLM112" s="139"/>
      <c r="KLN112" s="139"/>
      <c r="KLO112" s="139"/>
      <c r="KLP112" s="139"/>
      <c r="KLQ112" s="139"/>
      <c r="KLR112" s="139"/>
      <c r="KLS112" s="139"/>
      <c r="KLT112" s="139"/>
      <c r="KLU112" s="139"/>
      <c r="KLV112" s="139"/>
      <c r="KLW112" s="139"/>
      <c r="KLX112" s="139"/>
      <c r="KLY112" s="139"/>
      <c r="KLZ112" s="139"/>
      <c r="KMA112" s="139"/>
      <c r="KMB112" s="139"/>
      <c r="KMC112" s="139"/>
      <c r="KMD112" s="139"/>
      <c r="KME112" s="139"/>
      <c r="KMF112" s="139"/>
      <c r="KMG112" s="139"/>
      <c r="KMH112" s="139"/>
      <c r="KMI112" s="139"/>
      <c r="KMJ112" s="139"/>
      <c r="KMK112" s="139"/>
      <c r="KML112" s="139"/>
      <c r="KMM112" s="139"/>
      <c r="KMN112" s="139"/>
      <c r="KMO112" s="139"/>
      <c r="KMP112" s="139"/>
      <c r="KMQ112" s="139"/>
      <c r="KMR112" s="139"/>
      <c r="KMS112" s="139"/>
      <c r="KMT112" s="139"/>
      <c r="KMU112" s="139"/>
      <c r="KMV112" s="139"/>
      <c r="KMW112" s="139"/>
      <c r="KMX112" s="139"/>
      <c r="KMY112" s="139"/>
      <c r="KMZ112" s="139"/>
      <c r="KNA112" s="139"/>
      <c r="KNB112" s="139"/>
      <c r="KNC112" s="139"/>
      <c r="KND112" s="139"/>
      <c r="KNE112" s="139"/>
      <c r="KNF112" s="139"/>
      <c r="KNG112" s="139"/>
      <c r="KNH112" s="139"/>
      <c r="KNI112" s="139"/>
      <c r="KNJ112" s="139"/>
      <c r="KNK112" s="139"/>
      <c r="KNL112" s="139"/>
      <c r="KNM112" s="139"/>
      <c r="KNN112" s="139"/>
      <c r="KNO112" s="139"/>
      <c r="KNP112" s="139"/>
      <c r="KNQ112" s="139"/>
      <c r="KNR112" s="139"/>
      <c r="KNS112" s="139"/>
      <c r="KNT112" s="139"/>
      <c r="KNU112" s="139"/>
      <c r="KNV112" s="139"/>
      <c r="KNW112" s="139"/>
      <c r="KNX112" s="139"/>
      <c r="KNY112" s="139"/>
      <c r="KNZ112" s="139"/>
      <c r="KOA112" s="139"/>
      <c r="KOB112" s="139"/>
      <c r="KOC112" s="139"/>
      <c r="KOD112" s="139"/>
      <c r="KOE112" s="139"/>
      <c r="KOF112" s="139"/>
      <c r="KOG112" s="139"/>
      <c r="KOH112" s="139"/>
      <c r="KOI112" s="139"/>
      <c r="KOJ112" s="139"/>
      <c r="KOK112" s="139"/>
      <c r="KOL112" s="139"/>
      <c r="KOM112" s="139"/>
      <c r="KON112" s="139"/>
      <c r="KOO112" s="139"/>
      <c r="KOP112" s="139"/>
      <c r="KOQ112" s="139"/>
      <c r="KOR112" s="139"/>
      <c r="KOS112" s="139"/>
      <c r="KOT112" s="139"/>
      <c r="KOU112" s="139"/>
      <c r="KOV112" s="139"/>
      <c r="KOW112" s="139"/>
      <c r="KOX112" s="139"/>
      <c r="KOY112" s="139"/>
      <c r="KOZ112" s="139"/>
      <c r="KPA112" s="139"/>
      <c r="KPB112" s="139"/>
      <c r="KPC112" s="139"/>
      <c r="KPD112" s="139"/>
      <c r="KPE112" s="139"/>
      <c r="KPF112" s="139"/>
      <c r="KPG112" s="139"/>
      <c r="KPH112" s="139"/>
      <c r="KPI112" s="139"/>
      <c r="KPJ112" s="139"/>
      <c r="KPK112" s="139"/>
      <c r="KPL112" s="139"/>
      <c r="KPM112" s="139"/>
      <c r="KPN112" s="139"/>
      <c r="KPO112" s="139"/>
      <c r="KPP112" s="139"/>
      <c r="KPQ112" s="139"/>
      <c r="KPR112" s="139"/>
      <c r="KPS112" s="139"/>
      <c r="KPT112" s="139"/>
      <c r="KPU112" s="139"/>
      <c r="KPV112" s="139"/>
      <c r="KPW112" s="139"/>
      <c r="KPX112" s="139"/>
      <c r="KPY112" s="139"/>
      <c r="KPZ112" s="139"/>
      <c r="KQA112" s="139"/>
      <c r="KQB112" s="139"/>
      <c r="KQC112" s="139"/>
      <c r="KQD112" s="139"/>
      <c r="KQE112" s="139"/>
      <c r="KQF112" s="139"/>
      <c r="KQG112" s="139"/>
      <c r="KQH112" s="139"/>
      <c r="KQI112" s="139"/>
      <c r="KQJ112" s="139"/>
      <c r="KQK112" s="139"/>
      <c r="KQL112" s="139"/>
      <c r="KQM112" s="139"/>
      <c r="KQN112" s="139"/>
      <c r="KQO112" s="139"/>
      <c r="KQP112" s="139"/>
      <c r="KQQ112" s="139"/>
      <c r="KQR112" s="139"/>
      <c r="KQS112" s="139"/>
      <c r="KQT112" s="139"/>
      <c r="KQU112" s="139"/>
      <c r="KQV112" s="139"/>
      <c r="KQW112" s="139"/>
      <c r="KQX112" s="139"/>
      <c r="KQY112" s="139"/>
      <c r="KQZ112" s="139"/>
      <c r="KRA112" s="139"/>
      <c r="KRB112" s="139"/>
      <c r="KRC112" s="139"/>
      <c r="KRD112" s="139"/>
      <c r="KRE112" s="139"/>
      <c r="KRF112" s="139"/>
      <c r="KRG112" s="139"/>
      <c r="KRH112" s="139"/>
      <c r="KRI112" s="139"/>
      <c r="KRJ112" s="139"/>
      <c r="KRK112" s="139"/>
      <c r="KRL112" s="139"/>
      <c r="KRM112" s="139"/>
      <c r="KRN112" s="139"/>
      <c r="KRO112" s="139"/>
      <c r="KRP112" s="139"/>
      <c r="KRQ112" s="139"/>
      <c r="KRR112" s="139"/>
      <c r="KRS112" s="139"/>
      <c r="KRT112" s="139"/>
      <c r="KRU112" s="139"/>
      <c r="KRV112" s="139"/>
      <c r="KRW112" s="139"/>
      <c r="KRX112" s="139"/>
      <c r="KRY112" s="139"/>
      <c r="KRZ112" s="139"/>
      <c r="KSA112" s="139"/>
      <c r="KSB112" s="139"/>
      <c r="KSC112" s="139"/>
      <c r="KSD112" s="139"/>
      <c r="KSE112" s="139"/>
      <c r="KSF112" s="139"/>
      <c r="KSG112" s="139"/>
      <c r="KSH112" s="139"/>
      <c r="KSI112" s="139"/>
      <c r="KSJ112" s="139"/>
      <c r="KSK112" s="139"/>
      <c r="KSL112" s="139"/>
      <c r="KSM112" s="139"/>
      <c r="KSN112" s="139"/>
      <c r="KSO112" s="139"/>
      <c r="KSP112" s="139"/>
      <c r="KSQ112" s="139"/>
      <c r="KSR112" s="139"/>
      <c r="KSS112" s="139"/>
      <c r="KST112" s="139"/>
      <c r="KSU112" s="139"/>
      <c r="KSV112" s="139"/>
      <c r="KSW112" s="139"/>
      <c r="KSX112" s="139"/>
      <c r="KSY112" s="139"/>
      <c r="KSZ112" s="139"/>
      <c r="KTA112" s="139"/>
      <c r="KTB112" s="139"/>
      <c r="KTC112" s="139"/>
      <c r="KTD112" s="139"/>
      <c r="KTE112" s="139"/>
      <c r="KTF112" s="139"/>
      <c r="KTG112" s="139"/>
      <c r="KTH112" s="139"/>
      <c r="KTI112" s="139"/>
      <c r="KTJ112" s="139"/>
      <c r="KTK112" s="139"/>
      <c r="KTL112" s="139"/>
      <c r="KTM112" s="139"/>
      <c r="KTN112" s="139"/>
      <c r="KTO112" s="139"/>
      <c r="KTP112" s="139"/>
      <c r="KTQ112" s="139"/>
      <c r="KTR112" s="139"/>
      <c r="KTS112" s="139"/>
      <c r="KTT112" s="139"/>
      <c r="KTU112" s="139"/>
      <c r="KTV112" s="139"/>
      <c r="KTW112" s="139"/>
      <c r="KTX112" s="139"/>
      <c r="KTY112" s="139"/>
      <c r="KTZ112" s="139"/>
      <c r="KUA112" s="139"/>
      <c r="KUB112" s="139"/>
      <c r="KUC112" s="139"/>
      <c r="KUD112" s="139"/>
      <c r="KUE112" s="139"/>
      <c r="KUF112" s="139"/>
      <c r="KUG112" s="139"/>
      <c r="KUH112" s="139"/>
      <c r="KUI112" s="139"/>
      <c r="KUJ112" s="139"/>
      <c r="KUK112" s="139"/>
      <c r="KUL112" s="139"/>
      <c r="KUM112" s="139"/>
      <c r="KUN112" s="139"/>
      <c r="KUO112" s="139"/>
      <c r="KUP112" s="139"/>
      <c r="KUQ112" s="139"/>
      <c r="KUR112" s="139"/>
      <c r="KUS112" s="139"/>
      <c r="KUT112" s="139"/>
      <c r="KUU112" s="139"/>
      <c r="KUV112" s="139"/>
      <c r="KUW112" s="139"/>
      <c r="KUX112" s="139"/>
      <c r="KUY112" s="139"/>
      <c r="KUZ112" s="139"/>
      <c r="KVA112" s="139"/>
      <c r="KVB112" s="139"/>
      <c r="KVC112" s="139"/>
      <c r="KVD112" s="139"/>
      <c r="KVE112" s="139"/>
      <c r="KVF112" s="139"/>
      <c r="KVG112" s="139"/>
      <c r="KVH112" s="139"/>
      <c r="KVI112" s="139"/>
      <c r="KVJ112" s="139"/>
      <c r="KVK112" s="139"/>
      <c r="KVL112" s="139"/>
      <c r="KVM112" s="139"/>
      <c r="KVN112" s="139"/>
      <c r="KVO112" s="139"/>
      <c r="KVP112" s="139"/>
      <c r="KVQ112" s="139"/>
      <c r="KVR112" s="139"/>
      <c r="KVS112" s="139"/>
      <c r="KVT112" s="139"/>
      <c r="KVU112" s="139"/>
      <c r="KVV112" s="139"/>
      <c r="KVW112" s="139"/>
      <c r="KVX112" s="139"/>
      <c r="KVY112" s="139"/>
      <c r="KVZ112" s="139"/>
      <c r="KWA112" s="139"/>
      <c r="KWB112" s="139"/>
      <c r="KWC112" s="139"/>
      <c r="KWD112" s="139"/>
      <c r="KWE112" s="139"/>
      <c r="KWF112" s="139"/>
      <c r="KWG112" s="139"/>
      <c r="KWH112" s="139"/>
      <c r="KWI112" s="139"/>
      <c r="KWJ112" s="139"/>
      <c r="KWK112" s="139"/>
      <c r="KWL112" s="139"/>
      <c r="KWM112" s="139"/>
      <c r="KWN112" s="139"/>
      <c r="KWO112" s="139"/>
      <c r="KWP112" s="139"/>
      <c r="KWQ112" s="139"/>
      <c r="KWR112" s="139"/>
      <c r="KWS112" s="139"/>
      <c r="KWT112" s="139"/>
      <c r="KWU112" s="139"/>
      <c r="KWV112" s="139"/>
      <c r="KWW112" s="139"/>
      <c r="KWX112" s="139"/>
      <c r="KWY112" s="139"/>
      <c r="KWZ112" s="139"/>
      <c r="KXA112" s="139"/>
      <c r="KXB112" s="139"/>
      <c r="KXC112" s="139"/>
      <c r="KXD112" s="139"/>
      <c r="KXE112" s="139"/>
      <c r="KXF112" s="139"/>
      <c r="KXG112" s="139"/>
      <c r="KXH112" s="139"/>
      <c r="KXI112" s="139"/>
      <c r="KXJ112" s="139"/>
      <c r="KXK112" s="139"/>
      <c r="KXL112" s="139"/>
      <c r="KXM112" s="139"/>
      <c r="KXN112" s="139"/>
      <c r="KXO112" s="139"/>
      <c r="KXP112" s="139"/>
      <c r="KXQ112" s="139"/>
      <c r="KXR112" s="139"/>
      <c r="KXS112" s="139"/>
      <c r="KXT112" s="139"/>
      <c r="KXU112" s="139"/>
      <c r="KXV112" s="139"/>
      <c r="KXW112" s="139"/>
      <c r="KXX112" s="139"/>
      <c r="KXY112" s="139"/>
      <c r="KXZ112" s="139"/>
      <c r="KYA112" s="139"/>
      <c r="KYB112" s="139"/>
      <c r="KYC112" s="139"/>
      <c r="KYD112" s="139"/>
      <c r="KYE112" s="139"/>
      <c r="KYF112" s="139"/>
      <c r="KYG112" s="139"/>
      <c r="KYH112" s="139"/>
      <c r="KYI112" s="139"/>
      <c r="KYJ112" s="139"/>
      <c r="KYK112" s="139"/>
      <c r="KYL112" s="139"/>
      <c r="KYM112" s="139"/>
      <c r="KYN112" s="139"/>
      <c r="KYO112" s="139"/>
      <c r="KYP112" s="139"/>
      <c r="KYQ112" s="139"/>
      <c r="KYR112" s="139"/>
      <c r="KYS112" s="139"/>
      <c r="KYT112" s="139"/>
      <c r="KYU112" s="139"/>
      <c r="KYV112" s="139"/>
      <c r="KYW112" s="139"/>
      <c r="KYX112" s="139"/>
      <c r="KYY112" s="139"/>
      <c r="KYZ112" s="139"/>
      <c r="KZA112" s="139"/>
      <c r="KZB112" s="139"/>
      <c r="KZC112" s="139"/>
      <c r="KZD112" s="139"/>
      <c r="KZE112" s="139"/>
      <c r="KZF112" s="139"/>
      <c r="KZG112" s="139"/>
      <c r="KZH112" s="139"/>
      <c r="KZI112" s="139"/>
      <c r="KZJ112" s="139"/>
      <c r="KZK112" s="139"/>
      <c r="KZL112" s="139"/>
      <c r="KZM112" s="139"/>
      <c r="KZN112" s="139"/>
      <c r="KZO112" s="139"/>
      <c r="KZP112" s="139"/>
      <c r="KZQ112" s="139"/>
      <c r="KZR112" s="139"/>
      <c r="KZS112" s="139"/>
      <c r="KZT112" s="139"/>
      <c r="KZU112" s="139"/>
      <c r="KZV112" s="139"/>
      <c r="KZW112" s="139"/>
      <c r="KZX112" s="139"/>
      <c r="KZY112" s="139"/>
      <c r="KZZ112" s="139"/>
      <c r="LAA112" s="139"/>
      <c r="LAB112" s="139"/>
      <c r="LAC112" s="139"/>
      <c r="LAD112" s="139"/>
      <c r="LAE112" s="139"/>
      <c r="LAF112" s="139"/>
      <c r="LAG112" s="139"/>
      <c r="LAH112" s="139"/>
      <c r="LAI112" s="139"/>
      <c r="LAJ112" s="139"/>
      <c r="LAK112" s="139"/>
      <c r="LAL112" s="139"/>
      <c r="LAM112" s="139"/>
      <c r="LAN112" s="139"/>
      <c r="LAO112" s="139"/>
      <c r="LAP112" s="139"/>
      <c r="LAQ112" s="139"/>
      <c r="LAR112" s="139"/>
      <c r="LAS112" s="139"/>
      <c r="LAT112" s="139"/>
      <c r="LAU112" s="139"/>
      <c r="LAV112" s="139"/>
      <c r="LAW112" s="139"/>
      <c r="LAX112" s="139"/>
      <c r="LAY112" s="139"/>
      <c r="LAZ112" s="139"/>
      <c r="LBA112" s="139"/>
      <c r="LBB112" s="139"/>
      <c r="LBC112" s="139"/>
      <c r="LBD112" s="139"/>
      <c r="LBE112" s="139"/>
      <c r="LBF112" s="139"/>
      <c r="LBG112" s="139"/>
      <c r="LBH112" s="139"/>
      <c r="LBI112" s="139"/>
      <c r="LBJ112" s="139"/>
      <c r="LBK112" s="139"/>
      <c r="LBL112" s="139"/>
      <c r="LBM112" s="139"/>
      <c r="LBN112" s="139"/>
      <c r="LBO112" s="139"/>
      <c r="LBP112" s="139"/>
      <c r="LBQ112" s="139"/>
      <c r="LBR112" s="139"/>
      <c r="LBS112" s="139"/>
      <c r="LBT112" s="139"/>
      <c r="LBU112" s="139"/>
      <c r="LBV112" s="139"/>
      <c r="LBW112" s="139"/>
      <c r="LBX112" s="139"/>
      <c r="LBY112" s="139"/>
      <c r="LBZ112" s="139"/>
      <c r="LCA112" s="139"/>
      <c r="LCB112" s="139"/>
      <c r="LCC112" s="139"/>
      <c r="LCD112" s="139"/>
      <c r="LCE112" s="139"/>
      <c r="LCF112" s="139"/>
      <c r="LCG112" s="139"/>
      <c r="LCH112" s="139"/>
      <c r="LCI112" s="139"/>
      <c r="LCJ112" s="139"/>
      <c r="LCK112" s="139"/>
      <c r="LCL112" s="139"/>
      <c r="LCM112" s="139"/>
      <c r="LCN112" s="139"/>
      <c r="LCO112" s="139"/>
      <c r="LCP112" s="139"/>
      <c r="LCQ112" s="139"/>
      <c r="LCR112" s="139"/>
      <c r="LCS112" s="139"/>
      <c r="LCT112" s="139"/>
      <c r="LCU112" s="139"/>
      <c r="LCV112" s="139"/>
      <c r="LCW112" s="139"/>
      <c r="LCX112" s="139"/>
      <c r="LCY112" s="139"/>
      <c r="LCZ112" s="139"/>
      <c r="LDA112" s="139"/>
      <c r="LDB112" s="139"/>
      <c r="LDC112" s="139"/>
      <c r="LDD112" s="139"/>
      <c r="LDE112" s="139"/>
      <c r="LDF112" s="139"/>
      <c r="LDG112" s="139"/>
      <c r="LDH112" s="139"/>
      <c r="LDI112" s="139"/>
      <c r="LDJ112" s="139"/>
      <c r="LDK112" s="139"/>
      <c r="LDL112" s="139"/>
      <c r="LDM112" s="139"/>
      <c r="LDN112" s="139"/>
      <c r="LDO112" s="139"/>
      <c r="LDP112" s="139"/>
      <c r="LDQ112" s="139"/>
      <c r="LDR112" s="139"/>
      <c r="LDS112" s="139"/>
      <c r="LDT112" s="139"/>
      <c r="LDU112" s="139"/>
      <c r="LDV112" s="139"/>
      <c r="LDW112" s="139"/>
      <c r="LDX112" s="139"/>
      <c r="LDY112" s="139"/>
      <c r="LDZ112" s="139"/>
      <c r="LEA112" s="139"/>
      <c r="LEB112" s="139"/>
      <c r="LEC112" s="139"/>
      <c r="LED112" s="139"/>
      <c r="LEE112" s="139"/>
      <c r="LEF112" s="139"/>
      <c r="LEG112" s="139"/>
      <c r="LEH112" s="139"/>
      <c r="LEI112" s="139"/>
      <c r="LEJ112" s="139"/>
      <c r="LEK112" s="139"/>
      <c r="LEL112" s="139"/>
      <c r="LEM112" s="139"/>
      <c r="LEN112" s="139"/>
      <c r="LEO112" s="139"/>
      <c r="LEP112" s="139"/>
      <c r="LEQ112" s="139"/>
      <c r="LER112" s="139"/>
      <c r="LES112" s="139"/>
      <c r="LET112" s="139"/>
      <c r="LEU112" s="139"/>
      <c r="LEV112" s="139"/>
      <c r="LEW112" s="139"/>
      <c r="LEX112" s="139"/>
      <c r="LEY112" s="139"/>
      <c r="LEZ112" s="139"/>
      <c r="LFA112" s="139"/>
      <c r="LFB112" s="139"/>
      <c r="LFC112" s="139"/>
      <c r="LFD112" s="139"/>
      <c r="LFE112" s="139"/>
      <c r="LFF112" s="139"/>
      <c r="LFG112" s="139"/>
      <c r="LFH112" s="139"/>
      <c r="LFI112" s="139"/>
      <c r="LFJ112" s="139"/>
      <c r="LFK112" s="139"/>
      <c r="LFL112" s="139"/>
      <c r="LFM112" s="139"/>
      <c r="LFN112" s="139"/>
      <c r="LFO112" s="139"/>
      <c r="LFP112" s="139"/>
      <c r="LFQ112" s="139"/>
      <c r="LFR112" s="139"/>
      <c r="LFS112" s="139"/>
      <c r="LFT112" s="139"/>
      <c r="LFU112" s="139"/>
      <c r="LFV112" s="139"/>
      <c r="LFW112" s="139"/>
      <c r="LFX112" s="139"/>
      <c r="LFY112" s="139"/>
      <c r="LFZ112" s="139"/>
      <c r="LGA112" s="139"/>
      <c r="LGB112" s="139"/>
      <c r="LGC112" s="139"/>
      <c r="LGD112" s="139"/>
      <c r="LGE112" s="139"/>
      <c r="LGF112" s="139"/>
      <c r="LGG112" s="139"/>
      <c r="LGH112" s="139"/>
      <c r="LGI112" s="139"/>
      <c r="LGJ112" s="139"/>
      <c r="LGK112" s="139"/>
      <c r="LGL112" s="139"/>
      <c r="LGM112" s="139"/>
      <c r="LGN112" s="139"/>
      <c r="LGO112" s="139"/>
      <c r="LGP112" s="139"/>
      <c r="LGQ112" s="139"/>
      <c r="LGR112" s="139"/>
      <c r="LGS112" s="139"/>
      <c r="LGT112" s="139"/>
      <c r="LGU112" s="139"/>
      <c r="LGV112" s="139"/>
      <c r="LGW112" s="139"/>
      <c r="LGX112" s="139"/>
      <c r="LGY112" s="139"/>
      <c r="LGZ112" s="139"/>
      <c r="LHA112" s="139"/>
      <c r="LHB112" s="139"/>
      <c r="LHC112" s="139"/>
      <c r="LHD112" s="139"/>
      <c r="LHE112" s="139"/>
      <c r="LHF112" s="139"/>
      <c r="LHG112" s="139"/>
      <c r="LHH112" s="139"/>
      <c r="LHI112" s="139"/>
      <c r="LHJ112" s="139"/>
      <c r="LHK112" s="139"/>
      <c r="LHL112" s="139"/>
      <c r="LHM112" s="139"/>
      <c r="LHN112" s="139"/>
      <c r="LHO112" s="139"/>
      <c r="LHP112" s="139"/>
      <c r="LHQ112" s="139"/>
      <c r="LHR112" s="139"/>
      <c r="LHS112" s="139"/>
      <c r="LHT112" s="139"/>
      <c r="LHU112" s="139"/>
      <c r="LHV112" s="139"/>
      <c r="LHW112" s="139"/>
      <c r="LHX112" s="139"/>
      <c r="LHY112" s="139"/>
      <c r="LHZ112" s="139"/>
      <c r="LIA112" s="139"/>
      <c r="LIB112" s="139"/>
      <c r="LIC112" s="139"/>
      <c r="LID112" s="139"/>
      <c r="LIE112" s="139"/>
      <c r="LIF112" s="139"/>
      <c r="LIG112" s="139"/>
      <c r="LIH112" s="139"/>
      <c r="LII112" s="139"/>
      <c r="LIJ112" s="139"/>
      <c r="LIK112" s="139"/>
      <c r="LIL112" s="139"/>
      <c r="LIM112" s="139"/>
      <c r="LIN112" s="139"/>
      <c r="LIO112" s="139"/>
      <c r="LIP112" s="139"/>
      <c r="LIQ112" s="139"/>
      <c r="LIR112" s="139"/>
      <c r="LIS112" s="139"/>
      <c r="LIT112" s="139"/>
      <c r="LIU112" s="139"/>
      <c r="LIV112" s="139"/>
      <c r="LIW112" s="139"/>
      <c r="LIX112" s="139"/>
      <c r="LIY112" s="139"/>
      <c r="LIZ112" s="139"/>
      <c r="LJA112" s="139"/>
      <c r="LJB112" s="139"/>
      <c r="LJC112" s="139"/>
      <c r="LJD112" s="139"/>
      <c r="LJE112" s="139"/>
      <c r="LJF112" s="139"/>
      <c r="LJG112" s="139"/>
      <c r="LJH112" s="139"/>
      <c r="LJI112" s="139"/>
      <c r="LJJ112" s="139"/>
      <c r="LJK112" s="139"/>
      <c r="LJL112" s="139"/>
      <c r="LJM112" s="139"/>
      <c r="LJN112" s="139"/>
      <c r="LJO112" s="139"/>
      <c r="LJP112" s="139"/>
      <c r="LJQ112" s="139"/>
      <c r="LJR112" s="139"/>
      <c r="LJS112" s="139"/>
      <c r="LJT112" s="139"/>
      <c r="LJU112" s="139"/>
      <c r="LJV112" s="139"/>
      <c r="LJW112" s="139"/>
      <c r="LJX112" s="139"/>
      <c r="LJY112" s="139"/>
      <c r="LJZ112" s="139"/>
      <c r="LKA112" s="139"/>
      <c r="LKB112" s="139"/>
      <c r="LKC112" s="139"/>
      <c r="LKD112" s="139"/>
      <c r="LKE112" s="139"/>
      <c r="LKF112" s="139"/>
      <c r="LKG112" s="139"/>
      <c r="LKH112" s="139"/>
      <c r="LKI112" s="139"/>
      <c r="LKJ112" s="139"/>
      <c r="LKK112" s="139"/>
      <c r="LKL112" s="139"/>
      <c r="LKM112" s="139"/>
      <c r="LKN112" s="139"/>
      <c r="LKO112" s="139"/>
      <c r="LKP112" s="139"/>
      <c r="LKQ112" s="139"/>
      <c r="LKR112" s="139"/>
      <c r="LKS112" s="139"/>
      <c r="LKT112" s="139"/>
      <c r="LKU112" s="139"/>
      <c r="LKV112" s="139"/>
      <c r="LKW112" s="139"/>
      <c r="LKX112" s="139"/>
      <c r="LKY112" s="139"/>
      <c r="LKZ112" s="139"/>
      <c r="LLA112" s="139"/>
      <c r="LLB112" s="139"/>
      <c r="LLC112" s="139"/>
      <c r="LLD112" s="139"/>
      <c r="LLE112" s="139"/>
      <c r="LLF112" s="139"/>
      <c r="LLG112" s="139"/>
      <c r="LLH112" s="139"/>
      <c r="LLI112" s="139"/>
      <c r="LLJ112" s="139"/>
      <c r="LLK112" s="139"/>
      <c r="LLL112" s="139"/>
      <c r="LLM112" s="139"/>
      <c r="LLN112" s="139"/>
      <c r="LLO112" s="139"/>
      <c r="LLP112" s="139"/>
      <c r="LLQ112" s="139"/>
      <c r="LLR112" s="139"/>
      <c r="LLS112" s="139"/>
      <c r="LLT112" s="139"/>
      <c r="LLU112" s="139"/>
      <c r="LLV112" s="139"/>
      <c r="LLW112" s="139"/>
      <c r="LLX112" s="139"/>
      <c r="LLY112" s="139"/>
      <c r="LLZ112" s="139"/>
      <c r="LMA112" s="139"/>
      <c r="LMB112" s="139"/>
      <c r="LMC112" s="139"/>
      <c r="LMD112" s="139"/>
      <c r="LME112" s="139"/>
      <c r="LMF112" s="139"/>
      <c r="LMG112" s="139"/>
      <c r="LMH112" s="139"/>
      <c r="LMI112" s="139"/>
      <c r="LMJ112" s="139"/>
      <c r="LMK112" s="139"/>
      <c r="LML112" s="139"/>
      <c r="LMM112" s="139"/>
      <c r="LMN112" s="139"/>
      <c r="LMO112" s="139"/>
      <c r="LMP112" s="139"/>
      <c r="LMQ112" s="139"/>
      <c r="LMR112" s="139"/>
      <c r="LMS112" s="139"/>
      <c r="LMT112" s="139"/>
      <c r="LMU112" s="139"/>
      <c r="LMV112" s="139"/>
      <c r="LMW112" s="139"/>
      <c r="LMX112" s="139"/>
      <c r="LMY112" s="139"/>
      <c r="LMZ112" s="139"/>
      <c r="LNA112" s="139"/>
      <c r="LNB112" s="139"/>
      <c r="LNC112" s="139"/>
      <c r="LND112" s="139"/>
      <c r="LNE112" s="139"/>
      <c r="LNF112" s="139"/>
      <c r="LNG112" s="139"/>
      <c r="LNH112" s="139"/>
      <c r="LNI112" s="139"/>
      <c r="LNJ112" s="139"/>
      <c r="LNK112" s="139"/>
      <c r="LNL112" s="139"/>
      <c r="LNM112" s="139"/>
      <c r="LNN112" s="139"/>
      <c r="LNO112" s="139"/>
      <c r="LNP112" s="139"/>
      <c r="LNQ112" s="139"/>
      <c r="LNR112" s="139"/>
      <c r="LNS112" s="139"/>
      <c r="LNT112" s="139"/>
      <c r="LNU112" s="139"/>
      <c r="LNV112" s="139"/>
      <c r="LNW112" s="139"/>
      <c r="LNX112" s="139"/>
      <c r="LNY112" s="139"/>
      <c r="LNZ112" s="139"/>
      <c r="LOA112" s="139"/>
      <c r="LOB112" s="139"/>
      <c r="LOC112" s="139"/>
      <c r="LOD112" s="139"/>
      <c r="LOE112" s="139"/>
      <c r="LOF112" s="139"/>
      <c r="LOG112" s="139"/>
      <c r="LOH112" s="139"/>
      <c r="LOI112" s="139"/>
      <c r="LOJ112" s="139"/>
      <c r="LOK112" s="139"/>
      <c r="LOL112" s="139"/>
      <c r="LOM112" s="139"/>
      <c r="LON112" s="139"/>
      <c r="LOO112" s="139"/>
      <c r="LOP112" s="139"/>
      <c r="LOQ112" s="139"/>
      <c r="LOR112" s="139"/>
      <c r="LOS112" s="139"/>
      <c r="LOT112" s="139"/>
      <c r="LOU112" s="139"/>
      <c r="LOV112" s="139"/>
      <c r="LOW112" s="139"/>
      <c r="LOX112" s="139"/>
      <c r="LOY112" s="139"/>
      <c r="LOZ112" s="139"/>
      <c r="LPA112" s="139"/>
      <c r="LPB112" s="139"/>
      <c r="LPC112" s="139"/>
      <c r="LPD112" s="139"/>
      <c r="LPE112" s="139"/>
      <c r="LPF112" s="139"/>
      <c r="LPG112" s="139"/>
      <c r="LPH112" s="139"/>
      <c r="LPI112" s="139"/>
      <c r="LPJ112" s="139"/>
      <c r="LPK112" s="139"/>
      <c r="LPL112" s="139"/>
      <c r="LPM112" s="139"/>
      <c r="LPN112" s="139"/>
      <c r="LPO112" s="139"/>
      <c r="LPP112" s="139"/>
      <c r="LPQ112" s="139"/>
      <c r="LPR112" s="139"/>
      <c r="LPS112" s="139"/>
      <c r="LPT112" s="139"/>
      <c r="LPU112" s="139"/>
      <c r="LPV112" s="139"/>
      <c r="LPW112" s="139"/>
      <c r="LPX112" s="139"/>
      <c r="LPY112" s="139"/>
      <c r="LPZ112" s="139"/>
      <c r="LQA112" s="139"/>
      <c r="LQB112" s="139"/>
      <c r="LQC112" s="139"/>
      <c r="LQD112" s="139"/>
      <c r="LQE112" s="139"/>
      <c r="LQF112" s="139"/>
      <c r="LQG112" s="139"/>
      <c r="LQH112" s="139"/>
      <c r="LQI112" s="139"/>
      <c r="LQJ112" s="139"/>
      <c r="LQK112" s="139"/>
      <c r="LQL112" s="139"/>
      <c r="LQM112" s="139"/>
      <c r="LQN112" s="139"/>
      <c r="LQO112" s="139"/>
      <c r="LQP112" s="139"/>
      <c r="LQQ112" s="139"/>
      <c r="LQR112" s="139"/>
      <c r="LQS112" s="139"/>
      <c r="LQT112" s="139"/>
      <c r="LQU112" s="139"/>
      <c r="LQV112" s="139"/>
      <c r="LQW112" s="139"/>
      <c r="LQX112" s="139"/>
      <c r="LQY112" s="139"/>
      <c r="LQZ112" s="139"/>
      <c r="LRA112" s="139"/>
      <c r="LRB112" s="139"/>
      <c r="LRC112" s="139"/>
      <c r="LRD112" s="139"/>
      <c r="LRE112" s="139"/>
      <c r="LRF112" s="139"/>
      <c r="LRG112" s="139"/>
      <c r="LRH112" s="139"/>
      <c r="LRI112" s="139"/>
      <c r="LRJ112" s="139"/>
      <c r="LRK112" s="139"/>
      <c r="LRL112" s="139"/>
      <c r="LRM112" s="139"/>
      <c r="LRN112" s="139"/>
      <c r="LRO112" s="139"/>
      <c r="LRP112" s="139"/>
      <c r="LRQ112" s="139"/>
      <c r="LRR112" s="139"/>
      <c r="LRS112" s="139"/>
      <c r="LRT112" s="139"/>
      <c r="LRU112" s="139"/>
      <c r="LRV112" s="139"/>
      <c r="LRW112" s="139"/>
      <c r="LRX112" s="139"/>
      <c r="LRY112" s="139"/>
      <c r="LRZ112" s="139"/>
      <c r="LSA112" s="139"/>
      <c r="LSB112" s="139"/>
      <c r="LSC112" s="139"/>
      <c r="LSD112" s="139"/>
      <c r="LSE112" s="139"/>
      <c r="LSF112" s="139"/>
      <c r="LSG112" s="139"/>
      <c r="LSH112" s="139"/>
      <c r="LSI112" s="139"/>
      <c r="LSJ112" s="139"/>
      <c r="LSK112" s="139"/>
      <c r="LSL112" s="139"/>
      <c r="LSM112" s="139"/>
      <c r="LSN112" s="139"/>
      <c r="LSO112" s="139"/>
      <c r="LSP112" s="139"/>
      <c r="LSQ112" s="139"/>
      <c r="LSR112" s="139"/>
      <c r="LSS112" s="139"/>
      <c r="LST112" s="139"/>
      <c r="LSU112" s="139"/>
      <c r="LSV112" s="139"/>
      <c r="LSW112" s="139"/>
      <c r="LSX112" s="139"/>
      <c r="LSY112" s="139"/>
      <c r="LSZ112" s="139"/>
      <c r="LTA112" s="139"/>
      <c r="LTB112" s="139"/>
      <c r="LTC112" s="139"/>
      <c r="LTD112" s="139"/>
      <c r="LTE112" s="139"/>
      <c r="LTF112" s="139"/>
      <c r="LTG112" s="139"/>
      <c r="LTH112" s="139"/>
      <c r="LTI112" s="139"/>
      <c r="LTJ112" s="139"/>
      <c r="LTK112" s="139"/>
      <c r="LTL112" s="139"/>
      <c r="LTM112" s="139"/>
      <c r="LTN112" s="139"/>
      <c r="LTO112" s="139"/>
      <c r="LTP112" s="139"/>
      <c r="LTQ112" s="139"/>
      <c r="LTR112" s="139"/>
      <c r="LTS112" s="139"/>
      <c r="LTT112" s="139"/>
      <c r="LTU112" s="139"/>
      <c r="LTV112" s="139"/>
      <c r="LTW112" s="139"/>
      <c r="LTX112" s="139"/>
      <c r="LTY112" s="139"/>
      <c r="LTZ112" s="139"/>
      <c r="LUA112" s="139"/>
      <c r="LUB112" s="139"/>
      <c r="LUC112" s="139"/>
      <c r="LUD112" s="139"/>
      <c r="LUE112" s="139"/>
      <c r="LUF112" s="139"/>
      <c r="LUG112" s="139"/>
      <c r="LUH112" s="139"/>
      <c r="LUI112" s="139"/>
      <c r="LUJ112" s="139"/>
      <c r="LUK112" s="139"/>
      <c r="LUL112" s="139"/>
      <c r="LUM112" s="139"/>
      <c r="LUN112" s="139"/>
      <c r="LUO112" s="139"/>
      <c r="LUP112" s="139"/>
      <c r="LUQ112" s="139"/>
      <c r="LUR112" s="139"/>
      <c r="LUS112" s="139"/>
      <c r="LUT112" s="139"/>
      <c r="LUU112" s="139"/>
      <c r="LUV112" s="139"/>
      <c r="LUW112" s="139"/>
      <c r="LUX112" s="139"/>
      <c r="LUY112" s="139"/>
      <c r="LUZ112" s="139"/>
      <c r="LVA112" s="139"/>
      <c r="LVB112" s="139"/>
      <c r="LVC112" s="139"/>
      <c r="LVD112" s="139"/>
      <c r="LVE112" s="139"/>
      <c r="LVF112" s="139"/>
      <c r="LVG112" s="139"/>
      <c r="LVH112" s="139"/>
      <c r="LVI112" s="139"/>
      <c r="LVJ112" s="139"/>
      <c r="LVK112" s="139"/>
      <c r="LVL112" s="139"/>
      <c r="LVM112" s="139"/>
      <c r="LVN112" s="139"/>
      <c r="LVO112" s="139"/>
      <c r="LVP112" s="139"/>
      <c r="LVQ112" s="139"/>
      <c r="LVR112" s="139"/>
      <c r="LVS112" s="139"/>
      <c r="LVT112" s="139"/>
      <c r="LVU112" s="139"/>
      <c r="LVV112" s="139"/>
      <c r="LVW112" s="139"/>
      <c r="LVX112" s="139"/>
      <c r="LVY112" s="139"/>
      <c r="LVZ112" s="139"/>
      <c r="LWA112" s="139"/>
      <c r="LWB112" s="139"/>
      <c r="LWC112" s="139"/>
      <c r="LWD112" s="139"/>
      <c r="LWE112" s="139"/>
      <c r="LWF112" s="139"/>
      <c r="LWG112" s="139"/>
      <c r="LWH112" s="139"/>
      <c r="LWI112" s="139"/>
      <c r="LWJ112" s="139"/>
      <c r="LWK112" s="139"/>
      <c r="LWL112" s="139"/>
      <c r="LWM112" s="139"/>
      <c r="LWN112" s="139"/>
      <c r="LWO112" s="139"/>
      <c r="LWP112" s="139"/>
      <c r="LWQ112" s="139"/>
      <c r="LWR112" s="139"/>
      <c r="LWS112" s="139"/>
      <c r="LWT112" s="139"/>
      <c r="LWU112" s="139"/>
      <c r="LWV112" s="139"/>
      <c r="LWW112" s="139"/>
      <c r="LWX112" s="139"/>
      <c r="LWY112" s="139"/>
      <c r="LWZ112" s="139"/>
      <c r="LXA112" s="139"/>
      <c r="LXB112" s="139"/>
      <c r="LXC112" s="139"/>
      <c r="LXD112" s="139"/>
      <c r="LXE112" s="139"/>
      <c r="LXF112" s="139"/>
      <c r="LXG112" s="139"/>
      <c r="LXH112" s="139"/>
      <c r="LXI112" s="139"/>
      <c r="LXJ112" s="139"/>
      <c r="LXK112" s="139"/>
      <c r="LXL112" s="139"/>
      <c r="LXM112" s="139"/>
      <c r="LXN112" s="139"/>
      <c r="LXO112" s="139"/>
      <c r="LXP112" s="139"/>
      <c r="LXQ112" s="139"/>
      <c r="LXR112" s="139"/>
      <c r="LXS112" s="139"/>
      <c r="LXT112" s="139"/>
      <c r="LXU112" s="139"/>
      <c r="LXV112" s="139"/>
      <c r="LXW112" s="139"/>
      <c r="LXX112" s="139"/>
      <c r="LXY112" s="139"/>
      <c r="LXZ112" s="139"/>
      <c r="LYA112" s="139"/>
      <c r="LYB112" s="139"/>
      <c r="LYC112" s="139"/>
      <c r="LYD112" s="139"/>
      <c r="LYE112" s="139"/>
      <c r="LYF112" s="139"/>
      <c r="LYG112" s="139"/>
      <c r="LYH112" s="139"/>
      <c r="LYI112" s="139"/>
      <c r="LYJ112" s="139"/>
      <c r="LYK112" s="139"/>
      <c r="LYL112" s="139"/>
      <c r="LYM112" s="139"/>
      <c r="LYN112" s="139"/>
      <c r="LYO112" s="139"/>
      <c r="LYP112" s="139"/>
      <c r="LYQ112" s="139"/>
      <c r="LYR112" s="139"/>
      <c r="LYS112" s="139"/>
      <c r="LYT112" s="139"/>
      <c r="LYU112" s="139"/>
      <c r="LYV112" s="139"/>
      <c r="LYW112" s="139"/>
      <c r="LYX112" s="139"/>
      <c r="LYY112" s="139"/>
      <c r="LYZ112" s="139"/>
      <c r="LZA112" s="139"/>
      <c r="LZB112" s="139"/>
      <c r="LZC112" s="139"/>
      <c r="LZD112" s="139"/>
      <c r="LZE112" s="139"/>
      <c r="LZF112" s="139"/>
      <c r="LZG112" s="139"/>
      <c r="LZH112" s="139"/>
      <c r="LZI112" s="139"/>
      <c r="LZJ112" s="139"/>
      <c r="LZK112" s="139"/>
      <c r="LZL112" s="139"/>
      <c r="LZM112" s="139"/>
      <c r="LZN112" s="139"/>
      <c r="LZO112" s="139"/>
      <c r="LZP112" s="139"/>
      <c r="LZQ112" s="139"/>
      <c r="LZR112" s="139"/>
      <c r="LZS112" s="139"/>
      <c r="LZT112" s="139"/>
      <c r="LZU112" s="139"/>
      <c r="LZV112" s="139"/>
      <c r="LZW112" s="139"/>
      <c r="LZX112" s="139"/>
      <c r="LZY112" s="139"/>
      <c r="LZZ112" s="139"/>
      <c r="MAA112" s="139"/>
      <c r="MAB112" s="139"/>
      <c r="MAC112" s="139"/>
      <c r="MAD112" s="139"/>
      <c r="MAE112" s="139"/>
      <c r="MAF112" s="139"/>
      <c r="MAG112" s="139"/>
      <c r="MAH112" s="139"/>
      <c r="MAI112" s="139"/>
      <c r="MAJ112" s="139"/>
      <c r="MAK112" s="139"/>
      <c r="MAL112" s="139"/>
      <c r="MAM112" s="139"/>
      <c r="MAN112" s="139"/>
      <c r="MAO112" s="139"/>
      <c r="MAP112" s="139"/>
      <c r="MAQ112" s="139"/>
      <c r="MAR112" s="139"/>
      <c r="MAS112" s="139"/>
      <c r="MAT112" s="139"/>
      <c r="MAU112" s="139"/>
      <c r="MAV112" s="139"/>
      <c r="MAW112" s="139"/>
      <c r="MAX112" s="139"/>
      <c r="MAY112" s="139"/>
      <c r="MAZ112" s="139"/>
      <c r="MBA112" s="139"/>
      <c r="MBB112" s="139"/>
      <c r="MBC112" s="139"/>
      <c r="MBD112" s="139"/>
      <c r="MBE112" s="139"/>
      <c r="MBF112" s="139"/>
      <c r="MBG112" s="139"/>
      <c r="MBH112" s="139"/>
      <c r="MBI112" s="139"/>
      <c r="MBJ112" s="139"/>
      <c r="MBK112" s="139"/>
      <c r="MBL112" s="139"/>
      <c r="MBM112" s="139"/>
      <c r="MBN112" s="139"/>
      <c r="MBO112" s="139"/>
      <c r="MBP112" s="139"/>
      <c r="MBQ112" s="139"/>
      <c r="MBR112" s="139"/>
      <c r="MBS112" s="139"/>
      <c r="MBT112" s="139"/>
      <c r="MBU112" s="139"/>
      <c r="MBV112" s="139"/>
      <c r="MBW112" s="139"/>
      <c r="MBX112" s="139"/>
      <c r="MBY112" s="139"/>
      <c r="MBZ112" s="139"/>
      <c r="MCA112" s="139"/>
      <c r="MCB112" s="139"/>
      <c r="MCC112" s="139"/>
      <c r="MCD112" s="139"/>
      <c r="MCE112" s="139"/>
      <c r="MCF112" s="139"/>
      <c r="MCG112" s="139"/>
      <c r="MCH112" s="139"/>
      <c r="MCI112" s="139"/>
      <c r="MCJ112" s="139"/>
      <c r="MCK112" s="139"/>
      <c r="MCL112" s="139"/>
      <c r="MCM112" s="139"/>
      <c r="MCN112" s="139"/>
      <c r="MCO112" s="139"/>
      <c r="MCP112" s="139"/>
      <c r="MCQ112" s="139"/>
      <c r="MCR112" s="139"/>
      <c r="MCS112" s="139"/>
      <c r="MCT112" s="139"/>
      <c r="MCU112" s="139"/>
      <c r="MCV112" s="139"/>
      <c r="MCW112" s="139"/>
      <c r="MCX112" s="139"/>
      <c r="MCY112" s="139"/>
      <c r="MCZ112" s="139"/>
      <c r="MDA112" s="139"/>
      <c r="MDB112" s="139"/>
      <c r="MDC112" s="139"/>
      <c r="MDD112" s="139"/>
      <c r="MDE112" s="139"/>
      <c r="MDF112" s="139"/>
      <c r="MDG112" s="139"/>
      <c r="MDH112" s="139"/>
      <c r="MDI112" s="139"/>
      <c r="MDJ112" s="139"/>
      <c r="MDK112" s="139"/>
      <c r="MDL112" s="139"/>
      <c r="MDM112" s="139"/>
      <c r="MDN112" s="139"/>
      <c r="MDO112" s="139"/>
      <c r="MDP112" s="139"/>
      <c r="MDQ112" s="139"/>
      <c r="MDR112" s="139"/>
      <c r="MDS112" s="139"/>
      <c r="MDT112" s="139"/>
      <c r="MDU112" s="139"/>
      <c r="MDV112" s="139"/>
      <c r="MDW112" s="139"/>
      <c r="MDX112" s="139"/>
      <c r="MDY112" s="139"/>
      <c r="MDZ112" s="139"/>
      <c r="MEA112" s="139"/>
      <c r="MEB112" s="139"/>
      <c r="MEC112" s="139"/>
      <c r="MED112" s="139"/>
      <c r="MEE112" s="139"/>
      <c r="MEF112" s="139"/>
      <c r="MEG112" s="139"/>
      <c r="MEH112" s="139"/>
      <c r="MEI112" s="139"/>
      <c r="MEJ112" s="139"/>
      <c r="MEK112" s="139"/>
      <c r="MEL112" s="139"/>
      <c r="MEM112" s="139"/>
      <c r="MEN112" s="139"/>
      <c r="MEO112" s="139"/>
      <c r="MEP112" s="139"/>
      <c r="MEQ112" s="139"/>
      <c r="MER112" s="139"/>
      <c r="MES112" s="139"/>
      <c r="MET112" s="139"/>
      <c r="MEU112" s="139"/>
      <c r="MEV112" s="139"/>
      <c r="MEW112" s="139"/>
      <c r="MEX112" s="139"/>
      <c r="MEY112" s="139"/>
      <c r="MEZ112" s="139"/>
      <c r="MFA112" s="139"/>
      <c r="MFB112" s="139"/>
      <c r="MFC112" s="139"/>
      <c r="MFD112" s="139"/>
      <c r="MFE112" s="139"/>
      <c r="MFF112" s="139"/>
      <c r="MFG112" s="139"/>
      <c r="MFH112" s="139"/>
      <c r="MFI112" s="139"/>
      <c r="MFJ112" s="139"/>
      <c r="MFK112" s="139"/>
      <c r="MFL112" s="139"/>
      <c r="MFM112" s="139"/>
      <c r="MFN112" s="139"/>
      <c r="MFO112" s="139"/>
      <c r="MFP112" s="139"/>
      <c r="MFQ112" s="139"/>
      <c r="MFR112" s="139"/>
      <c r="MFS112" s="139"/>
      <c r="MFT112" s="139"/>
      <c r="MFU112" s="139"/>
      <c r="MFV112" s="139"/>
      <c r="MFW112" s="139"/>
      <c r="MFX112" s="139"/>
      <c r="MFY112" s="139"/>
      <c r="MFZ112" s="139"/>
      <c r="MGA112" s="139"/>
      <c r="MGB112" s="139"/>
      <c r="MGC112" s="139"/>
      <c r="MGD112" s="139"/>
      <c r="MGE112" s="139"/>
      <c r="MGF112" s="139"/>
      <c r="MGG112" s="139"/>
      <c r="MGH112" s="139"/>
      <c r="MGI112" s="139"/>
      <c r="MGJ112" s="139"/>
      <c r="MGK112" s="139"/>
      <c r="MGL112" s="139"/>
      <c r="MGM112" s="139"/>
      <c r="MGN112" s="139"/>
      <c r="MGO112" s="139"/>
      <c r="MGP112" s="139"/>
      <c r="MGQ112" s="139"/>
      <c r="MGR112" s="139"/>
      <c r="MGS112" s="139"/>
      <c r="MGT112" s="139"/>
      <c r="MGU112" s="139"/>
      <c r="MGV112" s="139"/>
      <c r="MGW112" s="139"/>
      <c r="MGX112" s="139"/>
      <c r="MGY112" s="139"/>
      <c r="MGZ112" s="139"/>
      <c r="MHA112" s="139"/>
      <c r="MHB112" s="139"/>
      <c r="MHC112" s="139"/>
      <c r="MHD112" s="139"/>
      <c r="MHE112" s="139"/>
      <c r="MHF112" s="139"/>
      <c r="MHG112" s="139"/>
      <c r="MHH112" s="139"/>
      <c r="MHI112" s="139"/>
      <c r="MHJ112" s="139"/>
      <c r="MHK112" s="139"/>
      <c r="MHL112" s="139"/>
      <c r="MHM112" s="139"/>
      <c r="MHN112" s="139"/>
      <c r="MHO112" s="139"/>
      <c r="MHP112" s="139"/>
      <c r="MHQ112" s="139"/>
      <c r="MHR112" s="139"/>
      <c r="MHS112" s="139"/>
      <c r="MHT112" s="139"/>
      <c r="MHU112" s="139"/>
      <c r="MHV112" s="139"/>
      <c r="MHW112" s="139"/>
      <c r="MHX112" s="139"/>
      <c r="MHY112" s="139"/>
      <c r="MHZ112" s="139"/>
      <c r="MIA112" s="139"/>
      <c r="MIB112" s="139"/>
      <c r="MIC112" s="139"/>
      <c r="MID112" s="139"/>
      <c r="MIE112" s="139"/>
      <c r="MIF112" s="139"/>
      <c r="MIG112" s="139"/>
      <c r="MIH112" s="139"/>
      <c r="MII112" s="139"/>
      <c r="MIJ112" s="139"/>
      <c r="MIK112" s="139"/>
      <c r="MIL112" s="139"/>
      <c r="MIM112" s="139"/>
      <c r="MIN112" s="139"/>
      <c r="MIO112" s="139"/>
      <c r="MIP112" s="139"/>
      <c r="MIQ112" s="139"/>
      <c r="MIR112" s="139"/>
      <c r="MIS112" s="139"/>
      <c r="MIT112" s="139"/>
      <c r="MIU112" s="139"/>
      <c r="MIV112" s="139"/>
      <c r="MIW112" s="139"/>
      <c r="MIX112" s="139"/>
      <c r="MIY112" s="139"/>
      <c r="MIZ112" s="139"/>
      <c r="MJA112" s="139"/>
      <c r="MJB112" s="139"/>
      <c r="MJC112" s="139"/>
      <c r="MJD112" s="139"/>
      <c r="MJE112" s="139"/>
      <c r="MJF112" s="139"/>
      <c r="MJG112" s="139"/>
      <c r="MJH112" s="139"/>
      <c r="MJI112" s="139"/>
      <c r="MJJ112" s="139"/>
      <c r="MJK112" s="139"/>
      <c r="MJL112" s="139"/>
      <c r="MJM112" s="139"/>
      <c r="MJN112" s="139"/>
      <c r="MJO112" s="139"/>
      <c r="MJP112" s="139"/>
      <c r="MJQ112" s="139"/>
      <c r="MJR112" s="139"/>
      <c r="MJS112" s="139"/>
      <c r="MJT112" s="139"/>
      <c r="MJU112" s="139"/>
      <c r="MJV112" s="139"/>
      <c r="MJW112" s="139"/>
      <c r="MJX112" s="139"/>
      <c r="MJY112" s="139"/>
      <c r="MJZ112" s="139"/>
      <c r="MKA112" s="139"/>
      <c r="MKB112" s="139"/>
      <c r="MKC112" s="139"/>
      <c r="MKD112" s="139"/>
      <c r="MKE112" s="139"/>
      <c r="MKF112" s="139"/>
      <c r="MKG112" s="139"/>
      <c r="MKH112" s="139"/>
      <c r="MKI112" s="139"/>
      <c r="MKJ112" s="139"/>
      <c r="MKK112" s="139"/>
      <c r="MKL112" s="139"/>
      <c r="MKM112" s="139"/>
      <c r="MKN112" s="139"/>
      <c r="MKO112" s="139"/>
      <c r="MKP112" s="139"/>
      <c r="MKQ112" s="139"/>
      <c r="MKR112" s="139"/>
      <c r="MKS112" s="139"/>
      <c r="MKT112" s="139"/>
      <c r="MKU112" s="139"/>
      <c r="MKV112" s="139"/>
      <c r="MKW112" s="139"/>
      <c r="MKX112" s="139"/>
      <c r="MKY112" s="139"/>
      <c r="MKZ112" s="139"/>
      <c r="MLA112" s="139"/>
      <c r="MLB112" s="139"/>
      <c r="MLC112" s="139"/>
      <c r="MLD112" s="139"/>
      <c r="MLE112" s="139"/>
      <c r="MLF112" s="139"/>
      <c r="MLG112" s="139"/>
      <c r="MLH112" s="139"/>
      <c r="MLI112" s="139"/>
      <c r="MLJ112" s="139"/>
      <c r="MLK112" s="139"/>
      <c r="MLL112" s="139"/>
      <c r="MLM112" s="139"/>
      <c r="MLN112" s="139"/>
      <c r="MLO112" s="139"/>
      <c r="MLP112" s="139"/>
      <c r="MLQ112" s="139"/>
      <c r="MLR112" s="139"/>
      <c r="MLS112" s="139"/>
      <c r="MLT112" s="139"/>
      <c r="MLU112" s="139"/>
      <c r="MLV112" s="139"/>
      <c r="MLW112" s="139"/>
      <c r="MLX112" s="139"/>
      <c r="MLY112" s="139"/>
      <c r="MLZ112" s="139"/>
      <c r="MMA112" s="139"/>
      <c r="MMB112" s="139"/>
      <c r="MMC112" s="139"/>
      <c r="MMD112" s="139"/>
      <c r="MME112" s="139"/>
      <c r="MMF112" s="139"/>
      <c r="MMG112" s="139"/>
      <c r="MMH112" s="139"/>
      <c r="MMI112" s="139"/>
      <c r="MMJ112" s="139"/>
      <c r="MMK112" s="139"/>
      <c r="MML112" s="139"/>
      <c r="MMM112" s="139"/>
      <c r="MMN112" s="139"/>
      <c r="MMO112" s="139"/>
      <c r="MMP112" s="139"/>
      <c r="MMQ112" s="139"/>
      <c r="MMR112" s="139"/>
      <c r="MMS112" s="139"/>
      <c r="MMT112" s="139"/>
      <c r="MMU112" s="139"/>
      <c r="MMV112" s="139"/>
      <c r="MMW112" s="139"/>
      <c r="MMX112" s="139"/>
      <c r="MMY112" s="139"/>
      <c r="MMZ112" s="139"/>
      <c r="MNA112" s="139"/>
      <c r="MNB112" s="139"/>
      <c r="MNC112" s="139"/>
      <c r="MND112" s="139"/>
      <c r="MNE112" s="139"/>
      <c r="MNF112" s="139"/>
      <c r="MNG112" s="139"/>
      <c r="MNH112" s="139"/>
      <c r="MNI112" s="139"/>
      <c r="MNJ112" s="139"/>
      <c r="MNK112" s="139"/>
      <c r="MNL112" s="139"/>
      <c r="MNM112" s="139"/>
      <c r="MNN112" s="139"/>
      <c r="MNO112" s="139"/>
      <c r="MNP112" s="139"/>
      <c r="MNQ112" s="139"/>
      <c r="MNR112" s="139"/>
      <c r="MNS112" s="139"/>
      <c r="MNT112" s="139"/>
      <c r="MNU112" s="139"/>
      <c r="MNV112" s="139"/>
      <c r="MNW112" s="139"/>
      <c r="MNX112" s="139"/>
      <c r="MNY112" s="139"/>
      <c r="MNZ112" s="139"/>
      <c r="MOA112" s="139"/>
      <c r="MOB112" s="139"/>
      <c r="MOC112" s="139"/>
      <c r="MOD112" s="139"/>
      <c r="MOE112" s="139"/>
      <c r="MOF112" s="139"/>
      <c r="MOG112" s="139"/>
      <c r="MOH112" s="139"/>
      <c r="MOI112" s="139"/>
      <c r="MOJ112" s="139"/>
      <c r="MOK112" s="139"/>
      <c r="MOL112" s="139"/>
      <c r="MOM112" s="139"/>
      <c r="MON112" s="139"/>
      <c r="MOO112" s="139"/>
      <c r="MOP112" s="139"/>
      <c r="MOQ112" s="139"/>
      <c r="MOR112" s="139"/>
      <c r="MOS112" s="139"/>
      <c r="MOT112" s="139"/>
      <c r="MOU112" s="139"/>
      <c r="MOV112" s="139"/>
      <c r="MOW112" s="139"/>
      <c r="MOX112" s="139"/>
      <c r="MOY112" s="139"/>
      <c r="MOZ112" s="139"/>
      <c r="MPA112" s="139"/>
      <c r="MPB112" s="139"/>
      <c r="MPC112" s="139"/>
      <c r="MPD112" s="139"/>
      <c r="MPE112" s="139"/>
      <c r="MPF112" s="139"/>
      <c r="MPG112" s="139"/>
      <c r="MPH112" s="139"/>
      <c r="MPI112" s="139"/>
      <c r="MPJ112" s="139"/>
      <c r="MPK112" s="139"/>
      <c r="MPL112" s="139"/>
      <c r="MPM112" s="139"/>
      <c r="MPN112" s="139"/>
      <c r="MPO112" s="139"/>
      <c r="MPP112" s="139"/>
      <c r="MPQ112" s="139"/>
      <c r="MPR112" s="139"/>
      <c r="MPS112" s="139"/>
      <c r="MPT112" s="139"/>
      <c r="MPU112" s="139"/>
      <c r="MPV112" s="139"/>
      <c r="MPW112" s="139"/>
      <c r="MPX112" s="139"/>
      <c r="MPY112" s="139"/>
      <c r="MPZ112" s="139"/>
      <c r="MQA112" s="139"/>
      <c r="MQB112" s="139"/>
      <c r="MQC112" s="139"/>
      <c r="MQD112" s="139"/>
      <c r="MQE112" s="139"/>
      <c r="MQF112" s="139"/>
      <c r="MQG112" s="139"/>
      <c r="MQH112" s="139"/>
      <c r="MQI112" s="139"/>
      <c r="MQJ112" s="139"/>
      <c r="MQK112" s="139"/>
      <c r="MQL112" s="139"/>
      <c r="MQM112" s="139"/>
      <c r="MQN112" s="139"/>
      <c r="MQO112" s="139"/>
      <c r="MQP112" s="139"/>
      <c r="MQQ112" s="139"/>
      <c r="MQR112" s="139"/>
      <c r="MQS112" s="139"/>
      <c r="MQT112" s="139"/>
      <c r="MQU112" s="139"/>
      <c r="MQV112" s="139"/>
      <c r="MQW112" s="139"/>
      <c r="MQX112" s="139"/>
      <c r="MQY112" s="139"/>
      <c r="MQZ112" s="139"/>
      <c r="MRA112" s="139"/>
      <c r="MRB112" s="139"/>
      <c r="MRC112" s="139"/>
      <c r="MRD112" s="139"/>
      <c r="MRE112" s="139"/>
      <c r="MRF112" s="139"/>
      <c r="MRG112" s="139"/>
      <c r="MRH112" s="139"/>
      <c r="MRI112" s="139"/>
      <c r="MRJ112" s="139"/>
      <c r="MRK112" s="139"/>
      <c r="MRL112" s="139"/>
      <c r="MRM112" s="139"/>
      <c r="MRN112" s="139"/>
      <c r="MRO112" s="139"/>
      <c r="MRP112" s="139"/>
      <c r="MRQ112" s="139"/>
      <c r="MRR112" s="139"/>
      <c r="MRS112" s="139"/>
      <c r="MRT112" s="139"/>
      <c r="MRU112" s="139"/>
      <c r="MRV112" s="139"/>
      <c r="MRW112" s="139"/>
      <c r="MRX112" s="139"/>
      <c r="MRY112" s="139"/>
      <c r="MRZ112" s="139"/>
      <c r="MSA112" s="139"/>
      <c r="MSB112" s="139"/>
      <c r="MSC112" s="139"/>
      <c r="MSD112" s="139"/>
      <c r="MSE112" s="139"/>
      <c r="MSF112" s="139"/>
      <c r="MSG112" s="139"/>
      <c r="MSH112" s="139"/>
      <c r="MSI112" s="139"/>
      <c r="MSJ112" s="139"/>
      <c r="MSK112" s="139"/>
      <c r="MSL112" s="139"/>
      <c r="MSM112" s="139"/>
      <c r="MSN112" s="139"/>
      <c r="MSO112" s="139"/>
      <c r="MSP112" s="139"/>
      <c r="MSQ112" s="139"/>
      <c r="MSR112" s="139"/>
      <c r="MSS112" s="139"/>
      <c r="MST112" s="139"/>
      <c r="MSU112" s="139"/>
      <c r="MSV112" s="139"/>
      <c r="MSW112" s="139"/>
      <c r="MSX112" s="139"/>
      <c r="MSY112" s="139"/>
      <c r="MSZ112" s="139"/>
      <c r="MTA112" s="139"/>
      <c r="MTB112" s="139"/>
      <c r="MTC112" s="139"/>
      <c r="MTD112" s="139"/>
      <c r="MTE112" s="139"/>
      <c r="MTF112" s="139"/>
      <c r="MTG112" s="139"/>
      <c r="MTH112" s="139"/>
      <c r="MTI112" s="139"/>
      <c r="MTJ112" s="139"/>
      <c r="MTK112" s="139"/>
      <c r="MTL112" s="139"/>
      <c r="MTM112" s="139"/>
      <c r="MTN112" s="139"/>
      <c r="MTO112" s="139"/>
      <c r="MTP112" s="139"/>
      <c r="MTQ112" s="139"/>
      <c r="MTR112" s="139"/>
      <c r="MTS112" s="139"/>
      <c r="MTT112" s="139"/>
      <c r="MTU112" s="139"/>
      <c r="MTV112" s="139"/>
      <c r="MTW112" s="139"/>
      <c r="MTX112" s="139"/>
      <c r="MTY112" s="139"/>
      <c r="MTZ112" s="139"/>
      <c r="MUA112" s="139"/>
      <c r="MUB112" s="139"/>
      <c r="MUC112" s="139"/>
      <c r="MUD112" s="139"/>
      <c r="MUE112" s="139"/>
      <c r="MUF112" s="139"/>
      <c r="MUG112" s="139"/>
      <c r="MUH112" s="139"/>
      <c r="MUI112" s="139"/>
      <c r="MUJ112" s="139"/>
      <c r="MUK112" s="139"/>
      <c r="MUL112" s="139"/>
      <c r="MUM112" s="139"/>
      <c r="MUN112" s="139"/>
      <c r="MUO112" s="139"/>
      <c r="MUP112" s="139"/>
      <c r="MUQ112" s="139"/>
      <c r="MUR112" s="139"/>
      <c r="MUS112" s="139"/>
      <c r="MUT112" s="139"/>
      <c r="MUU112" s="139"/>
      <c r="MUV112" s="139"/>
      <c r="MUW112" s="139"/>
      <c r="MUX112" s="139"/>
      <c r="MUY112" s="139"/>
      <c r="MUZ112" s="139"/>
      <c r="MVA112" s="139"/>
      <c r="MVB112" s="139"/>
      <c r="MVC112" s="139"/>
      <c r="MVD112" s="139"/>
      <c r="MVE112" s="139"/>
      <c r="MVF112" s="139"/>
      <c r="MVG112" s="139"/>
      <c r="MVH112" s="139"/>
      <c r="MVI112" s="139"/>
      <c r="MVJ112" s="139"/>
      <c r="MVK112" s="139"/>
      <c r="MVL112" s="139"/>
      <c r="MVM112" s="139"/>
      <c r="MVN112" s="139"/>
      <c r="MVO112" s="139"/>
      <c r="MVP112" s="139"/>
      <c r="MVQ112" s="139"/>
      <c r="MVR112" s="139"/>
      <c r="MVS112" s="139"/>
      <c r="MVT112" s="139"/>
      <c r="MVU112" s="139"/>
      <c r="MVV112" s="139"/>
      <c r="MVW112" s="139"/>
      <c r="MVX112" s="139"/>
      <c r="MVY112" s="139"/>
      <c r="MVZ112" s="139"/>
      <c r="MWA112" s="139"/>
      <c r="MWB112" s="139"/>
      <c r="MWC112" s="139"/>
      <c r="MWD112" s="139"/>
      <c r="MWE112" s="139"/>
      <c r="MWF112" s="139"/>
      <c r="MWG112" s="139"/>
      <c r="MWH112" s="139"/>
      <c r="MWI112" s="139"/>
      <c r="MWJ112" s="139"/>
      <c r="MWK112" s="139"/>
      <c r="MWL112" s="139"/>
      <c r="MWM112" s="139"/>
      <c r="MWN112" s="139"/>
      <c r="MWO112" s="139"/>
      <c r="MWP112" s="139"/>
      <c r="MWQ112" s="139"/>
      <c r="MWR112" s="139"/>
      <c r="MWS112" s="139"/>
      <c r="MWT112" s="139"/>
      <c r="MWU112" s="139"/>
      <c r="MWV112" s="139"/>
      <c r="MWW112" s="139"/>
      <c r="MWX112" s="139"/>
      <c r="MWY112" s="139"/>
      <c r="MWZ112" s="139"/>
      <c r="MXA112" s="139"/>
      <c r="MXB112" s="139"/>
      <c r="MXC112" s="139"/>
      <c r="MXD112" s="139"/>
      <c r="MXE112" s="139"/>
      <c r="MXF112" s="139"/>
      <c r="MXG112" s="139"/>
      <c r="MXH112" s="139"/>
      <c r="MXI112" s="139"/>
      <c r="MXJ112" s="139"/>
      <c r="MXK112" s="139"/>
      <c r="MXL112" s="139"/>
      <c r="MXM112" s="139"/>
      <c r="MXN112" s="139"/>
      <c r="MXO112" s="139"/>
      <c r="MXP112" s="139"/>
      <c r="MXQ112" s="139"/>
      <c r="MXR112" s="139"/>
      <c r="MXS112" s="139"/>
      <c r="MXT112" s="139"/>
      <c r="MXU112" s="139"/>
      <c r="MXV112" s="139"/>
      <c r="MXW112" s="139"/>
      <c r="MXX112" s="139"/>
      <c r="MXY112" s="139"/>
      <c r="MXZ112" s="139"/>
      <c r="MYA112" s="139"/>
      <c r="MYB112" s="139"/>
      <c r="MYC112" s="139"/>
      <c r="MYD112" s="139"/>
      <c r="MYE112" s="139"/>
      <c r="MYF112" s="139"/>
      <c r="MYG112" s="139"/>
      <c r="MYH112" s="139"/>
      <c r="MYI112" s="139"/>
      <c r="MYJ112" s="139"/>
      <c r="MYK112" s="139"/>
      <c r="MYL112" s="139"/>
      <c r="MYM112" s="139"/>
      <c r="MYN112" s="139"/>
      <c r="MYO112" s="139"/>
      <c r="MYP112" s="139"/>
      <c r="MYQ112" s="139"/>
      <c r="MYR112" s="139"/>
      <c r="MYS112" s="139"/>
      <c r="MYT112" s="139"/>
      <c r="MYU112" s="139"/>
      <c r="MYV112" s="139"/>
      <c r="MYW112" s="139"/>
      <c r="MYX112" s="139"/>
      <c r="MYY112" s="139"/>
      <c r="MYZ112" s="139"/>
      <c r="MZA112" s="139"/>
      <c r="MZB112" s="139"/>
      <c r="MZC112" s="139"/>
      <c r="MZD112" s="139"/>
      <c r="MZE112" s="139"/>
      <c r="MZF112" s="139"/>
      <c r="MZG112" s="139"/>
      <c r="MZH112" s="139"/>
      <c r="MZI112" s="139"/>
      <c r="MZJ112" s="139"/>
      <c r="MZK112" s="139"/>
      <c r="MZL112" s="139"/>
      <c r="MZM112" s="139"/>
      <c r="MZN112" s="139"/>
      <c r="MZO112" s="139"/>
      <c r="MZP112" s="139"/>
      <c r="MZQ112" s="139"/>
      <c r="MZR112" s="139"/>
      <c r="MZS112" s="139"/>
      <c r="MZT112" s="139"/>
      <c r="MZU112" s="139"/>
      <c r="MZV112" s="139"/>
      <c r="MZW112" s="139"/>
      <c r="MZX112" s="139"/>
      <c r="MZY112" s="139"/>
      <c r="MZZ112" s="139"/>
      <c r="NAA112" s="139"/>
      <c r="NAB112" s="139"/>
      <c r="NAC112" s="139"/>
      <c r="NAD112" s="139"/>
      <c r="NAE112" s="139"/>
      <c r="NAF112" s="139"/>
      <c r="NAG112" s="139"/>
      <c r="NAH112" s="139"/>
      <c r="NAI112" s="139"/>
      <c r="NAJ112" s="139"/>
      <c r="NAK112" s="139"/>
      <c r="NAL112" s="139"/>
      <c r="NAM112" s="139"/>
      <c r="NAN112" s="139"/>
      <c r="NAO112" s="139"/>
      <c r="NAP112" s="139"/>
      <c r="NAQ112" s="139"/>
      <c r="NAR112" s="139"/>
      <c r="NAS112" s="139"/>
      <c r="NAT112" s="139"/>
      <c r="NAU112" s="139"/>
      <c r="NAV112" s="139"/>
      <c r="NAW112" s="139"/>
      <c r="NAX112" s="139"/>
      <c r="NAY112" s="139"/>
      <c r="NAZ112" s="139"/>
      <c r="NBA112" s="139"/>
      <c r="NBB112" s="139"/>
      <c r="NBC112" s="139"/>
      <c r="NBD112" s="139"/>
      <c r="NBE112" s="139"/>
      <c r="NBF112" s="139"/>
      <c r="NBG112" s="139"/>
      <c r="NBH112" s="139"/>
      <c r="NBI112" s="139"/>
      <c r="NBJ112" s="139"/>
      <c r="NBK112" s="139"/>
      <c r="NBL112" s="139"/>
      <c r="NBM112" s="139"/>
      <c r="NBN112" s="139"/>
      <c r="NBO112" s="139"/>
      <c r="NBP112" s="139"/>
      <c r="NBQ112" s="139"/>
      <c r="NBR112" s="139"/>
      <c r="NBS112" s="139"/>
      <c r="NBT112" s="139"/>
      <c r="NBU112" s="139"/>
      <c r="NBV112" s="139"/>
      <c r="NBW112" s="139"/>
      <c r="NBX112" s="139"/>
      <c r="NBY112" s="139"/>
      <c r="NBZ112" s="139"/>
      <c r="NCA112" s="139"/>
      <c r="NCB112" s="139"/>
      <c r="NCC112" s="139"/>
      <c r="NCD112" s="139"/>
      <c r="NCE112" s="139"/>
      <c r="NCF112" s="139"/>
      <c r="NCG112" s="139"/>
      <c r="NCH112" s="139"/>
      <c r="NCI112" s="139"/>
      <c r="NCJ112" s="139"/>
      <c r="NCK112" s="139"/>
      <c r="NCL112" s="139"/>
      <c r="NCM112" s="139"/>
      <c r="NCN112" s="139"/>
      <c r="NCO112" s="139"/>
      <c r="NCP112" s="139"/>
      <c r="NCQ112" s="139"/>
      <c r="NCR112" s="139"/>
      <c r="NCS112" s="139"/>
      <c r="NCT112" s="139"/>
      <c r="NCU112" s="139"/>
      <c r="NCV112" s="139"/>
      <c r="NCW112" s="139"/>
      <c r="NCX112" s="139"/>
      <c r="NCY112" s="139"/>
      <c r="NCZ112" s="139"/>
      <c r="NDA112" s="139"/>
      <c r="NDB112" s="139"/>
      <c r="NDC112" s="139"/>
      <c r="NDD112" s="139"/>
      <c r="NDE112" s="139"/>
      <c r="NDF112" s="139"/>
      <c r="NDG112" s="139"/>
      <c r="NDH112" s="139"/>
      <c r="NDI112" s="139"/>
      <c r="NDJ112" s="139"/>
      <c r="NDK112" s="139"/>
      <c r="NDL112" s="139"/>
      <c r="NDM112" s="139"/>
      <c r="NDN112" s="139"/>
      <c r="NDO112" s="139"/>
      <c r="NDP112" s="139"/>
      <c r="NDQ112" s="139"/>
      <c r="NDR112" s="139"/>
      <c r="NDS112" s="139"/>
      <c r="NDT112" s="139"/>
      <c r="NDU112" s="139"/>
      <c r="NDV112" s="139"/>
      <c r="NDW112" s="139"/>
      <c r="NDX112" s="139"/>
      <c r="NDY112" s="139"/>
      <c r="NDZ112" s="139"/>
      <c r="NEA112" s="139"/>
      <c r="NEB112" s="139"/>
      <c r="NEC112" s="139"/>
      <c r="NED112" s="139"/>
      <c r="NEE112" s="139"/>
      <c r="NEF112" s="139"/>
      <c r="NEG112" s="139"/>
      <c r="NEH112" s="139"/>
      <c r="NEI112" s="139"/>
      <c r="NEJ112" s="139"/>
      <c r="NEK112" s="139"/>
      <c r="NEL112" s="139"/>
      <c r="NEM112" s="139"/>
      <c r="NEN112" s="139"/>
      <c r="NEO112" s="139"/>
      <c r="NEP112" s="139"/>
      <c r="NEQ112" s="139"/>
      <c r="NER112" s="139"/>
      <c r="NES112" s="139"/>
      <c r="NET112" s="139"/>
      <c r="NEU112" s="139"/>
      <c r="NEV112" s="139"/>
      <c r="NEW112" s="139"/>
      <c r="NEX112" s="139"/>
      <c r="NEY112" s="139"/>
      <c r="NEZ112" s="139"/>
      <c r="NFA112" s="139"/>
      <c r="NFB112" s="139"/>
      <c r="NFC112" s="139"/>
      <c r="NFD112" s="139"/>
      <c r="NFE112" s="139"/>
      <c r="NFF112" s="139"/>
      <c r="NFG112" s="139"/>
      <c r="NFH112" s="139"/>
      <c r="NFI112" s="139"/>
      <c r="NFJ112" s="139"/>
      <c r="NFK112" s="139"/>
      <c r="NFL112" s="139"/>
      <c r="NFM112" s="139"/>
      <c r="NFN112" s="139"/>
      <c r="NFO112" s="139"/>
      <c r="NFP112" s="139"/>
      <c r="NFQ112" s="139"/>
      <c r="NFR112" s="139"/>
      <c r="NFS112" s="139"/>
      <c r="NFT112" s="139"/>
      <c r="NFU112" s="139"/>
      <c r="NFV112" s="139"/>
      <c r="NFW112" s="139"/>
      <c r="NFX112" s="139"/>
      <c r="NFY112" s="139"/>
      <c r="NFZ112" s="139"/>
      <c r="NGA112" s="139"/>
      <c r="NGB112" s="139"/>
      <c r="NGC112" s="139"/>
      <c r="NGD112" s="139"/>
      <c r="NGE112" s="139"/>
      <c r="NGF112" s="139"/>
      <c r="NGG112" s="139"/>
      <c r="NGH112" s="139"/>
      <c r="NGI112" s="139"/>
      <c r="NGJ112" s="139"/>
      <c r="NGK112" s="139"/>
      <c r="NGL112" s="139"/>
      <c r="NGM112" s="139"/>
      <c r="NGN112" s="139"/>
      <c r="NGO112" s="139"/>
      <c r="NGP112" s="139"/>
      <c r="NGQ112" s="139"/>
      <c r="NGR112" s="139"/>
      <c r="NGS112" s="139"/>
      <c r="NGT112" s="139"/>
      <c r="NGU112" s="139"/>
      <c r="NGV112" s="139"/>
      <c r="NGW112" s="139"/>
      <c r="NGX112" s="139"/>
      <c r="NGY112" s="139"/>
      <c r="NGZ112" s="139"/>
      <c r="NHA112" s="139"/>
      <c r="NHB112" s="139"/>
      <c r="NHC112" s="139"/>
      <c r="NHD112" s="139"/>
      <c r="NHE112" s="139"/>
      <c r="NHF112" s="139"/>
      <c r="NHG112" s="139"/>
      <c r="NHH112" s="139"/>
      <c r="NHI112" s="139"/>
      <c r="NHJ112" s="139"/>
      <c r="NHK112" s="139"/>
      <c r="NHL112" s="139"/>
      <c r="NHM112" s="139"/>
      <c r="NHN112" s="139"/>
      <c r="NHO112" s="139"/>
      <c r="NHP112" s="139"/>
      <c r="NHQ112" s="139"/>
      <c r="NHR112" s="139"/>
      <c r="NHS112" s="139"/>
      <c r="NHT112" s="139"/>
      <c r="NHU112" s="139"/>
      <c r="NHV112" s="139"/>
      <c r="NHW112" s="139"/>
      <c r="NHX112" s="139"/>
      <c r="NHY112" s="139"/>
      <c r="NHZ112" s="139"/>
      <c r="NIA112" s="139"/>
      <c r="NIB112" s="139"/>
      <c r="NIC112" s="139"/>
      <c r="NID112" s="139"/>
      <c r="NIE112" s="139"/>
      <c r="NIF112" s="139"/>
      <c r="NIG112" s="139"/>
      <c r="NIH112" s="139"/>
      <c r="NII112" s="139"/>
      <c r="NIJ112" s="139"/>
      <c r="NIK112" s="139"/>
      <c r="NIL112" s="139"/>
      <c r="NIM112" s="139"/>
      <c r="NIN112" s="139"/>
      <c r="NIO112" s="139"/>
      <c r="NIP112" s="139"/>
      <c r="NIQ112" s="139"/>
      <c r="NIR112" s="139"/>
      <c r="NIS112" s="139"/>
      <c r="NIT112" s="139"/>
      <c r="NIU112" s="139"/>
      <c r="NIV112" s="139"/>
      <c r="NIW112" s="139"/>
      <c r="NIX112" s="139"/>
      <c r="NIY112" s="139"/>
      <c r="NIZ112" s="139"/>
      <c r="NJA112" s="139"/>
      <c r="NJB112" s="139"/>
      <c r="NJC112" s="139"/>
      <c r="NJD112" s="139"/>
      <c r="NJE112" s="139"/>
      <c r="NJF112" s="139"/>
      <c r="NJG112" s="139"/>
      <c r="NJH112" s="139"/>
      <c r="NJI112" s="139"/>
      <c r="NJJ112" s="139"/>
      <c r="NJK112" s="139"/>
      <c r="NJL112" s="139"/>
      <c r="NJM112" s="139"/>
      <c r="NJN112" s="139"/>
      <c r="NJO112" s="139"/>
      <c r="NJP112" s="139"/>
      <c r="NJQ112" s="139"/>
      <c r="NJR112" s="139"/>
      <c r="NJS112" s="139"/>
      <c r="NJT112" s="139"/>
      <c r="NJU112" s="139"/>
      <c r="NJV112" s="139"/>
      <c r="NJW112" s="139"/>
      <c r="NJX112" s="139"/>
      <c r="NJY112" s="139"/>
      <c r="NJZ112" s="139"/>
      <c r="NKA112" s="139"/>
      <c r="NKB112" s="139"/>
      <c r="NKC112" s="139"/>
      <c r="NKD112" s="139"/>
      <c r="NKE112" s="139"/>
      <c r="NKF112" s="139"/>
      <c r="NKG112" s="139"/>
      <c r="NKH112" s="139"/>
      <c r="NKI112" s="139"/>
      <c r="NKJ112" s="139"/>
      <c r="NKK112" s="139"/>
      <c r="NKL112" s="139"/>
      <c r="NKM112" s="139"/>
      <c r="NKN112" s="139"/>
      <c r="NKO112" s="139"/>
      <c r="NKP112" s="139"/>
      <c r="NKQ112" s="139"/>
      <c r="NKR112" s="139"/>
      <c r="NKS112" s="139"/>
      <c r="NKT112" s="139"/>
      <c r="NKU112" s="139"/>
      <c r="NKV112" s="139"/>
      <c r="NKW112" s="139"/>
      <c r="NKX112" s="139"/>
      <c r="NKY112" s="139"/>
      <c r="NKZ112" s="139"/>
      <c r="NLA112" s="139"/>
      <c r="NLB112" s="139"/>
      <c r="NLC112" s="139"/>
      <c r="NLD112" s="139"/>
      <c r="NLE112" s="139"/>
      <c r="NLF112" s="139"/>
      <c r="NLG112" s="139"/>
      <c r="NLH112" s="139"/>
      <c r="NLI112" s="139"/>
      <c r="NLJ112" s="139"/>
      <c r="NLK112" s="139"/>
      <c r="NLL112" s="139"/>
      <c r="NLM112" s="139"/>
      <c r="NLN112" s="139"/>
      <c r="NLO112" s="139"/>
      <c r="NLP112" s="139"/>
      <c r="NLQ112" s="139"/>
      <c r="NLR112" s="139"/>
      <c r="NLS112" s="139"/>
      <c r="NLT112" s="139"/>
      <c r="NLU112" s="139"/>
      <c r="NLV112" s="139"/>
      <c r="NLW112" s="139"/>
      <c r="NLX112" s="139"/>
      <c r="NLY112" s="139"/>
      <c r="NLZ112" s="139"/>
      <c r="NMA112" s="139"/>
      <c r="NMB112" s="139"/>
      <c r="NMC112" s="139"/>
      <c r="NMD112" s="139"/>
      <c r="NME112" s="139"/>
      <c r="NMF112" s="139"/>
      <c r="NMG112" s="139"/>
      <c r="NMH112" s="139"/>
      <c r="NMI112" s="139"/>
      <c r="NMJ112" s="139"/>
      <c r="NMK112" s="139"/>
      <c r="NML112" s="139"/>
      <c r="NMM112" s="139"/>
      <c r="NMN112" s="139"/>
      <c r="NMO112" s="139"/>
      <c r="NMP112" s="139"/>
      <c r="NMQ112" s="139"/>
      <c r="NMR112" s="139"/>
      <c r="NMS112" s="139"/>
      <c r="NMT112" s="139"/>
      <c r="NMU112" s="139"/>
      <c r="NMV112" s="139"/>
      <c r="NMW112" s="139"/>
      <c r="NMX112" s="139"/>
      <c r="NMY112" s="139"/>
      <c r="NMZ112" s="139"/>
      <c r="NNA112" s="139"/>
      <c r="NNB112" s="139"/>
      <c r="NNC112" s="139"/>
      <c r="NND112" s="139"/>
      <c r="NNE112" s="139"/>
      <c r="NNF112" s="139"/>
      <c r="NNG112" s="139"/>
      <c r="NNH112" s="139"/>
      <c r="NNI112" s="139"/>
      <c r="NNJ112" s="139"/>
      <c r="NNK112" s="139"/>
      <c r="NNL112" s="139"/>
      <c r="NNM112" s="139"/>
      <c r="NNN112" s="139"/>
      <c r="NNO112" s="139"/>
      <c r="NNP112" s="139"/>
      <c r="NNQ112" s="139"/>
      <c r="NNR112" s="139"/>
      <c r="NNS112" s="139"/>
      <c r="NNT112" s="139"/>
      <c r="NNU112" s="139"/>
      <c r="NNV112" s="139"/>
      <c r="NNW112" s="139"/>
      <c r="NNX112" s="139"/>
      <c r="NNY112" s="139"/>
      <c r="NNZ112" s="139"/>
      <c r="NOA112" s="139"/>
      <c r="NOB112" s="139"/>
      <c r="NOC112" s="139"/>
      <c r="NOD112" s="139"/>
      <c r="NOE112" s="139"/>
      <c r="NOF112" s="139"/>
      <c r="NOG112" s="139"/>
      <c r="NOH112" s="139"/>
      <c r="NOI112" s="139"/>
      <c r="NOJ112" s="139"/>
      <c r="NOK112" s="139"/>
      <c r="NOL112" s="139"/>
      <c r="NOM112" s="139"/>
      <c r="NON112" s="139"/>
      <c r="NOO112" s="139"/>
      <c r="NOP112" s="139"/>
      <c r="NOQ112" s="139"/>
      <c r="NOR112" s="139"/>
      <c r="NOS112" s="139"/>
      <c r="NOT112" s="139"/>
      <c r="NOU112" s="139"/>
      <c r="NOV112" s="139"/>
      <c r="NOW112" s="139"/>
      <c r="NOX112" s="139"/>
      <c r="NOY112" s="139"/>
      <c r="NOZ112" s="139"/>
      <c r="NPA112" s="139"/>
      <c r="NPB112" s="139"/>
      <c r="NPC112" s="139"/>
      <c r="NPD112" s="139"/>
      <c r="NPE112" s="139"/>
      <c r="NPF112" s="139"/>
      <c r="NPG112" s="139"/>
      <c r="NPH112" s="139"/>
      <c r="NPI112" s="139"/>
      <c r="NPJ112" s="139"/>
      <c r="NPK112" s="139"/>
      <c r="NPL112" s="139"/>
      <c r="NPM112" s="139"/>
      <c r="NPN112" s="139"/>
      <c r="NPO112" s="139"/>
      <c r="NPP112" s="139"/>
      <c r="NPQ112" s="139"/>
      <c r="NPR112" s="139"/>
      <c r="NPS112" s="139"/>
      <c r="NPT112" s="139"/>
      <c r="NPU112" s="139"/>
      <c r="NPV112" s="139"/>
      <c r="NPW112" s="139"/>
      <c r="NPX112" s="139"/>
      <c r="NPY112" s="139"/>
      <c r="NPZ112" s="139"/>
      <c r="NQA112" s="139"/>
      <c r="NQB112" s="139"/>
      <c r="NQC112" s="139"/>
      <c r="NQD112" s="139"/>
      <c r="NQE112" s="139"/>
      <c r="NQF112" s="139"/>
      <c r="NQG112" s="139"/>
      <c r="NQH112" s="139"/>
      <c r="NQI112" s="139"/>
      <c r="NQJ112" s="139"/>
      <c r="NQK112" s="139"/>
      <c r="NQL112" s="139"/>
      <c r="NQM112" s="139"/>
      <c r="NQN112" s="139"/>
      <c r="NQO112" s="139"/>
      <c r="NQP112" s="139"/>
      <c r="NQQ112" s="139"/>
      <c r="NQR112" s="139"/>
      <c r="NQS112" s="139"/>
      <c r="NQT112" s="139"/>
      <c r="NQU112" s="139"/>
      <c r="NQV112" s="139"/>
      <c r="NQW112" s="139"/>
      <c r="NQX112" s="139"/>
      <c r="NQY112" s="139"/>
      <c r="NQZ112" s="139"/>
      <c r="NRA112" s="139"/>
      <c r="NRB112" s="139"/>
      <c r="NRC112" s="139"/>
      <c r="NRD112" s="139"/>
      <c r="NRE112" s="139"/>
      <c r="NRF112" s="139"/>
      <c r="NRG112" s="139"/>
      <c r="NRH112" s="139"/>
      <c r="NRI112" s="139"/>
      <c r="NRJ112" s="139"/>
      <c r="NRK112" s="139"/>
      <c r="NRL112" s="139"/>
      <c r="NRM112" s="139"/>
      <c r="NRN112" s="139"/>
      <c r="NRO112" s="139"/>
      <c r="NRP112" s="139"/>
      <c r="NRQ112" s="139"/>
      <c r="NRR112" s="139"/>
      <c r="NRS112" s="139"/>
      <c r="NRT112" s="139"/>
      <c r="NRU112" s="139"/>
      <c r="NRV112" s="139"/>
      <c r="NRW112" s="139"/>
      <c r="NRX112" s="139"/>
      <c r="NRY112" s="139"/>
      <c r="NRZ112" s="139"/>
      <c r="NSA112" s="139"/>
      <c r="NSB112" s="139"/>
      <c r="NSC112" s="139"/>
      <c r="NSD112" s="139"/>
      <c r="NSE112" s="139"/>
      <c r="NSF112" s="139"/>
      <c r="NSG112" s="139"/>
      <c r="NSH112" s="139"/>
      <c r="NSI112" s="139"/>
      <c r="NSJ112" s="139"/>
      <c r="NSK112" s="139"/>
      <c r="NSL112" s="139"/>
      <c r="NSM112" s="139"/>
      <c r="NSN112" s="139"/>
      <c r="NSO112" s="139"/>
      <c r="NSP112" s="139"/>
      <c r="NSQ112" s="139"/>
      <c r="NSR112" s="139"/>
      <c r="NSS112" s="139"/>
      <c r="NST112" s="139"/>
      <c r="NSU112" s="139"/>
      <c r="NSV112" s="139"/>
      <c r="NSW112" s="139"/>
      <c r="NSX112" s="139"/>
      <c r="NSY112" s="139"/>
      <c r="NSZ112" s="139"/>
      <c r="NTA112" s="139"/>
      <c r="NTB112" s="139"/>
      <c r="NTC112" s="139"/>
      <c r="NTD112" s="139"/>
      <c r="NTE112" s="139"/>
      <c r="NTF112" s="139"/>
      <c r="NTG112" s="139"/>
      <c r="NTH112" s="139"/>
      <c r="NTI112" s="139"/>
      <c r="NTJ112" s="139"/>
      <c r="NTK112" s="139"/>
      <c r="NTL112" s="139"/>
      <c r="NTM112" s="139"/>
      <c r="NTN112" s="139"/>
      <c r="NTO112" s="139"/>
      <c r="NTP112" s="139"/>
      <c r="NTQ112" s="139"/>
      <c r="NTR112" s="139"/>
      <c r="NTS112" s="139"/>
      <c r="NTT112" s="139"/>
      <c r="NTU112" s="139"/>
      <c r="NTV112" s="139"/>
      <c r="NTW112" s="139"/>
      <c r="NTX112" s="139"/>
      <c r="NTY112" s="139"/>
      <c r="NTZ112" s="139"/>
      <c r="NUA112" s="139"/>
      <c r="NUB112" s="139"/>
      <c r="NUC112" s="139"/>
      <c r="NUD112" s="139"/>
      <c r="NUE112" s="139"/>
      <c r="NUF112" s="139"/>
      <c r="NUG112" s="139"/>
      <c r="NUH112" s="139"/>
      <c r="NUI112" s="139"/>
      <c r="NUJ112" s="139"/>
      <c r="NUK112" s="139"/>
      <c r="NUL112" s="139"/>
      <c r="NUM112" s="139"/>
      <c r="NUN112" s="139"/>
      <c r="NUO112" s="139"/>
      <c r="NUP112" s="139"/>
      <c r="NUQ112" s="139"/>
      <c r="NUR112" s="139"/>
      <c r="NUS112" s="139"/>
      <c r="NUT112" s="139"/>
      <c r="NUU112" s="139"/>
      <c r="NUV112" s="139"/>
      <c r="NUW112" s="139"/>
      <c r="NUX112" s="139"/>
      <c r="NUY112" s="139"/>
      <c r="NUZ112" s="139"/>
      <c r="NVA112" s="139"/>
      <c r="NVB112" s="139"/>
      <c r="NVC112" s="139"/>
      <c r="NVD112" s="139"/>
      <c r="NVE112" s="139"/>
      <c r="NVF112" s="139"/>
      <c r="NVG112" s="139"/>
      <c r="NVH112" s="139"/>
      <c r="NVI112" s="139"/>
      <c r="NVJ112" s="139"/>
      <c r="NVK112" s="139"/>
      <c r="NVL112" s="139"/>
      <c r="NVM112" s="139"/>
      <c r="NVN112" s="139"/>
      <c r="NVO112" s="139"/>
      <c r="NVP112" s="139"/>
      <c r="NVQ112" s="139"/>
      <c r="NVR112" s="139"/>
      <c r="NVS112" s="139"/>
      <c r="NVT112" s="139"/>
      <c r="NVU112" s="139"/>
      <c r="NVV112" s="139"/>
      <c r="NVW112" s="139"/>
      <c r="NVX112" s="139"/>
      <c r="NVY112" s="139"/>
      <c r="NVZ112" s="139"/>
      <c r="NWA112" s="139"/>
      <c r="NWB112" s="139"/>
      <c r="NWC112" s="139"/>
      <c r="NWD112" s="139"/>
      <c r="NWE112" s="139"/>
      <c r="NWF112" s="139"/>
      <c r="NWG112" s="139"/>
      <c r="NWH112" s="139"/>
      <c r="NWI112" s="139"/>
      <c r="NWJ112" s="139"/>
      <c r="NWK112" s="139"/>
      <c r="NWL112" s="139"/>
      <c r="NWM112" s="139"/>
      <c r="NWN112" s="139"/>
      <c r="NWO112" s="139"/>
      <c r="NWP112" s="139"/>
      <c r="NWQ112" s="139"/>
      <c r="NWR112" s="139"/>
      <c r="NWS112" s="139"/>
      <c r="NWT112" s="139"/>
      <c r="NWU112" s="139"/>
      <c r="NWV112" s="139"/>
      <c r="NWW112" s="139"/>
      <c r="NWX112" s="139"/>
      <c r="NWY112" s="139"/>
      <c r="NWZ112" s="139"/>
      <c r="NXA112" s="139"/>
      <c r="NXB112" s="139"/>
      <c r="NXC112" s="139"/>
      <c r="NXD112" s="139"/>
      <c r="NXE112" s="139"/>
      <c r="NXF112" s="139"/>
      <c r="NXG112" s="139"/>
      <c r="NXH112" s="139"/>
      <c r="NXI112" s="139"/>
      <c r="NXJ112" s="139"/>
      <c r="NXK112" s="139"/>
      <c r="NXL112" s="139"/>
      <c r="NXM112" s="139"/>
      <c r="NXN112" s="139"/>
      <c r="NXO112" s="139"/>
      <c r="NXP112" s="139"/>
      <c r="NXQ112" s="139"/>
      <c r="NXR112" s="139"/>
      <c r="NXS112" s="139"/>
      <c r="NXT112" s="139"/>
      <c r="NXU112" s="139"/>
      <c r="NXV112" s="139"/>
      <c r="NXW112" s="139"/>
      <c r="NXX112" s="139"/>
      <c r="NXY112" s="139"/>
      <c r="NXZ112" s="139"/>
      <c r="NYA112" s="139"/>
      <c r="NYB112" s="139"/>
      <c r="NYC112" s="139"/>
      <c r="NYD112" s="139"/>
      <c r="NYE112" s="139"/>
      <c r="NYF112" s="139"/>
      <c r="NYG112" s="139"/>
      <c r="NYH112" s="139"/>
      <c r="NYI112" s="139"/>
      <c r="NYJ112" s="139"/>
      <c r="NYK112" s="139"/>
      <c r="NYL112" s="139"/>
      <c r="NYM112" s="139"/>
      <c r="NYN112" s="139"/>
      <c r="NYO112" s="139"/>
      <c r="NYP112" s="139"/>
      <c r="NYQ112" s="139"/>
      <c r="NYR112" s="139"/>
      <c r="NYS112" s="139"/>
      <c r="NYT112" s="139"/>
      <c r="NYU112" s="139"/>
      <c r="NYV112" s="139"/>
      <c r="NYW112" s="139"/>
      <c r="NYX112" s="139"/>
      <c r="NYY112" s="139"/>
      <c r="NYZ112" s="139"/>
      <c r="NZA112" s="139"/>
      <c r="NZB112" s="139"/>
      <c r="NZC112" s="139"/>
      <c r="NZD112" s="139"/>
      <c r="NZE112" s="139"/>
      <c r="NZF112" s="139"/>
      <c r="NZG112" s="139"/>
      <c r="NZH112" s="139"/>
      <c r="NZI112" s="139"/>
      <c r="NZJ112" s="139"/>
      <c r="NZK112" s="139"/>
      <c r="NZL112" s="139"/>
      <c r="NZM112" s="139"/>
      <c r="NZN112" s="139"/>
      <c r="NZO112" s="139"/>
      <c r="NZP112" s="139"/>
      <c r="NZQ112" s="139"/>
      <c r="NZR112" s="139"/>
      <c r="NZS112" s="139"/>
      <c r="NZT112" s="139"/>
      <c r="NZU112" s="139"/>
      <c r="NZV112" s="139"/>
      <c r="NZW112" s="139"/>
      <c r="NZX112" s="139"/>
      <c r="NZY112" s="139"/>
      <c r="NZZ112" s="139"/>
      <c r="OAA112" s="139"/>
      <c r="OAB112" s="139"/>
      <c r="OAC112" s="139"/>
      <c r="OAD112" s="139"/>
      <c r="OAE112" s="139"/>
      <c r="OAF112" s="139"/>
      <c r="OAG112" s="139"/>
      <c r="OAH112" s="139"/>
      <c r="OAI112" s="139"/>
      <c r="OAJ112" s="139"/>
      <c r="OAK112" s="139"/>
      <c r="OAL112" s="139"/>
      <c r="OAM112" s="139"/>
      <c r="OAN112" s="139"/>
      <c r="OAO112" s="139"/>
      <c r="OAP112" s="139"/>
      <c r="OAQ112" s="139"/>
      <c r="OAR112" s="139"/>
      <c r="OAS112" s="139"/>
      <c r="OAT112" s="139"/>
      <c r="OAU112" s="139"/>
      <c r="OAV112" s="139"/>
      <c r="OAW112" s="139"/>
      <c r="OAX112" s="139"/>
      <c r="OAY112" s="139"/>
      <c r="OAZ112" s="139"/>
      <c r="OBA112" s="139"/>
      <c r="OBB112" s="139"/>
      <c r="OBC112" s="139"/>
      <c r="OBD112" s="139"/>
      <c r="OBE112" s="139"/>
      <c r="OBF112" s="139"/>
      <c r="OBG112" s="139"/>
      <c r="OBH112" s="139"/>
      <c r="OBI112" s="139"/>
      <c r="OBJ112" s="139"/>
      <c r="OBK112" s="139"/>
      <c r="OBL112" s="139"/>
      <c r="OBM112" s="139"/>
      <c r="OBN112" s="139"/>
      <c r="OBO112" s="139"/>
      <c r="OBP112" s="139"/>
      <c r="OBQ112" s="139"/>
      <c r="OBR112" s="139"/>
      <c r="OBS112" s="139"/>
      <c r="OBT112" s="139"/>
      <c r="OBU112" s="139"/>
      <c r="OBV112" s="139"/>
      <c r="OBW112" s="139"/>
      <c r="OBX112" s="139"/>
      <c r="OBY112" s="139"/>
      <c r="OBZ112" s="139"/>
      <c r="OCA112" s="139"/>
      <c r="OCB112" s="139"/>
      <c r="OCC112" s="139"/>
      <c r="OCD112" s="139"/>
      <c r="OCE112" s="139"/>
      <c r="OCF112" s="139"/>
      <c r="OCG112" s="139"/>
      <c r="OCH112" s="139"/>
      <c r="OCI112" s="139"/>
      <c r="OCJ112" s="139"/>
      <c r="OCK112" s="139"/>
      <c r="OCL112" s="139"/>
      <c r="OCM112" s="139"/>
      <c r="OCN112" s="139"/>
      <c r="OCO112" s="139"/>
      <c r="OCP112" s="139"/>
      <c r="OCQ112" s="139"/>
      <c r="OCR112" s="139"/>
      <c r="OCS112" s="139"/>
      <c r="OCT112" s="139"/>
      <c r="OCU112" s="139"/>
      <c r="OCV112" s="139"/>
      <c r="OCW112" s="139"/>
      <c r="OCX112" s="139"/>
      <c r="OCY112" s="139"/>
      <c r="OCZ112" s="139"/>
      <c r="ODA112" s="139"/>
      <c r="ODB112" s="139"/>
      <c r="ODC112" s="139"/>
      <c r="ODD112" s="139"/>
      <c r="ODE112" s="139"/>
      <c r="ODF112" s="139"/>
      <c r="ODG112" s="139"/>
      <c r="ODH112" s="139"/>
      <c r="ODI112" s="139"/>
      <c r="ODJ112" s="139"/>
      <c r="ODK112" s="139"/>
      <c r="ODL112" s="139"/>
      <c r="ODM112" s="139"/>
      <c r="ODN112" s="139"/>
      <c r="ODO112" s="139"/>
      <c r="ODP112" s="139"/>
      <c r="ODQ112" s="139"/>
      <c r="ODR112" s="139"/>
      <c r="ODS112" s="139"/>
      <c r="ODT112" s="139"/>
      <c r="ODU112" s="139"/>
      <c r="ODV112" s="139"/>
      <c r="ODW112" s="139"/>
      <c r="ODX112" s="139"/>
      <c r="ODY112" s="139"/>
      <c r="ODZ112" s="139"/>
      <c r="OEA112" s="139"/>
      <c r="OEB112" s="139"/>
      <c r="OEC112" s="139"/>
      <c r="OED112" s="139"/>
      <c r="OEE112" s="139"/>
      <c r="OEF112" s="139"/>
      <c r="OEG112" s="139"/>
      <c r="OEH112" s="139"/>
      <c r="OEI112" s="139"/>
      <c r="OEJ112" s="139"/>
      <c r="OEK112" s="139"/>
      <c r="OEL112" s="139"/>
      <c r="OEM112" s="139"/>
      <c r="OEN112" s="139"/>
      <c r="OEO112" s="139"/>
      <c r="OEP112" s="139"/>
      <c r="OEQ112" s="139"/>
      <c r="OER112" s="139"/>
      <c r="OES112" s="139"/>
      <c r="OET112" s="139"/>
      <c r="OEU112" s="139"/>
      <c r="OEV112" s="139"/>
      <c r="OEW112" s="139"/>
      <c r="OEX112" s="139"/>
      <c r="OEY112" s="139"/>
      <c r="OEZ112" s="139"/>
      <c r="OFA112" s="139"/>
      <c r="OFB112" s="139"/>
      <c r="OFC112" s="139"/>
      <c r="OFD112" s="139"/>
      <c r="OFE112" s="139"/>
      <c r="OFF112" s="139"/>
      <c r="OFG112" s="139"/>
      <c r="OFH112" s="139"/>
      <c r="OFI112" s="139"/>
      <c r="OFJ112" s="139"/>
      <c r="OFK112" s="139"/>
      <c r="OFL112" s="139"/>
      <c r="OFM112" s="139"/>
      <c r="OFN112" s="139"/>
      <c r="OFO112" s="139"/>
      <c r="OFP112" s="139"/>
      <c r="OFQ112" s="139"/>
      <c r="OFR112" s="139"/>
      <c r="OFS112" s="139"/>
      <c r="OFT112" s="139"/>
      <c r="OFU112" s="139"/>
      <c r="OFV112" s="139"/>
      <c r="OFW112" s="139"/>
      <c r="OFX112" s="139"/>
      <c r="OFY112" s="139"/>
      <c r="OFZ112" s="139"/>
      <c r="OGA112" s="139"/>
      <c r="OGB112" s="139"/>
      <c r="OGC112" s="139"/>
      <c r="OGD112" s="139"/>
      <c r="OGE112" s="139"/>
      <c r="OGF112" s="139"/>
      <c r="OGG112" s="139"/>
      <c r="OGH112" s="139"/>
      <c r="OGI112" s="139"/>
      <c r="OGJ112" s="139"/>
      <c r="OGK112" s="139"/>
      <c r="OGL112" s="139"/>
      <c r="OGM112" s="139"/>
      <c r="OGN112" s="139"/>
      <c r="OGO112" s="139"/>
      <c r="OGP112" s="139"/>
      <c r="OGQ112" s="139"/>
      <c r="OGR112" s="139"/>
      <c r="OGS112" s="139"/>
      <c r="OGT112" s="139"/>
      <c r="OGU112" s="139"/>
      <c r="OGV112" s="139"/>
      <c r="OGW112" s="139"/>
      <c r="OGX112" s="139"/>
      <c r="OGY112" s="139"/>
      <c r="OGZ112" s="139"/>
      <c r="OHA112" s="139"/>
      <c r="OHB112" s="139"/>
      <c r="OHC112" s="139"/>
      <c r="OHD112" s="139"/>
      <c r="OHE112" s="139"/>
      <c r="OHF112" s="139"/>
      <c r="OHG112" s="139"/>
      <c r="OHH112" s="139"/>
      <c r="OHI112" s="139"/>
      <c r="OHJ112" s="139"/>
      <c r="OHK112" s="139"/>
      <c r="OHL112" s="139"/>
      <c r="OHM112" s="139"/>
      <c r="OHN112" s="139"/>
      <c r="OHO112" s="139"/>
      <c r="OHP112" s="139"/>
      <c r="OHQ112" s="139"/>
      <c r="OHR112" s="139"/>
      <c r="OHS112" s="139"/>
      <c r="OHT112" s="139"/>
      <c r="OHU112" s="139"/>
      <c r="OHV112" s="139"/>
      <c r="OHW112" s="139"/>
      <c r="OHX112" s="139"/>
      <c r="OHY112" s="139"/>
      <c r="OHZ112" s="139"/>
      <c r="OIA112" s="139"/>
      <c r="OIB112" s="139"/>
      <c r="OIC112" s="139"/>
      <c r="OID112" s="139"/>
      <c r="OIE112" s="139"/>
      <c r="OIF112" s="139"/>
      <c r="OIG112" s="139"/>
      <c r="OIH112" s="139"/>
      <c r="OII112" s="139"/>
      <c r="OIJ112" s="139"/>
      <c r="OIK112" s="139"/>
      <c r="OIL112" s="139"/>
      <c r="OIM112" s="139"/>
      <c r="OIN112" s="139"/>
      <c r="OIO112" s="139"/>
      <c r="OIP112" s="139"/>
      <c r="OIQ112" s="139"/>
      <c r="OIR112" s="139"/>
      <c r="OIS112" s="139"/>
      <c r="OIT112" s="139"/>
      <c r="OIU112" s="139"/>
      <c r="OIV112" s="139"/>
      <c r="OIW112" s="139"/>
      <c r="OIX112" s="139"/>
      <c r="OIY112" s="139"/>
      <c r="OIZ112" s="139"/>
      <c r="OJA112" s="139"/>
      <c r="OJB112" s="139"/>
      <c r="OJC112" s="139"/>
      <c r="OJD112" s="139"/>
      <c r="OJE112" s="139"/>
      <c r="OJF112" s="139"/>
      <c r="OJG112" s="139"/>
      <c r="OJH112" s="139"/>
      <c r="OJI112" s="139"/>
      <c r="OJJ112" s="139"/>
      <c r="OJK112" s="139"/>
      <c r="OJL112" s="139"/>
      <c r="OJM112" s="139"/>
      <c r="OJN112" s="139"/>
      <c r="OJO112" s="139"/>
      <c r="OJP112" s="139"/>
      <c r="OJQ112" s="139"/>
      <c r="OJR112" s="139"/>
      <c r="OJS112" s="139"/>
      <c r="OJT112" s="139"/>
      <c r="OJU112" s="139"/>
      <c r="OJV112" s="139"/>
      <c r="OJW112" s="139"/>
      <c r="OJX112" s="139"/>
      <c r="OJY112" s="139"/>
      <c r="OJZ112" s="139"/>
      <c r="OKA112" s="139"/>
      <c r="OKB112" s="139"/>
      <c r="OKC112" s="139"/>
      <c r="OKD112" s="139"/>
      <c r="OKE112" s="139"/>
      <c r="OKF112" s="139"/>
      <c r="OKG112" s="139"/>
      <c r="OKH112" s="139"/>
      <c r="OKI112" s="139"/>
      <c r="OKJ112" s="139"/>
      <c r="OKK112" s="139"/>
      <c r="OKL112" s="139"/>
      <c r="OKM112" s="139"/>
      <c r="OKN112" s="139"/>
      <c r="OKO112" s="139"/>
      <c r="OKP112" s="139"/>
      <c r="OKQ112" s="139"/>
      <c r="OKR112" s="139"/>
      <c r="OKS112" s="139"/>
      <c r="OKT112" s="139"/>
      <c r="OKU112" s="139"/>
      <c r="OKV112" s="139"/>
      <c r="OKW112" s="139"/>
      <c r="OKX112" s="139"/>
      <c r="OKY112" s="139"/>
      <c r="OKZ112" s="139"/>
      <c r="OLA112" s="139"/>
      <c r="OLB112" s="139"/>
      <c r="OLC112" s="139"/>
      <c r="OLD112" s="139"/>
      <c r="OLE112" s="139"/>
      <c r="OLF112" s="139"/>
      <c r="OLG112" s="139"/>
      <c r="OLH112" s="139"/>
      <c r="OLI112" s="139"/>
      <c r="OLJ112" s="139"/>
      <c r="OLK112" s="139"/>
      <c r="OLL112" s="139"/>
      <c r="OLM112" s="139"/>
      <c r="OLN112" s="139"/>
      <c r="OLO112" s="139"/>
      <c r="OLP112" s="139"/>
      <c r="OLQ112" s="139"/>
      <c r="OLR112" s="139"/>
      <c r="OLS112" s="139"/>
      <c r="OLT112" s="139"/>
      <c r="OLU112" s="139"/>
      <c r="OLV112" s="139"/>
      <c r="OLW112" s="139"/>
      <c r="OLX112" s="139"/>
      <c r="OLY112" s="139"/>
      <c r="OLZ112" s="139"/>
      <c r="OMA112" s="139"/>
      <c r="OMB112" s="139"/>
      <c r="OMC112" s="139"/>
      <c r="OMD112" s="139"/>
      <c r="OME112" s="139"/>
      <c r="OMF112" s="139"/>
      <c r="OMG112" s="139"/>
      <c r="OMH112" s="139"/>
      <c r="OMI112" s="139"/>
      <c r="OMJ112" s="139"/>
      <c r="OMK112" s="139"/>
      <c r="OML112" s="139"/>
      <c r="OMM112" s="139"/>
      <c r="OMN112" s="139"/>
      <c r="OMO112" s="139"/>
      <c r="OMP112" s="139"/>
      <c r="OMQ112" s="139"/>
      <c r="OMR112" s="139"/>
      <c r="OMS112" s="139"/>
      <c r="OMT112" s="139"/>
      <c r="OMU112" s="139"/>
      <c r="OMV112" s="139"/>
      <c r="OMW112" s="139"/>
      <c r="OMX112" s="139"/>
      <c r="OMY112" s="139"/>
      <c r="OMZ112" s="139"/>
      <c r="ONA112" s="139"/>
      <c r="ONB112" s="139"/>
      <c r="ONC112" s="139"/>
      <c r="OND112" s="139"/>
      <c r="ONE112" s="139"/>
      <c r="ONF112" s="139"/>
      <c r="ONG112" s="139"/>
      <c r="ONH112" s="139"/>
      <c r="ONI112" s="139"/>
      <c r="ONJ112" s="139"/>
      <c r="ONK112" s="139"/>
      <c r="ONL112" s="139"/>
      <c r="ONM112" s="139"/>
      <c r="ONN112" s="139"/>
      <c r="ONO112" s="139"/>
      <c r="ONP112" s="139"/>
      <c r="ONQ112" s="139"/>
      <c r="ONR112" s="139"/>
      <c r="ONS112" s="139"/>
      <c r="ONT112" s="139"/>
      <c r="ONU112" s="139"/>
      <c r="ONV112" s="139"/>
      <c r="ONW112" s="139"/>
      <c r="ONX112" s="139"/>
      <c r="ONY112" s="139"/>
      <c r="ONZ112" s="139"/>
      <c r="OOA112" s="139"/>
      <c r="OOB112" s="139"/>
      <c r="OOC112" s="139"/>
      <c r="OOD112" s="139"/>
      <c r="OOE112" s="139"/>
      <c r="OOF112" s="139"/>
      <c r="OOG112" s="139"/>
      <c r="OOH112" s="139"/>
      <c r="OOI112" s="139"/>
      <c r="OOJ112" s="139"/>
      <c r="OOK112" s="139"/>
      <c r="OOL112" s="139"/>
      <c r="OOM112" s="139"/>
      <c r="OON112" s="139"/>
      <c r="OOO112" s="139"/>
      <c r="OOP112" s="139"/>
      <c r="OOQ112" s="139"/>
      <c r="OOR112" s="139"/>
      <c r="OOS112" s="139"/>
      <c r="OOT112" s="139"/>
      <c r="OOU112" s="139"/>
      <c r="OOV112" s="139"/>
      <c r="OOW112" s="139"/>
      <c r="OOX112" s="139"/>
      <c r="OOY112" s="139"/>
      <c r="OOZ112" s="139"/>
      <c r="OPA112" s="139"/>
      <c r="OPB112" s="139"/>
      <c r="OPC112" s="139"/>
      <c r="OPD112" s="139"/>
      <c r="OPE112" s="139"/>
      <c r="OPF112" s="139"/>
      <c r="OPG112" s="139"/>
      <c r="OPH112" s="139"/>
      <c r="OPI112" s="139"/>
      <c r="OPJ112" s="139"/>
      <c r="OPK112" s="139"/>
      <c r="OPL112" s="139"/>
      <c r="OPM112" s="139"/>
      <c r="OPN112" s="139"/>
      <c r="OPO112" s="139"/>
      <c r="OPP112" s="139"/>
      <c r="OPQ112" s="139"/>
      <c r="OPR112" s="139"/>
      <c r="OPS112" s="139"/>
      <c r="OPT112" s="139"/>
      <c r="OPU112" s="139"/>
      <c r="OPV112" s="139"/>
      <c r="OPW112" s="139"/>
      <c r="OPX112" s="139"/>
      <c r="OPY112" s="139"/>
      <c r="OPZ112" s="139"/>
      <c r="OQA112" s="139"/>
      <c r="OQB112" s="139"/>
      <c r="OQC112" s="139"/>
      <c r="OQD112" s="139"/>
      <c r="OQE112" s="139"/>
      <c r="OQF112" s="139"/>
      <c r="OQG112" s="139"/>
      <c r="OQH112" s="139"/>
      <c r="OQI112" s="139"/>
      <c r="OQJ112" s="139"/>
      <c r="OQK112" s="139"/>
      <c r="OQL112" s="139"/>
      <c r="OQM112" s="139"/>
      <c r="OQN112" s="139"/>
      <c r="OQO112" s="139"/>
      <c r="OQP112" s="139"/>
      <c r="OQQ112" s="139"/>
      <c r="OQR112" s="139"/>
      <c r="OQS112" s="139"/>
      <c r="OQT112" s="139"/>
      <c r="OQU112" s="139"/>
      <c r="OQV112" s="139"/>
      <c r="OQW112" s="139"/>
      <c r="OQX112" s="139"/>
      <c r="OQY112" s="139"/>
      <c r="OQZ112" s="139"/>
      <c r="ORA112" s="139"/>
      <c r="ORB112" s="139"/>
      <c r="ORC112" s="139"/>
      <c r="ORD112" s="139"/>
      <c r="ORE112" s="139"/>
      <c r="ORF112" s="139"/>
      <c r="ORG112" s="139"/>
      <c r="ORH112" s="139"/>
      <c r="ORI112" s="139"/>
      <c r="ORJ112" s="139"/>
      <c r="ORK112" s="139"/>
      <c r="ORL112" s="139"/>
      <c r="ORM112" s="139"/>
      <c r="ORN112" s="139"/>
      <c r="ORO112" s="139"/>
      <c r="ORP112" s="139"/>
      <c r="ORQ112" s="139"/>
      <c r="ORR112" s="139"/>
      <c r="ORS112" s="139"/>
      <c r="ORT112" s="139"/>
      <c r="ORU112" s="139"/>
      <c r="ORV112" s="139"/>
      <c r="ORW112" s="139"/>
      <c r="ORX112" s="139"/>
      <c r="ORY112" s="139"/>
      <c r="ORZ112" s="139"/>
      <c r="OSA112" s="139"/>
      <c r="OSB112" s="139"/>
      <c r="OSC112" s="139"/>
      <c r="OSD112" s="139"/>
      <c r="OSE112" s="139"/>
      <c r="OSF112" s="139"/>
      <c r="OSG112" s="139"/>
      <c r="OSH112" s="139"/>
      <c r="OSI112" s="139"/>
      <c r="OSJ112" s="139"/>
      <c r="OSK112" s="139"/>
      <c r="OSL112" s="139"/>
      <c r="OSM112" s="139"/>
      <c r="OSN112" s="139"/>
      <c r="OSO112" s="139"/>
      <c r="OSP112" s="139"/>
      <c r="OSQ112" s="139"/>
      <c r="OSR112" s="139"/>
      <c r="OSS112" s="139"/>
      <c r="OST112" s="139"/>
      <c r="OSU112" s="139"/>
      <c r="OSV112" s="139"/>
      <c r="OSW112" s="139"/>
      <c r="OSX112" s="139"/>
      <c r="OSY112" s="139"/>
      <c r="OSZ112" s="139"/>
      <c r="OTA112" s="139"/>
      <c r="OTB112" s="139"/>
      <c r="OTC112" s="139"/>
      <c r="OTD112" s="139"/>
      <c r="OTE112" s="139"/>
      <c r="OTF112" s="139"/>
      <c r="OTG112" s="139"/>
      <c r="OTH112" s="139"/>
      <c r="OTI112" s="139"/>
      <c r="OTJ112" s="139"/>
      <c r="OTK112" s="139"/>
      <c r="OTL112" s="139"/>
      <c r="OTM112" s="139"/>
      <c r="OTN112" s="139"/>
      <c r="OTO112" s="139"/>
      <c r="OTP112" s="139"/>
      <c r="OTQ112" s="139"/>
      <c r="OTR112" s="139"/>
      <c r="OTS112" s="139"/>
      <c r="OTT112" s="139"/>
      <c r="OTU112" s="139"/>
      <c r="OTV112" s="139"/>
      <c r="OTW112" s="139"/>
      <c r="OTX112" s="139"/>
      <c r="OTY112" s="139"/>
      <c r="OTZ112" s="139"/>
      <c r="OUA112" s="139"/>
      <c r="OUB112" s="139"/>
      <c r="OUC112" s="139"/>
      <c r="OUD112" s="139"/>
      <c r="OUE112" s="139"/>
      <c r="OUF112" s="139"/>
      <c r="OUG112" s="139"/>
      <c r="OUH112" s="139"/>
      <c r="OUI112" s="139"/>
      <c r="OUJ112" s="139"/>
      <c r="OUK112" s="139"/>
      <c r="OUL112" s="139"/>
      <c r="OUM112" s="139"/>
      <c r="OUN112" s="139"/>
      <c r="OUO112" s="139"/>
      <c r="OUP112" s="139"/>
      <c r="OUQ112" s="139"/>
      <c r="OUR112" s="139"/>
      <c r="OUS112" s="139"/>
      <c r="OUT112" s="139"/>
      <c r="OUU112" s="139"/>
      <c r="OUV112" s="139"/>
      <c r="OUW112" s="139"/>
      <c r="OUX112" s="139"/>
      <c r="OUY112" s="139"/>
      <c r="OUZ112" s="139"/>
      <c r="OVA112" s="139"/>
      <c r="OVB112" s="139"/>
      <c r="OVC112" s="139"/>
      <c r="OVD112" s="139"/>
      <c r="OVE112" s="139"/>
      <c r="OVF112" s="139"/>
      <c r="OVG112" s="139"/>
      <c r="OVH112" s="139"/>
      <c r="OVI112" s="139"/>
      <c r="OVJ112" s="139"/>
      <c r="OVK112" s="139"/>
      <c r="OVL112" s="139"/>
      <c r="OVM112" s="139"/>
      <c r="OVN112" s="139"/>
      <c r="OVO112" s="139"/>
      <c r="OVP112" s="139"/>
      <c r="OVQ112" s="139"/>
      <c r="OVR112" s="139"/>
      <c r="OVS112" s="139"/>
      <c r="OVT112" s="139"/>
      <c r="OVU112" s="139"/>
      <c r="OVV112" s="139"/>
      <c r="OVW112" s="139"/>
      <c r="OVX112" s="139"/>
      <c r="OVY112" s="139"/>
      <c r="OVZ112" s="139"/>
      <c r="OWA112" s="139"/>
      <c r="OWB112" s="139"/>
      <c r="OWC112" s="139"/>
      <c r="OWD112" s="139"/>
      <c r="OWE112" s="139"/>
      <c r="OWF112" s="139"/>
      <c r="OWG112" s="139"/>
      <c r="OWH112" s="139"/>
      <c r="OWI112" s="139"/>
      <c r="OWJ112" s="139"/>
      <c r="OWK112" s="139"/>
      <c r="OWL112" s="139"/>
      <c r="OWM112" s="139"/>
      <c r="OWN112" s="139"/>
      <c r="OWO112" s="139"/>
      <c r="OWP112" s="139"/>
      <c r="OWQ112" s="139"/>
      <c r="OWR112" s="139"/>
      <c r="OWS112" s="139"/>
      <c r="OWT112" s="139"/>
      <c r="OWU112" s="139"/>
      <c r="OWV112" s="139"/>
      <c r="OWW112" s="139"/>
      <c r="OWX112" s="139"/>
      <c r="OWY112" s="139"/>
      <c r="OWZ112" s="139"/>
      <c r="OXA112" s="139"/>
      <c r="OXB112" s="139"/>
      <c r="OXC112" s="139"/>
      <c r="OXD112" s="139"/>
      <c r="OXE112" s="139"/>
      <c r="OXF112" s="139"/>
      <c r="OXG112" s="139"/>
      <c r="OXH112" s="139"/>
      <c r="OXI112" s="139"/>
      <c r="OXJ112" s="139"/>
      <c r="OXK112" s="139"/>
      <c r="OXL112" s="139"/>
      <c r="OXM112" s="139"/>
      <c r="OXN112" s="139"/>
      <c r="OXO112" s="139"/>
      <c r="OXP112" s="139"/>
      <c r="OXQ112" s="139"/>
      <c r="OXR112" s="139"/>
      <c r="OXS112" s="139"/>
      <c r="OXT112" s="139"/>
      <c r="OXU112" s="139"/>
      <c r="OXV112" s="139"/>
      <c r="OXW112" s="139"/>
      <c r="OXX112" s="139"/>
      <c r="OXY112" s="139"/>
      <c r="OXZ112" s="139"/>
      <c r="OYA112" s="139"/>
      <c r="OYB112" s="139"/>
      <c r="OYC112" s="139"/>
      <c r="OYD112" s="139"/>
      <c r="OYE112" s="139"/>
      <c r="OYF112" s="139"/>
      <c r="OYG112" s="139"/>
      <c r="OYH112" s="139"/>
      <c r="OYI112" s="139"/>
      <c r="OYJ112" s="139"/>
      <c r="OYK112" s="139"/>
      <c r="OYL112" s="139"/>
      <c r="OYM112" s="139"/>
      <c r="OYN112" s="139"/>
      <c r="OYO112" s="139"/>
      <c r="OYP112" s="139"/>
      <c r="OYQ112" s="139"/>
      <c r="OYR112" s="139"/>
      <c r="OYS112" s="139"/>
      <c r="OYT112" s="139"/>
      <c r="OYU112" s="139"/>
      <c r="OYV112" s="139"/>
      <c r="OYW112" s="139"/>
      <c r="OYX112" s="139"/>
      <c r="OYY112" s="139"/>
      <c r="OYZ112" s="139"/>
      <c r="OZA112" s="139"/>
      <c r="OZB112" s="139"/>
      <c r="OZC112" s="139"/>
      <c r="OZD112" s="139"/>
      <c r="OZE112" s="139"/>
      <c r="OZF112" s="139"/>
      <c r="OZG112" s="139"/>
      <c r="OZH112" s="139"/>
      <c r="OZI112" s="139"/>
      <c r="OZJ112" s="139"/>
      <c r="OZK112" s="139"/>
      <c r="OZL112" s="139"/>
      <c r="OZM112" s="139"/>
      <c r="OZN112" s="139"/>
      <c r="OZO112" s="139"/>
      <c r="OZP112" s="139"/>
      <c r="OZQ112" s="139"/>
      <c r="OZR112" s="139"/>
      <c r="OZS112" s="139"/>
      <c r="OZT112" s="139"/>
      <c r="OZU112" s="139"/>
      <c r="OZV112" s="139"/>
      <c r="OZW112" s="139"/>
      <c r="OZX112" s="139"/>
      <c r="OZY112" s="139"/>
      <c r="OZZ112" s="139"/>
      <c r="PAA112" s="139"/>
      <c r="PAB112" s="139"/>
      <c r="PAC112" s="139"/>
      <c r="PAD112" s="139"/>
      <c r="PAE112" s="139"/>
      <c r="PAF112" s="139"/>
      <c r="PAG112" s="139"/>
      <c r="PAH112" s="139"/>
      <c r="PAI112" s="139"/>
      <c r="PAJ112" s="139"/>
      <c r="PAK112" s="139"/>
      <c r="PAL112" s="139"/>
      <c r="PAM112" s="139"/>
      <c r="PAN112" s="139"/>
      <c r="PAO112" s="139"/>
      <c r="PAP112" s="139"/>
      <c r="PAQ112" s="139"/>
      <c r="PAR112" s="139"/>
      <c r="PAS112" s="139"/>
      <c r="PAT112" s="139"/>
      <c r="PAU112" s="139"/>
      <c r="PAV112" s="139"/>
      <c r="PAW112" s="139"/>
      <c r="PAX112" s="139"/>
      <c r="PAY112" s="139"/>
      <c r="PAZ112" s="139"/>
      <c r="PBA112" s="139"/>
      <c r="PBB112" s="139"/>
      <c r="PBC112" s="139"/>
      <c r="PBD112" s="139"/>
      <c r="PBE112" s="139"/>
      <c r="PBF112" s="139"/>
      <c r="PBG112" s="139"/>
      <c r="PBH112" s="139"/>
      <c r="PBI112" s="139"/>
      <c r="PBJ112" s="139"/>
      <c r="PBK112" s="139"/>
      <c r="PBL112" s="139"/>
      <c r="PBM112" s="139"/>
      <c r="PBN112" s="139"/>
      <c r="PBO112" s="139"/>
      <c r="PBP112" s="139"/>
      <c r="PBQ112" s="139"/>
      <c r="PBR112" s="139"/>
      <c r="PBS112" s="139"/>
      <c r="PBT112" s="139"/>
      <c r="PBU112" s="139"/>
      <c r="PBV112" s="139"/>
      <c r="PBW112" s="139"/>
      <c r="PBX112" s="139"/>
      <c r="PBY112" s="139"/>
      <c r="PBZ112" s="139"/>
      <c r="PCA112" s="139"/>
      <c r="PCB112" s="139"/>
      <c r="PCC112" s="139"/>
      <c r="PCD112" s="139"/>
      <c r="PCE112" s="139"/>
      <c r="PCF112" s="139"/>
      <c r="PCG112" s="139"/>
      <c r="PCH112" s="139"/>
      <c r="PCI112" s="139"/>
      <c r="PCJ112" s="139"/>
      <c r="PCK112" s="139"/>
      <c r="PCL112" s="139"/>
      <c r="PCM112" s="139"/>
      <c r="PCN112" s="139"/>
      <c r="PCO112" s="139"/>
      <c r="PCP112" s="139"/>
      <c r="PCQ112" s="139"/>
      <c r="PCR112" s="139"/>
      <c r="PCS112" s="139"/>
      <c r="PCT112" s="139"/>
      <c r="PCU112" s="139"/>
      <c r="PCV112" s="139"/>
      <c r="PCW112" s="139"/>
      <c r="PCX112" s="139"/>
      <c r="PCY112" s="139"/>
      <c r="PCZ112" s="139"/>
      <c r="PDA112" s="139"/>
      <c r="PDB112" s="139"/>
      <c r="PDC112" s="139"/>
      <c r="PDD112" s="139"/>
      <c r="PDE112" s="139"/>
      <c r="PDF112" s="139"/>
      <c r="PDG112" s="139"/>
      <c r="PDH112" s="139"/>
      <c r="PDI112" s="139"/>
      <c r="PDJ112" s="139"/>
      <c r="PDK112" s="139"/>
      <c r="PDL112" s="139"/>
      <c r="PDM112" s="139"/>
      <c r="PDN112" s="139"/>
      <c r="PDO112" s="139"/>
      <c r="PDP112" s="139"/>
      <c r="PDQ112" s="139"/>
      <c r="PDR112" s="139"/>
      <c r="PDS112" s="139"/>
      <c r="PDT112" s="139"/>
      <c r="PDU112" s="139"/>
      <c r="PDV112" s="139"/>
      <c r="PDW112" s="139"/>
      <c r="PDX112" s="139"/>
      <c r="PDY112" s="139"/>
      <c r="PDZ112" s="139"/>
      <c r="PEA112" s="139"/>
      <c r="PEB112" s="139"/>
      <c r="PEC112" s="139"/>
      <c r="PED112" s="139"/>
      <c r="PEE112" s="139"/>
      <c r="PEF112" s="139"/>
      <c r="PEG112" s="139"/>
      <c r="PEH112" s="139"/>
      <c r="PEI112" s="139"/>
      <c r="PEJ112" s="139"/>
      <c r="PEK112" s="139"/>
      <c r="PEL112" s="139"/>
      <c r="PEM112" s="139"/>
      <c r="PEN112" s="139"/>
      <c r="PEO112" s="139"/>
      <c r="PEP112" s="139"/>
      <c r="PEQ112" s="139"/>
      <c r="PER112" s="139"/>
      <c r="PES112" s="139"/>
      <c r="PET112" s="139"/>
      <c r="PEU112" s="139"/>
      <c r="PEV112" s="139"/>
      <c r="PEW112" s="139"/>
      <c r="PEX112" s="139"/>
      <c r="PEY112" s="139"/>
      <c r="PEZ112" s="139"/>
      <c r="PFA112" s="139"/>
      <c r="PFB112" s="139"/>
      <c r="PFC112" s="139"/>
      <c r="PFD112" s="139"/>
      <c r="PFE112" s="139"/>
      <c r="PFF112" s="139"/>
      <c r="PFG112" s="139"/>
      <c r="PFH112" s="139"/>
      <c r="PFI112" s="139"/>
      <c r="PFJ112" s="139"/>
      <c r="PFK112" s="139"/>
      <c r="PFL112" s="139"/>
      <c r="PFM112" s="139"/>
      <c r="PFN112" s="139"/>
      <c r="PFO112" s="139"/>
      <c r="PFP112" s="139"/>
      <c r="PFQ112" s="139"/>
      <c r="PFR112" s="139"/>
      <c r="PFS112" s="139"/>
      <c r="PFT112" s="139"/>
      <c r="PFU112" s="139"/>
      <c r="PFV112" s="139"/>
      <c r="PFW112" s="139"/>
      <c r="PFX112" s="139"/>
      <c r="PFY112" s="139"/>
      <c r="PFZ112" s="139"/>
      <c r="PGA112" s="139"/>
      <c r="PGB112" s="139"/>
      <c r="PGC112" s="139"/>
      <c r="PGD112" s="139"/>
      <c r="PGE112" s="139"/>
      <c r="PGF112" s="139"/>
      <c r="PGG112" s="139"/>
      <c r="PGH112" s="139"/>
      <c r="PGI112" s="139"/>
      <c r="PGJ112" s="139"/>
      <c r="PGK112" s="139"/>
      <c r="PGL112" s="139"/>
      <c r="PGM112" s="139"/>
      <c r="PGN112" s="139"/>
      <c r="PGO112" s="139"/>
      <c r="PGP112" s="139"/>
      <c r="PGQ112" s="139"/>
      <c r="PGR112" s="139"/>
      <c r="PGS112" s="139"/>
      <c r="PGT112" s="139"/>
      <c r="PGU112" s="139"/>
      <c r="PGV112" s="139"/>
      <c r="PGW112" s="139"/>
      <c r="PGX112" s="139"/>
      <c r="PGY112" s="139"/>
      <c r="PGZ112" s="139"/>
      <c r="PHA112" s="139"/>
      <c r="PHB112" s="139"/>
      <c r="PHC112" s="139"/>
      <c r="PHD112" s="139"/>
      <c r="PHE112" s="139"/>
      <c r="PHF112" s="139"/>
      <c r="PHG112" s="139"/>
      <c r="PHH112" s="139"/>
      <c r="PHI112" s="139"/>
      <c r="PHJ112" s="139"/>
      <c r="PHK112" s="139"/>
      <c r="PHL112" s="139"/>
      <c r="PHM112" s="139"/>
      <c r="PHN112" s="139"/>
      <c r="PHO112" s="139"/>
      <c r="PHP112" s="139"/>
      <c r="PHQ112" s="139"/>
      <c r="PHR112" s="139"/>
      <c r="PHS112" s="139"/>
      <c r="PHT112" s="139"/>
      <c r="PHU112" s="139"/>
      <c r="PHV112" s="139"/>
      <c r="PHW112" s="139"/>
      <c r="PHX112" s="139"/>
      <c r="PHY112" s="139"/>
      <c r="PHZ112" s="139"/>
      <c r="PIA112" s="139"/>
      <c r="PIB112" s="139"/>
      <c r="PIC112" s="139"/>
      <c r="PID112" s="139"/>
      <c r="PIE112" s="139"/>
      <c r="PIF112" s="139"/>
      <c r="PIG112" s="139"/>
      <c r="PIH112" s="139"/>
      <c r="PII112" s="139"/>
      <c r="PIJ112" s="139"/>
      <c r="PIK112" s="139"/>
      <c r="PIL112" s="139"/>
      <c r="PIM112" s="139"/>
      <c r="PIN112" s="139"/>
      <c r="PIO112" s="139"/>
      <c r="PIP112" s="139"/>
      <c r="PIQ112" s="139"/>
      <c r="PIR112" s="139"/>
      <c r="PIS112" s="139"/>
      <c r="PIT112" s="139"/>
      <c r="PIU112" s="139"/>
      <c r="PIV112" s="139"/>
      <c r="PIW112" s="139"/>
      <c r="PIX112" s="139"/>
      <c r="PIY112" s="139"/>
      <c r="PIZ112" s="139"/>
      <c r="PJA112" s="139"/>
      <c r="PJB112" s="139"/>
      <c r="PJC112" s="139"/>
      <c r="PJD112" s="139"/>
      <c r="PJE112" s="139"/>
      <c r="PJF112" s="139"/>
      <c r="PJG112" s="139"/>
      <c r="PJH112" s="139"/>
      <c r="PJI112" s="139"/>
      <c r="PJJ112" s="139"/>
      <c r="PJK112" s="139"/>
      <c r="PJL112" s="139"/>
      <c r="PJM112" s="139"/>
      <c r="PJN112" s="139"/>
      <c r="PJO112" s="139"/>
      <c r="PJP112" s="139"/>
      <c r="PJQ112" s="139"/>
      <c r="PJR112" s="139"/>
      <c r="PJS112" s="139"/>
      <c r="PJT112" s="139"/>
      <c r="PJU112" s="139"/>
      <c r="PJV112" s="139"/>
      <c r="PJW112" s="139"/>
      <c r="PJX112" s="139"/>
      <c r="PJY112" s="139"/>
      <c r="PJZ112" s="139"/>
      <c r="PKA112" s="139"/>
      <c r="PKB112" s="139"/>
      <c r="PKC112" s="139"/>
      <c r="PKD112" s="139"/>
      <c r="PKE112" s="139"/>
      <c r="PKF112" s="139"/>
      <c r="PKG112" s="139"/>
      <c r="PKH112" s="139"/>
      <c r="PKI112" s="139"/>
      <c r="PKJ112" s="139"/>
      <c r="PKK112" s="139"/>
      <c r="PKL112" s="139"/>
      <c r="PKM112" s="139"/>
      <c r="PKN112" s="139"/>
      <c r="PKO112" s="139"/>
      <c r="PKP112" s="139"/>
      <c r="PKQ112" s="139"/>
      <c r="PKR112" s="139"/>
      <c r="PKS112" s="139"/>
      <c r="PKT112" s="139"/>
      <c r="PKU112" s="139"/>
      <c r="PKV112" s="139"/>
      <c r="PKW112" s="139"/>
      <c r="PKX112" s="139"/>
      <c r="PKY112" s="139"/>
      <c r="PKZ112" s="139"/>
      <c r="PLA112" s="139"/>
      <c r="PLB112" s="139"/>
      <c r="PLC112" s="139"/>
      <c r="PLD112" s="139"/>
      <c r="PLE112" s="139"/>
      <c r="PLF112" s="139"/>
      <c r="PLG112" s="139"/>
      <c r="PLH112" s="139"/>
      <c r="PLI112" s="139"/>
      <c r="PLJ112" s="139"/>
      <c r="PLK112" s="139"/>
      <c r="PLL112" s="139"/>
      <c r="PLM112" s="139"/>
      <c r="PLN112" s="139"/>
      <c r="PLO112" s="139"/>
      <c r="PLP112" s="139"/>
      <c r="PLQ112" s="139"/>
      <c r="PLR112" s="139"/>
      <c r="PLS112" s="139"/>
      <c r="PLT112" s="139"/>
      <c r="PLU112" s="139"/>
      <c r="PLV112" s="139"/>
      <c r="PLW112" s="139"/>
      <c r="PLX112" s="139"/>
      <c r="PLY112" s="139"/>
      <c r="PLZ112" s="139"/>
      <c r="PMA112" s="139"/>
      <c r="PMB112" s="139"/>
      <c r="PMC112" s="139"/>
      <c r="PMD112" s="139"/>
      <c r="PME112" s="139"/>
      <c r="PMF112" s="139"/>
      <c r="PMG112" s="139"/>
      <c r="PMH112" s="139"/>
      <c r="PMI112" s="139"/>
      <c r="PMJ112" s="139"/>
      <c r="PMK112" s="139"/>
      <c r="PML112" s="139"/>
      <c r="PMM112" s="139"/>
      <c r="PMN112" s="139"/>
      <c r="PMO112" s="139"/>
      <c r="PMP112" s="139"/>
      <c r="PMQ112" s="139"/>
      <c r="PMR112" s="139"/>
      <c r="PMS112" s="139"/>
      <c r="PMT112" s="139"/>
      <c r="PMU112" s="139"/>
      <c r="PMV112" s="139"/>
      <c r="PMW112" s="139"/>
      <c r="PMX112" s="139"/>
      <c r="PMY112" s="139"/>
      <c r="PMZ112" s="139"/>
      <c r="PNA112" s="139"/>
      <c r="PNB112" s="139"/>
      <c r="PNC112" s="139"/>
      <c r="PND112" s="139"/>
      <c r="PNE112" s="139"/>
      <c r="PNF112" s="139"/>
      <c r="PNG112" s="139"/>
      <c r="PNH112" s="139"/>
      <c r="PNI112" s="139"/>
      <c r="PNJ112" s="139"/>
      <c r="PNK112" s="139"/>
      <c r="PNL112" s="139"/>
      <c r="PNM112" s="139"/>
      <c r="PNN112" s="139"/>
      <c r="PNO112" s="139"/>
      <c r="PNP112" s="139"/>
      <c r="PNQ112" s="139"/>
      <c r="PNR112" s="139"/>
      <c r="PNS112" s="139"/>
      <c r="PNT112" s="139"/>
      <c r="PNU112" s="139"/>
      <c r="PNV112" s="139"/>
      <c r="PNW112" s="139"/>
      <c r="PNX112" s="139"/>
      <c r="PNY112" s="139"/>
      <c r="PNZ112" s="139"/>
      <c r="POA112" s="139"/>
      <c r="POB112" s="139"/>
      <c r="POC112" s="139"/>
      <c r="POD112" s="139"/>
      <c r="POE112" s="139"/>
      <c r="POF112" s="139"/>
      <c r="POG112" s="139"/>
      <c r="POH112" s="139"/>
      <c r="POI112" s="139"/>
      <c r="POJ112" s="139"/>
      <c r="POK112" s="139"/>
      <c r="POL112" s="139"/>
      <c r="POM112" s="139"/>
      <c r="PON112" s="139"/>
      <c r="POO112" s="139"/>
      <c r="POP112" s="139"/>
      <c r="POQ112" s="139"/>
      <c r="POR112" s="139"/>
      <c r="POS112" s="139"/>
      <c r="POT112" s="139"/>
      <c r="POU112" s="139"/>
      <c r="POV112" s="139"/>
      <c r="POW112" s="139"/>
      <c r="POX112" s="139"/>
      <c r="POY112" s="139"/>
      <c r="POZ112" s="139"/>
      <c r="PPA112" s="139"/>
      <c r="PPB112" s="139"/>
      <c r="PPC112" s="139"/>
      <c r="PPD112" s="139"/>
      <c r="PPE112" s="139"/>
      <c r="PPF112" s="139"/>
      <c r="PPG112" s="139"/>
      <c r="PPH112" s="139"/>
      <c r="PPI112" s="139"/>
      <c r="PPJ112" s="139"/>
      <c r="PPK112" s="139"/>
      <c r="PPL112" s="139"/>
      <c r="PPM112" s="139"/>
      <c r="PPN112" s="139"/>
      <c r="PPO112" s="139"/>
      <c r="PPP112" s="139"/>
      <c r="PPQ112" s="139"/>
      <c r="PPR112" s="139"/>
      <c r="PPS112" s="139"/>
      <c r="PPT112" s="139"/>
      <c r="PPU112" s="139"/>
      <c r="PPV112" s="139"/>
      <c r="PPW112" s="139"/>
      <c r="PPX112" s="139"/>
      <c r="PPY112" s="139"/>
      <c r="PPZ112" s="139"/>
      <c r="PQA112" s="139"/>
      <c r="PQB112" s="139"/>
      <c r="PQC112" s="139"/>
      <c r="PQD112" s="139"/>
      <c r="PQE112" s="139"/>
      <c r="PQF112" s="139"/>
      <c r="PQG112" s="139"/>
      <c r="PQH112" s="139"/>
      <c r="PQI112" s="139"/>
      <c r="PQJ112" s="139"/>
      <c r="PQK112" s="139"/>
      <c r="PQL112" s="139"/>
      <c r="PQM112" s="139"/>
      <c r="PQN112" s="139"/>
      <c r="PQO112" s="139"/>
      <c r="PQP112" s="139"/>
      <c r="PQQ112" s="139"/>
      <c r="PQR112" s="139"/>
      <c r="PQS112" s="139"/>
      <c r="PQT112" s="139"/>
      <c r="PQU112" s="139"/>
      <c r="PQV112" s="139"/>
      <c r="PQW112" s="139"/>
      <c r="PQX112" s="139"/>
      <c r="PQY112" s="139"/>
      <c r="PQZ112" s="139"/>
      <c r="PRA112" s="139"/>
      <c r="PRB112" s="139"/>
      <c r="PRC112" s="139"/>
      <c r="PRD112" s="139"/>
      <c r="PRE112" s="139"/>
      <c r="PRF112" s="139"/>
      <c r="PRG112" s="139"/>
      <c r="PRH112" s="139"/>
      <c r="PRI112" s="139"/>
      <c r="PRJ112" s="139"/>
      <c r="PRK112" s="139"/>
      <c r="PRL112" s="139"/>
      <c r="PRM112" s="139"/>
      <c r="PRN112" s="139"/>
      <c r="PRO112" s="139"/>
      <c r="PRP112" s="139"/>
      <c r="PRQ112" s="139"/>
      <c r="PRR112" s="139"/>
      <c r="PRS112" s="139"/>
      <c r="PRT112" s="139"/>
      <c r="PRU112" s="139"/>
      <c r="PRV112" s="139"/>
      <c r="PRW112" s="139"/>
      <c r="PRX112" s="139"/>
      <c r="PRY112" s="139"/>
      <c r="PRZ112" s="139"/>
      <c r="PSA112" s="139"/>
      <c r="PSB112" s="139"/>
      <c r="PSC112" s="139"/>
      <c r="PSD112" s="139"/>
      <c r="PSE112" s="139"/>
      <c r="PSF112" s="139"/>
      <c r="PSG112" s="139"/>
      <c r="PSH112" s="139"/>
      <c r="PSI112" s="139"/>
      <c r="PSJ112" s="139"/>
      <c r="PSK112" s="139"/>
      <c r="PSL112" s="139"/>
      <c r="PSM112" s="139"/>
      <c r="PSN112" s="139"/>
      <c r="PSO112" s="139"/>
      <c r="PSP112" s="139"/>
      <c r="PSQ112" s="139"/>
      <c r="PSR112" s="139"/>
      <c r="PSS112" s="139"/>
      <c r="PST112" s="139"/>
      <c r="PSU112" s="139"/>
      <c r="PSV112" s="139"/>
      <c r="PSW112" s="139"/>
      <c r="PSX112" s="139"/>
      <c r="PSY112" s="139"/>
      <c r="PSZ112" s="139"/>
      <c r="PTA112" s="139"/>
      <c r="PTB112" s="139"/>
      <c r="PTC112" s="139"/>
      <c r="PTD112" s="139"/>
      <c r="PTE112" s="139"/>
      <c r="PTF112" s="139"/>
      <c r="PTG112" s="139"/>
      <c r="PTH112" s="139"/>
      <c r="PTI112" s="139"/>
      <c r="PTJ112" s="139"/>
      <c r="PTK112" s="139"/>
      <c r="PTL112" s="139"/>
      <c r="PTM112" s="139"/>
      <c r="PTN112" s="139"/>
      <c r="PTO112" s="139"/>
      <c r="PTP112" s="139"/>
      <c r="PTQ112" s="139"/>
      <c r="PTR112" s="139"/>
      <c r="PTS112" s="139"/>
      <c r="PTT112" s="139"/>
      <c r="PTU112" s="139"/>
      <c r="PTV112" s="139"/>
      <c r="PTW112" s="139"/>
      <c r="PTX112" s="139"/>
      <c r="PTY112" s="139"/>
      <c r="PTZ112" s="139"/>
      <c r="PUA112" s="139"/>
      <c r="PUB112" s="139"/>
      <c r="PUC112" s="139"/>
      <c r="PUD112" s="139"/>
      <c r="PUE112" s="139"/>
      <c r="PUF112" s="139"/>
      <c r="PUG112" s="139"/>
      <c r="PUH112" s="139"/>
      <c r="PUI112" s="139"/>
      <c r="PUJ112" s="139"/>
      <c r="PUK112" s="139"/>
      <c r="PUL112" s="139"/>
      <c r="PUM112" s="139"/>
      <c r="PUN112" s="139"/>
      <c r="PUO112" s="139"/>
      <c r="PUP112" s="139"/>
      <c r="PUQ112" s="139"/>
      <c r="PUR112" s="139"/>
      <c r="PUS112" s="139"/>
      <c r="PUT112" s="139"/>
      <c r="PUU112" s="139"/>
      <c r="PUV112" s="139"/>
      <c r="PUW112" s="139"/>
      <c r="PUX112" s="139"/>
      <c r="PUY112" s="139"/>
      <c r="PUZ112" s="139"/>
      <c r="PVA112" s="139"/>
      <c r="PVB112" s="139"/>
      <c r="PVC112" s="139"/>
      <c r="PVD112" s="139"/>
      <c r="PVE112" s="139"/>
      <c r="PVF112" s="139"/>
      <c r="PVG112" s="139"/>
      <c r="PVH112" s="139"/>
      <c r="PVI112" s="139"/>
      <c r="PVJ112" s="139"/>
      <c r="PVK112" s="139"/>
      <c r="PVL112" s="139"/>
      <c r="PVM112" s="139"/>
      <c r="PVN112" s="139"/>
      <c r="PVO112" s="139"/>
      <c r="PVP112" s="139"/>
      <c r="PVQ112" s="139"/>
      <c r="PVR112" s="139"/>
      <c r="PVS112" s="139"/>
      <c r="PVT112" s="139"/>
      <c r="PVU112" s="139"/>
      <c r="PVV112" s="139"/>
      <c r="PVW112" s="139"/>
      <c r="PVX112" s="139"/>
      <c r="PVY112" s="139"/>
      <c r="PVZ112" s="139"/>
      <c r="PWA112" s="139"/>
      <c r="PWB112" s="139"/>
      <c r="PWC112" s="139"/>
      <c r="PWD112" s="139"/>
      <c r="PWE112" s="139"/>
      <c r="PWF112" s="139"/>
      <c r="PWG112" s="139"/>
      <c r="PWH112" s="139"/>
      <c r="PWI112" s="139"/>
      <c r="PWJ112" s="139"/>
      <c r="PWK112" s="139"/>
      <c r="PWL112" s="139"/>
      <c r="PWM112" s="139"/>
      <c r="PWN112" s="139"/>
      <c r="PWO112" s="139"/>
      <c r="PWP112" s="139"/>
      <c r="PWQ112" s="139"/>
      <c r="PWR112" s="139"/>
      <c r="PWS112" s="139"/>
      <c r="PWT112" s="139"/>
      <c r="PWU112" s="139"/>
      <c r="PWV112" s="139"/>
      <c r="PWW112" s="139"/>
      <c r="PWX112" s="139"/>
      <c r="PWY112" s="139"/>
      <c r="PWZ112" s="139"/>
      <c r="PXA112" s="139"/>
      <c r="PXB112" s="139"/>
      <c r="PXC112" s="139"/>
      <c r="PXD112" s="139"/>
      <c r="PXE112" s="139"/>
      <c r="PXF112" s="139"/>
      <c r="PXG112" s="139"/>
      <c r="PXH112" s="139"/>
      <c r="PXI112" s="139"/>
      <c r="PXJ112" s="139"/>
      <c r="PXK112" s="139"/>
      <c r="PXL112" s="139"/>
      <c r="PXM112" s="139"/>
      <c r="PXN112" s="139"/>
      <c r="PXO112" s="139"/>
      <c r="PXP112" s="139"/>
      <c r="PXQ112" s="139"/>
      <c r="PXR112" s="139"/>
      <c r="PXS112" s="139"/>
      <c r="PXT112" s="139"/>
      <c r="PXU112" s="139"/>
      <c r="PXV112" s="139"/>
      <c r="PXW112" s="139"/>
      <c r="PXX112" s="139"/>
      <c r="PXY112" s="139"/>
      <c r="PXZ112" s="139"/>
      <c r="PYA112" s="139"/>
      <c r="PYB112" s="139"/>
      <c r="PYC112" s="139"/>
      <c r="PYD112" s="139"/>
      <c r="PYE112" s="139"/>
      <c r="PYF112" s="139"/>
      <c r="PYG112" s="139"/>
      <c r="PYH112" s="139"/>
      <c r="PYI112" s="139"/>
      <c r="PYJ112" s="139"/>
      <c r="PYK112" s="139"/>
      <c r="PYL112" s="139"/>
      <c r="PYM112" s="139"/>
      <c r="PYN112" s="139"/>
      <c r="PYO112" s="139"/>
      <c r="PYP112" s="139"/>
      <c r="PYQ112" s="139"/>
      <c r="PYR112" s="139"/>
      <c r="PYS112" s="139"/>
      <c r="PYT112" s="139"/>
      <c r="PYU112" s="139"/>
      <c r="PYV112" s="139"/>
      <c r="PYW112" s="139"/>
      <c r="PYX112" s="139"/>
      <c r="PYY112" s="139"/>
      <c r="PYZ112" s="139"/>
      <c r="PZA112" s="139"/>
      <c r="PZB112" s="139"/>
      <c r="PZC112" s="139"/>
      <c r="PZD112" s="139"/>
      <c r="PZE112" s="139"/>
      <c r="PZF112" s="139"/>
      <c r="PZG112" s="139"/>
      <c r="PZH112" s="139"/>
      <c r="PZI112" s="139"/>
      <c r="PZJ112" s="139"/>
      <c r="PZK112" s="139"/>
      <c r="PZL112" s="139"/>
      <c r="PZM112" s="139"/>
      <c r="PZN112" s="139"/>
      <c r="PZO112" s="139"/>
      <c r="PZP112" s="139"/>
      <c r="PZQ112" s="139"/>
      <c r="PZR112" s="139"/>
      <c r="PZS112" s="139"/>
      <c r="PZT112" s="139"/>
      <c r="PZU112" s="139"/>
      <c r="PZV112" s="139"/>
      <c r="PZW112" s="139"/>
      <c r="PZX112" s="139"/>
      <c r="PZY112" s="139"/>
      <c r="PZZ112" s="139"/>
      <c r="QAA112" s="139"/>
      <c r="QAB112" s="139"/>
      <c r="QAC112" s="139"/>
      <c r="QAD112" s="139"/>
      <c r="QAE112" s="139"/>
      <c r="QAF112" s="139"/>
      <c r="QAG112" s="139"/>
      <c r="QAH112" s="139"/>
      <c r="QAI112" s="139"/>
      <c r="QAJ112" s="139"/>
      <c r="QAK112" s="139"/>
      <c r="QAL112" s="139"/>
      <c r="QAM112" s="139"/>
      <c r="QAN112" s="139"/>
      <c r="QAO112" s="139"/>
      <c r="QAP112" s="139"/>
      <c r="QAQ112" s="139"/>
      <c r="QAR112" s="139"/>
      <c r="QAS112" s="139"/>
      <c r="QAT112" s="139"/>
      <c r="QAU112" s="139"/>
      <c r="QAV112" s="139"/>
      <c r="QAW112" s="139"/>
      <c r="QAX112" s="139"/>
      <c r="QAY112" s="139"/>
      <c r="QAZ112" s="139"/>
      <c r="QBA112" s="139"/>
      <c r="QBB112" s="139"/>
      <c r="QBC112" s="139"/>
      <c r="QBD112" s="139"/>
      <c r="QBE112" s="139"/>
      <c r="QBF112" s="139"/>
      <c r="QBG112" s="139"/>
      <c r="QBH112" s="139"/>
      <c r="QBI112" s="139"/>
      <c r="QBJ112" s="139"/>
      <c r="QBK112" s="139"/>
      <c r="QBL112" s="139"/>
      <c r="QBM112" s="139"/>
      <c r="QBN112" s="139"/>
      <c r="QBO112" s="139"/>
      <c r="QBP112" s="139"/>
      <c r="QBQ112" s="139"/>
      <c r="QBR112" s="139"/>
      <c r="QBS112" s="139"/>
      <c r="QBT112" s="139"/>
      <c r="QBU112" s="139"/>
      <c r="QBV112" s="139"/>
      <c r="QBW112" s="139"/>
      <c r="QBX112" s="139"/>
      <c r="QBY112" s="139"/>
      <c r="QBZ112" s="139"/>
      <c r="QCA112" s="139"/>
      <c r="QCB112" s="139"/>
      <c r="QCC112" s="139"/>
      <c r="QCD112" s="139"/>
      <c r="QCE112" s="139"/>
      <c r="QCF112" s="139"/>
      <c r="QCG112" s="139"/>
      <c r="QCH112" s="139"/>
      <c r="QCI112" s="139"/>
      <c r="QCJ112" s="139"/>
      <c r="QCK112" s="139"/>
      <c r="QCL112" s="139"/>
      <c r="QCM112" s="139"/>
      <c r="QCN112" s="139"/>
      <c r="QCO112" s="139"/>
      <c r="QCP112" s="139"/>
      <c r="QCQ112" s="139"/>
      <c r="QCR112" s="139"/>
      <c r="QCS112" s="139"/>
      <c r="QCT112" s="139"/>
      <c r="QCU112" s="139"/>
      <c r="QCV112" s="139"/>
      <c r="QCW112" s="139"/>
      <c r="QCX112" s="139"/>
      <c r="QCY112" s="139"/>
      <c r="QCZ112" s="139"/>
      <c r="QDA112" s="139"/>
      <c r="QDB112" s="139"/>
      <c r="QDC112" s="139"/>
      <c r="QDD112" s="139"/>
      <c r="QDE112" s="139"/>
      <c r="QDF112" s="139"/>
      <c r="QDG112" s="139"/>
      <c r="QDH112" s="139"/>
      <c r="QDI112" s="139"/>
      <c r="QDJ112" s="139"/>
      <c r="QDK112" s="139"/>
      <c r="QDL112" s="139"/>
      <c r="QDM112" s="139"/>
      <c r="QDN112" s="139"/>
      <c r="QDO112" s="139"/>
      <c r="QDP112" s="139"/>
      <c r="QDQ112" s="139"/>
      <c r="QDR112" s="139"/>
      <c r="QDS112" s="139"/>
      <c r="QDT112" s="139"/>
      <c r="QDU112" s="139"/>
      <c r="QDV112" s="139"/>
      <c r="QDW112" s="139"/>
      <c r="QDX112" s="139"/>
      <c r="QDY112" s="139"/>
      <c r="QDZ112" s="139"/>
      <c r="QEA112" s="139"/>
      <c r="QEB112" s="139"/>
      <c r="QEC112" s="139"/>
      <c r="QED112" s="139"/>
      <c r="QEE112" s="139"/>
      <c r="QEF112" s="139"/>
      <c r="QEG112" s="139"/>
      <c r="QEH112" s="139"/>
      <c r="QEI112" s="139"/>
      <c r="QEJ112" s="139"/>
      <c r="QEK112" s="139"/>
      <c r="QEL112" s="139"/>
      <c r="QEM112" s="139"/>
      <c r="QEN112" s="139"/>
      <c r="QEO112" s="139"/>
      <c r="QEP112" s="139"/>
      <c r="QEQ112" s="139"/>
      <c r="QER112" s="139"/>
      <c r="QES112" s="139"/>
      <c r="QET112" s="139"/>
      <c r="QEU112" s="139"/>
      <c r="QEV112" s="139"/>
      <c r="QEW112" s="139"/>
      <c r="QEX112" s="139"/>
      <c r="QEY112" s="139"/>
      <c r="QEZ112" s="139"/>
      <c r="QFA112" s="139"/>
      <c r="QFB112" s="139"/>
      <c r="QFC112" s="139"/>
      <c r="QFD112" s="139"/>
      <c r="QFE112" s="139"/>
      <c r="QFF112" s="139"/>
      <c r="QFG112" s="139"/>
      <c r="QFH112" s="139"/>
      <c r="QFI112" s="139"/>
      <c r="QFJ112" s="139"/>
      <c r="QFK112" s="139"/>
      <c r="QFL112" s="139"/>
      <c r="QFM112" s="139"/>
      <c r="QFN112" s="139"/>
      <c r="QFO112" s="139"/>
      <c r="QFP112" s="139"/>
      <c r="QFQ112" s="139"/>
      <c r="QFR112" s="139"/>
      <c r="QFS112" s="139"/>
      <c r="QFT112" s="139"/>
      <c r="QFU112" s="139"/>
      <c r="QFV112" s="139"/>
      <c r="QFW112" s="139"/>
      <c r="QFX112" s="139"/>
      <c r="QFY112" s="139"/>
      <c r="QFZ112" s="139"/>
      <c r="QGA112" s="139"/>
      <c r="QGB112" s="139"/>
      <c r="QGC112" s="139"/>
      <c r="QGD112" s="139"/>
      <c r="QGE112" s="139"/>
      <c r="QGF112" s="139"/>
      <c r="QGG112" s="139"/>
      <c r="QGH112" s="139"/>
      <c r="QGI112" s="139"/>
      <c r="QGJ112" s="139"/>
      <c r="QGK112" s="139"/>
      <c r="QGL112" s="139"/>
      <c r="QGM112" s="139"/>
      <c r="QGN112" s="139"/>
      <c r="QGO112" s="139"/>
      <c r="QGP112" s="139"/>
      <c r="QGQ112" s="139"/>
      <c r="QGR112" s="139"/>
      <c r="QGS112" s="139"/>
      <c r="QGT112" s="139"/>
      <c r="QGU112" s="139"/>
      <c r="QGV112" s="139"/>
      <c r="QGW112" s="139"/>
      <c r="QGX112" s="139"/>
      <c r="QGY112" s="139"/>
      <c r="QGZ112" s="139"/>
      <c r="QHA112" s="139"/>
      <c r="QHB112" s="139"/>
      <c r="QHC112" s="139"/>
      <c r="QHD112" s="139"/>
      <c r="QHE112" s="139"/>
      <c r="QHF112" s="139"/>
      <c r="QHG112" s="139"/>
      <c r="QHH112" s="139"/>
      <c r="QHI112" s="139"/>
      <c r="QHJ112" s="139"/>
      <c r="QHK112" s="139"/>
      <c r="QHL112" s="139"/>
      <c r="QHM112" s="139"/>
      <c r="QHN112" s="139"/>
      <c r="QHO112" s="139"/>
      <c r="QHP112" s="139"/>
      <c r="QHQ112" s="139"/>
      <c r="QHR112" s="139"/>
      <c r="QHS112" s="139"/>
      <c r="QHT112" s="139"/>
      <c r="QHU112" s="139"/>
      <c r="QHV112" s="139"/>
      <c r="QHW112" s="139"/>
      <c r="QHX112" s="139"/>
      <c r="QHY112" s="139"/>
      <c r="QHZ112" s="139"/>
      <c r="QIA112" s="139"/>
      <c r="QIB112" s="139"/>
      <c r="QIC112" s="139"/>
      <c r="QID112" s="139"/>
      <c r="QIE112" s="139"/>
      <c r="QIF112" s="139"/>
      <c r="QIG112" s="139"/>
      <c r="QIH112" s="139"/>
      <c r="QII112" s="139"/>
      <c r="QIJ112" s="139"/>
      <c r="QIK112" s="139"/>
      <c r="QIL112" s="139"/>
      <c r="QIM112" s="139"/>
      <c r="QIN112" s="139"/>
      <c r="QIO112" s="139"/>
      <c r="QIP112" s="139"/>
      <c r="QIQ112" s="139"/>
      <c r="QIR112" s="139"/>
      <c r="QIS112" s="139"/>
      <c r="QIT112" s="139"/>
      <c r="QIU112" s="139"/>
      <c r="QIV112" s="139"/>
      <c r="QIW112" s="139"/>
      <c r="QIX112" s="139"/>
      <c r="QIY112" s="139"/>
      <c r="QIZ112" s="139"/>
      <c r="QJA112" s="139"/>
      <c r="QJB112" s="139"/>
      <c r="QJC112" s="139"/>
      <c r="QJD112" s="139"/>
      <c r="QJE112" s="139"/>
      <c r="QJF112" s="139"/>
      <c r="QJG112" s="139"/>
      <c r="QJH112" s="139"/>
      <c r="QJI112" s="139"/>
      <c r="QJJ112" s="139"/>
      <c r="QJK112" s="139"/>
      <c r="QJL112" s="139"/>
      <c r="QJM112" s="139"/>
      <c r="QJN112" s="139"/>
      <c r="QJO112" s="139"/>
      <c r="QJP112" s="139"/>
      <c r="QJQ112" s="139"/>
      <c r="QJR112" s="139"/>
      <c r="QJS112" s="139"/>
      <c r="QJT112" s="139"/>
      <c r="QJU112" s="139"/>
      <c r="QJV112" s="139"/>
      <c r="QJW112" s="139"/>
      <c r="QJX112" s="139"/>
      <c r="QJY112" s="139"/>
      <c r="QJZ112" s="139"/>
      <c r="QKA112" s="139"/>
      <c r="QKB112" s="139"/>
      <c r="QKC112" s="139"/>
      <c r="QKD112" s="139"/>
      <c r="QKE112" s="139"/>
      <c r="QKF112" s="139"/>
      <c r="QKG112" s="139"/>
      <c r="QKH112" s="139"/>
      <c r="QKI112" s="139"/>
      <c r="QKJ112" s="139"/>
      <c r="QKK112" s="139"/>
      <c r="QKL112" s="139"/>
      <c r="QKM112" s="139"/>
      <c r="QKN112" s="139"/>
      <c r="QKO112" s="139"/>
      <c r="QKP112" s="139"/>
      <c r="QKQ112" s="139"/>
      <c r="QKR112" s="139"/>
      <c r="QKS112" s="139"/>
      <c r="QKT112" s="139"/>
      <c r="QKU112" s="139"/>
      <c r="QKV112" s="139"/>
      <c r="QKW112" s="139"/>
      <c r="QKX112" s="139"/>
      <c r="QKY112" s="139"/>
      <c r="QKZ112" s="139"/>
      <c r="QLA112" s="139"/>
      <c r="QLB112" s="139"/>
      <c r="QLC112" s="139"/>
      <c r="QLD112" s="139"/>
      <c r="QLE112" s="139"/>
      <c r="QLF112" s="139"/>
      <c r="QLG112" s="139"/>
      <c r="QLH112" s="139"/>
      <c r="QLI112" s="139"/>
      <c r="QLJ112" s="139"/>
      <c r="QLK112" s="139"/>
      <c r="QLL112" s="139"/>
      <c r="QLM112" s="139"/>
      <c r="QLN112" s="139"/>
      <c r="QLO112" s="139"/>
      <c r="QLP112" s="139"/>
      <c r="QLQ112" s="139"/>
      <c r="QLR112" s="139"/>
      <c r="QLS112" s="139"/>
      <c r="QLT112" s="139"/>
      <c r="QLU112" s="139"/>
      <c r="QLV112" s="139"/>
      <c r="QLW112" s="139"/>
      <c r="QLX112" s="139"/>
      <c r="QLY112" s="139"/>
      <c r="QLZ112" s="139"/>
      <c r="QMA112" s="139"/>
      <c r="QMB112" s="139"/>
      <c r="QMC112" s="139"/>
      <c r="QMD112" s="139"/>
      <c r="QME112" s="139"/>
      <c r="QMF112" s="139"/>
      <c r="QMG112" s="139"/>
      <c r="QMH112" s="139"/>
      <c r="QMI112" s="139"/>
      <c r="QMJ112" s="139"/>
      <c r="QMK112" s="139"/>
      <c r="QML112" s="139"/>
      <c r="QMM112" s="139"/>
      <c r="QMN112" s="139"/>
      <c r="QMO112" s="139"/>
      <c r="QMP112" s="139"/>
      <c r="QMQ112" s="139"/>
      <c r="QMR112" s="139"/>
      <c r="QMS112" s="139"/>
      <c r="QMT112" s="139"/>
      <c r="QMU112" s="139"/>
      <c r="QMV112" s="139"/>
      <c r="QMW112" s="139"/>
      <c r="QMX112" s="139"/>
      <c r="QMY112" s="139"/>
      <c r="QMZ112" s="139"/>
      <c r="QNA112" s="139"/>
      <c r="QNB112" s="139"/>
      <c r="QNC112" s="139"/>
      <c r="QND112" s="139"/>
      <c r="QNE112" s="139"/>
      <c r="QNF112" s="139"/>
      <c r="QNG112" s="139"/>
      <c r="QNH112" s="139"/>
      <c r="QNI112" s="139"/>
      <c r="QNJ112" s="139"/>
      <c r="QNK112" s="139"/>
      <c r="QNL112" s="139"/>
      <c r="QNM112" s="139"/>
      <c r="QNN112" s="139"/>
      <c r="QNO112" s="139"/>
      <c r="QNP112" s="139"/>
      <c r="QNQ112" s="139"/>
      <c r="QNR112" s="139"/>
      <c r="QNS112" s="139"/>
      <c r="QNT112" s="139"/>
      <c r="QNU112" s="139"/>
      <c r="QNV112" s="139"/>
      <c r="QNW112" s="139"/>
      <c r="QNX112" s="139"/>
      <c r="QNY112" s="139"/>
      <c r="QNZ112" s="139"/>
      <c r="QOA112" s="139"/>
      <c r="QOB112" s="139"/>
      <c r="QOC112" s="139"/>
      <c r="QOD112" s="139"/>
      <c r="QOE112" s="139"/>
      <c r="QOF112" s="139"/>
      <c r="QOG112" s="139"/>
      <c r="QOH112" s="139"/>
      <c r="QOI112" s="139"/>
      <c r="QOJ112" s="139"/>
      <c r="QOK112" s="139"/>
      <c r="QOL112" s="139"/>
      <c r="QOM112" s="139"/>
      <c r="QON112" s="139"/>
      <c r="QOO112" s="139"/>
      <c r="QOP112" s="139"/>
      <c r="QOQ112" s="139"/>
      <c r="QOR112" s="139"/>
      <c r="QOS112" s="139"/>
      <c r="QOT112" s="139"/>
      <c r="QOU112" s="139"/>
      <c r="QOV112" s="139"/>
      <c r="QOW112" s="139"/>
      <c r="QOX112" s="139"/>
      <c r="QOY112" s="139"/>
      <c r="QOZ112" s="139"/>
      <c r="QPA112" s="139"/>
      <c r="QPB112" s="139"/>
      <c r="QPC112" s="139"/>
      <c r="QPD112" s="139"/>
      <c r="QPE112" s="139"/>
      <c r="QPF112" s="139"/>
      <c r="QPG112" s="139"/>
      <c r="QPH112" s="139"/>
      <c r="QPI112" s="139"/>
      <c r="QPJ112" s="139"/>
      <c r="QPK112" s="139"/>
      <c r="QPL112" s="139"/>
      <c r="QPM112" s="139"/>
      <c r="QPN112" s="139"/>
      <c r="QPO112" s="139"/>
      <c r="QPP112" s="139"/>
      <c r="QPQ112" s="139"/>
      <c r="QPR112" s="139"/>
      <c r="QPS112" s="139"/>
      <c r="QPT112" s="139"/>
      <c r="QPU112" s="139"/>
      <c r="QPV112" s="139"/>
      <c r="QPW112" s="139"/>
      <c r="QPX112" s="139"/>
      <c r="QPY112" s="139"/>
      <c r="QPZ112" s="139"/>
      <c r="QQA112" s="139"/>
      <c r="QQB112" s="139"/>
      <c r="QQC112" s="139"/>
      <c r="QQD112" s="139"/>
      <c r="QQE112" s="139"/>
      <c r="QQF112" s="139"/>
      <c r="QQG112" s="139"/>
      <c r="QQH112" s="139"/>
      <c r="QQI112" s="139"/>
      <c r="QQJ112" s="139"/>
      <c r="QQK112" s="139"/>
      <c r="QQL112" s="139"/>
      <c r="QQM112" s="139"/>
      <c r="QQN112" s="139"/>
      <c r="QQO112" s="139"/>
      <c r="QQP112" s="139"/>
      <c r="QQQ112" s="139"/>
      <c r="QQR112" s="139"/>
      <c r="QQS112" s="139"/>
      <c r="QQT112" s="139"/>
      <c r="QQU112" s="139"/>
      <c r="QQV112" s="139"/>
      <c r="QQW112" s="139"/>
      <c r="QQX112" s="139"/>
      <c r="QQY112" s="139"/>
      <c r="QQZ112" s="139"/>
      <c r="QRA112" s="139"/>
      <c r="QRB112" s="139"/>
      <c r="QRC112" s="139"/>
      <c r="QRD112" s="139"/>
      <c r="QRE112" s="139"/>
      <c r="QRF112" s="139"/>
      <c r="QRG112" s="139"/>
      <c r="QRH112" s="139"/>
      <c r="QRI112" s="139"/>
      <c r="QRJ112" s="139"/>
      <c r="QRK112" s="139"/>
      <c r="QRL112" s="139"/>
      <c r="QRM112" s="139"/>
      <c r="QRN112" s="139"/>
      <c r="QRO112" s="139"/>
      <c r="QRP112" s="139"/>
      <c r="QRQ112" s="139"/>
      <c r="QRR112" s="139"/>
      <c r="QRS112" s="139"/>
      <c r="QRT112" s="139"/>
      <c r="QRU112" s="139"/>
      <c r="QRV112" s="139"/>
      <c r="QRW112" s="139"/>
      <c r="QRX112" s="139"/>
      <c r="QRY112" s="139"/>
      <c r="QRZ112" s="139"/>
      <c r="QSA112" s="139"/>
      <c r="QSB112" s="139"/>
      <c r="QSC112" s="139"/>
      <c r="QSD112" s="139"/>
      <c r="QSE112" s="139"/>
      <c r="QSF112" s="139"/>
      <c r="QSG112" s="139"/>
      <c r="QSH112" s="139"/>
      <c r="QSI112" s="139"/>
      <c r="QSJ112" s="139"/>
      <c r="QSK112" s="139"/>
      <c r="QSL112" s="139"/>
      <c r="QSM112" s="139"/>
      <c r="QSN112" s="139"/>
      <c r="QSO112" s="139"/>
      <c r="QSP112" s="139"/>
      <c r="QSQ112" s="139"/>
      <c r="QSR112" s="139"/>
      <c r="QSS112" s="139"/>
      <c r="QST112" s="139"/>
      <c r="QSU112" s="139"/>
      <c r="QSV112" s="139"/>
      <c r="QSW112" s="139"/>
      <c r="QSX112" s="139"/>
      <c r="QSY112" s="139"/>
      <c r="QSZ112" s="139"/>
      <c r="QTA112" s="139"/>
      <c r="QTB112" s="139"/>
      <c r="QTC112" s="139"/>
      <c r="QTD112" s="139"/>
      <c r="QTE112" s="139"/>
      <c r="QTF112" s="139"/>
      <c r="QTG112" s="139"/>
      <c r="QTH112" s="139"/>
      <c r="QTI112" s="139"/>
      <c r="QTJ112" s="139"/>
      <c r="QTK112" s="139"/>
      <c r="QTL112" s="139"/>
      <c r="QTM112" s="139"/>
      <c r="QTN112" s="139"/>
      <c r="QTO112" s="139"/>
      <c r="QTP112" s="139"/>
      <c r="QTQ112" s="139"/>
      <c r="QTR112" s="139"/>
      <c r="QTS112" s="139"/>
      <c r="QTT112" s="139"/>
      <c r="QTU112" s="139"/>
      <c r="QTV112" s="139"/>
      <c r="QTW112" s="139"/>
      <c r="QTX112" s="139"/>
      <c r="QTY112" s="139"/>
      <c r="QTZ112" s="139"/>
      <c r="QUA112" s="139"/>
      <c r="QUB112" s="139"/>
      <c r="QUC112" s="139"/>
      <c r="QUD112" s="139"/>
      <c r="QUE112" s="139"/>
      <c r="QUF112" s="139"/>
      <c r="QUG112" s="139"/>
      <c r="QUH112" s="139"/>
      <c r="QUI112" s="139"/>
      <c r="QUJ112" s="139"/>
      <c r="QUK112" s="139"/>
      <c r="QUL112" s="139"/>
      <c r="QUM112" s="139"/>
      <c r="QUN112" s="139"/>
      <c r="QUO112" s="139"/>
      <c r="QUP112" s="139"/>
      <c r="QUQ112" s="139"/>
      <c r="QUR112" s="139"/>
      <c r="QUS112" s="139"/>
      <c r="QUT112" s="139"/>
      <c r="QUU112" s="139"/>
      <c r="QUV112" s="139"/>
      <c r="QUW112" s="139"/>
      <c r="QUX112" s="139"/>
      <c r="QUY112" s="139"/>
      <c r="QUZ112" s="139"/>
      <c r="QVA112" s="139"/>
      <c r="QVB112" s="139"/>
      <c r="QVC112" s="139"/>
      <c r="QVD112" s="139"/>
      <c r="QVE112" s="139"/>
      <c r="QVF112" s="139"/>
      <c r="QVG112" s="139"/>
      <c r="QVH112" s="139"/>
      <c r="QVI112" s="139"/>
      <c r="QVJ112" s="139"/>
      <c r="QVK112" s="139"/>
      <c r="QVL112" s="139"/>
      <c r="QVM112" s="139"/>
      <c r="QVN112" s="139"/>
      <c r="QVO112" s="139"/>
      <c r="QVP112" s="139"/>
      <c r="QVQ112" s="139"/>
      <c r="QVR112" s="139"/>
      <c r="QVS112" s="139"/>
      <c r="QVT112" s="139"/>
      <c r="QVU112" s="139"/>
      <c r="QVV112" s="139"/>
      <c r="QVW112" s="139"/>
      <c r="QVX112" s="139"/>
      <c r="QVY112" s="139"/>
      <c r="QVZ112" s="139"/>
      <c r="QWA112" s="139"/>
      <c r="QWB112" s="139"/>
      <c r="QWC112" s="139"/>
      <c r="QWD112" s="139"/>
      <c r="QWE112" s="139"/>
      <c r="QWF112" s="139"/>
      <c r="QWG112" s="139"/>
      <c r="QWH112" s="139"/>
      <c r="QWI112" s="139"/>
      <c r="QWJ112" s="139"/>
      <c r="QWK112" s="139"/>
      <c r="QWL112" s="139"/>
      <c r="QWM112" s="139"/>
      <c r="QWN112" s="139"/>
      <c r="QWO112" s="139"/>
      <c r="QWP112" s="139"/>
      <c r="QWQ112" s="139"/>
      <c r="QWR112" s="139"/>
      <c r="QWS112" s="139"/>
      <c r="QWT112" s="139"/>
      <c r="QWU112" s="139"/>
      <c r="QWV112" s="139"/>
      <c r="QWW112" s="139"/>
      <c r="QWX112" s="139"/>
      <c r="QWY112" s="139"/>
      <c r="QWZ112" s="139"/>
      <c r="QXA112" s="139"/>
      <c r="QXB112" s="139"/>
      <c r="QXC112" s="139"/>
      <c r="QXD112" s="139"/>
      <c r="QXE112" s="139"/>
      <c r="QXF112" s="139"/>
      <c r="QXG112" s="139"/>
      <c r="QXH112" s="139"/>
      <c r="QXI112" s="139"/>
      <c r="QXJ112" s="139"/>
      <c r="QXK112" s="139"/>
      <c r="QXL112" s="139"/>
      <c r="QXM112" s="139"/>
      <c r="QXN112" s="139"/>
      <c r="QXO112" s="139"/>
      <c r="QXP112" s="139"/>
      <c r="QXQ112" s="139"/>
      <c r="QXR112" s="139"/>
      <c r="QXS112" s="139"/>
      <c r="QXT112" s="139"/>
      <c r="QXU112" s="139"/>
      <c r="QXV112" s="139"/>
      <c r="QXW112" s="139"/>
      <c r="QXX112" s="139"/>
      <c r="QXY112" s="139"/>
      <c r="QXZ112" s="139"/>
      <c r="QYA112" s="139"/>
      <c r="QYB112" s="139"/>
      <c r="QYC112" s="139"/>
      <c r="QYD112" s="139"/>
      <c r="QYE112" s="139"/>
      <c r="QYF112" s="139"/>
      <c r="QYG112" s="139"/>
      <c r="QYH112" s="139"/>
      <c r="QYI112" s="139"/>
      <c r="QYJ112" s="139"/>
      <c r="QYK112" s="139"/>
      <c r="QYL112" s="139"/>
      <c r="QYM112" s="139"/>
      <c r="QYN112" s="139"/>
      <c r="QYO112" s="139"/>
      <c r="QYP112" s="139"/>
      <c r="QYQ112" s="139"/>
      <c r="QYR112" s="139"/>
      <c r="QYS112" s="139"/>
      <c r="QYT112" s="139"/>
      <c r="QYU112" s="139"/>
      <c r="QYV112" s="139"/>
      <c r="QYW112" s="139"/>
      <c r="QYX112" s="139"/>
      <c r="QYY112" s="139"/>
      <c r="QYZ112" s="139"/>
      <c r="QZA112" s="139"/>
      <c r="QZB112" s="139"/>
      <c r="QZC112" s="139"/>
      <c r="QZD112" s="139"/>
      <c r="QZE112" s="139"/>
      <c r="QZF112" s="139"/>
      <c r="QZG112" s="139"/>
      <c r="QZH112" s="139"/>
      <c r="QZI112" s="139"/>
      <c r="QZJ112" s="139"/>
      <c r="QZK112" s="139"/>
      <c r="QZL112" s="139"/>
      <c r="QZM112" s="139"/>
      <c r="QZN112" s="139"/>
      <c r="QZO112" s="139"/>
      <c r="QZP112" s="139"/>
      <c r="QZQ112" s="139"/>
      <c r="QZR112" s="139"/>
      <c r="QZS112" s="139"/>
      <c r="QZT112" s="139"/>
      <c r="QZU112" s="139"/>
      <c r="QZV112" s="139"/>
      <c r="QZW112" s="139"/>
      <c r="QZX112" s="139"/>
      <c r="QZY112" s="139"/>
      <c r="QZZ112" s="139"/>
      <c r="RAA112" s="139"/>
      <c r="RAB112" s="139"/>
      <c r="RAC112" s="139"/>
      <c r="RAD112" s="139"/>
      <c r="RAE112" s="139"/>
      <c r="RAF112" s="139"/>
      <c r="RAG112" s="139"/>
      <c r="RAH112" s="139"/>
      <c r="RAI112" s="139"/>
      <c r="RAJ112" s="139"/>
      <c r="RAK112" s="139"/>
      <c r="RAL112" s="139"/>
      <c r="RAM112" s="139"/>
      <c r="RAN112" s="139"/>
      <c r="RAO112" s="139"/>
      <c r="RAP112" s="139"/>
      <c r="RAQ112" s="139"/>
      <c r="RAR112" s="139"/>
      <c r="RAS112" s="139"/>
      <c r="RAT112" s="139"/>
      <c r="RAU112" s="139"/>
      <c r="RAV112" s="139"/>
      <c r="RAW112" s="139"/>
      <c r="RAX112" s="139"/>
      <c r="RAY112" s="139"/>
      <c r="RAZ112" s="139"/>
      <c r="RBA112" s="139"/>
      <c r="RBB112" s="139"/>
      <c r="RBC112" s="139"/>
      <c r="RBD112" s="139"/>
      <c r="RBE112" s="139"/>
      <c r="RBF112" s="139"/>
      <c r="RBG112" s="139"/>
      <c r="RBH112" s="139"/>
      <c r="RBI112" s="139"/>
      <c r="RBJ112" s="139"/>
      <c r="RBK112" s="139"/>
      <c r="RBL112" s="139"/>
      <c r="RBM112" s="139"/>
      <c r="RBN112" s="139"/>
      <c r="RBO112" s="139"/>
      <c r="RBP112" s="139"/>
      <c r="RBQ112" s="139"/>
      <c r="RBR112" s="139"/>
      <c r="RBS112" s="139"/>
      <c r="RBT112" s="139"/>
      <c r="RBU112" s="139"/>
      <c r="RBV112" s="139"/>
      <c r="RBW112" s="139"/>
      <c r="RBX112" s="139"/>
      <c r="RBY112" s="139"/>
      <c r="RBZ112" s="139"/>
      <c r="RCA112" s="139"/>
      <c r="RCB112" s="139"/>
      <c r="RCC112" s="139"/>
      <c r="RCD112" s="139"/>
      <c r="RCE112" s="139"/>
      <c r="RCF112" s="139"/>
      <c r="RCG112" s="139"/>
      <c r="RCH112" s="139"/>
      <c r="RCI112" s="139"/>
      <c r="RCJ112" s="139"/>
      <c r="RCK112" s="139"/>
      <c r="RCL112" s="139"/>
      <c r="RCM112" s="139"/>
      <c r="RCN112" s="139"/>
      <c r="RCO112" s="139"/>
      <c r="RCP112" s="139"/>
      <c r="RCQ112" s="139"/>
      <c r="RCR112" s="139"/>
      <c r="RCS112" s="139"/>
      <c r="RCT112" s="139"/>
      <c r="RCU112" s="139"/>
      <c r="RCV112" s="139"/>
      <c r="RCW112" s="139"/>
      <c r="RCX112" s="139"/>
      <c r="RCY112" s="139"/>
      <c r="RCZ112" s="139"/>
      <c r="RDA112" s="139"/>
      <c r="RDB112" s="139"/>
      <c r="RDC112" s="139"/>
      <c r="RDD112" s="139"/>
      <c r="RDE112" s="139"/>
      <c r="RDF112" s="139"/>
      <c r="RDG112" s="139"/>
      <c r="RDH112" s="139"/>
      <c r="RDI112" s="139"/>
      <c r="RDJ112" s="139"/>
      <c r="RDK112" s="139"/>
      <c r="RDL112" s="139"/>
      <c r="RDM112" s="139"/>
      <c r="RDN112" s="139"/>
      <c r="RDO112" s="139"/>
      <c r="RDP112" s="139"/>
      <c r="RDQ112" s="139"/>
      <c r="RDR112" s="139"/>
      <c r="RDS112" s="139"/>
      <c r="RDT112" s="139"/>
      <c r="RDU112" s="139"/>
      <c r="RDV112" s="139"/>
      <c r="RDW112" s="139"/>
      <c r="RDX112" s="139"/>
      <c r="RDY112" s="139"/>
      <c r="RDZ112" s="139"/>
      <c r="REA112" s="139"/>
      <c r="REB112" s="139"/>
      <c r="REC112" s="139"/>
      <c r="RED112" s="139"/>
      <c r="REE112" s="139"/>
      <c r="REF112" s="139"/>
      <c r="REG112" s="139"/>
      <c r="REH112" s="139"/>
      <c r="REI112" s="139"/>
      <c r="REJ112" s="139"/>
      <c r="REK112" s="139"/>
      <c r="REL112" s="139"/>
      <c r="REM112" s="139"/>
      <c r="REN112" s="139"/>
      <c r="REO112" s="139"/>
      <c r="REP112" s="139"/>
      <c r="REQ112" s="139"/>
      <c r="RER112" s="139"/>
      <c r="RES112" s="139"/>
      <c r="RET112" s="139"/>
      <c r="REU112" s="139"/>
      <c r="REV112" s="139"/>
      <c r="REW112" s="139"/>
      <c r="REX112" s="139"/>
      <c r="REY112" s="139"/>
      <c r="REZ112" s="139"/>
      <c r="RFA112" s="139"/>
      <c r="RFB112" s="139"/>
      <c r="RFC112" s="139"/>
      <c r="RFD112" s="139"/>
      <c r="RFE112" s="139"/>
      <c r="RFF112" s="139"/>
      <c r="RFG112" s="139"/>
      <c r="RFH112" s="139"/>
      <c r="RFI112" s="139"/>
      <c r="RFJ112" s="139"/>
      <c r="RFK112" s="139"/>
      <c r="RFL112" s="139"/>
      <c r="RFM112" s="139"/>
      <c r="RFN112" s="139"/>
      <c r="RFO112" s="139"/>
      <c r="RFP112" s="139"/>
      <c r="RFQ112" s="139"/>
      <c r="RFR112" s="139"/>
      <c r="RFS112" s="139"/>
      <c r="RFT112" s="139"/>
      <c r="RFU112" s="139"/>
      <c r="RFV112" s="139"/>
      <c r="RFW112" s="139"/>
      <c r="RFX112" s="139"/>
      <c r="RFY112" s="139"/>
      <c r="RFZ112" s="139"/>
      <c r="RGA112" s="139"/>
      <c r="RGB112" s="139"/>
      <c r="RGC112" s="139"/>
      <c r="RGD112" s="139"/>
      <c r="RGE112" s="139"/>
      <c r="RGF112" s="139"/>
      <c r="RGG112" s="139"/>
      <c r="RGH112" s="139"/>
      <c r="RGI112" s="139"/>
      <c r="RGJ112" s="139"/>
      <c r="RGK112" s="139"/>
      <c r="RGL112" s="139"/>
      <c r="RGM112" s="139"/>
      <c r="RGN112" s="139"/>
      <c r="RGO112" s="139"/>
      <c r="RGP112" s="139"/>
      <c r="RGQ112" s="139"/>
      <c r="RGR112" s="139"/>
      <c r="RGS112" s="139"/>
      <c r="RGT112" s="139"/>
      <c r="RGU112" s="139"/>
      <c r="RGV112" s="139"/>
      <c r="RGW112" s="139"/>
      <c r="RGX112" s="139"/>
      <c r="RGY112" s="139"/>
      <c r="RGZ112" s="139"/>
      <c r="RHA112" s="139"/>
      <c r="RHB112" s="139"/>
      <c r="RHC112" s="139"/>
      <c r="RHD112" s="139"/>
      <c r="RHE112" s="139"/>
      <c r="RHF112" s="139"/>
      <c r="RHG112" s="139"/>
      <c r="RHH112" s="139"/>
      <c r="RHI112" s="139"/>
      <c r="RHJ112" s="139"/>
      <c r="RHK112" s="139"/>
      <c r="RHL112" s="139"/>
      <c r="RHM112" s="139"/>
      <c r="RHN112" s="139"/>
      <c r="RHO112" s="139"/>
      <c r="RHP112" s="139"/>
      <c r="RHQ112" s="139"/>
      <c r="RHR112" s="139"/>
      <c r="RHS112" s="139"/>
      <c r="RHT112" s="139"/>
      <c r="RHU112" s="139"/>
      <c r="RHV112" s="139"/>
      <c r="RHW112" s="139"/>
      <c r="RHX112" s="139"/>
      <c r="RHY112" s="139"/>
      <c r="RHZ112" s="139"/>
      <c r="RIA112" s="139"/>
      <c r="RIB112" s="139"/>
      <c r="RIC112" s="139"/>
      <c r="RID112" s="139"/>
      <c r="RIE112" s="139"/>
      <c r="RIF112" s="139"/>
      <c r="RIG112" s="139"/>
      <c r="RIH112" s="139"/>
      <c r="RII112" s="139"/>
      <c r="RIJ112" s="139"/>
      <c r="RIK112" s="139"/>
      <c r="RIL112" s="139"/>
      <c r="RIM112" s="139"/>
      <c r="RIN112" s="139"/>
      <c r="RIO112" s="139"/>
      <c r="RIP112" s="139"/>
      <c r="RIQ112" s="139"/>
      <c r="RIR112" s="139"/>
      <c r="RIS112" s="139"/>
      <c r="RIT112" s="139"/>
      <c r="RIU112" s="139"/>
      <c r="RIV112" s="139"/>
      <c r="RIW112" s="139"/>
      <c r="RIX112" s="139"/>
      <c r="RIY112" s="139"/>
      <c r="RIZ112" s="139"/>
      <c r="RJA112" s="139"/>
      <c r="RJB112" s="139"/>
      <c r="RJC112" s="139"/>
      <c r="RJD112" s="139"/>
      <c r="RJE112" s="139"/>
      <c r="RJF112" s="139"/>
      <c r="RJG112" s="139"/>
      <c r="RJH112" s="139"/>
      <c r="RJI112" s="139"/>
      <c r="RJJ112" s="139"/>
      <c r="RJK112" s="139"/>
      <c r="RJL112" s="139"/>
      <c r="RJM112" s="139"/>
      <c r="RJN112" s="139"/>
      <c r="RJO112" s="139"/>
      <c r="RJP112" s="139"/>
      <c r="RJQ112" s="139"/>
      <c r="RJR112" s="139"/>
      <c r="RJS112" s="139"/>
      <c r="RJT112" s="139"/>
      <c r="RJU112" s="139"/>
      <c r="RJV112" s="139"/>
      <c r="RJW112" s="139"/>
      <c r="RJX112" s="139"/>
      <c r="RJY112" s="139"/>
      <c r="RJZ112" s="139"/>
      <c r="RKA112" s="139"/>
      <c r="RKB112" s="139"/>
      <c r="RKC112" s="139"/>
      <c r="RKD112" s="139"/>
      <c r="RKE112" s="139"/>
      <c r="RKF112" s="139"/>
      <c r="RKG112" s="139"/>
      <c r="RKH112" s="139"/>
      <c r="RKI112" s="139"/>
      <c r="RKJ112" s="139"/>
      <c r="RKK112" s="139"/>
      <c r="RKL112" s="139"/>
      <c r="RKM112" s="139"/>
      <c r="RKN112" s="139"/>
      <c r="RKO112" s="139"/>
      <c r="RKP112" s="139"/>
      <c r="RKQ112" s="139"/>
      <c r="RKR112" s="139"/>
      <c r="RKS112" s="139"/>
      <c r="RKT112" s="139"/>
      <c r="RKU112" s="139"/>
      <c r="RKV112" s="139"/>
      <c r="RKW112" s="139"/>
      <c r="RKX112" s="139"/>
      <c r="RKY112" s="139"/>
      <c r="RKZ112" s="139"/>
      <c r="RLA112" s="139"/>
      <c r="RLB112" s="139"/>
      <c r="RLC112" s="139"/>
      <c r="RLD112" s="139"/>
      <c r="RLE112" s="139"/>
      <c r="RLF112" s="139"/>
      <c r="RLG112" s="139"/>
      <c r="RLH112" s="139"/>
      <c r="RLI112" s="139"/>
      <c r="RLJ112" s="139"/>
      <c r="RLK112" s="139"/>
      <c r="RLL112" s="139"/>
      <c r="RLM112" s="139"/>
      <c r="RLN112" s="139"/>
      <c r="RLO112" s="139"/>
      <c r="RLP112" s="139"/>
      <c r="RLQ112" s="139"/>
      <c r="RLR112" s="139"/>
      <c r="RLS112" s="139"/>
      <c r="RLT112" s="139"/>
      <c r="RLU112" s="139"/>
      <c r="RLV112" s="139"/>
      <c r="RLW112" s="139"/>
      <c r="RLX112" s="139"/>
      <c r="RLY112" s="139"/>
      <c r="RLZ112" s="139"/>
      <c r="RMA112" s="139"/>
      <c r="RMB112" s="139"/>
      <c r="RMC112" s="139"/>
      <c r="RMD112" s="139"/>
      <c r="RME112" s="139"/>
      <c r="RMF112" s="139"/>
      <c r="RMG112" s="139"/>
      <c r="RMH112" s="139"/>
      <c r="RMI112" s="139"/>
      <c r="RMJ112" s="139"/>
      <c r="RMK112" s="139"/>
      <c r="RML112" s="139"/>
      <c r="RMM112" s="139"/>
      <c r="RMN112" s="139"/>
      <c r="RMO112" s="139"/>
      <c r="RMP112" s="139"/>
      <c r="RMQ112" s="139"/>
      <c r="RMR112" s="139"/>
      <c r="RMS112" s="139"/>
      <c r="RMT112" s="139"/>
      <c r="RMU112" s="139"/>
      <c r="RMV112" s="139"/>
      <c r="RMW112" s="139"/>
      <c r="RMX112" s="139"/>
      <c r="RMY112" s="139"/>
      <c r="RMZ112" s="139"/>
      <c r="RNA112" s="139"/>
      <c r="RNB112" s="139"/>
      <c r="RNC112" s="139"/>
      <c r="RND112" s="139"/>
      <c r="RNE112" s="139"/>
      <c r="RNF112" s="139"/>
      <c r="RNG112" s="139"/>
      <c r="RNH112" s="139"/>
      <c r="RNI112" s="139"/>
      <c r="RNJ112" s="139"/>
      <c r="RNK112" s="139"/>
      <c r="RNL112" s="139"/>
      <c r="RNM112" s="139"/>
      <c r="RNN112" s="139"/>
      <c r="RNO112" s="139"/>
      <c r="RNP112" s="139"/>
      <c r="RNQ112" s="139"/>
      <c r="RNR112" s="139"/>
      <c r="RNS112" s="139"/>
      <c r="RNT112" s="139"/>
      <c r="RNU112" s="139"/>
      <c r="RNV112" s="139"/>
      <c r="RNW112" s="139"/>
      <c r="RNX112" s="139"/>
      <c r="RNY112" s="139"/>
      <c r="RNZ112" s="139"/>
      <c r="ROA112" s="139"/>
      <c r="ROB112" s="139"/>
      <c r="ROC112" s="139"/>
      <c r="ROD112" s="139"/>
      <c r="ROE112" s="139"/>
      <c r="ROF112" s="139"/>
      <c r="ROG112" s="139"/>
      <c r="ROH112" s="139"/>
      <c r="ROI112" s="139"/>
      <c r="ROJ112" s="139"/>
      <c r="ROK112" s="139"/>
      <c r="ROL112" s="139"/>
      <c r="ROM112" s="139"/>
      <c r="RON112" s="139"/>
      <c r="ROO112" s="139"/>
      <c r="ROP112" s="139"/>
      <c r="ROQ112" s="139"/>
      <c r="ROR112" s="139"/>
      <c r="ROS112" s="139"/>
      <c r="ROT112" s="139"/>
      <c r="ROU112" s="139"/>
      <c r="ROV112" s="139"/>
      <c r="ROW112" s="139"/>
      <c r="ROX112" s="139"/>
      <c r="ROY112" s="139"/>
      <c r="ROZ112" s="139"/>
      <c r="RPA112" s="139"/>
      <c r="RPB112" s="139"/>
      <c r="RPC112" s="139"/>
      <c r="RPD112" s="139"/>
      <c r="RPE112" s="139"/>
      <c r="RPF112" s="139"/>
      <c r="RPG112" s="139"/>
      <c r="RPH112" s="139"/>
      <c r="RPI112" s="139"/>
      <c r="RPJ112" s="139"/>
      <c r="RPK112" s="139"/>
      <c r="RPL112" s="139"/>
      <c r="RPM112" s="139"/>
      <c r="RPN112" s="139"/>
      <c r="RPO112" s="139"/>
      <c r="RPP112" s="139"/>
      <c r="RPQ112" s="139"/>
      <c r="RPR112" s="139"/>
      <c r="RPS112" s="139"/>
      <c r="RPT112" s="139"/>
      <c r="RPU112" s="139"/>
      <c r="RPV112" s="139"/>
      <c r="RPW112" s="139"/>
      <c r="RPX112" s="139"/>
      <c r="RPY112" s="139"/>
      <c r="RPZ112" s="139"/>
      <c r="RQA112" s="139"/>
      <c r="RQB112" s="139"/>
      <c r="RQC112" s="139"/>
      <c r="RQD112" s="139"/>
      <c r="RQE112" s="139"/>
      <c r="RQF112" s="139"/>
      <c r="RQG112" s="139"/>
      <c r="RQH112" s="139"/>
      <c r="RQI112" s="139"/>
      <c r="RQJ112" s="139"/>
      <c r="RQK112" s="139"/>
      <c r="RQL112" s="139"/>
      <c r="RQM112" s="139"/>
      <c r="RQN112" s="139"/>
      <c r="RQO112" s="139"/>
      <c r="RQP112" s="139"/>
      <c r="RQQ112" s="139"/>
      <c r="RQR112" s="139"/>
      <c r="RQS112" s="139"/>
      <c r="RQT112" s="139"/>
      <c r="RQU112" s="139"/>
      <c r="RQV112" s="139"/>
      <c r="RQW112" s="139"/>
      <c r="RQX112" s="139"/>
      <c r="RQY112" s="139"/>
      <c r="RQZ112" s="139"/>
      <c r="RRA112" s="139"/>
      <c r="RRB112" s="139"/>
      <c r="RRC112" s="139"/>
      <c r="RRD112" s="139"/>
      <c r="RRE112" s="139"/>
      <c r="RRF112" s="139"/>
      <c r="RRG112" s="139"/>
      <c r="RRH112" s="139"/>
      <c r="RRI112" s="139"/>
      <c r="RRJ112" s="139"/>
      <c r="RRK112" s="139"/>
      <c r="RRL112" s="139"/>
      <c r="RRM112" s="139"/>
      <c r="RRN112" s="139"/>
      <c r="RRO112" s="139"/>
      <c r="RRP112" s="139"/>
      <c r="RRQ112" s="139"/>
      <c r="RRR112" s="139"/>
      <c r="RRS112" s="139"/>
      <c r="RRT112" s="139"/>
      <c r="RRU112" s="139"/>
      <c r="RRV112" s="139"/>
      <c r="RRW112" s="139"/>
      <c r="RRX112" s="139"/>
      <c r="RRY112" s="139"/>
      <c r="RRZ112" s="139"/>
      <c r="RSA112" s="139"/>
      <c r="RSB112" s="139"/>
      <c r="RSC112" s="139"/>
      <c r="RSD112" s="139"/>
      <c r="RSE112" s="139"/>
      <c r="RSF112" s="139"/>
      <c r="RSG112" s="139"/>
      <c r="RSH112" s="139"/>
      <c r="RSI112" s="139"/>
      <c r="RSJ112" s="139"/>
      <c r="RSK112" s="139"/>
      <c r="RSL112" s="139"/>
      <c r="RSM112" s="139"/>
      <c r="RSN112" s="139"/>
      <c r="RSO112" s="139"/>
      <c r="RSP112" s="139"/>
      <c r="RSQ112" s="139"/>
      <c r="RSR112" s="139"/>
      <c r="RSS112" s="139"/>
      <c r="RST112" s="139"/>
      <c r="RSU112" s="139"/>
      <c r="RSV112" s="139"/>
      <c r="RSW112" s="139"/>
      <c r="RSX112" s="139"/>
      <c r="RSY112" s="139"/>
      <c r="RSZ112" s="139"/>
      <c r="RTA112" s="139"/>
      <c r="RTB112" s="139"/>
      <c r="RTC112" s="139"/>
      <c r="RTD112" s="139"/>
      <c r="RTE112" s="139"/>
      <c r="RTF112" s="139"/>
      <c r="RTG112" s="139"/>
      <c r="RTH112" s="139"/>
      <c r="RTI112" s="139"/>
      <c r="RTJ112" s="139"/>
      <c r="RTK112" s="139"/>
      <c r="RTL112" s="139"/>
      <c r="RTM112" s="139"/>
      <c r="RTN112" s="139"/>
      <c r="RTO112" s="139"/>
      <c r="RTP112" s="139"/>
      <c r="RTQ112" s="139"/>
      <c r="RTR112" s="139"/>
      <c r="RTS112" s="139"/>
      <c r="RTT112" s="139"/>
      <c r="RTU112" s="139"/>
      <c r="RTV112" s="139"/>
      <c r="RTW112" s="139"/>
      <c r="RTX112" s="139"/>
      <c r="RTY112" s="139"/>
      <c r="RTZ112" s="139"/>
      <c r="RUA112" s="139"/>
      <c r="RUB112" s="139"/>
      <c r="RUC112" s="139"/>
      <c r="RUD112" s="139"/>
      <c r="RUE112" s="139"/>
      <c r="RUF112" s="139"/>
      <c r="RUG112" s="139"/>
      <c r="RUH112" s="139"/>
      <c r="RUI112" s="139"/>
      <c r="RUJ112" s="139"/>
      <c r="RUK112" s="139"/>
      <c r="RUL112" s="139"/>
      <c r="RUM112" s="139"/>
      <c r="RUN112" s="139"/>
      <c r="RUO112" s="139"/>
      <c r="RUP112" s="139"/>
      <c r="RUQ112" s="139"/>
      <c r="RUR112" s="139"/>
      <c r="RUS112" s="139"/>
      <c r="RUT112" s="139"/>
      <c r="RUU112" s="139"/>
      <c r="RUV112" s="139"/>
      <c r="RUW112" s="139"/>
      <c r="RUX112" s="139"/>
      <c r="RUY112" s="139"/>
      <c r="RUZ112" s="139"/>
      <c r="RVA112" s="139"/>
      <c r="RVB112" s="139"/>
      <c r="RVC112" s="139"/>
      <c r="RVD112" s="139"/>
      <c r="RVE112" s="139"/>
      <c r="RVF112" s="139"/>
      <c r="RVG112" s="139"/>
      <c r="RVH112" s="139"/>
      <c r="RVI112" s="139"/>
      <c r="RVJ112" s="139"/>
      <c r="RVK112" s="139"/>
      <c r="RVL112" s="139"/>
      <c r="RVM112" s="139"/>
      <c r="RVN112" s="139"/>
      <c r="RVO112" s="139"/>
      <c r="RVP112" s="139"/>
      <c r="RVQ112" s="139"/>
      <c r="RVR112" s="139"/>
      <c r="RVS112" s="139"/>
      <c r="RVT112" s="139"/>
      <c r="RVU112" s="139"/>
      <c r="RVV112" s="139"/>
      <c r="RVW112" s="139"/>
      <c r="RVX112" s="139"/>
      <c r="RVY112" s="139"/>
      <c r="RVZ112" s="139"/>
      <c r="RWA112" s="139"/>
      <c r="RWB112" s="139"/>
      <c r="RWC112" s="139"/>
      <c r="RWD112" s="139"/>
      <c r="RWE112" s="139"/>
      <c r="RWF112" s="139"/>
      <c r="RWG112" s="139"/>
      <c r="RWH112" s="139"/>
      <c r="RWI112" s="139"/>
      <c r="RWJ112" s="139"/>
      <c r="RWK112" s="139"/>
      <c r="RWL112" s="139"/>
      <c r="RWM112" s="139"/>
      <c r="RWN112" s="139"/>
      <c r="RWO112" s="139"/>
      <c r="RWP112" s="139"/>
      <c r="RWQ112" s="139"/>
      <c r="RWR112" s="139"/>
      <c r="RWS112" s="139"/>
      <c r="RWT112" s="139"/>
      <c r="RWU112" s="139"/>
      <c r="RWV112" s="139"/>
      <c r="RWW112" s="139"/>
      <c r="RWX112" s="139"/>
      <c r="RWY112" s="139"/>
      <c r="RWZ112" s="139"/>
      <c r="RXA112" s="139"/>
      <c r="RXB112" s="139"/>
      <c r="RXC112" s="139"/>
      <c r="RXD112" s="139"/>
      <c r="RXE112" s="139"/>
      <c r="RXF112" s="139"/>
      <c r="RXG112" s="139"/>
      <c r="RXH112" s="139"/>
      <c r="RXI112" s="139"/>
      <c r="RXJ112" s="139"/>
      <c r="RXK112" s="139"/>
      <c r="RXL112" s="139"/>
      <c r="RXM112" s="139"/>
      <c r="RXN112" s="139"/>
      <c r="RXO112" s="139"/>
      <c r="RXP112" s="139"/>
      <c r="RXQ112" s="139"/>
      <c r="RXR112" s="139"/>
      <c r="RXS112" s="139"/>
      <c r="RXT112" s="139"/>
      <c r="RXU112" s="139"/>
      <c r="RXV112" s="139"/>
      <c r="RXW112" s="139"/>
      <c r="RXX112" s="139"/>
      <c r="RXY112" s="139"/>
      <c r="RXZ112" s="139"/>
      <c r="RYA112" s="139"/>
      <c r="RYB112" s="139"/>
      <c r="RYC112" s="139"/>
      <c r="RYD112" s="139"/>
      <c r="RYE112" s="139"/>
      <c r="RYF112" s="139"/>
      <c r="RYG112" s="139"/>
      <c r="RYH112" s="139"/>
      <c r="RYI112" s="139"/>
      <c r="RYJ112" s="139"/>
      <c r="RYK112" s="139"/>
      <c r="RYL112" s="139"/>
      <c r="RYM112" s="139"/>
      <c r="RYN112" s="139"/>
      <c r="RYO112" s="139"/>
      <c r="RYP112" s="139"/>
      <c r="RYQ112" s="139"/>
      <c r="RYR112" s="139"/>
      <c r="RYS112" s="139"/>
      <c r="RYT112" s="139"/>
      <c r="RYU112" s="139"/>
      <c r="RYV112" s="139"/>
      <c r="RYW112" s="139"/>
      <c r="RYX112" s="139"/>
      <c r="RYY112" s="139"/>
      <c r="RYZ112" s="139"/>
      <c r="RZA112" s="139"/>
      <c r="RZB112" s="139"/>
      <c r="RZC112" s="139"/>
      <c r="RZD112" s="139"/>
      <c r="RZE112" s="139"/>
      <c r="RZF112" s="139"/>
      <c r="RZG112" s="139"/>
      <c r="RZH112" s="139"/>
      <c r="RZI112" s="139"/>
      <c r="RZJ112" s="139"/>
      <c r="RZK112" s="139"/>
      <c r="RZL112" s="139"/>
      <c r="RZM112" s="139"/>
      <c r="RZN112" s="139"/>
      <c r="RZO112" s="139"/>
      <c r="RZP112" s="139"/>
      <c r="RZQ112" s="139"/>
      <c r="RZR112" s="139"/>
      <c r="RZS112" s="139"/>
      <c r="RZT112" s="139"/>
      <c r="RZU112" s="139"/>
      <c r="RZV112" s="139"/>
      <c r="RZW112" s="139"/>
      <c r="RZX112" s="139"/>
      <c r="RZY112" s="139"/>
      <c r="RZZ112" s="139"/>
      <c r="SAA112" s="139"/>
      <c r="SAB112" s="139"/>
      <c r="SAC112" s="139"/>
      <c r="SAD112" s="139"/>
      <c r="SAE112" s="139"/>
      <c r="SAF112" s="139"/>
      <c r="SAG112" s="139"/>
      <c r="SAH112" s="139"/>
      <c r="SAI112" s="139"/>
      <c r="SAJ112" s="139"/>
      <c r="SAK112" s="139"/>
      <c r="SAL112" s="139"/>
      <c r="SAM112" s="139"/>
      <c r="SAN112" s="139"/>
      <c r="SAO112" s="139"/>
      <c r="SAP112" s="139"/>
      <c r="SAQ112" s="139"/>
      <c r="SAR112" s="139"/>
      <c r="SAS112" s="139"/>
      <c r="SAT112" s="139"/>
      <c r="SAU112" s="139"/>
      <c r="SAV112" s="139"/>
      <c r="SAW112" s="139"/>
      <c r="SAX112" s="139"/>
      <c r="SAY112" s="139"/>
      <c r="SAZ112" s="139"/>
      <c r="SBA112" s="139"/>
      <c r="SBB112" s="139"/>
      <c r="SBC112" s="139"/>
      <c r="SBD112" s="139"/>
      <c r="SBE112" s="139"/>
      <c r="SBF112" s="139"/>
      <c r="SBG112" s="139"/>
      <c r="SBH112" s="139"/>
      <c r="SBI112" s="139"/>
      <c r="SBJ112" s="139"/>
      <c r="SBK112" s="139"/>
      <c r="SBL112" s="139"/>
      <c r="SBM112" s="139"/>
      <c r="SBN112" s="139"/>
      <c r="SBO112" s="139"/>
      <c r="SBP112" s="139"/>
      <c r="SBQ112" s="139"/>
      <c r="SBR112" s="139"/>
      <c r="SBS112" s="139"/>
      <c r="SBT112" s="139"/>
      <c r="SBU112" s="139"/>
      <c r="SBV112" s="139"/>
      <c r="SBW112" s="139"/>
      <c r="SBX112" s="139"/>
      <c r="SBY112" s="139"/>
      <c r="SBZ112" s="139"/>
      <c r="SCA112" s="139"/>
      <c r="SCB112" s="139"/>
      <c r="SCC112" s="139"/>
      <c r="SCD112" s="139"/>
      <c r="SCE112" s="139"/>
      <c r="SCF112" s="139"/>
      <c r="SCG112" s="139"/>
      <c r="SCH112" s="139"/>
      <c r="SCI112" s="139"/>
      <c r="SCJ112" s="139"/>
      <c r="SCK112" s="139"/>
      <c r="SCL112" s="139"/>
      <c r="SCM112" s="139"/>
      <c r="SCN112" s="139"/>
      <c r="SCO112" s="139"/>
      <c r="SCP112" s="139"/>
      <c r="SCQ112" s="139"/>
      <c r="SCR112" s="139"/>
      <c r="SCS112" s="139"/>
      <c r="SCT112" s="139"/>
      <c r="SCU112" s="139"/>
      <c r="SCV112" s="139"/>
      <c r="SCW112" s="139"/>
      <c r="SCX112" s="139"/>
      <c r="SCY112" s="139"/>
      <c r="SCZ112" s="139"/>
      <c r="SDA112" s="139"/>
      <c r="SDB112" s="139"/>
      <c r="SDC112" s="139"/>
      <c r="SDD112" s="139"/>
      <c r="SDE112" s="139"/>
      <c r="SDF112" s="139"/>
      <c r="SDG112" s="139"/>
      <c r="SDH112" s="139"/>
      <c r="SDI112" s="139"/>
      <c r="SDJ112" s="139"/>
      <c r="SDK112" s="139"/>
      <c r="SDL112" s="139"/>
      <c r="SDM112" s="139"/>
      <c r="SDN112" s="139"/>
      <c r="SDO112" s="139"/>
      <c r="SDP112" s="139"/>
      <c r="SDQ112" s="139"/>
      <c r="SDR112" s="139"/>
      <c r="SDS112" s="139"/>
      <c r="SDT112" s="139"/>
      <c r="SDU112" s="139"/>
      <c r="SDV112" s="139"/>
      <c r="SDW112" s="139"/>
      <c r="SDX112" s="139"/>
      <c r="SDY112" s="139"/>
      <c r="SDZ112" s="139"/>
      <c r="SEA112" s="139"/>
      <c r="SEB112" s="139"/>
      <c r="SEC112" s="139"/>
      <c r="SED112" s="139"/>
      <c r="SEE112" s="139"/>
      <c r="SEF112" s="139"/>
      <c r="SEG112" s="139"/>
      <c r="SEH112" s="139"/>
      <c r="SEI112" s="139"/>
      <c r="SEJ112" s="139"/>
      <c r="SEK112" s="139"/>
      <c r="SEL112" s="139"/>
      <c r="SEM112" s="139"/>
      <c r="SEN112" s="139"/>
      <c r="SEO112" s="139"/>
      <c r="SEP112" s="139"/>
      <c r="SEQ112" s="139"/>
      <c r="SER112" s="139"/>
      <c r="SES112" s="139"/>
      <c r="SET112" s="139"/>
      <c r="SEU112" s="139"/>
      <c r="SEV112" s="139"/>
      <c r="SEW112" s="139"/>
      <c r="SEX112" s="139"/>
      <c r="SEY112" s="139"/>
      <c r="SEZ112" s="139"/>
      <c r="SFA112" s="139"/>
      <c r="SFB112" s="139"/>
      <c r="SFC112" s="139"/>
      <c r="SFD112" s="139"/>
      <c r="SFE112" s="139"/>
      <c r="SFF112" s="139"/>
      <c r="SFG112" s="139"/>
      <c r="SFH112" s="139"/>
      <c r="SFI112" s="139"/>
      <c r="SFJ112" s="139"/>
      <c r="SFK112" s="139"/>
      <c r="SFL112" s="139"/>
      <c r="SFM112" s="139"/>
      <c r="SFN112" s="139"/>
      <c r="SFO112" s="139"/>
      <c r="SFP112" s="139"/>
      <c r="SFQ112" s="139"/>
      <c r="SFR112" s="139"/>
      <c r="SFS112" s="139"/>
      <c r="SFT112" s="139"/>
      <c r="SFU112" s="139"/>
      <c r="SFV112" s="139"/>
      <c r="SFW112" s="139"/>
      <c r="SFX112" s="139"/>
      <c r="SFY112" s="139"/>
      <c r="SFZ112" s="139"/>
      <c r="SGA112" s="139"/>
      <c r="SGB112" s="139"/>
      <c r="SGC112" s="139"/>
      <c r="SGD112" s="139"/>
      <c r="SGE112" s="139"/>
      <c r="SGF112" s="139"/>
      <c r="SGG112" s="139"/>
      <c r="SGH112" s="139"/>
      <c r="SGI112" s="139"/>
      <c r="SGJ112" s="139"/>
      <c r="SGK112" s="139"/>
      <c r="SGL112" s="139"/>
      <c r="SGM112" s="139"/>
      <c r="SGN112" s="139"/>
      <c r="SGO112" s="139"/>
      <c r="SGP112" s="139"/>
      <c r="SGQ112" s="139"/>
      <c r="SGR112" s="139"/>
      <c r="SGS112" s="139"/>
      <c r="SGT112" s="139"/>
      <c r="SGU112" s="139"/>
      <c r="SGV112" s="139"/>
      <c r="SGW112" s="139"/>
      <c r="SGX112" s="139"/>
      <c r="SGY112" s="139"/>
      <c r="SGZ112" s="139"/>
      <c r="SHA112" s="139"/>
      <c r="SHB112" s="139"/>
      <c r="SHC112" s="139"/>
      <c r="SHD112" s="139"/>
      <c r="SHE112" s="139"/>
      <c r="SHF112" s="139"/>
      <c r="SHG112" s="139"/>
      <c r="SHH112" s="139"/>
      <c r="SHI112" s="139"/>
      <c r="SHJ112" s="139"/>
      <c r="SHK112" s="139"/>
      <c r="SHL112" s="139"/>
      <c r="SHM112" s="139"/>
      <c r="SHN112" s="139"/>
      <c r="SHO112" s="139"/>
      <c r="SHP112" s="139"/>
      <c r="SHQ112" s="139"/>
      <c r="SHR112" s="139"/>
      <c r="SHS112" s="139"/>
      <c r="SHT112" s="139"/>
      <c r="SHU112" s="139"/>
      <c r="SHV112" s="139"/>
      <c r="SHW112" s="139"/>
      <c r="SHX112" s="139"/>
      <c r="SHY112" s="139"/>
      <c r="SHZ112" s="139"/>
      <c r="SIA112" s="139"/>
      <c r="SIB112" s="139"/>
      <c r="SIC112" s="139"/>
      <c r="SID112" s="139"/>
      <c r="SIE112" s="139"/>
      <c r="SIF112" s="139"/>
      <c r="SIG112" s="139"/>
      <c r="SIH112" s="139"/>
      <c r="SII112" s="139"/>
      <c r="SIJ112" s="139"/>
      <c r="SIK112" s="139"/>
      <c r="SIL112" s="139"/>
      <c r="SIM112" s="139"/>
      <c r="SIN112" s="139"/>
      <c r="SIO112" s="139"/>
      <c r="SIP112" s="139"/>
      <c r="SIQ112" s="139"/>
      <c r="SIR112" s="139"/>
      <c r="SIS112" s="139"/>
      <c r="SIT112" s="139"/>
      <c r="SIU112" s="139"/>
      <c r="SIV112" s="139"/>
      <c r="SIW112" s="139"/>
      <c r="SIX112" s="139"/>
      <c r="SIY112" s="139"/>
      <c r="SIZ112" s="139"/>
      <c r="SJA112" s="139"/>
      <c r="SJB112" s="139"/>
      <c r="SJC112" s="139"/>
      <c r="SJD112" s="139"/>
      <c r="SJE112" s="139"/>
      <c r="SJF112" s="139"/>
      <c r="SJG112" s="139"/>
      <c r="SJH112" s="139"/>
      <c r="SJI112" s="139"/>
      <c r="SJJ112" s="139"/>
      <c r="SJK112" s="139"/>
      <c r="SJL112" s="139"/>
      <c r="SJM112" s="139"/>
      <c r="SJN112" s="139"/>
      <c r="SJO112" s="139"/>
      <c r="SJP112" s="139"/>
      <c r="SJQ112" s="139"/>
      <c r="SJR112" s="139"/>
      <c r="SJS112" s="139"/>
      <c r="SJT112" s="139"/>
      <c r="SJU112" s="139"/>
      <c r="SJV112" s="139"/>
      <c r="SJW112" s="139"/>
      <c r="SJX112" s="139"/>
      <c r="SJY112" s="139"/>
      <c r="SJZ112" s="139"/>
      <c r="SKA112" s="139"/>
      <c r="SKB112" s="139"/>
      <c r="SKC112" s="139"/>
      <c r="SKD112" s="139"/>
      <c r="SKE112" s="139"/>
      <c r="SKF112" s="139"/>
      <c r="SKG112" s="139"/>
      <c r="SKH112" s="139"/>
      <c r="SKI112" s="139"/>
      <c r="SKJ112" s="139"/>
      <c r="SKK112" s="139"/>
      <c r="SKL112" s="139"/>
      <c r="SKM112" s="139"/>
      <c r="SKN112" s="139"/>
      <c r="SKO112" s="139"/>
      <c r="SKP112" s="139"/>
      <c r="SKQ112" s="139"/>
      <c r="SKR112" s="139"/>
      <c r="SKS112" s="139"/>
      <c r="SKT112" s="139"/>
      <c r="SKU112" s="139"/>
      <c r="SKV112" s="139"/>
      <c r="SKW112" s="139"/>
      <c r="SKX112" s="139"/>
      <c r="SKY112" s="139"/>
      <c r="SKZ112" s="139"/>
      <c r="SLA112" s="139"/>
      <c r="SLB112" s="139"/>
      <c r="SLC112" s="139"/>
      <c r="SLD112" s="139"/>
      <c r="SLE112" s="139"/>
      <c r="SLF112" s="139"/>
      <c r="SLG112" s="139"/>
      <c r="SLH112" s="139"/>
      <c r="SLI112" s="139"/>
      <c r="SLJ112" s="139"/>
      <c r="SLK112" s="139"/>
      <c r="SLL112" s="139"/>
      <c r="SLM112" s="139"/>
      <c r="SLN112" s="139"/>
      <c r="SLO112" s="139"/>
      <c r="SLP112" s="139"/>
      <c r="SLQ112" s="139"/>
      <c r="SLR112" s="139"/>
      <c r="SLS112" s="139"/>
      <c r="SLT112" s="139"/>
      <c r="SLU112" s="139"/>
      <c r="SLV112" s="139"/>
      <c r="SLW112" s="139"/>
      <c r="SLX112" s="139"/>
      <c r="SLY112" s="139"/>
      <c r="SLZ112" s="139"/>
      <c r="SMA112" s="139"/>
      <c r="SMB112" s="139"/>
      <c r="SMC112" s="139"/>
      <c r="SMD112" s="139"/>
      <c r="SME112" s="139"/>
      <c r="SMF112" s="139"/>
      <c r="SMG112" s="139"/>
      <c r="SMH112" s="139"/>
      <c r="SMI112" s="139"/>
      <c r="SMJ112" s="139"/>
      <c r="SMK112" s="139"/>
      <c r="SML112" s="139"/>
      <c r="SMM112" s="139"/>
      <c r="SMN112" s="139"/>
      <c r="SMO112" s="139"/>
      <c r="SMP112" s="139"/>
      <c r="SMQ112" s="139"/>
      <c r="SMR112" s="139"/>
      <c r="SMS112" s="139"/>
      <c r="SMT112" s="139"/>
      <c r="SMU112" s="139"/>
      <c r="SMV112" s="139"/>
      <c r="SMW112" s="139"/>
      <c r="SMX112" s="139"/>
      <c r="SMY112" s="139"/>
      <c r="SMZ112" s="139"/>
      <c r="SNA112" s="139"/>
      <c r="SNB112" s="139"/>
      <c r="SNC112" s="139"/>
      <c r="SND112" s="139"/>
      <c r="SNE112" s="139"/>
      <c r="SNF112" s="139"/>
      <c r="SNG112" s="139"/>
      <c r="SNH112" s="139"/>
      <c r="SNI112" s="139"/>
      <c r="SNJ112" s="139"/>
      <c r="SNK112" s="139"/>
      <c r="SNL112" s="139"/>
      <c r="SNM112" s="139"/>
      <c r="SNN112" s="139"/>
      <c r="SNO112" s="139"/>
      <c r="SNP112" s="139"/>
      <c r="SNQ112" s="139"/>
      <c r="SNR112" s="139"/>
      <c r="SNS112" s="139"/>
      <c r="SNT112" s="139"/>
      <c r="SNU112" s="139"/>
      <c r="SNV112" s="139"/>
      <c r="SNW112" s="139"/>
      <c r="SNX112" s="139"/>
      <c r="SNY112" s="139"/>
      <c r="SNZ112" s="139"/>
      <c r="SOA112" s="139"/>
      <c r="SOB112" s="139"/>
      <c r="SOC112" s="139"/>
      <c r="SOD112" s="139"/>
      <c r="SOE112" s="139"/>
      <c r="SOF112" s="139"/>
      <c r="SOG112" s="139"/>
      <c r="SOH112" s="139"/>
      <c r="SOI112" s="139"/>
      <c r="SOJ112" s="139"/>
      <c r="SOK112" s="139"/>
      <c r="SOL112" s="139"/>
      <c r="SOM112" s="139"/>
      <c r="SON112" s="139"/>
      <c r="SOO112" s="139"/>
      <c r="SOP112" s="139"/>
      <c r="SOQ112" s="139"/>
      <c r="SOR112" s="139"/>
      <c r="SOS112" s="139"/>
      <c r="SOT112" s="139"/>
      <c r="SOU112" s="139"/>
      <c r="SOV112" s="139"/>
      <c r="SOW112" s="139"/>
      <c r="SOX112" s="139"/>
      <c r="SOY112" s="139"/>
      <c r="SOZ112" s="139"/>
      <c r="SPA112" s="139"/>
      <c r="SPB112" s="139"/>
      <c r="SPC112" s="139"/>
      <c r="SPD112" s="139"/>
      <c r="SPE112" s="139"/>
      <c r="SPF112" s="139"/>
      <c r="SPG112" s="139"/>
      <c r="SPH112" s="139"/>
      <c r="SPI112" s="139"/>
      <c r="SPJ112" s="139"/>
      <c r="SPK112" s="139"/>
      <c r="SPL112" s="139"/>
      <c r="SPM112" s="139"/>
      <c r="SPN112" s="139"/>
      <c r="SPO112" s="139"/>
      <c r="SPP112" s="139"/>
      <c r="SPQ112" s="139"/>
      <c r="SPR112" s="139"/>
      <c r="SPS112" s="139"/>
      <c r="SPT112" s="139"/>
      <c r="SPU112" s="139"/>
      <c r="SPV112" s="139"/>
      <c r="SPW112" s="139"/>
      <c r="SPX112" s="139"/>
      <c r="SPY112" s="139"/>
      <c r="SPZ112" s="139"/>
      <c r="SQA112" s="139"/>
      <c r="SQB112" s="139"/>
      <c r="SQC112" s="139"/>
      <c r="SQD112" s="139"/>
      <c r="SQE112" s="139"/>
      <c r="SQF112" s="139"/>
      <c r="SQG112" s="139"/>
      <c r="SQH112" s="139"/>
      <c r="SQI112" s="139"/>
      <c r="SQJ112" s="139"/>
      <c r="SQK112" s="139"/>
      <c r="SQL112" s="139"/>
      <c r="SQM112" s="139"/>
      <c r="SQN112" s="139"/>
      <c r="SQO112" s="139"/>
      <c r="SQP112" s="139"/>
      <c r="SQQ112" s="139"/>
      <c r="SQR112" s="139"/>
      <c r="SQS112" s="139"/>
      <c r="SQT112" s="139"/>
      <c r="SQU112" s="139"/>
      <c r="SQV112" s="139"/>
      <c r="SQW112" s="139"/>
      <c r="SQX112" s="139"/>
      <c r="SQY112" s="139"/>
      <c r="SQZ112" s="139"/>
      <c r="SRA112" s="139"/>
      <c r="SRB112" s="139"/>
      <c r="SRC112" s="139"/>
      <c r="SRD112" s="139"/>
      <c r="SRE112" s="139"/>
      <c r="SRF112" s="139"/>
      <c r="SRG112" s="139"/>
      <c r="SRH112" s="139"/>
      <c r="SRI112" s="139"/>
      <c r="SRJ112" s="139"/>
      <c r="SRK112" s="139"/>
      <c r="SRL112" s="139"/>
      <c r="SRM112" s="139"/>
      <c r="SRN112" s="139"/>
      <c r="SRO112" s="139"/>
      <c r="SRP112" s="139"/>
      <c r="SRQ112" s="139"/>
      <c r="SRR112" s="139"/>
      <c r="SRS112" s="139"/>
      <c r="SRT112" s="139"/>
      <c r="SRU112" s="139"/>
      <c r="SRV112" s="139"/>
      <c r="SRW112" s="139"/>
      <c r="SRX112" s="139"/>
      <c r="SRY112" s="139"/>
      <c r="SRZ112" s="139"/>
      <c r="SSA112" s="139"/>
      <c r="SSB112" s="139"/>
      <c r="SSC112" s="139"/>
      <c r="SSD112" s="139"/>
      <c r="SSE112" s="139"/>
      <c r="SSF112" s="139"/>
      <c r="SSG112" s="139"/>
      <c r="SSH112" s="139"/>
      <c r="SSI112" s="139"/>
      <c r="SSJ112" s="139"/>
      <c r="SSK112" s="139"/>
      <c r="SSL112" s="139"/>
      <c r="SSM112" s="139"/>
      <c r="SSN112" s="139"/>
      <c r="SSO112" s="139"/>
      <c r="SSP112" s="139"/>
      <c r="SSQ112" s="139"/>
      <c r="SSR112" s="139"/>
      <c r="SSS112" s="139"/>
      <c r="SST112" s="139"/>
      <c r="SSU112" s="139"/>
      <c r="SSV112" s="139"/>
      <c r="SSW112" s="139"/>
      <c r="SSX112" s="139"/>
      <c r="SSY112" s="139"/>
      <c r="SSZ112" s="139"/>
      <c r="STA112" s="139"/>
      <c r="STB112" s="139"/>
      <c r="STC112" s="139"/>
      <c r="STD112" s="139"/>
      <c r="STE112" s="139"/>
      <c r="STF112" s="139"/>
      <c r="STG112" s="139"/>
      <c r="STH112" s="139"/>
      <c r="STI112" s="139"/>
      <c r="STJ112" s="139"/>
      <c r="STK112" s="139"/>
      <c r="STL112" s="139"/>
      <c r="STM112" s="139"/>
      <c r="STN112" s="139"/>
      <c r="STO112" s="139"/>
      <c r="STP112" s="139"/>
      <c r="STQ112" s="139"/>
      <c r="STR112" s="139"/>
      <c r="STS112" s="139"/>
      <c r="STT112" s="139"/>
      <c r="STU112" s="139"/>
      <c r="STV112" s="139"/>
      <c r="STW112" s="139"/>
      <c r="STX112" s="139"/>
      <c r="STY112" s="139"/>
      <c r="STZ112" s="139"/>
      <c r="SUA112" s="139"/>
      <c r="SUB112" s="139"/>
      <c r="SUC112" s="139"/>
      <c r="SUD112" s="139"/>
      <c r="SUE112" s="139"/>
      <c r="SUF112" s="139"/>
      <c r="SUG112" s="139"/>
      <c r="SUH112" s="139"/>
      <c r="SUI112" s="139"/>
      <c r="SUJ112" s="139"/>
      <c r="SUK112" s="139"/>
      <c r="SUL112" s="139"/>
      <c r="SUM112" s="139"/>
      <c r="SUN112" s="139"/>
      <c r="SUO112" s="139"/>
      <c r="SUP112" s="139"/>
      <c r="SUQ112" s="139"/>
      <c r="SUR112" s="139"/>
      <c r="SUS112" s="139"/>
      <c r="SUT112" s="139"/>
      <c r="SUU112" s="139"/>
      <c r="SUV112" s="139"/>
      <c r="SUW112" s="139"/>
      <c r="SUX112" s="139"/>
      <c r="SUY112" s="139"/>
      <c r="SUZ112" s="139"/>
      <c r="SVA112" s="139"/>
      <c r="SVB112" s="139"/>
      <c r="SVC112" s="139"/>
      <c r="SVD112" s="139"/>
      <c r="SVE112" s="139"/>
      <c r="SVF112" s="139"/>
      <c r="SVG112" s="139"/>
      <c r="SVH112" s="139"/>
      <c r="SVI112" s="139"/>
      <c r="SVJ112" s="139"/>
      <c r="SVK112" s="139"/>
      <c r="SVL112" s="139"/>
      <c r="SVM112" s="139"/>
      <c r="SVN112" s="139"/>
      <c r="SVO112" s="139"/>
      <c r="SVP112" s="139"/>
      <c r="SVQ112" s="139"/>
      <c r="SVR112" s="139"/>
      <c r="SVS112" s="139"/>
      <c r="SVT112" s="139"/>
      <c r="SVU112" s="139"/>
      <c r="SVV112" s="139"/>
      <c r="SVW112" s="139"/>
      <c r="SVX112" s="139"/>
      <c r="SVY112" s="139"/>
      <c r="SVZ112" s="139"/>
      <c r="SWA112" s="139"/>
      <c r="SWB112" s="139"/>
      <c r="SWC112" s="139"/>
      <c r="SWD112" s="139"/>
      <c r="SWE112" s="139"/>
      <c r="SWF112" s="139"/>
      <c r="SWG112" s="139"/>
      <c r="SWH112" s="139"/>
      <c r="SWI112" s="139"/>
      <c r="SWJ112" s="139"/>
      <c r="SWK112" s="139"/>
      <c r="SWL112" s="139"/>
      <c r="SWM112" s="139"/>
      <c r="SWN112" s="139"/>
      <c r="SWO112" s="139"/>
      <c r="SWP112" s="139"/>
      <c r="SWQ112" s="139"/>
      <c r="SWR112" s="139"/>
      <c r="SWS112" s="139"/>
      <c r="SWT112" s="139"/>
      <c r="SWU112" s="139"/>
      <c r="SWV112" s="139"/>
      <c r="SWW112" s="139"/>
      <c r="SWX112" s="139"/>
      <c r="SWY112" s="139"/>
      <c r="SWZ112" s="139"/>
      <c r="SXA112" s="139"/>
      <c r="SXB112" s="139"/>
      <c r="SXC112" s="139"/>
      <c r="SXD112" s="139"/>
      <c r="SXE112" s="139"/>
      <c r="SXF112" s="139"/>
      <c r="SXG112" s="139"/>
      <c r="SXH112" s="139"/>
      <c r="SXI112" s="139"/>
      <c r="SXJ112" s="139"/>
      <c r="SXK112" s="139"/>
      <c r="SXL112" s="139"/>
      <c r="SXM112" s="139"/>
      <c r="SXN112" s="139"/>
      <c r="SXO112" s="139"/>
      <c r="SXP112" s="139"/>
      <c r="SXQ112" s="139"/>
      <c r="SXR112" s="139"/>
      <c r="SXS112" s="139"/>
      <c r="SXT112" s="139"/>
      <c r="SXU112" s="139"/>
      <c r="SXV112" s="139"/>
      <c r="SXW112" s="139"/>
      <c r="SXX112" s="139"/>
      <c r="SXY112" s="139"/>
      <c r="SXZ112" s="139"/>
      <c r="SYA112" s="139"/>
      <c r="SYB112" s="139"/>
      <c r="SYC112" s="139"/>
      <c r="SYD112" s="139"/>
      <c r="SYE112" s="139"/>
      <c r="SYF112" s="139"/>
      <c r="SYG112" s="139"/>
      <c r="SYH112" s="139"/>
      <c r="SYI112" s="139"/>
      <c r="SYJ112" s="139"/>
      <c r="SYK112" s="139"/>
      <c r="SYL112" s="139"/>
      <c r="SYM112" s="139"/>
      <c r="SYN112" s="139"/>
      <c r="SYO112" s="139"/>
      <c r="SYP112" s="139"/>
      <c r="SYQ112" s="139"/>
      <c r="SYR112" s="139"/>
      <c r="SYS112" s="139"/>
      <c r="SYT112" s="139"/>
      <c r="SYU112" s="139"/>
      <c r="SYV112" s="139"/>
      <c r="SYW112" s="139"/>
      <c r="SYX112" s="139"/>
      <c r="SYY112" s="139"/>
      <c r="SYZ112" s="139"/>
      <c r="SZA112" s="139"/>
      <c r="SZB112" s="139"/>
      <c r="SZC112" s="139"/>
      <c r="SZD112" s="139"/>
      <c r="SZE112" s="139"/>
      <c r="SZF112" s="139"/>
      <c r="SZG112" s="139"/>
      <c r="SZH112" s="139"/>
      <c r="SZI112" s="139"/>
      <c r="SZJ112" s="139"/>
      <c r="SZK112" s="139"/>
      <c r="SZL112" s="139"/>
      <c r="SZM112" s="139"/>
      <c r="SZN112" s="139"/>
      <c r="SZO112" s="139"/>
      <c r="SZP112" s="139"/>
      <c r="SZQ112" s="139"/>
      <c r="SZR112" s="139"/>
      <c r="SZS112" s="139"/>
      <c r="SZT112" s="139"/>
      <c r="SZU112" s="139"/>
      <c r="SZV112" s="139"/>
      <c r="SZW112" s="139"/>
      <c r="SZX112" s="139"/>
      <c r="SZY112" s="139"/>
      <c r="SZZ112" s="139"/>
      <c r="TAA112" s="139"/>
      <c r="TAB112" s="139"/>
      <c r="TAC112" s="139"/>
      <c r="TAD112" s="139"/>
      <c r="TAE112" s="139"/>
      <c r="TAF112" s="139"/>
      <c r="TAG112" s="139"/>
      <c r="TAH112" s="139"/>
      <c r="TAI112" s="139"/>
      <c r="TAJ112" s="139"/>
      <c r="TAK112" s="139"/>
      <c r="TAL112" s="139"/>
      <c r="TAM112" s="139"/>
      <c r="TAN112" s="139"/>
      <c r="TAO112" s="139"/>
      <c r="TAP112" s="139"/>
      <c r="TAQ112" s="139"/>
      <c r="TAR112" s="139"/>
      <c r="TAS112" s="139"/>
      <c r="TAT112" s="139"/>
      <c r="TAU112" s="139"/>
      <c r="TAV112" s="139"/>
      <c r="TAW112" s="139"/>
      <c r="TAX112" s="139"/>
      <c r="TAY112" s="139"/>
      <c r="TAZ112" s="139"/>
      <c r="TBA112" s="139"/>
      <c r="TBB112" s="139"/>
      <c r="TBC112" s="139"/>
      <c r="TBD112" s="139"/>
      <c r="TBE112" s="139"/>
      <c r="TBF112" s="139"/>
      <c r="TBG112" s="139"/>
      <c r="TBH112" s="139"/>
      <c r="TBI112" s="139"/>
      <c r="TBJ112" s="139"/>
      <c r="TBK112" s="139"/>
      <c r="TBL112" s="139"/>
      <c r="TBM112" s="139"/>
      <c r="TBN112" s="139"/>
      <c r="TBO112" s="139"/>
      <c r="TBP112" s="139"/>
      <c r="TBQ112" s="139"/>
      <c r="TBR112" s="139"/>
      <c r="TBS112" s="139"/>
      <c r="TBT112" s="139"/>
      <c r="TBU112" s="139"/>
      <c r="TBV112" s="139"/>
      <c r="TBW112" s="139"/>
      <c r="TBX112" s="139"/>
      <c r="TBY112" s="139"/>
      <c r="TBZ112" s="139"/>
      <c r="TCA112" s="139"/>
      <c r="TCB112" s="139"/>
      <c r="TCC112" s="139"/>
      <c r="TCD112" s="139"/>
      <c r="TCE112" s="139"/>
      <c r="TCF112" s="139"/>
      <c r="TCG112" s="139"/>
      <c r="TCH112" s="139"/>
      <c r="TCI112" s="139"/>
      <c r="TCJ112" s="139"/>
      <c r="TCK112" s="139"/>
      <c r="TCL112" s="139"/>
      <c r="TCM112" s="139"/>
      <c r="TCN112" s="139"/>
      <c r="TCO112" s="139"/>
      <c r="TCP112" s="139"/>
      <c r="TCQ112" s="139"/>
      <c r="TCR112" s="139"/>
      <c r="TCS112" s="139"/>
      <c r="TCT112" s="139"/>
      <c r="TCU112" s="139"/>
      <c r="TCV112" s="139"/>
      <c r="TCW112" s="139"/>
      <c r="TCX112" s="139"/>
      <c r="TCY112" s="139"/>
      <c r="TCZ112" s="139"/>
      <c r="TDA112" s="139"/>
      <c r="TDB112" s="139"/>
      <c r="TDC112" s="139"/>
      <c r="TDD112" s="139"/>
      <c r="TDE112" s="139"/>
      <c r="TDF112" s="139"/>
      <c r="TDG112" s="139"/>
      <c r="TDH112" s="139"/>
      <c r="TDI112" s="139"/>
      <c r="TDJ112" s="139"/>
      <c r="TDK112" s="139"/>
      <c r="TDL112" s="139"/>
      <c r="TDM112" s="139"/>
      <c r="TDN112" s="139"/>
      <c r="TDO112" s="139"/>
      <c r="TDP112" s="139"/>
      <c r="TDQ112" s="139"/>
      <c r="TDR112" s="139"/>
      <c r="TDS112" s="139"/>
      <c r="TDT112" s="139"/>
      <c r="TDU112" s="139"/>
      <c r="TDV112" s="139"/>
      <c r="TDW112" s="139"/>
      <c r="TDX112" s="139"/>
      <c r="TDY112" s="139"/>
      <c r="TDZ112" s="139"/>
      <c r="TEA112" s="139"/>
      <c r="TEB112" s="139"/>
      <c r="TEC112" s="139"/>
      <c r="TED112" s="139"/>
      <c r="TEE112" s="139"/>
      <c r="TEF112" s="139"/>
      <c r="TEG112" s="139"/>
      <c r="TEH112" s="139"/>
      <c r="TEI112" s="139"/>
      <c r="TEJ112" s="139"/>
      <c r="TEK112" s="139"/>
      <c r="TEL112" s="139"/>
      <c r="TEM112" s="139"/>
      <c r="TEN112" s="139"/>
      <c r="TEO112" s="139"/>
      <c r="TEP112" s="139"/>
      <c r="TEQ112" s="139"/>
      <c r="TER112" s="139"/>
      <c r="TES112" s="139"/>
      <c r="TET112" s="139"/>
      <c r="TEU112" s="139"/>
      <c r="TEV112" s="139"/>
      <c r="TEW112" s="139"/>
      <c r="TEX112" s="139"/>
      <c r="TEY112" s="139"/>
      <c r="TEZ112" s="139"/>
      <c r="TFA112" s="139"/>
      <c r="TFB112" s="139"/>
      <c r="TFC112" s="139"/>
      <c r="TFD112" s="139"/>
      <c r="TFE112" s="139"/>
      <c r="TFF112" s="139"/>
      <c r="TFG112" s="139"/>
      <c r="TFH112" s="139"/>
      <c r="TFI112" s="139"/>
      <c r="TFJ112" s="139"/>
      <c r="TFK112" s="139"/>
      <c r="TFL112" s="139"/>
      <c r="TFM112" s="139"/>
      <c r="TFN112" s="139"/>
      <c r="TFO112" s="139"/>
      <c r="TFP112" s="139"/>
      <c r="TFQ112" s="139"/>
      <c r="TFR112" s="139"/>
      <c r="TFS112" s="139"/>
      <c r="TFT112" s="139"/>
      <c r="TFU112" s="139"/>
      <c r="TFV112" s="139"/>
      <c r="TFW112" s="139"/>
      <c r="TFX112" s="139"/>
      <c r="TFY112" s="139"/>
      <c r="TFZ112" s="139"/>
      <c r="TGA112" s="139"/>
      <c r="TGB112" s="139"/>
      <c r="TGC112" s="139"/>
      <c r="TGD112" s="139"/>
      <c r="TGE112" s="139"/>
      <c r="TGF112" s="139"/>
      <c r="TGG112" s="139"/>
      <c r="TGH112" s="139"/>
      <c r="TGI112" s="139"/>
      <c r="TGJ112" s="139"/>
      <c r="TGK112" s="139"/>
      <c r="TGL112" s="139"/>
      <c r="TGM112" s="139"/>
      <c r="TGN112" s="139"/>
      <c r="TGO112" s="139"/>
      <c r="TGP112" s="139"/>
      <c r="TGQ112" s="139"/>
      <c r="TGR112" s="139"/>
      <c r="TGS112" s="139"/>
      <c r="TGT112" s="139"/>
      <c r="TGU112" s="139"/>
      <c r="TGV112" s="139"/>
      <c r="TGW112" s="139"/>
      <c r="TGX112" s="139"/>
      <c r="TGY112" s="139"/>
      <c r="TGZ112" s="139"/>
      <c r="THA112" s="139"/>
      <c r="THB112" s="139"/>
      <c r="THC112" s="139"/>
      <c r="THD112" s="139"/>
      <c r="THE112" s="139"/>
      <c r="THF112" s="139"/>
      <c r="THG112" s="139"/>
      <c r="THH112" s="139"/>
      <c r="THI112" s="139"/>
      <c r="THJ112" s="139"/>
      <c r="THK112" s="139"/>
      <c r="THL112" s="139"/>
      <c r="THM112" s="139"/>
      <c r="THN112" s="139"/>
      <c r="THO112" s="139"/>
      <c r="THP112" s="139"/>
      <c r="THQ112" s="139"/>
      <c r="THR112" s="139"/>
      <c r="THS112" s="139"/>
      <c r="THT112" s="139"/>
      <c r="THU112" s="139"/>
      <c r="THV112" s="139"/>
      <c r="THW112" s="139"/>
      <c r="THX112" s="139"/>
      <c r="THY112" s="139"/>
      <c r="THZ112" s="139"/>
      <c r="TIA112" s="139"/>
      <c r="TIB112" s="139"/>
      <c r="TIC112" s="139"/>
      <c r="TID112" s="139"/>
      <c r="TIE112" s="139"/>
      <c r="TIF112" s="139"/>
      <c r="TIG112" s="139"/>
      <c r="TIH112" s="139"/>
      <c r="TII112" s="139"/>
      <c r="TIJ112" s="139"/>
      <c r="TIK112" s="139"/>
      <c r="TIL112" s="139"/>
      <c r="TIM112" s="139"/>
      <c r="TIN112" s="139"/>
      <c r="TIO112" s="139"/>
      <c r="TIP112" s="139"/>
      <c r="TIQ112" s="139"/>
      <c r="TIR112" s="139"/>
      <c r="TIS112" s="139"/>
      <c r="TIT112" s="139"/>
      <c r="TIU112" s="139"/>
      <c r="TIV112" s="139"/>
      <c r="TIW112" s="139"/>
      <c r="TIX112" s="139"/>
      <c r="TIY112" s="139"/>
      <c r="TIZ112" s="139"/>
      <c r="TJA112" s="139"/>
      <c r="TJB112" s="139"/>
      <c r="TJC112" s="139"/>
      <c r="TJD112" s="139"/>
      <c r="TJE112" s="139"/>
      <c r="TJF112" s="139"/>
      <c r="TJG112" s="139"/>
      <c r="TJH112" s="139"/>
      <c r="TJI112" s="139"/>
      <c r="TJJ112" s="139"/>
      <c r="TJK112" s="139"/>
      <c r="TJL112" s="139"/>
      <c r="TJM112" s="139"/>
      <c r="TJN112" s="139"/>
      <c r="TJO112" s="139"/>
      <c r="TJP112" s="139"/>
      <c r="TJQ112" s="139"/>
      <c r="TJR112" s="139"/>
      <c r="TJS112" s="139"/>
      <c r="TJT112" s="139"/>
      <c r="TJU112" s="139"/>
      <c r="TJV112" s="139"/>
      <c r="TJW112" s="139"/>
      <c r="TJX112" s="139"/>
      <c r="TJY112" s="139"/>
      <c r="TJZ112" s="139"/>
      <c r="TKA112" s="139"/>
      <c r="TKB112" s="139"/>
      <c r="TKC112" s="139"/>
      <c r="TKD112" s="139"/>
      <c r="TKE112" s="139"/>
      <c r="TKF112" s="139"/>
      <c r="TKG112" s="139"/>
      <c r="TKH112" s="139"/>
      <c r="TKI112" s="139"/>
      <c r="TKJ112" s="139"/>
      <c r="TKK112" s="139"/>
      <c r="TKL112" s="139"/>
      <c r="TKM112" s="139"/>
      <c r="TKN112" s="139"/>
      <c r="TKO112" s="139"/>
      <c r="TKP112" s="139"/>
      <c r="TKQ112" s="139"/>
      <c r="TKR112" s="139"/>
      <c r="TKS112" s="139"/>
      <c r="TKT112" s="139"/>
      <c r="TKU112" s="139"/>
      <c r="TKV112" s="139"/>
      <c r="TKW112" s="139"/>
      <c r="TKX112" s="139"/>
      <c r="TKY112" s="139"/>
      <c r="TKZ112" s="139"/>
      <c r="TLA112" s="139"/>
      <c r="TLB112" s="139"/>
      <c r="TLC112" s="139"/>
      <c r="TLD112" s="139"/>
      <c r="TLE112" s="139"/>
      <c r="TLF112" s="139"/>
      <c r="TLG112" s="139"/>
      <c r="TLH112" s="139"/>
      <c r="TLI112" s="139"/>
      <c r="TLJ112" s="139"/>
      <c r="TLK112" s="139"/>
      <c r="TLL112" s="139"/>
      <c r="TLM112" s="139"/>
      <c r="TLN112" s="139"/>
      <c r="TLO112" s="139"/>
      <c r="TLP112" s="139"/>
      <c r="TLQ112" s="139"/>
      <c r="TLR112" s="139"/>
      <c r="TLS112" s="139"/>
      <c r="TLT112" s="139"/>
      <c r="TLU112" s="139"/>
      <c r="TLV112" s="139"/>
      <c r="TLW112" s="139"/>
      <c r="TLX112" s="139"/>
      <c r="TLY112" s="139"/>
      <c r="TLZ112" s="139"/>
      <c r="TMA112" s="139"/>
      <c r="TMB112" s="139"/>
      <c r="TMC112" s="139"/>
      <c r="TMD112" s="139"/>
      <c r="TME112" s="139"/>
      <c r="TMF112" s="139"/>
      <c r="TMG112" s="139"/>
      <c r="TMH112" s="139"/>
      <c r="TMI112" s="139"/>
      <c r="TMJ112" s="139"/>
      <c r="TMK112" s="139"/>
      <c r="TML112" s="139"/>
      <c r="TMM112" s="139"/>
      <c r="TMN112" s="139"/>
      <c r="TMO112" s="139"/>
      <c r="TMP112" s="139"/>
      <c r="TMQ112" s="139"/>
      <c r="TMR112" s="139"/>
      <c r="TMS112" s="139"/>
      <c r="TMT112" s="139"/>
      <c r="TMU112" s="139"/>
      <c r="TMV112" s="139"/>
      <c r="TMW112" s="139"/>
      <c r="TMX112" s="139"/>
      <c r="TMY112" s="139"/>
      <c r="TMZ112" s="139"/>
      <c r="TNA112" s="139"/>
      <c r="TNB112" s="139"/>
      <c r="TNC112" s="139"/>
      <c r="TND112" s="139"/>
      <c r="TNE112" s="139"/>
      <c r="TNF112" s="139"/>
      <c r="TNG112" s="139"/>
      <c r="TNH112" s="139"/>
      <c r="TNI112" s="139"/>
      <c r="TNJ112" s="139"/>
      <c r="TNK112" s="139"/>
      <c r="TNL112" s="139"/>
      <c r="TNM112" s="139"/>
      <c r="TNN112" s="139"/>
      <c r="TNO112" s="139"/>
      <c r="TNP112" s="139"/>
      <c r="TNQ112" s="139"/>
      <c r="TNR112" s="139"/>
      <c r="TNS112" s="139"/>
      <c r="TNT112" s="139"/>
      <c r="TNU112" s="139"/>
      <c r="TNV112" s="139"/>
      <c r="TNW112" s="139"/>
      <c r="TNX112" s="139"/>
      <c r="TNY112" s="139"/>
      <c r="TNZ112" s="139"/>
      <c r="TOA112" s="139"/>
      <c r="TOB112" s="139"/>
      <c r="TOC112" s="139"/>
      <c r="TOD112" s="139"/>
      <c r="TOE112" s="139"/>
      <c r="TOF112" s="139"/>
      <c r="TOG112" s="139"/>
      <c r="TOH112" s="139"/>
      <c r="TOI112" s="139"/>
      <c r="TOJ112" s="139"/>
      <c r="TOK112" s="139"/>
      <c r="TOL112" s="139"/>
      <c r="TOM112" s="139"/>
      <c r="TON112" s="139"/>
      <c r="TOO112" s="139"/>
      <c r="TOP112" s="139"/>
      <c r="TOQ112" s="139"/>
      <c r="TOR112" s="139"/>
      <c r="TOS112" s="139"/>
      <c r="TOT112" s="139"/>
      <c r="TOU112" s="139"/>
      <c r="TOV112" s="139"/>
      <c r="TOW112" s="139"/>
      <c r="TOX112" s="139"/>
      <c r="TOY112" s="139"/>
      <c r="TOZ112" s="139"/>
      <c r="TPA112" s="139"/>
      <c r="TPB112" s="139"/>
      <c r="TPC112" s="139"/>
      <c r="TPD112" s="139"/>
      <c r="TPE112" s="139"/>
      <c r="TPF112" s="139"/>
      <c r="TPG112" s="139"/>
      <c r="TPH112" s="139"/>
      <c r="TPI112" s="139"/>
      <c r="TPJ112" s="139"/>
      <c r="TPK112" s="139"/>
      <c r="TPL112" s="139"/>
      <c r="TPM112" s="139"/>
      <c r="TPN112" s="139"/>
      <c r="TPO112" s="139"/>
      <c r="TPP112" s="139"/>
      <c r="TPQ112" s="139"/>
      <c r="TPR112" s="139"/>
      <c r="TPS112" s="139"/>
      <c r="TPT112" s="139"/>
      <c r="TPU112" s="139"/>
      <c r="TPV112" s="139"/>
      <c r="TPW112" s="139"/>
      <c r="TPX112" s="139"/>
      <c r="TPY112" s="139"/>
      <c r="TPZ112" s="139"/>
      <c r="TQA112" s="139"/>
      <c r="TQB112" s="139"/>
      <c r="TQC112" s="139"/>
      <c r="TQD112" s="139"/>
      <c r="TQE112" s="139"/>
      <c r="TQF112" s="139"/>
      <c r="TQG112" s="139"/>
      <c r="TQH112" s="139"/>
      <c r="TQI112" s="139"/>
      <c r="TQJ112" s="139"/>
      <c r="TQK112" s="139"/>
      <c r="TQL112" s="139"/>
      <c r="TQM112" s="139"/>
      <c r="TQN112" s="139"/>
      <c r="TQO112" s="139"/>
      <c r="TQP112" s="139"/>
      <c r="TQQ112" s="139"/>
      <c r="TQR112" s="139"/>
      <c r="TQS112" s="139"/>
      <c r="TQT112" s="139"/>
      <c r="TQU112" s="139"/>
      <c r="TQV112" s="139"/>
      <c r="TQW112" s="139"/>
      <c r="TQX112" s="139"/>
      <c r="TQY112" s="139"/>
      <c r="TQZ112" s="139"/>
      <c r="TRA112" s="139"/>
      <c r="TRB112" s="139"/>
      <c r="TRC112" s="139"/>
      <c r="TRD112" s="139"/>
      <c r="TRE112" s="139"/>
      <c r="TRF112" s="139"/>
      <c r="TRG112" s="139"/>
      <c r="TRH112" s="139"/>
      <c r="TRI112" s="139"/>
      <c r="TRJ112" s="139"/>
      <c r="TRK112" s="139"/>
      <c r="TRL112" s="139"/>
      <c r="TRM112" s="139"/>
      <c r="TRN112" s="139"/>
      <c r="TRO112" s="139"/>
      <c r="TRP112" s="139"/>
      <c r="TRQ112" s="139"/>
      <c r="TRR112" s="139"/>
      <c r="TRS112" s="139"/>
      <c r="TRT112" s="139"/>
      <c r="TRU112" s="139"/>
      <c r="TRV112" s="139"/>
      <c r="TRW112" s="139"/>
      <c r="TRX112" s="139"/>
      <c r="TRY112" s="139"/>
      <c r="TRZ112" s="139"/>
      <c r="TSA112" s="139"/>
      <c r="TSB112" s="139"/>
      <c r="TSC112" s="139"/>
      <c r="TSD112" s="139"/>
      <c r="TSE112" s="139"/>
      <c r="TSF112" s="139"/>
      <c r="TSG112" s="139"/>
      <c r="TSH112" s="139"/>
      <c r="TSI112" s="139"/>
      <c r="TSJ112" s="139"/>
      <c r="TSK112" s="139"/>
      <c r="TSL112" s="139"/>
      <c r="TSM112" s="139"/>
      <c r="TSN112" s="139"/>
      <c r="TSO112" s="139"/>
      <c r="TSP112" s="139"/>
      <c r="TSQ112" s="139"/>
      <c r="TSR112" s="139"/>
      <c r="TSS112" s="139"/>
      <c r="TST112" s="139"/>
      <c r="TSU112" s="139"/>
      <c r="TSV112" s="139"/>
      <c r="TSW112" s="139"/>
      <c r="TSX112" s="139"/>
      <c r="TSY112" s="139"/>
      <c r="TSZ112" s="139"/>
      <c r="TTA112" s="139"/>
      <c r="TTB112" s="139"/>
      <c r="TTC112" s="139"/>
      <c r="TTD112" s="139"/>
      <c r="TTE112" s="139"/>
      <c r="TTF112" s="139"/>
      <c r="TTG112" s="139"/>
      <c r="TTH112" s="139"/>
      <c r="TTI112" s="139"/>
      <c r="TTJ112" s="139"/>
      <c r="TTK112" s="139"/>
      <c r="TTL112" s="139"/>
      <c r="TTM112" s="139"/>
      <c r="TTN112" s="139"/>
      <c r="TTO112" s="139"/>
      <c r="TTP112" s="139"/>
      <c r="TTQ112" s="139"/>
      <c r="TTR112" s="139"/>
      <c r="TTS112" s="139"/>
      <c r="TTT112" s="139"/>
      <c r="TTU112" s="139"/>
      <c r="TTV112" s="139"/>
      <c r="TTW112" s="139"/>
      <c r="TTX112" s="139"/>
      <c r="TTY112" s="139"/>
      <c r="TTZ112" s="139"/>
      <c r="TUA112" s="139"/>
      <c r="TUB112" s="139"/>
      <c r="TUC112" s="139"/>
      <c r="TUD112" s="139"/>
      <c r="TUE112" s="139"/>
      <c r="TUF112" s="139"/>
      <c r="TUG112" s="139"/>
      <c r="TUH112" s="139"/>
      <c r="TUI112" s="139"/>
      <c r="TUJ112" s="139"/>
      <c r="TUK112" s="139"/>
      <c r="TUL112" s="139"/>
      <c r="TUM112" s="139"/>
      <c r="TUN112" s="139"/>
      <c r="TUO112" s="139"/>
      <c r="TUP112" s="139"/>
      <c r="TUQ112" s="139"/>
      <c r="TUR112" s="139"/>
      <c r="TUS112" s="139"/>
      <c r="TUT112" s="139"/>
      <c r="TUU112" s="139"/>
      <c r="TUV112" s="139"/>
      <c r="TUW112" s="139"/>
      <c r="TUX112" s="139"/>
      <c r="TUY112" s="139"/>
      <c r="TUZ112" s="139"/>
      <c r="TVA112" s="139"/>
      <c r="TVB112" s="139"/>
      <c r="TVC112" s="139"/>
      <c r="TVD112" s="139"/>
      <c r="TVE112" s="139"/>
      <c r="TVF112" s="139"/>
      <c r="TVG112" s="139"/>
      <c r="TVH112" s="139"/>
      <c r="TVI112" s="139"/>
      <c r="TVJ112" s="139"/>
      <c r="TVK112" s="139"/>
      <c r="TVL112" s="139"/>
      <c r="TVM112" s="139"/>
      <c r="TVN112" s="139"/>
      <c r="TVO112" s="139"/>
      <c r="TVP112" s="139"/>
      <c r="TVQ112" s="139"/>
      <c r="TVR112" s="139"/>
      <c r="TVS112" s="139"/>
      <c r="TVT112" s="139"/>
      <c r="TVU112" s="139"/>
      <c r="TVV112" s="139"/>
      <c r="TVW112" s="139"/>
      <c r="TVX112" s="139"/>
      <c r="TVY112" s="139"/>
      <c r="TVZ112" s="139"/>
      <c r="TWA112" s="139"/>
      <c r="TWB112" s="139"/>
      <c r="TWC112" s="139"/>
      <c r="TWD112" s="139"/>
      <c r="TWE112" s="139"/>
      <c r="TWF112" s="139"/>
      <c r="TWG112" s="139"/>
      <c r="TWH112" s="139"/>
      <c r="TWI112" s="139"/>
      <c r="TWJ112" s="139"/>
      <c r="TWK112" s="139"/>
      <c r="TWL112" s="139"/>
      <c r="TWM112" s="139"/>
      <c r="TWN112" s="139"/>
      <c r="TWO112" s="139"/>
      <c r="TWP112" s="139"/>
      <c r="TWQ112" s="139"/>
      <c r="TWR112" s="139"/>
      <c r="TWS112" s="139"/>
      <c r="TWT112" s="139"/>
      <c r="TWU112" s="139"/>
      <c r="TWV112" s="139"/>
      <c r="TWW112" s="139"/>
      <c r="TWX112" s="139"/>
      <c r="TWY112" s="139"/>
      <c r="TWZ112" s="139"/>
      <c r="TXA112" s="139"/>
      <c r="TXB112" s="139"/>
      <c r="TXC112" s="139"/>
      <c r="TXD112" s="139"/>
      <c r="TXE112" s="139"/>
      <c r="TXF112" s="139"/>
      <c r="TXG112" s="139"/>
      <c r="TXH112" s="139"/>
      <c r="TXI112" s="139"/>
      <c r="TXJ112" s="139"/>
      <c r="TXK112" s="139"/>
      <c r="TXL112" s="139"/>
      <c r="TXM112" s="139"/>
      <c r="TXN112" s="139"/>
      <c r="TXO112" s="139"/>
      <c r="TXP112" s="139"/>
      <c r="TXQ112" s="139"/>
      <c r="TXR112" s="139"/>
      <c r="TXS112" s="139"/>
      <c r="TXT112" s="139"/>
      <c r="TXU112" s="139"/>
      <c r="TXV112" s="139"/>
      <c r="TXW112" s="139"/>
      <c r="TXX112" s="139"/>
      <c r="TXY112" s="139"/>
      <c r="TXZ112" s="139"/>
      <c r="TYA112" s="139"/>
      <c r="TYB112" s="139"/>
      <c r="TYC112" s="139"/>
      <c r="TYD112" s="139"/>
      <c r="TYE112" s="139"/>
      <c r="TYF112" s="139"/>
      <c r="TYG112" s="139"/>
      <c r="TYH112" s="139"/>
      <c r="TYI112" s="139"/>
      <c r="TYJ112" s="139"/>
      <c r="TYK112" s="139"/>
      <c r="TYL112" s="139"/>
      <c r="TYM112" s="139"/>
      <c r="TYN112" s="139"/>
      <c r="TYO112" s="139"/>
      <c r="TYP112" s="139"/>
      <c r="TYQ112" s="139"/>
      <c r="TYR112" s="139"/>
      <c r="TYS112" s="139"/>
      <c r="TYT112" s="139"/>
      <c r="TYU112" s="139"/>
      <c r="TYV112" s="139"/>
      <c r="TYW112" s="139"/>
      <c r="TYX112" s="139"/>
      <c r="TYY112" s="139"/>
      <c r="TYZ112" s="139"/>
      <c r="TZA112" s="139"/>
      <c r="TZB112" s="139"/>
      <c r="TZC112" s="139"/>
      <c r="TZD112" s="139"/>
      <c r="TZE112" s="139"/>
      <c r="TZF112" s="139"/>
      <c r="TZG112" s="139"/>
      <c r="TZH112" s="139"/>
      <c r="TZI112" s="139"/>
      <c r="TZJ112" s="139"/>
      <c r="TZK112" s="139"/>
      <c r="TZL112" s="139"/>
      <c r="TZM112" s="139"/>
      <c r="TZN112" s="139"/>
      <c r="TZO112" s="139"/>
      <c r="TZP112" s="139"/>
      <c r="TZQ112" s="139"/>
      <c r="TZR112" s="139"/>
      <c r="TZS112" s="139"/>
      <c r="TZT112" s="139"/>
      <c r="TZU112" s="139"/>
      <c r="TZV112" s="139"/>
      <c r="TZW112" s="139"/>
      <c r="TZX112" s="139"/>
      <c r="TZY112" s="139"/>
      <c r="TZZ112" s="139"/>
      <c r="UAA112" s="139"/>
      <c r="UAB112" s="139"/>
      <c r="UAC112" s="139"/>
      <c r="UAD112" s="139"/>
      <c r="UAE112" s="139"/>
      <c r="UAF112" s="139"/>
      <c r="UAG112" s="139"/>
      <c r="UAH112" s="139"/>
      <c r="UAI112" s="139"/>
      <c r="UAJ112" s="139"/>
      <c r="UAK112" s="139"/>
      <c r="UAL112" s="139"/>
      <c r="UAM112" s="139"/>
      <c r="UAN112" s="139"/>
      <c r="UAO112" s="139"/>
      <c r="UAP112" s="139"/>
      <c r="UAQ112" s="139"/>
      <c r="UAR112" s="139"/>
      <c r="UAS112" s="139"/>
      <c r="UAT112" s="139"/>
      <c r="UAU112" s="139"/>
      <c r="UAV112" s="139"/>
      <c r="UAW112" s="139"/>
      <c r="UAX112" s="139"/>
      <c r="UAY112" s="139"/>
      <c r="UAZ112" s="139"/>
      <c r="UBA112" s="139"/>
      <c r="UBB112" s="139"/>
      <c r="UBC112" s="139"/>
      <c r="UBD112" s="139"/>
      <c r="UBE112" s="139"/>
      <c r="UBF112" s="139"/>
      <c r="UBG112" s="139"/>
      <c r="UBH112" s="139"/>
      <c r="UBI112" s="139"/>
      <c r="UBJ112" s="139"/>
      <c r="UBK112" s="139"/>
      <c r="UBL112" s="139"/>
      <c r="UBM112" s="139"/>
      <c r="UBN112" s="139"/>
      <c r="UBO112" s="139"/>
      <c r="UBP112" s="139"/>
      <c r="UBQ112" s="139"/>
      <c r="UBR112" s="139"/>
      <c r="UBS112" s="139"/>
      <c r="UBT112" s="139"/>
      <c r="UBU112" s="139"/>
      <c r="UBV112" s="139"/>
      <c r="UBW112" s="139"/>
      <c r="UBX112" s="139"/>
      <c r="UBY112" s="139"/>
      <c r="UBZ112" s="139"/>
      <c r="UCA112" s="139"/>
      <c r="UCB112" s="139"/>
      <c r="UCC112" s="139"/>
      <c r="UCD112" s="139"/>
      <c r="UCE112" s="139"/>
      <c r="UCF112" s="139"/>
      <c r="UCG112" s="139"/>
      <c r="UCH112" s="139"/>
      <c r="UCI112" s="139"/>
      <c r="UCJ112" s="139"/>
      <c r="UCK112" s="139"/>
      <c r="UCL112" s="139"/>
      <c r="UCM112" s="139"/>
      <c r="UCN112" s="139"/>
      <c r="UCO112" s="139"/>
      <c r="UCP112" s="139"/>
      <c r="UCQ112" s="139"/>
      <c r="UCR112" s="139"/>
      <c r="UCS112" s="139"/>
      <c r="UCT112" s="139"/>
      <c r="UCU112" s="139"/>
      <c r="UCV112" s="139"/>
      <c r="UCW112" s="139"/>
      <c r="UCX112" s="139"/>
      <c r="UCY112" s="139"/>
      <c r="UCZ112" s="139"/>
      <c r="UDA112" s="139"/>
      <c r="UDB112" s="139"/>
      <c r="UDC112" s="139"/>
      <c r="UDD112" s="139"/>
      <c r="UDE112" s="139"/>
      <c r="UDF112" s="139"/>
      <c r="UDG112" s="139"/>
      <c r="UDH112" s="139"/>
      <c r="UDI112" s="139"/>
      <c r="UDJ112" s="139"/>
      <c r="UDK112" s="139"/>
      <c r="UDL112" s="139"/>
      <c r="UDM112" s="139"/>
      <c r="UDN112" s="139"/>
      <c r="UDO112" s="139"/>
      <c r="UDP112" s="139"/>
      <c r="UDQ112" s="139"/>
      <c r="UDR112" s="139"/>
      <c r="UDS112" s="139"/>
      <c r="UDT112" s="139"/>
      <c r="UDU112" s="139"/>
      <c r="UDV112" s="139"/>
      <c r="UDW112" s="139"/>
      <c r="UDX112" s="139"/>
      <c r="UDY112" s="139"/>
      <c r="UDZ112" s="139"/>
      <c r="UEA112" s="139"/>
      <c r="UEB112" s="139"/>
      <c r="UEC112" s="139"/>
      <c r="UED112" s="139"/>
      <c r="UEE112" s="139"/>
      <c r="UEF112" s="139"/>
      <c r="UEG112" s="139"/>
      <c r="UEH112" s="139"/>
      <c r="UEI112" s="139"/>
      <c r="UEJ112" s="139"/>
      <c r="UEK112" s="139"/>
      <c r="UEL112" s="139"/>
      <c r="UEM112" s="139"/>
      <c r="UEN112" s="139"/>
      <c r="UEO112" s="139"/>
      <c r="UEP112" s="139"/>
      <c r="UEQ112" s="139"/>
      <c r="UER112" s="139"/>
      <c r="UES112" s="139"/>
      <c r="UET112" s="139"/>
      <c r="UEU112" s="139"/>
      <c r="UEV112" s="139"/>
      <c r="UEW112" s="139"/>
      <c r="UEX112" s="139"/>
      <c r="UEY112" s="139"/>
      <c r="UEZ112" s="139"/>
      <c r="UFA112" s="139"/>
      <c r="UFB112" s="139"/>
      <c r="UFC112" s="139"/>
      <c r="UFD112" s="139"/>
      <c r="UFE112" s="139"/>
      <c r="UFF112" s="139"/>
      <c r="UFG112" s="139"/>
      <c r="UFH112" s="139"/>
      <c r="UFI112" s="139"/>
      <c r="UFJ112" s="139"/>
      <c r="UFK112" s="139"/>
      <c r="UFL112" s="139"/>
      <c r="UFM112" s="139"/>
      <c r="UFN112" s="139"/>
      <c r="UFO112" s="139"/>
      <c r="UFP112" s="139"/>
      <c r="UFQ112" s="139"/>
      <c r="UFR112" s="139"/>
      <c r="UFS112" s="139"/>
      <c r="UFT112" s="139"/>
      <c r="UFU112" s="139"/>
      <c r="UFV112" s="139"/>
      <c r="UFW112" s="139"/>
      <c r="UFX112" s="139"/>
      <c r="UFY112" s="139"/>
      <c r="UFZ112" s="139"/>
      <c r="UGA112" s="139"/>
      <c r="UGB112" s="139"/>
      <c r="UGC112" s="139"/>
      <c r="UGD112" s="139"/>
      <c r="UGE112" s="139"/>
      <c r="UGF112" s="139"/>
      <c r="UGG112" s="139"/>
      <c r="UGH112" s="139"/>
      <c r="UGI112" s="139"/>
      <c r="UGJ112" s="139"/>
      <c r="UGK112" s="139"/>
      <c r="UGL112" s="139"/>
      <c r="UGM112" s="139"/>
      <c r="UGN112" s="139"/>
      <c r="UGO112" s="139"/>
      <c r="UGP112" s="139"/>
      <c r="UGQ112" s="139"/>
      <c r="UGR112" s="139"/>
      <c r="UGS112" s="139"/>
      <c r="UGT112" s="139"/>
      <c r="UGU112" s="139"/>
      <c r="UGV112" s="139"/>
      <c r="UGW112" s="139"/>
      <c r="UGX112" s="139"/>
      <c r="UGY112" s="139"/>
      <c r="UGZ112" s="139"/>
      <c r="UHA112" s="139"/>
      <c r="UHB112" s="139"/>
      <c r="UHC112" s="139"/>
      <c r="UHD112" s="139"/>
      <c r="UHE112" s="139"/>
      <c r="UHF112" s="139"/>
      <c r="UHG112" s="139"/>
      <c r="UHH112" s="139"/>
      <c r="UHI112" s="139"/>
      <c r="UHJ112" s="139"/>
      <c r="UHK112" s="139"/>
      <c r="UHL112" s="139"/>
      <c r="UHM112" s="139"/>
      <c r="UHN112" s="139"/>
      <c r="UHO112" s="139"/>
      <c r="UHP112" s="139"/>
      <c r="UHQ112" s="139"/>
      <c r="UHR112" s="139"/>
      <c r="UHS112" s="139"/>
      <c r="UHT112" s="139"/>
      <c r="UHU112" s="139"/>
      <c r="UHV112" s="139"/>
      <c r="UHW112" s="139"/>
      <c r="UHX112" s="139"/>
      <c r="UHY112" s="139"/>
      <c r="UHZ112" s="139"/>
      <c r="UIA112" s="139"/>
      <c r="UIB112" s="139"/>
      <c r="UIC112" s="139"/>
      <c r="UID112" s="139"/>
      <c r="UIE112" s="139"/>
      <c r="UIF112" s="139"/>
      <c r="UIG112" s="139"/>
      <c r="UIH112" s="139"/>
      <c r="UII112" s="139"/>
      <c r="UIJ112" s="139"/>
      <c r="UIK112" s="139"/>
      <c r="UIL112" s="139"/>
      <c r="UIM112" s="139"/>
      <c r="UIN112" s="139"/>
      <c r="UIO112" s="139"/>
      <c r="UIP112" s="139"/>
      <c r="UIQ112" s="139"/>
      <c r="UIR112" s="139"/>
      <c r="UIS112" s="139"/>
      <c r="UIT112" s="139"/>
      <c r="UIU112" s="139"/>
      <c r="UIV112" s="139"/>
      <c r="UIW112" s="139"/>
      <c r="UIX112" s="139"/>
      <c r="UIY112" s="139"/>
      <c r="UIZ112" s="139"/>
      <c r="UJA112" s="139"/>
      <c r="UJB112" s="139"/>
      <c r="UJC112" s="139"/>
      <c r="UJD112" s="139"/>
      <c r="UJE112" s="139"/>
      <c r="UJF112" s="139"/>
      <c r="UJG112" s="139"/>
      <c r="UJH112" s="139"/>
      <c r="UJI112" s="139"/>
      <c r="UJJ112" s="139"/>
      <c r="UJK112" s="139"/>
      <c r="UJL112" s="139"/>
      <c r="UJM112" s="139"/>
      <c r="UJN112" s="139"/>
      <c r="UJO112" s="139"/>
      <c r="UJP112" s="139"/>
      <c r="UJQ112" s="139"/>
      <c r="UJR112" s="139"/>
      <c r="UJS112" s="139"/>
      <c r="UJT112" s="139"/>
      <c r="UJU112" s="139"/>
      <c r="UJV112" s="139"/>
      <c r="UJW112" s="139"/>
      <c r="UJX112" s="139"/>
      <c r="UJY112" s="139"/>
      <c r="UJZ112" s="139"/>
      <c r="UKA112" s="139"/>
      <c r="UKB112" s="139"/>
      <c r="UKC112" s="139"/>
      <c r="UKD112" s="139"/>
      <c r="UKE112" s="139"/>
      <c r="UKF112" s="139"/>
      <c r="UKG112" s="139"/>
      <c r="UKH112" s="139"/>
      <c r="UKI112" s="139"/>
      <c r="UKJ112" s="139"/>
      <c r="UKK112" s="139"/>
      <c r="UKL112" s="139"/>
      <c r="UKM112" s="139"/>
      <c r="UKN112" s="139"/>
      <c r="UKO112" s="139"/>
      <c r="UKP112" s="139"/>
      <c r="UKQ112" s="139"/>
      <c r="UKR112" s="139"/>
      <c r="UKS112" s="139"/>
      <c r="UKT112" s="139"/>
      <c r="UKU112" s="139"/>
      <c r="UKV112" s="139"/>
      <c r="UKW112" s="139"/>
      <c r="UKX112" s="139"/>
      <c r="UKY112" s="139"/>
      <c r="UKZ112" s="139"/>
      <c r="ULA112" s="139"/>
      <c r="ULB112" s="139"/>
      <c r="ULC112" s="139"/>
      <c r="ULD112" s="139"/>
      <c r="ULE112" s="139"/>
      <c r="ULF112" s="139"/>
      <c r="ULG112" s="139"/>
      <c r="ULH112" s="139"/>
      <c r="ULI112" s="139"/>
      <c r="ULJ112" s="139"/>
      <c r="ULK112" s="139"/>
      <c r="ULL112" s="139"/>
      <c r="ULM112" s="139"/>
      <c r="ULN112" s="139"/>
      <c r="ULO112" s="139"/>
      <c r="ULP112" s="139"/>
      <c r="ULQ112" s="139"/>
      <c r="ULR112" s="139"/>
      <c r="ULS112" s="139"/>
      <c r="ULT112" s="139"/>
      <c r="ULU112" s="139"/>
      <c r="ULV112" s="139"/>
      <c r="ULW112" s="139"/>
      <c r="ULX112" s="139"/>
      <c r="ULY112" s="139"/>
      <c r="ULZ112" s="139"/>
      <c r="UMA112" s="139"/>
      <c r="UMB112" s="139"/>
      <c r="UMC112" s="139"/>
      <c r="UMD112" s="139"/>
      <c r="UME112" s="139"/>
      <c r="UMF112" s="139"/>
      <c r="UMG112" s="139"/>
      <c r="UMH112" s="139"/>
      <c r="UMI112" s="139"/>
      <c r="UMJ112" s="139"/>
      <c r="UMK112" s="139"/>
      <c r="UML112" s="139"/>
      <c r="UMM112" s="139"/>
      <c r="UMN112" s="139"/>
      <c r="UMO112" s="139"/>
      <c r="UMP112" s="139"/>
      <c r="UMQ112" s="139"/>
      <c r="UMR112" s="139"/>
      <c r="UMS112" s="139"/>
      <c r="UMT112" s="139"/>
      <c r="UMU112" s="139"/>
      <c r="UMV112" s="139"/>
      <c r="UMW112" s="139"/>
      <c r="UMX112" s="139"/>
      <c r="UMY112" s="139"/>
      <c r="UMZ112" s="139"/>
      <c r="UNA112" s="139"/>
      <c r="UNB112" s="139"/>
      <c r="UNC112" s="139"/>
      <c r="UND112" s="139"/>
      <c r="UNE112" s="139"/>
      <c r="UNF112" s="139"/>
      <c r="UNG112" s="139"/>
      <c r="UNH112" s="139"/>
      <c r="UNI112" s="139"/>
      <c r="UNJ112" s="139"/>
      <c r="UNK112" s="139"/>
      <c r="UNL112" s="139"/>
      <c r="UNM112" s="139"/>
      <c r="UNN112" s="139"/>
      <c r="UNO112" s="139"/>
      <c r="UNP112" s="139"/>
      <c r="UNQ112" s="139"/>
      <c r="UNR112" s="139"/>
      <c r="UNS112" s="139"/>
      <c r="UNT112" s="139"/>
      <c r="UNU112" s="139"/>
      <c r="UNV112" s="139"/>
      <c r="UNW112" s="139"/>
      <c r="UNX112" s="139"/>
      <c r="UNY112" s="139"/>
      <c r="UNZ112" s="139"/>
      <c r="UOA112" s="139"/>
      <c r="UOB112" s="139"/>
      <c r="UOC112" s="139"/>
      <c r="UOD112" s="139"/>
      <c r="UOE112" s="139"/>
      <c r="UOF112" s="139"/>
      <c r="UOG112" s="139"/>
      <c r="UOH112" s="139"/>
      <c r="UOI112" s="139"/>
      <c r="UOJ112" s="139"/>
      <c r="UOK112" s="139"/>
      <c r="UOL112" s="139"/>
      <c r="UOM112" s="139"/>
      <c r="UON112" s="139"/>
      <c r="UOO112" s="139"/>
      <c r="UOP112" s="139"/>
      <c r="UOQ112" s="139"/>
      <c r="UOR112" s="139"/>
      <c r="UOS112" s="139"/>
      <c r="UOT112" s="139"/>
      <c r="UOU112" s="139"/>
      <c r="UOV112" s="139"/>
      <c r="UOW112" s="139"/>
      <c r="UOX112" s="139"/>
      <c r="UOY112" s="139"/>
      <c r="UOZ112" s="139"/>
      <c r="UPA112" s="139"/>
      <c r="UPB112" s="139"/>
      <c r="UPC112" s="139"/>
      <c r="UPD112" s="139"/>
      <c r="UPE112" s="139"/>
      <c r="UPF112" s="139"/>
      <c r="UPG112" s="139"/>
      <c r="UPH112" s="139"/>
      <c r="UPI112" s="139"/>
      <c r="UPJ112" s="139"/>
      <c r="UPK112" s="139"/>
      <c r="UPL112" s="139"/>
      <c r="UPM112" s="139"/>
      <c r="UPN112" s="139"/>
      <c r="UPO112" s="139"/>
      <c r="UPP112" s="139"/>
      <c r="UPQ112" s="139"/>
      <c r="UPR112" s="139"/>
      <c r="UPS112" s="139"/>
      <c r="UPT112" s="139"/>
      <c r="UPU112" s="139"/>
      <c r="UPV112" s="139"/>
      <c r="UPW112" s="139"/>
      <c r="UPX112" s="139"/>
      <c r="UPY112" s="139"/>
      <c r="UPZ112" s="139"/>
      <c r="UQA112" s="139"/>
      <c r="UQB112" s="139"/>
      <c r="UQC112" s="139"/>
      <c r="UQD112" s="139"/>
      <c r="UQE112" s="139"/>
      <c r="UQF112" s="139"/>
      <c r="UQG112" s="139"/>
      <c r="UQH112" s="139"/>
      <c r="UQI112" s="139"/>
      <c r="UQJ112" s="139"/>
      <c r="UQK112" s="139"/>
      <c r="UQL112" s="139"/>
      <c r="UQM112" s="139"/>
      <c r="UQN112" s="139"/>
      <c r="UQO112" s="139"/>
      <c r="UQP112" s="139"/>
      <c r="UQQ112" s="139"/>
      <c r="UQR112" s="139"/>
      <c r="UQS112" s="139"/>
      <c r="UQT112" s="139"/>
      <c r="UQU112" s="139"/>
      <c r="UQV112" s="139"/>
      <c r="UQW112" s="139"/>
      <c r="UQX112" s="139"/>
      <c r="UQY112" s="139"/>
      <c r="UQZ112" s="139"/>
      <c r="URA112" s="139"/>
      <c r="URB112" s="139"/>
      <c r="URC112" s="139"/>
      <c r="URD112" s="139"/>
      <c r="URE112" s="139"/>
      <c r="URF112" s="139"/>
      <c r="URG112" s="139"/>
      <c r="URH112" s="139"/>
      <c r="URI112" s="139"/>
      <c r="URJ112" s="139"/>
      <c r="URK112" s="139"/>
      <c r="URL112" s="139"/>
      <c r="URM112" s="139"/>
      <c r="URN112" s="139"/>
      <c r="URO112" s="139"/>
      <c r="URP112" s="139"/>
      <c r="URQ112" s="139"/>
      <c r="URR112" s="139"/>
      <c r="URS112" s="139"/>
      <c r="URT112" s="139"/>
      <c r="URU112" s="139"/>
      <c r="URV112" s="139"/>
      <c r="URW112" s="139"/>
      <c r="URX112" s="139"/>
      <c r="URY112" s="139"/>
      <c r="URZ112" s="139"/>
      <c r="USA112" s="139"/>
      <c r="USB112" s="139"/>
      <c r="USC112" s="139"/>
      <c r="USD112" s="139"/>
      <c r="USE112" s="139"/>
      <c r="USF112" s="139"/>
      <c r="USG112" s="139"/>
      <c r="USH112" s="139"/>
      <c r="USI112" s="139"/>
      <c r="USJ112" s="139"/>
      <c r="USK112" s="139"/>
      <c r="USL112" s="139"/>
      <c r="USM112" s="139"/>
      <c r="USN112" s="139"/>
      <c r="USO112" s="139"/>
      <c r="USP112" s="139"/>
      <c r="USQ112" s="139"/>
      <c r="USR112" s="139"/>
      <c r="USS112" s="139"/>
      <c r="UST112" s="139"/>
      <c r="USU112" s="139"/>
      <c r="USV112" s="139"/>
      <c r="USW112" s="139"/>
      <c r="USX112" s="139"/>
      <c r="USY112" s="139"/>
      <c r="USZ112" s="139"/>
      <c r="UTA112" s="139"/>
      <c r="UTB112" s="139"/>
      <c r="UTC112" s="139"/>
      <c r="UTD112" s="139"/>
      <c r="UTE112" s="139"/>
      <c r="UTF112" s="139"/>
      <c r="UTG112" s="139"/>
      <c r="UTH112" s="139"/>
      <c r="UTI112" s="139"/>
      <c r="UTJ112" s="139"/>
      <c r="UTK112" s="139"/>
      <c r="UTL112" s="139"/>
      <c r="UTM112" s="139"/>
      <c r="UTN112" s="139"/>
      <c r="UTO112" s="139"/>
      <c r="UTP112" s="139"/>
      <c r="UTQ112" s="139"/>
      <c r="UTR112" s="139"/>
      <c r="UTS112" s="139"/>
      <c r="UTT112" s="139"/>
      <c r="UTU112" s="139"/>
      <c r="UTV112" s="139"/>
      <c r="UTW112" s="139"/>
      <c r="UTX112" s="139"/>
      <c r="UTY112" s="139"/>
      <c r="UTZ112" s="139"/>
      <c r="UUA112" s="139"/>
      <c r="UUB112" s="139"/>
      <c r="UUC112" s="139"/>
      <c r="UUD112" s="139"/>
      <c r="UUE112" s="139"/>
      <c r="UUF112" s="139"/>
      <c r="UUG112" s="139"/>
      <c r="UUH112" s="139"/>
      <c r="UUI112" s="139"/>
      <c r="UUJ112" s="139"/>
      <c r="UUK112" s="139"/>
      <c r="UUL112" s="139"/>
      <c r="UUM112" s="139"/>
      <c r="UUN112" s="139"/>
      <c r="UUO112" s="139"/>
      <c r="UUP112" s="139"/>
      <c r="UUQ112" s="139"/>
      <c r="UUR112" s="139"/>
      <c r="UUS112" s="139"/>
      <c r="UUT112" s="139"/>
      <c r="UUU112" s="139"/>
      <c r="UUV112" s="139"/>
      <c r="UUW112" s="139"/>
      <c r="UUX112" s="139"/>
      <c r="UUY112" s="139"/>
      <c r="UUZ112" s="139"/>
      <c r="UVA112" s="139"/>
      <c r="UVB112" s="139"/>
      <c r="UVC112" s="139"/>
      <c r="UVD112" s="139"/>
      <c r="UVE112" s="139"/>
      <c r="UVF112" s="139"/>
      <c r="UVG112" s="139"/>
      <c r="UVH112" s="139"/>
      <c r="UVI112" s="139"/>
      <c r="UVJ112" s="139"/>
      <c r="UVK112" s="139"/>
      <c r="UVL112" s="139"/>
      <c r="UVM112" s="139"/>
      <c r="UVN112" s="139"/>
      <c r="UVO112" s="139"/>
      <c r="UVP112" s="139"/>
      <c r="UVQ112" s="139"/>
      <c r="UVR112" s="139"/>
      <c r="UVS112" s="139"/>
      <c r="UVT112" s="139"/>
      <c r="UVU112" s="139"/>
      <c r="UVV112" s="139"/>
      <c r="UVW112" s="139"/>
      <c r="UVX112" s="139"/>
      <c r="UVY112" s="139"/>
      <c r="UVZ112" s="139"/>
      <c r="UWA112" s="139"/>
      <c r="UWB112" s="139"/>
      <c r="UWC112" s="139"/>
      <c r="UWD112" s="139"/>
      <c r="UWE112" s="139"/>
      <c r="UWF112" s="139"/>
      <c r="UWG112" s="139"/>
      <c r="UWH112" s="139"/>
      <c r="UWI112" s="139"/>
      <c r="UWJ112" s="139"/>
      <c r="UWK112" s="139"/>
      <c r="UWL112" s="139"/>
      <c r="UWM112" s="139"/>
      <c r="UWN112" s="139"/>
      <c r="UWO112" s="139"/>
      <c r="UWP112" s="139"/>
      <c r="UWQ112" s="139"/>
      <c r="UWR112" s="139"/>
      <c r="UWS112" s="139"/>
      <c r="UWT112" s="139"/>
      <c r="UWU112" s="139"/>
      <c r="UWV112" s="139"/>
      <c r="UWW112" s="139"/>
      <c r="UWX112" s="139"/>
      <c r="UWY112" s="139"/>
      <c r="UWZ112" s="139"/>
      <c r="UXA112" s="139"/>
      <c r="UXB112" s="139"/>
      <c r="UXC112" s="139"/>
      <c r="UXD112" s="139"/>
      <c r="UXE112" s="139"/>
      <c r="UXF112" s="139"/>
      <c r="UXG112" s="139"/>
      <c r="UXH112" s="139"/>
      <c r="UXI112" s="139"/>
      <c r="UXJ112" s="139"/>
      <c r="UXK112" s="139"/>
      <c r="UXL112" s="139"/>
      <c r="UXM112" s="139"/>
      <c r="UXN112" s="139"/>
      <c r="UXO112" s="139"/>
      <c r="UXP112" s="139"/>
      <c r="UXQ112" s="139"/>
      <c r="UXR112" s="139"/>
      <c r="UXS112" s="139"/>
      <c r="UXT112" s="139"/>
      <c r="UXU112" s="139"/>
      <c r="UXV112" s="139"/>
      <c r="UXW112" s="139"/>
      <c r="UXX112" s="139"/>
      <c r="UXY112" s="139"/>
      <c r="UXZ112" s="139"/>
      <c r="UYA112" s="139"/>
      <c r="UYB112" s="139"/>
      <c r="UYC112" s="139"/>
      <c r="UYD112" s="139"/>
      <c r="UYE112" s="139"/>
      <c r="UYF112" s="139"/>
      <c r="UYG112" s="139"/>
      <c r="UYH112" s="139"/>
      <c r="UYI112" s="139"/>
      <c r="UYJ112" s="139"/>
      <c r="UYK112" s="139"/>
      <c r="UYL112" s="139"/>
      <c r="UYM112" s="139"/>
      <c r="UYN112" s="139"/>
      <c r="UYO112" s="139"/>
      <c r="UYP112" s="139"/>
      <c r="UYQ112" s="139"/>
      <c r="UYR112" s="139"/>
      <c r="UYS112" s="139"/>
      <c r="UYT112" s="139"/>
      <c r="UYU112" s="139"/>
      <c r="UYV112" s="139"/>
      <c r="UYW112" s="139"/>
      <c r="UYX112" s="139"/>
      <c r="UYY112" s="139"/>
      <c r="UYZ112" s="139"/>
      <c r="UZA112" s="139"/>
      <c r="UZB112" s="139"/>
      <c r="UZC112" s="139"/>
      <c r="UZD112" s="139"/>
      <c r="UZE112" s="139"/>
      <c r="UZF112" s="139"/>
      <c r="UZG112" s="139"/>
      <c r="UZH112" s="139"/>
      <c r="UZI112" s="139"/>
      <c r="UZJ112" s="139"/>
      <c r="UZK112" s="139"/>
      <c r="UZL112" s="139"/>
      <c r="UZM112" s="139"/>
      <c r="UZN112" s="139"/>
      <c r="UZO112" s="139"/>
      <c r="UZP112" s="139"/>
      <c r="UZQ112" s="139"/>
      <c r="UZR112" s="139"/>
      <c r="UZS112" s="139"/>
      <c r="UZT112" s="139"/>
      <c r="UZU112" s="139"/>
      <c r="UZV112" s="139"/>
      <c r="UZW112" s="139"/>
      <c r="UZX112" s="139"/>
      <c r="UZY112" s="139"/>
      <c r="UZZ112" s="139"/>
      <c r="VAA112" s="139"/>
      <c r="VAB112" s="139"/>
      <c r="VAC112" s="139"/>
      <c r="VAD112" s="139"/>
      <c r="VAE112" s="139"/>
      <c r="VAF112" s="139"/>
      <c r="VAG112" s="139"/>
      <c r="VAH112" s="139"/>
      <c r="VAI112" s="139"/>
      <c r="VAJ112" s="139"/>
      <c r="VAK112" s="139"/>
      <c r="VAL112" s="139"/>
      <c r="VAM112" s="139"/>
      <c r="VAN112" s="139"/>
      <c r="VAO112" s="139"/>
      <c r="VAP112" s="139"/>
      <c r="VAQ112" s="139"/>
      <c r="VAR112" s="139"/>
      <c r="VAS112" s="139"/>
      <c r="VAT112" s="139"/>
      <c r="VAU112" s="139"/>
      <c r="VAV112" s="139"/>
      <c r="VAW112" s="139"/>
      <c r="VAX112" s="139"/>
      <c r="VAY112" s="139"/>
      <c r="VAZ112" s="139"/>
      <c r="VBA112" s="139"/>
      <c r="VBB112" s="139"/>
      <c r="VBC112" s="139"/>
      <c r="VBD112" s="139"/>
      <c r="VBE112" s="139"/>
      <c r="VBF112" s="139"/>
      <c r="VBG112" s="139"/>
      <c r="VBH112" s="139"/>
      <c r="VBI112" s="139"/>
      <c r="VBJ112" s="139"/>
      <c r="VBK112" s="139"/>
      <c r="VBL112" s="139"/>
      <c r="VBM112" s="139"/>
      <c r="VBN112" s="139"/>
      <c r="VBO112" s="139"/>
      <c r="VBP112" s="139"/>
      <c r="VBQ112" s="139"/>
      <c r="VBR112" s="139"/>
      <c r="VBS112" s="139"/>
      <c r="VBT112" s="139"/>
      <c r="VBU112" s="139"/>
      <c r="VBV112" s="139"/>
      <c r="VBW112" s="139"/>
      <c r="VBX112" s="139"/>
      <c r="VBY112" s="139"/>
      <c r="VBZ112" s="139"/>
      <c r="VCA112" s="139"/>
      <c r="VCB112" s="139"/>
      <c r="VCC112" s="139"/>
      <c r="VCD112" s="139"/>
      <c r="VCE112" s="139"/>
      <c r="VCF112" s="139"/>
      <c r="VCG112" s="139"/>
      <c r="VCH112" s="139"/>
      <c r="VCI112" s="139"/>
      <c r="VCJ112" s="139"/>
      <c r="VCK112" s="139"/>
      <c r="VCL112" s="139"/>
      <c r="VCM112" s="139"/>
      <c r="VCN112" s="139"/>
      <c r="VCO112" s="139"/>
      <c r="VCP112" s="139"/>
      <c r="VCQ112" s="139"/>
      <c r="VCR112" s="139"/>
      <c r="VCS112" s="139"/>
      <c r="VCT112" s="139"/>
      <c r="VCU112" s="139"/>
      <c r="VCV112" s="139"/>
      <c r="VCW112" s="139"/>
      <c r="VCX112" s="139"/>
      <c r="VCY112" s="139"/>
      <c r="VCZ112" s="139"/>
      <c r="VDA112" s="139"/>
      <c r="VDB112" s="139"/>
      <c r="VDC112" s="139"/>
      <c r="VDD112" s="139"/>
      <c r="VDE112" s="139"/>
      <c r="VDF112" s="139"/>
      <c r="VDG112" s="139"/>
      <c r="VDH112" s="139"/>
      <c r="VDI112" s="139"/>
      <c r="VDJ112" s="139"/>
      <c r="VDK112" s="139"/>
      <c r="VDL112" s="139"/>
      <c r="VDM112" s="139"/>
      <c r="VDN112" s="139"/>
      <c r="VDO112" s="139"/>
      <c r="VDP112" s="139"/>
      <c r="VDQ112" s="139"/>
      <c r="VDR112" s="139"/>
      <c r="VDS112" s="139"/>
      <c r="VDT112" s="139"/>
      <c r="VDU112" s="139"/>
      <c r="VDV112" s="139"/>
      <c r="VDW112" s="139"/>
      <c r="VDX112" s="139"/>
      <c r="VDY112" s="139"/>
      <c r="VDZ112" s="139"/>
      <c r="VEA112" s="139"/>
      <c r="VEB112" s="139"/>
      <c r="VEC112" s="139"/>
      <c r="VED112" s="139"/>
      <c r="VEE112" s="139"/>
      <c r="VEF112" s="139"/>
      <c r="VEG112" s="139"/>
      <c r="VEH112" s="139"/>
      <c r="VEI112" s="139"/>
      <c r="VEJ112" s="139"/>
      <c r="VEK112" s="139"/>
      <c r="VEL112" s="139"/>
      <c r="VEM112" s="139"/>
      <c r="VEN112" s="139"/>
      <c r="VEO112" s="139"/>
      <c r="VEP112" s="139"/>
      <c r="VEQ112" s="139"/>
      <c r="VER112" s="139"/>
      <c r="VES112" s="139"/>
      <c r="VET112" s="139"/>
      <c r="VEU112" s="139"/>
      <c r="VEV112" s="139"/>
      <c r="VEW112" s="139"/>
      <c r="VEX112" s="139"/>
      <c r="VEY112" s="139"/>
      <c r="VEZ112" s="139"/>
      <c r="VFA112" s="139"/>
      <c r="VFB112" s="139"/>
      <c r="VFC112" s="139"/>
      <c r="VFD112" s="139"/>
      <c r="VFE112" s="139"/>
      <c r="VFF112" s="139"/>
      <c r="VFG112" s="139"/>
      <c r="VFH112" s="139"/>
      <c r="VFI112" s="139"/>
      <c r="VFJ112" s="139"/>
      <c r="VFK112" s="139"/>
      <c r="VFL112" s="139"/>
      <c r="VFM112" s="139"/>
      <c r="VFN112" s="139"/>
      <c r="VFO112" s="139"/>
      <c r="VFP112" s="139"/>
      <c r="VFQ112" s="139"/>
      <c r="VFR112" s="139"/>
      <c r="VFS112" s="139"/>
      <c r="VFT112" s="139"/>
      <c r="VFU112" s="139"/>
      <c r="VFV112" s="139"/>
      <c r="VFW112" s="139"/>
      <c r="VFX112" s="139"/>
      <c r="VFY112" s="139"/>
      <c r="VFZ112" s="139"/>
      <c r="VGA112" s="139"/>
      <c r="VGB112" s="139"/>
      <c r="VGC112" s="139"/>
      <c r="VGD112" s="139"/>
      <c r="VGE112" s="139"/>
      <c r="VGF112" s="139"/>
      <c r="VGG112" s="139"/>
      <c r="VGH112" s="139"/>
      <c r="VGI112" s="139"/>
      <c r="VGJ112" s="139"/>
      <c r="VGK112" s="139"/>
      <c r="VGL112" s="139"/>
      <c r="VGM112" s="139"/>
      <c r="VGN112" s="139"/>
      <c r="VGO112" s="139"/>
      <c r="VGP112" s="139"/>
      <c r="VGQ112" s="139"/>
      <c r="VGR112" s="139"/>
      <c r="VGS112" s="139"/>
      <c r="VGT112" s="139"/>
      <c r="VGU112" s="139"/>
      <c r="VGV112" s="139"/>
      <c r="VGW112" s="139"/>
      <c r="VGX112" s="139"/>
      <c r="VGY112" s="139"/>
      <c r="VGZ112" s="139"/>
      <c r="VHA112" s="139"/>
      <c r="VHB112" s="139"/>
      <c r="VHC112" s="139"/>
      <c r="VHD112" s="139"/>
      <c r="VHE112" s="139"/>
      <c r="VHF112" s="139"/>
      <c r="VHG112" s="139"/>
      <c r="VHH112" s="139"/>
      <c r="VHI112" s="139"/>
      <c r="VHJ112" s="139"/>
      <c r="VHK112" s="139"/>
      <c r="VHL112" s="139"/>
      <c r="VHM112" s="139"/>
      <c r="VHN112" s="139"/>
      <c r="VHO112" s="139"/>
      <c r="VHP112" s="139"/>
      <c r="VHQ112" s="139"/>
      <c r="VHR112" s="139"/>
      <c r="VHS112" s="139"/>
      <c r="VHT112" s="139"/>
      <c r="VHU112" s="139"/>
      <c r="VHV112" s="139"/>
      <c r="VHW112" s="139"/>
      <c r="VHX112" s="139"/>
      <c r="VHY112" s="139"/>
      <c r="VHZ112" s="139"/>
      <c r="VIA112" s="139"/>
      <c r="VIB112" s="139"/>
      <c r="VIC112" s="139"/>
      <c r="VID112" s="139"/>
      <c r="VIE112" s="139"/>
      <c r="VIF112" s="139"/>
      <c r="VIG112" s="139"/>
      <c r="VIH112" s="139"/>
      <c r="VII112" s="139"/>
      <c r="VIJ112" s="139"/>
      <c r="VIK112" s="139"/>
      <c r="VIL112" s="139"/>
      <c r="VIM112" s="139"/>
      <c r="VIN112" s="139"/>
      <c r="VIO112" s="139"/>
      <c r="VIP112" s="139"/>
      <c r="VIQ112" s="139"/>
      <c r="VIR112" s="139"/>
      <c r="VIS112" s="139"/>
      <c r="VIT112" s="139"/>
      <c r="VIU112" s="139"/>
      <c r="VIV112" s="139"/>
      <c r="VIW112" s="139"/>
      <c r="VIX112" s="139"/>
      <c r="VIY112" s="139"/>
      <c r="VIZ112" s="139"/>
      <c r="VJA112" s="139"/>
      <c r="VJB112" s="139"/>
      <c r="VJC112" s="139"/>
      <c r="VJD112" s="139"/>
      <c r="VJE112" s="139"/>
      <c r="VJF112" s="139"/>
      <c r="VJG112" s="139"/>
      <c r="VJH112" s="139"/>
      <c r="VJI112" s="139"/>
      <c r="VJJ112" s="139"/>
      <c r="VJK112" s="139"/>
      <c r="VJL112" s="139"/>
      <c r="VJM112" s="139"/>
      <c r="VJN112" s="139"/>
      <c r="VJO112" s="139"/>
      <c r="VJP112" s="139"/>
      <c r="VJQ112" s="139"/>
      <c r="VJR112" s="139"/>
      <c r="VJS112" s="139"/>
      <c r="VJT112" s="139"/>
      <c r="VJU112" s="139"/>
      <c r="VJV112" s="139"/>
      <c r="VJW112" s="139"/>
      <c r="VJX112" s="139"/>
      <c r="VJY112" s="139"/>
      <c r="VJZ112" s="139"/>
      <c r="VKA112" s="139"/>
      <c r="VKB112" s="139"/>
      <c r="VKC112" s="139"/>
      <c r="VKD112" s="139"/>
      <c r="VKE112" s="139"/>
      <c r="VKF112" s="139"/>
      <c r="VKG112" s="139"/>
      <c r="VKH112" s="139"/>
      <c r="VKI112" s="139"/>
      <c r="VKJ112" s="139"/>
      <c r="VKK112" s="139"/>
      <c r="VKL112" s="139"/>
      <c r="VKM112" s="139"/>
      <c r="VKN112" s="139"/>
      <c r="VKO112" s="139"/>
      <c r="VKP112" s="139"/>
      <c r="VKQ112" s="139"/>
      <c r="VKR112" s="139"/>
      <c r="VKS112" s="139"/>
      <c r="VKT112" s="139"/>
      <c r="VKU112" s="139"/>
      <c r="VKV112" s="139"/>
      <c r="VKW112" s="139"/>
      <c r="VKX112" s="139"/>
      <c r="VKY112" s="139"/>
      <c r="VKZ112" s="139"/>
      <c r="VLA112" s="139"/>
      <c r="VLB112" s="139"/>
      <c r="VLC112" s="139"/>
      <c r="VLD112" s="139"/>
      <c r="VLE112" s="139"/>
      <c r="VLF112" s="139"/>
      <c r="VLG112" s="139"/>
      <c r="VLH112" s="139"/>
      <c r="VLI112" s="139"/>
      <c r="VLJ112" s="139"/>
      <c r="VLK112" s="139"/>
      <c r="VLL112" s="139"/>
      <c r="VLM112" s="139"/>
      <c r="VLN112" s="139"/>
      <c r="VLO112" s="139"/>
      <c r="VLP112" s="139"/>
      <c r="VLQ112" s="139"/>
      <c r="VLR112" s="139"/>
      <c r="VLS112" s="139"/>
      <c r="VLT112" s="139"/>
      <c r="VLU112" s="139"/>
      <c r="VLV112" s="139"/>
      <c r="VLW112" s="139"/>
      <c r="VLX112" s="139"/>
      <c r="VLY112" s="139"/>
      <c r="VLZ112" s="139"/>
      <c r="VMA112" s="139"/>
      <c r="VMB112" s="139"/>
      <c r="VMC112" s="139"/>
      <c r="VMD112" s="139"/>
      <c r="VME112" s="139"/>
      <c r="VMF112" s="139"/>
      <c r="VMG112" s="139"/>
      <c r="VMH112" s="139"/>
      <c r="VMI112" s="139"/>
      <c r="VMJ112" s="139"/>
      <c r="VMK112" s="139"/>
      <c r="VML112" s="139"/>
      <c r="VMM112" s="139"/>
      <c r="VMN112" s="139"/>
      <c r="VMO112" s="139"/>
      <c r="VMP112" s="139"/>
      <c r="VMQ112" s="139"/>
      <c r="VMR112" s="139"/>
      <c r="VMS112" s="139"/>
      <c r="VMT112" s="139"/>
      <c r="VMU112" s="139"/>
      <c r="VMV112" s="139"/>
      <c r="VMW112" s="139"/>
      <c r="VMX112" s="139"/>
      <c r="VMY112" s="139"/>
      <c r="VMZ112" s="139"/>
      <c r="VNA112" s="139"/>
      <c r="VNB112" s="139"/>
      <c r="VNC112" s="139"/>
      <c r="VND112" s="139"/>
      <c r="VNE112" s="139"/>
      <c r="VNF112" s="139"/>
      <c r="VNG112" s="139"/>
      <c r="VNH112" s="139"/>
      <c r="VNI112" s="139"/>
      <c r="VNJ112" s="139"/>
      <c r="VNK112" s="139"/>
      <c r="VNL112" s="139"/>
      <c r="VNM112" s="139"/>
      <c r="VNN112" s="139"/>
      <c r="VNO112" s="139"/>
      <c r="VNP112" s="139"/>
      <c r="VNQ112" s="139"/>
      <c r="VNR112" s="139"/>
      <c r="VNS112" s="139"/>
      <c r="VNT112" s="139"/>
      <c r="VNU112" s="139"/>
      <c r="VNV112" s="139"/>
      <c r="VNW112" s="139"/>
      <c r="VNX112" s="139"/>
      <c r="VNY112" s="139"/>
      <c r="VNZ112" s="139"/>
      <c r="VOA112" s="139"/>
      <c r="VOB112" s="139"/>
      <c r="VOC112" s="139"/>
      <c r="VOD112" s="139"/>
      <c r="VOE112" s="139"/>
      <c r="VOF112" s="139"/>
      <c r="VOG112" s="139"/>
      <c r="VOH112" s="139"/>
      <c r="VOI112" s="139"/>
      <c r="VOJ112" s="139"/>
      <c r="VOK112" s="139"/>
      <c r="VOL112" s="139"/>
      <c r="VOM112" s="139"/>
      <c r="VON112" s="139"/>
      <c r="VOO112" s="139"/>
      <c r="VOP112" s="139"/>
      <c r="VOQ112" s="139"/>
      <c r="VOR112" s="139"/>
      <c r="VOS112" s="139"/>
      <c r="VOT112" s="139"/>
      <c r="VOU112" s="139"/>
      <c r="VOV112" s="139"/>
      <c r="VOW112" s="139"/>
      <c r="VOX112" s="139"/>
      <c r="VOY112" s="139"/>
      <c r="VOZ112" s="139"/>
      <c r="VPA112" s="139"/>
      <c r="VPB112" s="139"/>
      <c r="VPC112" s="139"/>
      <c r="VPD112" s="139"/>
      <c r="VPE112" s="139"/>
      <c r="VPF112" s="139"/>
      <c r="VPG112" s="139"/>
      <c r="VPH112" s="139"/>
      <c r="VPI112" s="139"/>
      <c r="VPJ112" s="139"/>
      <c r="VPK112" s="139"/>
      <c r="VPL112" s="139"/>
      <c r="VPM112" s="139"/>
      <c r="VPN112" s="139"/>
      <c r="VPO112" s="139"/>
      <c r="VPP112" s="139"/>
      <c r="VPQ112" s="139"/>
      <c r="VPR112" s="139"/>
      <c r="VPS112" s="139"/>
      <c r="VPT112" s="139"/>
      <c r="VPU112" s="139"/>
      <c r="VPV112" s="139"/>
      <c r="VPW112" s="139"/>
      <c r="VPX112" s="139"/>
      <c r="VPY112" s="139"/>
      <c r="VPZ112" s="139"/>
      <c r="VQA112" s="139"/>
      <c r="VQB112" s="139"/>
      <c r="VQC112" s="139"/>
      <c r="VQD112" s="139"/>
      <c r="VQE112" s="139"/>
      <c r="VQF112" s="139"/>
      <c r="VQG112" s="139"/>
      <c r="VQH112" s="139"/>
      <c r="VQI112" s="139"/>
      <c r="VQJ112" s="139"/>
      <c r="VQK112" s="139"/>
      <c r="VQL112" s="139"/>
      <c r="VQM112" s="139"/>
      <c r="VQN112" s="139"/>
      <c r="VQO112" s="139"/>
      <c r="VQP112" s="139"/>
      <c r="VQQ112" s="139"/>
      <c r="VQR112" s="139"/>
      <c r="VQS112" s="139"/>
      <c r="VQT112" s="139"/>
      <c r="VQU112" s="139"/>
      <c r="VQV112" s="139"/>
      <c r="VQW112" s="139"/>
      <c r="VQX112" s="139"/>
      <c r="VQY112" s="139"/>
      <c r="VQZ112" s="139"/>
      <c r="VRA112" s="139"/>
      <c r="VRB112" s="139"/>
      <c r="VRC112" s="139"/>
      <c r="VRD112" s="139"/>
      <c r="VRE112" s="139"/>
      <c r="VRF112" s="139"/>
      <c r="VRG112" s="139"/>
      <c r="VRH112" s="139"/>
      <c r="VRI112" s="139"/>
      <c r="VRJ112" s="139"/>
      <c r="VRK112" s="139"/>
      <c r="VRL112" s="139"/>
      <c r="VRM112" s="139"/>
      <c r="VRN112" s="139"/>
      <c r="VRO112" s="139"/>
      <c r="VRP112" s="139"/>
      <c r="VRQ112" s="139"/>
      <c r="VRR112" s="139"/>
      <c r="VRS112" s="139"/>
      <c r="VRT112" s="139"/>
      <c r="VRU112" s="139"/>
      <c r="VRV112" s="139"/>
      <c r="VRW112" s="139"/>
      <c r="VRX112" s="139"/>
      <c r="VRY112" s="139"/>
      <c r="VRZ112" s="139"/>
      <c r="VSA112" s="139"/>
      <c r="VSB112" s="139"/>
      <c r="VSC112" s="139"/>
      <c r="VSD112" s="139"/>
      <c r="VSE112" s="139"/>
      <c r="VSF112" s="139"/>
      <c r="VSG112" s="139"/>
      <c r="VSH112" s="139"/>
      <c r="VSI112" s="139"/>
      <c r="VSJ112" s="139"/>
      <c r="VSK112" s="139"/>
      <c r="VSL112" s="139"/>
      <c r="VSM112" s="139"/>
      <c r="VSN112" s="139"/>
      <c r="VSO112" s="139"/>
      <c r="VSP112" s="139"/>
      <c r="VSQ112" s="139"/>
      <c r="VSR112" s="139"/>
      <c r="VSS112" s="139"/>
      <c r="VST112" s="139"/>
      <c r="VSU112" s="139"/>
      <c r="VSV112" s="139"/>
      <c r="VSW112" s="139"/>
      <c r="VSX112" s="139"/>
      <c r="VSY112" s="139"/>
      <c r="VSZ112" s="139"/>
      <c r="VTA112" s="139"/>
      <c r="VTB112" s="139"/>
      <c r="VTC112" s="139"/>
      <c r="VTD112" s="139"/>
      <c r="VTE112" s="139"/>
      <c r="VTF112" s="139"/>
      <c r="VTG112" s="139"/>
      <c r="VTH112" s="139"/>
      <c r="VTI112" s="139"/>
      <c r="VTJ112" s="139"/>
      <c r="VTK112" s="139"/>
      <c r="VTL112" s="139"/>
      <c r="VTM112" s="139"/>
      <c r="VTN112" s="139"/>
      <c r="VTO112" s="139"/>
      <c r="VTP112" s="139"/>
      <c r="VTQ112" s="139"/>
      <c r="VTR112" s="139"/>
      <c r="VTS112" s="139"/>
      <c r="VTT112" s="139"/>
      <c r="VTU112" s="139"/>
      <c r="VTV112" s="139"/>
      <c r="VTW112" s="139"/>
      <c r="VTX112" s="139"/>
      <c r="VTY112" s="139"/>
      <c r="VTZ112" s="139"/>
      <c r="VUA112" s="139"/>
      <c r="VUB112" s="139"/>
      <c r="VUC112" s="139"/>
      <c r="VUD112" s="139"/>
      <c r="VUE112" s="139"/>
      <c r="VUF112" s="139"/>
      <c r="VUG112" s="139"/>
      <c r="VUH112" s="139"/>
      <c r="VUI112" s="139"/>
      <c r="VUJ112" s="139"/>
      <c r="VUK112" s="139"/>
      <c r="VUL112" s="139"/>
      <c r="VUM112" s="139"/>
      <c r="VUN112" s="139"/>
      <c r="VUO112" s="139"/>
      <c r="VUP112" s="139"/>
      <c r="VUQ112" s="139"/>
      <c r="VUR112" s="139"/>
      <c r="VUS112" s="139"/>
      <c r="VUT112" s="139"/>
      <c r="VUU112" s="139"/>
      <c r="VUV112" s="139"/>
      <c r="VUW112" s="139"/>
      <c r="VUX112" s="139"/>
      <c r="VUY112" s="139"/>
      <c r="VUZ112" s="139"/>
      <c r="VVA112" s="139"/>
      <c r="VVB112" s="139"/>
      <c r="VVC112" s="139"/>
      <c r="VVD112" s="139"/>
      <c r="VVE112" s="139"/>
      <c r="VVF112" s="139"/>
      <c r="VVG112" s="139"/>
      <c r="VVH112" s="139"/>
      <c r="VVI112" s="139"/>
      <c r="VVJ112" s="139"/>
      <c r="VVK112" s="139"/>
      <c r="VVL112" s="139"/>
      <c r="VVM112" s="139"/>
      <c r="VVN112" s="139"/>
      <c r="VVO112" s="139"/>
      <c r="VVP112" s="139"/>
      <c r="VVQ112" s="139"/>
      <c r="VVR112" s="139"/>
      <c r="VVS112" s="139"/>
      <c r="VVT112" s="139"/>
      <c r="VVU112" s="139"/>
      <c r="VVV112" s="139"/>
      <c r="VVW112" s="139"/>
      <c r="VVX112" s="139"/>
      <c r="VVY112" s="139"/>
      <c r="VVZ112" s="139"/>
      <c r="VWA112" s="139"/>
      <c r="VWB112" s="139"/>
      <c r="VWC112" s="139"/>
      <c r="VWD112" s="139"/>
      <c r="VWE112" s="139"/>
      <c r="VWF112" s="139"/>
      <c r="VWG112" s="139"/>
      <c r="VWH112" s="139"/>
      <c r="VWI112" s="139"/>
      <c r="VWJ112" s="139"/>
      <c r="VWK112" s="139"/>
      <c r="VWL112" s="139"/>
      <c r="VWM112" s="139"/>
      <c r="VWN112" s="139"/>
      <c r="VWO112" s="139"/>
      <c r="VWP112" s="139"/>
      <c r="VWQ112" s="139"/>
      <c r="VWR112" s="139"/>
      <c r="VWS112" s="139"/>
      <c r="VWT112" s="139"/>
      <c r="VWU112" s="139"/>
      <c r="VWV112" s="139"/>
      <c r="VWW112" s="139"/>
      <c r="VWX112" s="139"/>
      <c r="VWY112" s="139"/>
      <c r="VWZ112" s="139"/>
      <c r="VXA112" s="139"/>
      <c r="VXB112" s="139"/>
      <c r="VXC112" s="139"/>
      <c r="VXD112" s="139"/>
      <c r="VXE112" s="139"/>
      <c r="VXF112" s="139"/>
      <c r="VXG112" s="139"/>
      <c r="VXH112" s="139"/>
      <c r="VXI112" s="139"/>
      <c r="VXJ112" s="139"/>
      <c r="VXK112" s="139"/>
      <c r="VXL112" s="139"/>
      <c r="VXM112" s="139"/>
      <c r="VXN112" s="139"/>
      <c r="VXO112" s="139"/>
      <c r="VXP112" s="139"/>
      <c r="VXQ112" s="139"/>
      <c r="VXR112" s="139"/>
      <c r="VXS112" s="139"/>
      <c r="VXT112" s="139"/>
      <c r="VXU112" s="139"/>
      <c r="VXV112" s="139"/>
      <c r="VXW112" s="139"/>
      <c r="VXX112" s="139"/>
      <c r="VXY112" s="139"/>
      <c r="VXZ112" s="139"/>
      <c r="VYA112" s="139"/>
      <c r="VYB112" s="139"/>
      <c r="VYC112" s="139"/>
      <c r="VYD112" s="139"/>
      <c r="VYE112" s="139"/>
      <c r="VYF112" s="139"/>
      <c r="VYG112" s="139"/>
      <c r="VYH112" s="139"/>
      <c r="VYI112" s="139"/>
      <c r="VYJ112" s="139"/>
      <c r="VYK112" s="139"/>
      <c r="VYL112" s="139"/>
      <c r="VYM112" s="139"/>
      <c r="VYN112" s="139"/>
      <c r="VYO112" s="139"/>
      <c r="VYP112" s="139"/>
      <c r="VYQ112" s="139"/>
      <c r="VYR112" s="139"/>
      <c r="VYS112" s="139"/>
      <c r="VYT112" s="139"/>
      <c r="VYU112" s="139"/>
      <c r="VYV112" s="139"/>
      <c r="VYW112" s="139"/>
      <c r="VYX112" s="139"/>
      <c r="VYY112" s="139"/>
      <c r="VYZ112" s="139"/>
      <c r="VZA112" s="139"/>
      <c r="VZB112" s="139"/>
      <c r="VZC112" s="139"/>
      <c r="VZD112" s="139"/>
      <c r="VZE112" s="139"/>
      <c r="VZF112" s="139"/>
      <c r="VZG112" s="139"/>
      <c r="VZH112" s="139"/>
      <c r="VZI112" s="139"/>
      <c r="VZJ112" s="139"/>
      <c r="VZK112" s="139"/>
      <c r="VZL112" s="139"/>
      <c r="VZM112" s="139"/>
      <c r="VZN112" s="139"/>
      <c r="VZO112" s="139"/>
      <c r="VZP112" s="139"/>
      <c r="VZQ112" s="139"/>
      <c r="VZR112" s="139"/>
      <c r="VZS112" s="139"/>
      <c r="VZT112" s="139"/>
      <c r="VZU112" s="139"/>
      <c r="VZV112" s="139"/>
      <c r="VZW112" s="139"/>
      <c r="VZX112" s="139"/>
      <c r="VZY112" s="139"/>
      <c r="VZZ112" s="139"/>
      <c r="WAA112" s="139"/>
      <c r="WAB112" s="139"/>
      <c r="WAC112" s="139"/>
      <c r="WAD112" s="139"/>
      <c r="WAE112" s="139"/>
      <c r="WAF112" s="139"/>
      <c r="WAG112" s="139"/>
      <c r="WAH112" s="139"/>
      <c r="WAI112" s="139"/>
      <c r="WAJ112" s="139"/>
      <c r="WAK112" s="139"/>
      <c r="WAL112" s="139"/>
      <c r="WAM112" s="139"/>
      <c r="WAN112" s="139"/>
      <c r="WAO112" s="139"/>
      <c r="WAP112" s="139"/>
      <c r="WAQ112" s="139"/>
      <c r="WAR112" s="139"/>
      <c r="WAS112" s="139"/>
      <c r="WAT112" s="139"/>
      <c r="WAU112" s="139"/>
      <c r="WAV112" s="139"/>
      <c r="WAW112" s="139"/>
      <c r="WAX112" s="139"/>
      <c r="WAY112" s="139"/>
      <c r="WAZ112" s="139"/>
      <c r="WBA112" s="139"/>
      <c r="WBB112" s="139"/>
      <c r="WBC112" s="139"/>
      <c r="WBD112" s="139"/>
      <c r="WBE112" s="139"/>
      <c r="WBF112" s="139"/>
      <c r="WBG112" s="139"/>
      <c r="WBH112" s="139"/>
      <c r="WBI112" s="139"/>
      <c r="WBJ112" s="139"/>
      <c r="WBK112" s="139"/>
      <c r="WBL112" s="139"/>
      <c r="WBM112" s="139"/>
      <c r="WBN112" s="139"/>
      <c r="WBO112" s="139"/>
      <c r="WBP112" s="139"/>
      <c r="WBQ112" s="139"/>
      <c r="WBR112" s="139"/>
      <c r="WBS112" s="139"/>
      <c r="WBT112" s="139"/>
      <c r="WBU112" s="139"/>
      <c r="WBV112" s="139"/>
      <c r="WBW112" s="139"/>
      <c r="WBX112" s="139"/>
      <c r="WBY112" s="139"/>
      <c r="WBZ112" s="139"/>
      <c r="WCA112" s="139"/>
      <c r="WCB112" s="139"/>
      <c r="WCC112" s="139"/>
      <c r="WCD112" s="139"/>
      <c r="WCE112" s="139"/>
      <c r="WCF112" s="139"/>
      <c r="WCG112" s="139"/>
      <c r="WCH112" s="139"/>
      <c r="WCI112" s="139"/>
      <c r="WCJ112" s="139"/>
      <c r="WCK112" s="139"/>
      <c r="WCL112" s="139"/>
      <c r="WCM112" s="139"/>
      <c r="WCN112" s="139"/>
      <c r="WCO112" s="139"/>
      <c r="WCP112" s="139"/>
      <c r="WCQ112" s="139"/>
      <c r="WCR112" s="139"/>
      <c r="WCS112" s="139"/>
      <c r="WCT112" s="139"/>
      <c r="WCU112" s="139"/>
      <c r="WCV112" s="139"/>
      <c r="WCW112" s="139"/>
      <c r="WCX112" s="139"/>
      <c r="WCY112" s="139"/>
      <c r="WCZ112" s="139"/>
      <c r="WDA112" s="139"/>
      <c r="WDB112" s="139"/>
      <c r="WDC112" s="139"/>
      <c r="WDD112" s="139"/>
      <c r="WDE112" s="139"/>
      <c r="WDF112" s="139"/>
      <c r="WDG112" s="139"/>
      <c r="WDH112" s="139"/>
      <c r="WDI112" s="139"/>
      <c r="WDJ112" s="139"/>
      <c r="WDK112" s="139"/>
      <c r="WDL112" s="139"/>
      <c r="WDM112" s="139"/>
      <c r="WDN112" s="139"/>
      <c r="WDO112" s="139"/>
      <c r="WDP112" s="139"/>
      <c r="WDQ112" s="139"/>
      <c r="WDR112" s="139"/>
      <c r="WDS112" s="139"/>
      <c r="WDT112" s="139"/>
      <c r="WDU112" s="139"/>
      <c r="WDV112" s="139"/>
      <c r="WDW112" s="139"/>
      <c r="WDX112" s="139"/>
      <c r="WDY112" s="139"/>
      <c r="WDZ112" s="139"/>
      <c r="WEA112" s="139"/>
      <c r="WEB112" s="139"/>
      <c r="WEC112" s="139"/>
      <c r="WED112" s="139"/>
      <c r="WEE112" s="139"/>
      <c r="WEF112" s="139"/>
      <c r="WEG112" s="139"/>
      <c r="WEH112" s="139"/>
      <c r="WEI112" s="139"/>
      <c r="WEJ112" s="139"/>
      <c r="WEK112" s="139"/>
      <c r="WEL112" s="139"/>
      <c r="WEM112" s="139"/>
      <c r="WEN112" s="139"/>
      <c r="WEO112" s="139"/>
      <c r="WEP112" s="139"/>
      <c r="WEQ112" s="139"/>
      <c r="WER112" s="139"/>
      <c r="WES112" s="139"/>
      <c r="WET112" s="139"/>
      <c r="WEU112" s="139"/>
      <c r="WEV112" s="139"/>
      <c r="WEW112" s="139"/>
      <c r="WEX112" s="139"/>
      <c r="WEY112" s="139"/>
      <c r="WEZ112" s="139"/>
      <c r="WFA112" s="139"/>
      <c r="WFB112" s="139"/>
      <c r="WFC112" s="139"/>
      <c r="WFD112" s="139"/>
      <c r="WFE112" s="139"/>
      <c r="WFF112" s="139"/>
      <c r="WFG112" s="139"/>
      <c r="WFH112" s="139"/>
      <c r="WFI112" s="139"/>
      <c r="WFJ112" s="139"/>
      <c r="WFK112" s="139"/>
      <c r="WFL112" s="139"/>
      <c r="WFM112" s="139"/>
      <c r="WFN112" s="139"/>
      <c r="WFO112" s="139"/>
      <c r="WFP112" s="139"/>
      <c r="WFQ112" s="139"/>
      <c r="WFR112" s="139"/>
      <c r="WFS112" s="139"/>
      <c r="WFT112" s="139"/>
      <c r="WFU112" s="139"/>
      <c r="WFV112" s="139"/>
      <c r="WFW112" s="139"/>
      <c r="WFX112" s="139"/>
      <c r="WFY112" s="139"/>
      <c r="WFZ112" s="139"/>
      <c r="WGA112" s="139"/>
      <c r="WGB112" s="139"/>
      <c r="WGC112" s="139"/>
      <c r="WGD112" s="139"/>
      <c r="WGE112" s="139"/>
      <c r="WGF112" s="139"/>
      <c r="WGG112" s="139"/>
      <c r="WGH112" s="139"/>
      <c r="WGI112" s="139"/>
      <c r="WGJ112" s="139"/>
      <c r="WGK112" s="139"/>
      <c r="WGL112" s="139"/>
      <c r="WGM112" s="139"/>
      <c r="WGN112" s="139"/>
      <c r="WGO112" s="139"/>
      <c r="WGP112" s="139"/>
      <c r="WGQ112" s="139"/>
      <c r="WGR112" s="139"/>
      <c r="WGS112" s="139"/>
      <c r="WGT112" s="139"/>
      <c r="WGU112" s="139"/>
      <c r="WGV112" s="139"/>
      <c r="WGW112" s="139"/>
      <c r="WGX112" s="139"/>
      <c r="WGY112" s="139"/>
      <c r="WGZ112" s="139"/>
      <c r="WHA112" s="139"/>
      <c r="WHB112" s="139"/>
      <c r="WHC112" s="139"/>
      <c r="WHD112" s="139"/>
      <c r="WHE112" s="139"/>
      <c r="WHF112" s="139"/>
      <c r="WHG112" s="139"/>
      <c r="WHH112" s="139"/>
      <c r="WHI112" s="139"/>
      <c r="WHJ112" s="139"/>
      <c r="WHK112" s="139"/>
      <c r="WHL112" s="139"/>
      <c r="WHM112" s="139"/>
      <c r="WHN112" s="139"/>
      <c r="WHO112" s="139"/>
      <c r="WHP112" s="139"/>
      <c r="WHQ112" s="139"/>
      <c r="WHR112" s="139"/>
      <c r="WHS112" s="139"/>
      <c r="WHT112" s="139"/>
      <c r="WHU112" s="139"/>
      <c r="WHV112" s="139"/>
      <c r="WHW112" s="139"/>
      <c r="WHX112" s="139"/>
      <c r="WHY112" s="139"/>
      <c r="WHZ112" s="139"/>
      <c r="WIA112" s="139"/>
      <c r="WIB112" s="139"/>
      <c r="WIC112" s="139"/>
      <c r="WID112" s="139"/>
      <c r="WIE112" s="139"/>
      <c r="WIF112" s="139"/>
      <c r="WIG112" s="139"/>
      <c r="WIH112" s="139"/>
      <c r="WII112" s="139"/>
      <c r="WIJ112" s="139"/>
      <c r="WIK112" s="139"/>
      <c r="WIL112" s="139"/>
      <c r="WIM112" s="139"/>
      <c r="WIN112" s="139"/>
      <c r="WIO112" s="139"/>
      <c r="WIP112" s="139"/>
      <c r="WIQ112" s="139"/>
      <c r="WIR112" s="139"/>
      <c r="WIS112" s="139"/>
      <c r="WIT112" s="139"/>
      <c r="WIU112" s="139"/>
      <c r="WIV112" s="139"/>
      <c r="WIW112" s="139"/>
      <c r="WIX112" s="139"/>
      <c r="WIY112" s="139"/>
      <c r="WIZ112" s="139"/>
      <c r="WJA112" s="139"/>
      <c r="WJB112" s="139"/>
      <c r="WJC112" s="139"/>
      <c r="WJD112" s="139"/>
      <c r="WJE112" s="139"/>
      <c r="WJF112" s="139"/>
      <c r="WJG112" s="139"/>
      <c r="WJH112" s="139"/>
      <c r="WJI112" s="139"/>
      <c r="WJJ112" s="139"/>
      <c r="WJK112" s="139"/>
      <c r="WJL112" s="139"/>
      <c r="WJM112" s="139"/>
      <c r="WJN112" s="139"/>
      <c r="WJO112" s="139"/>
      <c r="WJP112" s="139"/>
      <c r="WJQ112" s="139"/>
      <c r="WJR112" s="139"/>
      <c r="WJS112" s="139"/>
      <c r="WJT112" s="139"/>
      <c r="WJU112" s="139"/>
      <c r="WJV112" s="139"/>
      <c r="WJW112" s="139"/>
      <c r="WJX112" s="139"/>
      <c r="WJY112" s="139"/>
      <c r="WJZ112" s="139"/>
      <c r="WKA112" s="139"/>
      <c r="WKB112" s="139"/>
      <c r="WKC112" s="139"/>
      <c r="WKD112" s="139"/>
      <c r="WKE112" s="139"/>
      <c r="WKF112" s="139"/>
      <c r="WKG112" s="139"/>
      <c r="WKH112" s="139"/>
      <c r="WKI112" s="139"/>
      <c r="WKJ112" s="139"/>
      <c r="WKK112" s="139"/>
      <c r="WKL112" s="139"/>
      <c r="WKM112" s="139"/>
      <c r="WKN112" s="139"/>
      <c r="WKO112" s="139"/>
      <c r="WKP112" s="139"/>
      <c r="WKQ112" s="139"/>
      <c r="WKR112" s="139"/>
      <c r="WKS112" s="139"/>
      <c r="WKT112" s="139"/>
      <c r="WKU112" s="139"/>
      <c r="WKV112" s="139"/>
      <c r="WKW112" s="139"/>
      <c r="WKX112" s="139"/>
      <c r="WKY112" s="139"/>
      <c r="WKZ112" s="139"/>
      <c r="WLA112" s="139"/>
      <c r="WLB112" s="139"/>
      <c r="WLC112" s="139"/>
      <c r="WLD112" s="139"/>
      <c r="WLE112" s="139"/>
      <c r="WLF112" s="139"/>
      <c r="WLG112" s="139"/>
      <c r="WLH112" s="139"/>
      <c r="WLI112" s="139"/>
      <c r="WLJ112" s="139"/>
      <c r="WLK112" s="139"/>
      <c r="WLL112" s="139"/>
      <c r="WLM112" s="139"/>
      <c r="WLN112" s="139"/>
      <c r="WLO112" s="139"/>
      <c r="WLP112" s="139"/>
      <c r="WLQ112" s="139"/>
      <c r="WLR112" s="139"/>
      <c r="WLS112" s="139"/>
      <c r="WLT112" s="139"/>
      <c r="WLU112" s="139"/>
      <c r="WLV112" s="139"/>
      <c r="WLW112" s="139"/>
      <c r="WLX112" s="139"/>
      <c r="WLY112" s="139"/>
      <c r="WLZ112" s="139"/>
      <c r="WMA112" s="139"/>
      <c r="WMB112" s="139"/>
      <c r="WMC112" s="139"/>
      <c r="WMD112" s="139"/>
      <c r="WME112" s="139"/>
      <c r="WMF112" s="139"/>
      <c r="WMG112" s="139"/>
      <c r="WMH112" s="139"/>
      <c r="WMI112" s="139"/>
      <c r="WMJ112" s="139"/>
      <c r="WMK112" s="139"/>
      <c r="WML112" s="139"/>
      <c r="WMM112" s="139"/>
      <c r="WMN112" s="139"/>
      <c r="WMO112" s="139"/>
      <c r="WMP112" s="139"/>
      <c r="WMQ112" s="139"/>
      <c r="WMR112" s="139"/>
      <c r="WMS112" s="139"/>
      <c r="WMT112" s="139"/>
      <c r="WMU112" s="139"/>
      <c r="WMV112" s="139"/>
      <c r="WMW112" s="139"/>
      <c r="WMX112" s="139"/>
      <c r="WMY112" s="139"/>
      <c r="WMZ112" s="139"/>
      <c r="WNA112" s="139"/>
      <c r="WNB112" s="139"/>
      <c r="WNC112" s="139"/>
      <c r="WND112" s="139"/>
      <c r="WNE112" s="139"/>
      <c r="WNF112" s="139"/>
      <c r="WNG112" s="139"/>
      <c r="WNH112" s="139"/>
      <c r="WNI112" s="139"/>
      <c r="WNJ112" s="139"/>
      <c r="WNK112" s="139"/>
      <c r="WNL112" s="139"/>
      <c r="WNM112" s="139"/>
      <c r="WNN112" s="139"/>
      <c r="WNO112" s="139"/>
      <c r="WNP112" s="139"/>
      <c r="WNQ112" s="139"/>
      <c r="WNR112" s="139"/>
      <c r="WNS112" s="139"/>
      <c r="WNT112" s="139"/>
      <c r="WNU112" s="139"/>
      <c r="WNV112" s="139"/>
      <c r="WNW112" s="139"/>
      <c r="WNX112" s="139"/>
      <c r="WNY112" s="139"/>
      <c r="WNZ112" s="139"/>
      <c r="WOA112" s="139"/>
      <c r="WOB112" s="139"/>
      <c r="WOC112" s="139"/>
      <c r="WOD112" s="139"/>
      <c r="WOE112" s="139"/>
      <c r="WOF112" s="139"/>
      <c r="WOG112" s="139"/>
      <c r="WOH112" s="139"/>
      <c r="WOI112" s="139"/>
      <c r="WOJ112" s="139"/>
      <c r="WOK112" s="139"/>
      <c r="WOL112" s="139"/>
      <c r="WOM112" s="139"/>
      <c r="WON112" s="139"/>
      <c r="WOO112" s="139"/>
      <c r="WOP112" s="139"/>
      <c r="WOQ112" s="139"/>
      <c r="WOR112" s="139"/>
      <c r="WOS112" s="139"/>
      <c r="WOT112" s="139"/>
      <c r="WOU112" s="139"/>
      <c r="WOV112" s="139"/>
      <c r="WOW112" s="139"/>
      <c r="WOX112" s="139"/>
      <c r="WOY112" s="139"/>
      <c r="WOZ112" s="139"/>
      <c r="WPA112" s="139"/>
      <c r="WPB112" s="139"/>
      <c r="WPC112" s="139"/>
      <c r="WPD112" s="139"/>
      <c r="WPE112" s="139"/>
      <c r="WPF112" s="139"/>
      <c r="WPG112" s="139"/>
      <c r="WPH112" s="139"/>
      <c r="WPI112" s="139"/>
      <c r="WPJ112" s="139"/>
      <c r="WPK112" s="139"/>
      <c r="WPL112" s="139"/>
      <c r="WPM112" s="139"/>
      <c r="WPN112" s="139"/>
      <c r="WPO112" s="139"/>
      <c r="WPP112" s="139"/>
      <c r="WPQ112" s="139"/>
      <c r="WPR112" s="139"/>
      <c r="WPS112" s="139"/>
      <c r="WPT112" s="139"/>
      <c r="WPU112" s="139"/>
      <c r="WPV112" s="139"/>
      <c r="WPW112" s="139"/>
      <c r="WPX112" s="139"/>
      <c r="WPY112" s="139"/>
      <c r="WPZ112" s="139"/>
      <c r="WQA112" s="139"/>
      <c r="WQB112" s="139"/>
      <c r="WQC112" s="139"/>
      <c r="WQD112" s="139"/>
      <c r="WQE112" s="139"/>
      <c r="WQF112" s="139"/>
      <c r="WQG112" s="139"/>
      <c r="WQH112" s="139"/>
      <c r="WQI112" s="139"/>
      <c r="WQJ112" s="139"/>
      <c r="WQK112" s="139"/>
      <c r="WQL112" s="139"/>
      <c r="WQM112" s="139"/>
      <c r="WQN112" s="139"/>
      <c r="WQO112" s="139"/>
      <c r="WQP112" s="139"/>
      <c r="WQQ112" s="139"/>
      <c r="WQR112" s="139"/>
      <c r="WQS112" s="139"/>
      <c r="WQT112" s="139"/>
      <c r="WQU112" s="139"/>
      <c r="WQV112" s="139"/>
      <c r="WQW112" s="139"/>
      <c r="WQX112" s="139"/>
      <c r="WQY112" s="139"/>
      <c r="WQZ112" s="139"/>
      <c r="WRA112" s="139"/>
      <c r="WRB112" s="139"/>
      <c r="WRC112" s="139"/>
      <c r="WRD112" s="139"/>
      <c r="WRE112" s="139"/>
      <c r="WRF112" s="139"/>
      <c r="WRG112" s="139"/>
      <c r="WRH112" s="139"/>
      <c r="WRI112" s="139"/>
      <c r="WRJ112" s="139"/>
      <c r="WRK112" s="139"/>
      <c r="WRL112" s="139"/>
      <c r="WRM112" s="139"/>
      <c r="WRN112" s="139"/>
      <c r="WRO112" s="139"/>
      <c r="WRP112" s="139"/>
      <c r="WRQ112" s="139"/>
      <c r="WRR112" s="139"/>
      <c r="WRS112" s="139"/>
      <c r="WRT112" s="139"/>
      <c r="WRU112" s="139"/>
      <c r="WRV112" s="139"/>
      <c r="WRW112" s="139"/>
      <c r="WRX112" s="139"/>
      <c r="WRY112" s="139"/>
      <c r="WRZ112" s="139"/>
      <c r="WSA112" s="139"/>
      <c r="WSB112" s="139"/>
      <c r="WSC112" s="139"/>
      <c r="WSD112" s="139"/>
      <c r="WSE112" s="139"/>
      <c r="WSF112" s="139"/>
      <c r="WSG112" s="139"/>
      <c r="WSH112" s="139"/>
      <c r="WSI112" s="139"/>
      <c r="WSJ112" s="139"/>
      <c r="WSK112" s="139"/>
      <c r="WSL112" s="139"/>
      <c r="WSM112" s="139"/>
      <c r="WSN112" s="139"/>
      <c r="WSO112" s="139"/>
      <c r="WSP112" s="139"/>
      <c r="WSQ112" s="139"/>
      <c r="WSR112" s="139"/>
      <c r="WSS112" s="139"/>
      <c r="WST112" s="139"/>
      <c r="WSU112" s="139"/>
      <c r="WSV112" s="139"/>
      <c r="WSW112" s="139"/>
      <c r="WSX112" s="139"/>
      <c r="WSY112" s="139"/>
      <c r="WSZ112" s="139"/>
      <c r="WTA112" s="139"/>
      <c r="WTB112" s="139"/>
      <c r="WTC112" s="139"/>
      <c r="WTD112" s="139"/>
      <c r="WTE112" s="139"/>
      <c r="WTF112" s="139"/>
      <c r="WTG112" s="139"/>
      <c r="WTH112" s="139"/>
      <c r="WTI112" s="139"/>
      <c r="WTJ112" s="139"/>
      <c r="WTK112" s="139"/>
      <c r="WTL112" s="139"/>
      <c r="WTM112" s="139"/>
      <c r="WTN112" s="139"/>
      <c r="WTO112" s="139"/>
      <c r="WTP112" s="139"/>
      <c r="WTQ112" s="139"/>
      <c r="WTR112" s="139"/>
      <c r="WTS112" s="139"/>
      <c r="WTT112" s="139"/>
      <c r="WTU112" s="139"/>
      <c r="WTV112" s="139"/>
      <c r="WTW112" s="139"/>
      <c r="WTX112" s="139"/>
      <c r="WTY112" s="139"/>
      <c r="WTZ112" s="139"/>
      <c r="WUA112" s="139"/>
      <c r="WUB112" s="139"/>
      <c r="WUC112" s="139"/>
      <c r="WUD112" s="139"/>
      <c r="WUE112" s="139"/>
      <c r="WUF112" s="139"/>
      <c r="WUG112" s="139"/>
      <c r="WUH112" s="139"/>
      <c r="WUI112" s="139"/>
      <c r="WUJ112" s="139"/>
      <c r="WUK112" s="139"/>
      <c r="WUL112" s="139"/>
      <c r="WUM112" s="139"/>
      <c r="WUN112" s="139"/>
      <c r="WUO112" s="139"/>
      <c r="WUP112" s="139"/>
      <c r="WUQ112" s="139"/>
      <c r="WUR112" s="139"/>
      <c r="WUS112" s="139"/>
      <c r="WUT112" s="139"/>
      <c r="WUU112" s="139"/>
      <c r="WUV112" s="139"/>
      <c r="WUW112" s="139"/>
      <c r="WUX112" s="139"/>
      <c r="WUY112" s="139"/>
      <c r="WUZ112" s="139"/>
      <c r="WVA112" s="139"/>
      <c r="WVB112" s="139"/>
      <c r="WVC112" s="139"/>
      <c r="WVD112" s="139"/>
      <c r="WVE112" s="139"/>
      <c r="WVF112" s="139"/>
      <c r="WVG112" s="139"/>
      <c r="WVH112" s="139"/>
      <c r="WVI112" s="139"/>
      <c r="WVJ112" s="139"/>
      <c r="WVK112" s="139"/>
      <c r="WVL112" s="139"/>
      <c r="WVM112" s="139"/>
      <c r="WVN112" s="139"/>
      <c r="WVO112" s="139"/>
      <c r="WVP112" s="139"/>
      <c r="WVQ112" s="139"/>
      <c r="WVR112" s="139"/>
      <c r="WVS112" s="139"/>
      <c r="WVT112" s="139"/>
      <c r="WVU112" s="139"/>
      <c r="WVV112" s="139"/>
      <c r="WVW112" s="139"/>
    </row>
    <row r="113" spans="1:16143" s="140" customFormat="1" x14ac:dyDescent="0.2">
      <c r="A113" s="139"/>
      <c r="B113" s="635" t="s">
        <v>360</v>
      </c>
      <c r="C113" s="338" t="str">
        <f t="shared" ref="C113:N113" si="31">+IF(C8&lt;&gt;0,"Ok","")</f>
        <v>Ok</v>
      </c>
      <c r="D113" s="858" t="str">
        <f t="shared" si="31"/>
        <v/>
      </c>
      <c r="E113" s="338" t="str">
        <f t="shared" si="31"/>
        <v>Ok</v>
      </c>
      <c r="F113" s="338" t="str">
        <f t="shared" si="31"/>
        <v>Ok</v>
      </c>
      <c r="G113" s="338" t="str">
        <f t="shared" si="31"/>
        <v>Ok</v>
      </c>
      <c r="H113" s="338" t="str">
        <f t="shared" si="31"/>
        <v>Ok</v>
      </c>
      <c r="I113" s="338" t="str">
        <f t="shared" si="31"/>
        <v>Ok</v>
      </c>
      <c r="J113" s="338" t="str">
        <f t="shared" si="31"/>
        <v>Ok</v>
      </c>
      <c r="K113" s="338" t="str">
        <f t="shared" si="31"/>
        <v/>
      </c>
      <c r="L113" s="338" t="str">
        <f t="shared" si="31"/>
        <v/>
      </c>
      <c r="M113" s="338" t="str">
        <f t="shared" si="31"/>
        <v/>
      </c>
      <c r="N113" s="338" t="str">
        <f t="shared" si="31"/>
        <v/>
      </c>
      <c r="Q113" s="171"/>
      <c r="R113" s="171"/>
      <c r="S113" s="139"/>
      <c r="T113" s="139"/>
      <c r="U113" s="139"/>
      <c r="V113" s="139"/>
      <c r="W113" s="139"/>
      <c r="X113" s="139"/>
      <c r="Y113" s="139"/>
      <c r="Z113" s="139"/>
      <c r="AA113" s="139"/>
      <c r="AB113" s="139"/>
      <c r="AC113" s="139"/>
      <c r="AD113" s="139"/>
      <c r="AE113" s="139"/>
      <c r="AF113" s="139"/>
      <c r="AG113" s="139"/>
      <c r="AH113" s="139"/>
      <c r="AI113" s="139"/>
      <c r="AJ113" s="139"/>
      <c r="AK113" s="139"/>
      <c r="AL113" s="139"/>
      <c r="AM113" s="139"/>
      <c r="AN113" s="139"/>
      <c r="AO113" s="139"/>
      <c r="AP113" s="139"/>
      <c r="AQ113" s="139"/>
      <c r="AR113" s="139"/>
      <c r="AS113" s="139"/>
      <c r="AT113" s="139"/>
      <c r="AU113" s="139"/>
      <c r="AV113" s="139"/>
      <c r="AW113" s="139"/>
      <c r="AX113" s="139"/>
      <c r="AY113" s="139"/>
      <c r="AZ113" s="139"/>
      <c r="BA113" s="139"/>
      <c r="BB113" s="139"/>
      <c r="BC113" s="139"/>
      <c r="BD113" s="139"/>
      <c r="BE113" s="139"/>
      <c r="BF113" s="139"/>
      <c r="BG113" s="139"/>
      <c r="BH113" s="139"/>
      <c r="BI113" s="139"/>
      <c r="BJ113" s="139"/>
      <c r="BK113" s="139"/>
      <c r="BL113" s="139"/>
      <c r="BM113" s="139"/>
      <c r="BN113" s="139"/>
      <c r="BO113" s="139"/>
      <c r="BP113" s="139"/>
      <c r="BQ113" s="139"/>
      <c r="BR113" s="139"/>
      <c r="BS113" s="139"/>
      <c r="BT113" s="139"/>
      <c r="BU113" s="139"/>
      <c r="BV113" s="139"/>
      <c r="BW113" s="139"/>
      <c r="BX113" s="139"/>
      <c r="BY113" s="139"/>
      <c r="BZ113" s="139"/>
      <c r="CA113" s="139"/>
      <c r="CB113" s="139"/>
      <c r="CC113" s="139"/>
      <c r="CD113" s="139"/>
      <c r="CE113" s="139"/>
      <c r="CF113" s="139"/>
      <c r="CG113" s="139"/>
      <c r="CH113" s="139"/>
      <c r="CI113" s="139"/>
      <c r="CJ113" s="139"/>
      <c r="CK113" s="139"/>
      <c r="CL113" s="139"/>
      <c r="CM113" s="139"/>
      <c r="CN113" s="139"/>
      <c r="CO113" s="139"/>
      <c r="CP113" s="139"/>
      <c r="CQ113" s="139"/>
      <c r="CR113" s="139"/>
      <c r="CS113" s="139"/>
      <c r="CT113" s="139"/>
      <c r="CU113" s="139"/>
      <c r="CV113" s="139"/>
      <c r="CW113" s="139"/>
      <c r="CX113" s="139"/>
      <c r="CY113" s="139"/>
      <c r="CZ113" s="139"/>
      <c r="DA113" s="139"/>
      <c r="DB113" s="139"/>
      <c r="DC113" s="139"/>
      <c r="DD113" s="139"/>
      <c r="DE113" s="139"/>
      <c r="DF113" s="139"/>
      <c r="DG113" s="139"/>
      <c r="DH113" s="139"/>
      <c r="DI113" s="139"/>
      <c r="DJ113" s="139"/>
      <c r="DK113" s="139"/>
      <c r="DL113" s="139"/>
      <c r="DM113" s="139"/>
      <c r="DN113" s="139"/>
      <c r="DO113" s="139"/>
      <c r="DP113" s="139"/>
      <c r="DQ113" s="139"/>
      <c r="DR113" s="139"/>
      <c r="DS113" s="139"/>
      <c r="DT113" s="139"/>
      <c r="DU113" s="139"/>
      <c r="DV113" s="139"/>
      <c r="DW113" s="139"/>
      <c r="DX113" s="139"/>
      <c r="DY113" s="139"/>
      <c r="DZ113" s="139"/>
      <c r="EA113" s="139"/>
      <c r="EB113" s="139"/>
      <c r="EC113" s="139"/>
      <c r="ED113" s="139"/>
      <c r="EE113" s="139"/>
      <c r="EF113" s="139"/>
      <c r="EG113" s="139"/>
      <c r="EH113" s="139"/>
      <c r="EI113" s="139"/>
      <c r="EJ113" s="139"/>
      <c r="EK113" s="139"/>
      <c r="EL113" s="139"/>
      <c r="EM113" s="139"/>
      <c r="EN113" s="139"/>
      <c r="EO113" s="139"/>
      <c r="EP113" s="139"/>
      <c r="EQ113" s="139"/>
      <c r="ER113" s="139"/>
      <c r="ES113" s="139"/>
      <c r="ET113" s="139"/>
      <c r="EU113" s="139"/>
      <c r="EV113" s="139"/>
      <c r="EW113" s="139"/>
      <c r="EX113" s="139"/>
      <c r="EY113" s="139"/>
      <c r="EZ113" s="139"/>
      <c r="FA113" s="139"/>
      <c r="FB113" s="139"/>
      <c r="FC113" s="139"/>
      <c r="FD113" s="139"/>
      <c r="FE113" s="139"/>
      <c r="FF113" s="139"/>
      <c r="FG113" s="139"/>
      <c r="FH113" s="139"/>
      <c r="FI113" s="139"/>
      <c r="FJ113" s="139"/>
      <c r="FK113" s="139"/>
      <c r="FL113" s="139"/>
      <c r="FM113" s="139"/>
      <c r="FN113" s="139"/>
      <c r="FO113" s="139"/>
      <c r="FP113" s="139"/>
      <c r="FQ113" s="139"/>
      <c r="FR113" s="139"/>
      <c r="FS113" s="139"/>
      <c r="FT113" s="139"/>
      <c r="FU113" s="139"/>
      <c r="FV113" s="139"/>
      <c r="FW113" s="139"/>
      <c r="FX113" s="139"/>
      <c r="FY113" s="139"/>
      <c r="FZ113" s="139"/>
      <c r="GA113" s="139"/>
      <c r="GB113" s="139"/>
      <c r="GC113" s="139"/>
      <c r="GD113" s="139"/>
      <c r="GE113" s="139"/>
      <c r="GF113" s="139"/>
      <c r="GG113" s="139"/>
      <c r="GH113" s="139"/>
      <c r="GI113" s="139"/>
      <c r="GJ113" s="139"/>
      <c r="GK113" s="139"/>
      <c r="GL113" s="139"/>
      <c r="GM113" s="139"/>
      <c r="GN113" s="139"/>
      <c r="GO113" s="139"/>
      <c r="GP113" s="139"/>
      <c r="GQ113" s="139"/>
      <c r="GR113" s="139"/>
      <c r="GS113" s="139"/>
      <c r="GT113" s="139"/>
      <c r="GU113" s="139"/>
      <c r="GV113" s="139"/>
      <c r="GW113" s="139"/>
      <c r="GX113" s="139"/>
      <c r="GY113" s="139"/>
      <c r="GZ113" s="139"/>
      <c r="HA113" s="139"/>
      <c r="HB113" s="139"/>
      <c r="HC113" s="139"/>
      <c r="HD113" s="139"/>
      <c r="HE113" s="139"/>
      <c r="HF113" s="139"/>
      <c r="HG113" s="139"/>
      <c r="HH113" s="139"/>
      <c r="HI113" s="139"/>
      <c r="HJ113" s="139"/>
      <c r="HK113" s="139"/>
      <c r="HL113" s="139"/>
      <c r="HM113" s="139"/>
      <c r="HN113" s="139"/>
      <c r="HO113" s="139"/>
      <c r="HP113" s="139"/>
      <c r="HQ113" s="139"/>
      <c r="HR113" s="139"/>
      <c r="HS113" s="139"/>
      <c r="HT113" s="139"/>
      <c r="HU113" s="139"/>
      <c r="HV113" s="139"/>
      <c r="HW113" s="139"/>
      <c r="HX113" s="139"/>
      <c r="HY113" s="139"/>
      <c r="HZ113" s="139"/>
      <c r="IA113" s="139"/>
      <c r="IB113" s="139"/>
      <c r="IC113" s="139"/>
      <c r="ID113" s="139"/>
      <c r="IE113" s="139"/>
      <c r="IF113" s="139"/>
      <c r="IG113" s="139"/>
      <c r="IH113" s="139"/>
      <c r="II113" s="139"/>
      <c r="IJ113" s="139"/>
      <c r="IK113" s="139"/>
      <c r="IL113" s="139"/>
      <c r="IM113" s="139"/>
      <c r="IN113" s="139"/>
      <c r="IO113" s="139"/>
      <c r="IP113" s="139"/>
      <c r="IQ113" s="139"/>
      <c r="IR113" s="139"/>
      <c r="IS113" s="139"/>
      <c r="IT113" s="139"/>
      <c r="IU113" s="139"/>
      <c r="IV113" s="139"/>
      <c r="IW113" s="139"/>
      <c r="IX113" s="139"/>
      <c r="IY113" s="139"/>
      <c r="IZ113" s="139"/>
      <c r="JA113" s="139"/>
      <c r="JB113" s="139"/>
      <c r="JC113" s="139"/>
      <c r="JD113" s="139"/>
      <c r="JE113" s="139"/>
      <c r="JF113" s="139"/>
      <c r="JG113" s="139"/>
      <c r="JH113" s="139"/>
      <c r="JI113" s="139"/>
      <c r="JJ113" s="139"/>
      <c r="JK113" s="139"/>
      <c r="JL113" s="139"/>
      <c r="JM113" s="139"/>
      <c r="JN113" s="139"/>
      <c r="JO113" s="139"/>
      <c r="JP113" s="139"/>
      <c r="JQ113" s="139"/>
      <c r="JR113" s="139"/>
      <c r="JS113" s="139"/>
      <c r="JT113" s="139"/>
      <c r="JU113" s="139"/>
      <c r="JV113" s="139"/>
      <c r="JW113" s="139"/>
      <c r="JX113" s="139"/>
      <c r="JY113" s="139"/>
      <c r="JZ113" s="139"/>
      <c r="KA113" s="139"/>
      <c r="KB113" s="139"/>
      <c r="KC113" s="139"/>
      <c r="KD113" s="139"/>
      <c r="KE113" s="139"/>
      <c r="KF113" s="139"/>
      <c r="KG113" s="139"/>
      <c r="KH113" s="139"/>
      <c r="KI113" s="139"/>
      <c r="KJ113" s="139"/>
      <c r="KK113" s="139"/>
      <c r="KL113" s="139"/>
      <c r="KM113" s="139"/>
      <c r="KN113" s="139"/>
      <c r="KO113" s="139"/>
      <c r="KP113" s="139"/>
      <c r="KQ113" s="139"/>
      <c r="KR113" s="139"/>
      <c r="KS113" s="139"/>
      <c r="KT113" s="139"/>
      <c r="KU113" s="139"/>
      <c r="KV113" s="139"/>
      <c r="KW113" s="139"/>
      <c r="KX113" s="139"/>
      <c r="KY113" s="139"/>
      <c r="KZ113" s="139"/>
      <c r="LA113" s="139"/>
      <c r="LB113" s="139"/>
      <c r="LC113" s="139"/>
      <c r="LD113" s="139"/>
      <c r="LE113" s="139"/>
      <c r="LF113" s="139"/>
      <c r="LG113" s="139"/>
      <c r="LH113" s="139"/>
      <c r="LI113" s="139"/>
      <c r="LJ113" s="139"/>
      <c r="LK113" s="139"/>
      <c r="LL113" s="139"/>
      <c r="LM113" s="139"/>
      <c r="LN113" s="139"/>
      <c r="LO113" s="139"/>
      <c r="LP113" s="139"/>
      <c r="LQ113" s="139"/>
      <c r="LR113" s="139"/>
      <c r="LS113" s="139"/>
      <c r="LT113" s="139"/>
      <c r="LU113" s="139"/>
      <c r="LV113" s="139"/>
      <c r="LW113" s="139"/>
      <c r="LX113" s="139"/>
      <c r="LY113" s="139"/>
      <c r="LZ113" s="139"/>
      <c r="MA113" s="139"/>
      <c r="MB113" s="139"/>
      <c r="MC113" s="139"/>
      <c r="MD113" s="139"/>
      <c r="ME113" s="139"/>
      <c r="MF113" s="139"/>
      <c r="MG113" s="139"/>
      <c r="MH113" s="139"/>
      <c r="MI113" s="139"/>
      <c r="MJ113" s="139"/>
      <c r="MK113" s="139"/>
      <c r="ML113" s="139"/>
      <c r="MM113" s="139"/>
      <c r="MN113" s="139"/>
      <c r="MO113" s="139"/>
      <c r="MP113" s="139"/>
      <c r="MQ113" s="139"/>
      <c r="MR113" s="139"/>
      <c r="MS113" s="139"/>
      <c r="MT113" s="139"/>
      <c r="MU113" s="139"/>
      <c r="MV113" s="139"/>
      <c r="MW113" s="139"/>
      <c r="MX113" s="139"/>
      <c r="MY113" s="139"/>
      <c r="MZ113" s="139"/>
      <c r="NA113" s="139"/>
      <c r="NB113" s="139"/>
      <c r="NC113" s="139"/>
      <c r="ND113" s="139"/>
      <c r="NE113" s="139"/>
      <c r="NF113" s="139"/>
      <c r="NG113" s="139"/>
      <c r="NH113" s="139"/>
      <c r="NI113" s="139"/>
      <c r="NJ113" s="139"/>
      <c r="NK113" s="139"/>
      <c r="NL113" s="139"/>
      <c r="NM113" s="139"/>
      <c r="NN113" s="139"/>
      <c r="NO113" s="139"/>
      <c r="NP113" s="139"/>
      <c r="NQ113" s="139"/>
      <c r="NR113" s="139"/>
      <c r="NS113" s="139"/>
      <c r="NT113" s="139"/>
      <c r="NU113" s="139"/>
      <c r="NV113" s="139"/>
      <c r="NW113" s="139"/>
      <c r="NX113" s="139"/>
      <c r="NY113" s="139"/>
      <c r="NZ113" s="139"/>
      <c r="OA113" s="139"/>
      <c r="OB113" s="139"/>
      <c r="OC113" s="139"/>
      <c r="OD113" s="139"/>
      <c r="OE113" s="139"/>
      <c r="OF113" s="139"/>
      <c r="OG113" s="139"/>
      <c r="OH113" s="139"/>
      <c r="OI113" s="139"/>
      <c r="OJ113" s="139"/>
      <c r="OK113" s="139"/>
      <c r="OL113" s="139"/>
      <c r="OM113" s="139"/>
      <c r="ON113" s="139"/>
      <c r="OO113" s="139"/>
      <c r="OP113" s="139"/>
      <c r="OQ113" s="139"/>
      <c r="OR113" s="139"/>
      <c r="OS113" s="139"/>
      <c r="OT113" s="139"/>
      <c r="OU113" s="139"/>
      <c r="OV113" s="139"/>
      <c r="OW113" s="139"/>
      <c r="OX113" s="139"/>
      <c r="OY113" s="139"/>
      <c r="OZ113" s="139"/>
      <c r="PA113" s="139"/>
      <c r="PB113" s="139"/>
      <c r="PC113" s="139"/>
      <c r="PD113" s="139"/>
      <c r="PE113" s="139"/>
      <c r="PF113" s="139"/>
      <c r="PG113" s="139"/>
      <c r="PH113" s="139"/>
      <c r="PI113" s="139"/>
      <c r="PJ113" s="139"/>
      <c r="PK113" s="139"/>
      <c r="PL113" s="139"/>
      <c r="PM113" s="139"/>
      <c r="PN113" s="139"/>
      <c r="PO113" s="139"/>
      <c r="PP113" s="139"/>
      <c r="PQ113" s="139"/>
      <c r="PR113" s="139"/>
      <c r="PS113" s="139"/>
      <c r="PT113" s="139"/>
      <c r="PU113" s="139"/>
      <c r="PV113" s="139"/>
      <c r="PW113" s="139"/>
      <c r="PX113" s="139"/>
      <c r="PY113" s="139"/>
      <c r="PZ113" s="139"/>
      <c r="QA113" s="139"/>
      <c r="QB113" s="139"/>
      <c r="QC113" s="139"/>
      <c r="QD113" s="139"/>
      <c r="QE113" s="139"/>
      <c r="QF113" s="139"/>
      <c r="QG113" s="139"/>
      <c r="QH113" s="139"/>
      <c r="QI113" s="139"/>
      <c r="QJ113" s="139"/>
      <c r="QK113" s="139"/>
      <c r="QL113" s="139"/>
      <c r="QM113" s="139"/>
      <c r="QN113" s="139"/>
      <c r="QO113" s="139"/>
      <c r="QP113" s="139"/>
      <c r="QQ113" s="139"/>
      <c r="QR113" s="139"/>
      <c r="QS113" s="139"/>
      <c r="QT113" s="139"/>
      <c r="QU113" s="139"/>
      <c r="QV113" s="139"/>
      <c r="QW113" s="139"/>
      <c r="QX113" s="139"/>
      <c r="QY113" s="139"/>
      <c r="QZ113" s="139"/>
      <c r="RA113" s="139"/>
      <c r="RB113" s="139"/>
      <c r="RC113" s="139"/>
      <c r="RD113" s="139"/>
      <c r="RE113" s="139"/>
      <c r="RF113" s="139"/>
      <c r="RG113" s="139"/>
      <c r="RH113" s="139"/>
      <c r="RI113" s="139"/>
      <c r="RJ113" s="139"/>
      <c r="RK113" s="139"/>
      <c r="RL113" s="139"/>
      <c r="RM113" s="139"/>
      <c r="RN113" s="139"/>
      <c r="RO113" s="139"/>
      <c r="RP113" s="139"/>
      <c r="RQ113" s="139"/>
      <c r="RR113" s="139"/>
      <c r="RS113" s="139"/>
      <c r="RT113" s="139"/>
      <c r="RU113" s="139"/>
      <c r="RV113" s="139"/>
      <c r="RW113" s="139"/>
      <c r="RX113" s="139"/>
      <c r="RY113" s="139"/>
      <c r="RZ113" s="139"/>
      <c r="SA113" s="139"/>
      <c r="SB113" s="139"/>
      <c r="SC113" s="139"/>
      <c r="SD113" s="139"/>
      <c r="SE113" s="139"/>
      <c r="SF113" s="139"/>
      <c r="SG113" s="139"/>
      <c r="SH113" s="139"/>
      <c r="SI113" s="139"/>
      <c r="SJ113" s="139"/>
      <c r="SK113" s="139"/>
      <c r="SL113" s="139"/>
      <c r="SM113" s="139"/>
      <c r="SN113" s="139"/>
      <c r="SO113" s="139"/>
      <c r="SP113" s="139"/>
      <c r="SQ113" s="139"/>
      <c r="SR113" s="139"/>
      <c r="SS113" s="139"/>
      <c r="ST113" s="139"/>
      <c r="SU113" s="139"/>
      <c r="SV113" s="139"/>
      <c r="SW113" s="139"/>
      <c r="SX113" s="139"/>
      <c r="SY113" s="139"/>
      <c r="SZ113" s="139"/>
      <c r="TA113" s="139"/>
      <c r="TB113" s="139"/>
      <c r="TC113" s="139"/>
      <c r="TD113" s="139"/>
      <c r="TE113" s="139"/>
      <c r="TF113" s="139"/>
      <c r="TG113" s="139"/>
      <c r="TH113" s="139"/>
      <c r="TI113" s="139"/>
      <c r="TJ113" s="139"/>
      <c r="TK113" s="139"/>
      <c r="TL113" s="139"/>
      <c r="TM113" s="139"/>
      <c r="TN113" s="139"/>
      <c r="TO113" s="139"/>
      <c r="TP113" s="139"/>
      <c r="TQ113" s="139"/>
      <c r="TR113" s="139"/>
      <c r="TS113" s="139"/>
      <c r="TT113" s="139"/>
      <c r="TU113" s="139"/>
      <c r="TV113" s="139"/>
      <c r="TW113" s="139"/>
      <c r="TX113" s="139"/>
      <c r="TY113" s="139"/>
      <c r="TZ113" s="139"/>
      <c r="UA113" s="139"/>
      <c r="UB113" s="139"/>
      <c r="UC113" s="139"/>
      <c r="UD113" s="139"/>
      <c r="UE113" s="139"/>
      <c r="UF113" s="139"/>
      <c r="UG113" s="139"/>
      <c r="UH113" s="139"/>
      <c r="UI113" s="139"/>
      <c r="UJ113" s="139"/>
      <c r="UK113" s="139"/>
      <c r="UL113" s="139"/>
      <c r="UM113" s="139"/>
      <c r="UN113" s="139"/>
      <c r="UO113" s="139"/>
      <c r="UP113" s="139"/>
      <c r="UQ113" s="139"/>
      <c r="UR113" s="139"/>
      <c r="US113" s="139"/>
      <c r="UT113" s="139"/>
      <c r="UU113" s="139"/>
      <c r="UV113" s="139"/>
      <c r="UW113" s="139"/>
      <c r="UX113" s="139"/>
      <c r="UY113" s="139"/>
      <c r="UZ113" s="139"/>
      <c r="VA113" s="139"/>
      <c r="VB113" s="139"/>
      <c r="VC113" s="139"/>
      <c r="VD113" s="139"/>
      <c r="VE113" s="139"/>
      <c r="VF113" s="139"/>
      <c r="VG113" s="139"/>
      <c r="VH113" s="139"/>
      <c r="VI113" s="139"/>
      <c r="VJ113" s="139"/>
      <c r="VK113" s="139"/>
      <c r="VL113" s="139"/>
      <c r="VM113" s="139"/>
      <c r="VN113" s="139"/>
      <c r="VO113" s="139"/>
      <c r="VP113" s="139"/>
      <c r="VQ113" s="139"/>
      <c r="VR113" s="139"/>
      <c r="VS113" s="139"/>
      <c r="VT113" s="139"/>
      <c r="VU113" s="139"/>
      <c r="VV113" s="139"/>
      <c r="VW113" s="139"/>
      <c r="VX113" s="139"/>
      <c r="VY113" s="139"/>
      <c r="VZ113" s="139"/>
      <c r="WA113" s="139"/>
      <c r="WB113" s="139"/>
      <c r="WC113" s="139"/>
      <c r="WD113" s="139"/>
      <c r="WE113" s="139"/>
      <c r="WF113" s="139"/>
      <c r="WG113" s="139"/>
      <c r="WH113" s="139"/>
      <c r="WI113" s="139"/>
      <c r="WJ113" s="139"/>
      <c r="WK113" s="139"/>
      <c r="WL113" s="139"/>
      <c r="WM113" s="139"/>
      <c r="WN113" s="139"/>
      <c r="WO113" s="139"/>
      <c r="WP113" s="139"/>
      <c r="WQ113" s="139"/>
      <c r="WR113" s="139"/>
      <c r="WS113" s="139"/>
      <c r="WT113" s="139"/>
      <c r="WU113" s="139"/>
      <c r="WV113" s="139"/>
      <c r="WW113" s="139"/>
      <c r="WX113" s="139"/>
      <c r="WY113" s="139"/>
      <c r="WZ113" s="139"/>
      <c r="XA113" s="139"/>
      <c r="XB113" s="139"/>
      <c r="XC113" s="139"/>
      <c r="XD113" s="139"/>
      <c r="XE113" s="139"/>
      <c r="XF113" s="139"/>
      <c r="XG113" s="139"/>
      <c r="XH113" s="139"/>
      <c r="XI113" s="139"/>
      <c r="XJ113" s="139"/>
      <c r="XK113" s="139"/>
      <c r="XL113" s="139"/>
      <c r="XM113" s="139"/>
      <c r="XN113" s="139"/>
      <c r="XO113" s="139"/>
      <c r="XP113" s="139"/>
      <c r="XQ113" s="139"/>
      <c r="XR113" s="139"/>
      <c r="XS113" s="139"/>
      <c r="XT113" s="139"/>
      <c r="XU113" s="139"/>
      <c r="XV113" s="139"/>
      <c r="XW113" s="139"/>
      <c r="XX113" s="139"/>
      <c r="XY113" s="139"/>
      <c r="XZ113" s="139"/>
      <c r="YA113" s="139"/>
      <c r="YB113" s="139"/>
      <c r="YC113" s="139"/>
      <c r="YD113" s="139"/>
      <c r="YE113" s="139"/>
      <c r="YF113" s="139"/>
      <c r="YG113" s="139"/>
      <c r="YH113" s="139"/>
      <c r="YI113" s="139"/>
      <c r="YJ113" s="139"/>
      <c r="YK113" s="139"/>
      <c r="YL113" s="139"/>
      <c r="YM113" s="139"/>
      <c r="YN113" s="139"/>
      <c r="YO113" s="139"/>
      <c r="YP113" s="139"/>
      <c r="YQ113" s="139"/>
      <c r="YR113" s="139"/>
      <c r="YS113" s="139"/>
      <c r="YT113" s="139"/>
      <c r="YU113" s="139"/>
      <c r="YV113" s="139"/>
      <c r="YW113" s="139"/>
      <c r="YX113" s="139"/>
      <c r="YY113" s="139"/>
      <c r="YZ113" s="139"/>
      <c r="ZA113" s="139"/>
      <c r="ZB113" s="139"/>
      <c r="ZC113" s="139"/>
      <c r="ZD113" s="139"/>
      <c r="ZE113" s="139"/>
      <c r="ZF113" s="139"/>
      <c r="ZG113" s="139"/>
      <c r="ZH113" s="139"/>
      <c r="ZI113" s="139"/>
      <c r="ZJ113" s="139"/>
      <c r="ZK113" s="139"/>
      <c r="ZL113" s="139"/>
      <c r="ZM113" s="139"/>
      <c r="ZN113" s="139"/>
      <c r="ZO113" s="139"/>
      <c r="ZP113" s="139"/>
      <c r="ZQ113" s="139"/>
      <c r="ZR113" s="139"/>
      <c r="ZS113" s="139"/>
      <c r="ZT113" s="139"/>
      <c r="ZU113" s="139"/>
      <c r="ZV113" s="139"/>
      <c r="ZW113" s="139"/>
      <c r="ZX113" s="139"/>
      <c r="ZY113" s="139"/>
      <c r="ZZ113" s="139"/>
      <c r="AAA113" s="139"/>
      <c r="AAB113" s="139"/>
      <c r="AAC113" s="139"/>
      <c r="AAD113" s="139"/>
      <c r="AAE113" s="139"/>
      <c r="AAF113" s="139"/>
      <c r="AAG113" s="139"/>
      <c r="AAH113" s="139"/>
      <c r="AAI113" s="139"/>
      <c r="AAJ113" s="139"/>
      <c r="AAK113" s="139"/>
      <c r="AAL113" s="139"/>
      <c r="AAM113" s="139"/>
      <c r="AAN113" s="139"/>
      <c r="AAO113" s="139"/>
      <c r="AAP113" s="139"/>
      <c r="AAQ113" s="139"/>
      <c r="AAR113" s="139"/>
      <c r="AAS113" s="139"/>
      <c r="AAT113" s="139"/>
      <c r="AAU113" s="139"/>
      <c r="AAV113" s="139"/>
      <c r="AAW113" s="139"/>
      <c r="AAX113" s="139"/>
      <c r="AAY113" s="139"/>
      <c r="AAZ113" s="139"/>
      <c r="ABA113" s="139"/>
      <c r="ABB113" s="139"/>
      <c r="ABC113" s="139"/>
      <c r="ABD113" s="139"/>
      <c r="ABE113" s="139"/>
      <c r="ABF113" s="139"/>
      <c r="ABG113" s="139"/>
      <c r="ABH113" s="139"/>
      <c r="ABI113" s="139"/>
      <c r="ABJ113" s="139"/>
      <c r="ABK113" s="139"/>
      <c r="ABL113" s="139"/>
      <c r="ABM113" s="139"/>
      <c r="ABN113" s="139"/>
      <c r="ABO113" s="139"/>
      <c r="ABP113" s="139"/>
      <c r="ABQ113" s="139"/>
      <c r="ABR113" s="139"/>
      <c r="ABS113" s="139"/>
      <c r="ABT113" s="139"/>
      <c r="ABU113" s="139"/>
      <c r="ABV113" s="139"/>
      <c r="ABW113" s="139"/>
      <c r="ABX113" s="139"/>
      <c r="ABY113" s="139"/>
      <c r="ABZ113" s="139"/>
      <c r="ACA113" s="139"/>
      <c r="ACB113" s="139"/>
      <c r="ACC113" s="139"/>
      <c r="ACD113" s="139"/>
      <c r="ACE113" s="139"/>
      <c r="ACF113" s="139"/>
      <c r="ACG113" s="139"/>
      <c r="ACH113" s="139"/>
      <c r="ACI113" s="139"/>
      <c r="ACJ113" s="139"/>
      <c r="ACK113" s="139"/>
      <c r="ACL113" s="139"/>
      <c r="ACM113" s="139"/>
      <c r="ACN113" s="139"/>
      <c r="ACO113" s="139"/>
      <c r="ACP113" s="139"/>
      <c r="ACQ113" s="139"/>
      <c r="ACR113" s="139"/>
      <c r="ACS113" s="139"/>
      <c r="ACT113" s="139"/>
      <c r="ACU113" s="139"/>
      <c r="ACV113" s="139"/>
      <c r="ACW113" s="139"/>
      <c r="ACX113" s="139"/>
      <c r="ACY113" s="139"/>
      <c r="ACZ113" s="139"/>
      <c r="ADA113" s="139"/>
      <c r="ADB113" s="139"/>
      <c r="ADC113" s="139"/>
      <c r="ADD113" s="139"/>
      <c r="ADE113" s="139"/>
      <c r="ADF113" s="139"/>
      <c r="ADG113" s="139"/>
      <c r="ADH113" s="139"/>
      <c r="ADI113" s="139"/>
      <c r="ADJ113" s="139"/>
      <c r="ADK113" s="139"/>
      <c r="ADL113" s="139"/>
      <c r="ADM113" s="139"/>
      <c r="ADN113" s="139"/>
      <c r="ADO113" s="139"/>
      <c r="ADP113" s="139"/>
      <c r="ADQ113" s="139"/>
      <c r="ADR113" s="139"/>
      <c r="ADS113" s="139"/>
      <c r="ADT113" s="139"/>
      <c r="ADU113" s="139"/>
      <c r="ADV113" s="139"/>
      <c r="ADW113" s="139"/>
      <c r="ADX113" s="139"/>
      <c r="ADY113" s="139"/>
      <c r="ADZ113" s="139"/>
      <c r="AEA113" s="139"/>
      <c r="AEB113" s="139"/>
      <c r="AEC113" s="139"/>
      <c r="AED113" s="139"/>
      <c r="AEE113" s="139"/>
      <c r="AEF113" s="139"/>
      <c r="AEG113" s="139"/>
      <c r="AEH113" s="139"/>
      <c r="AEI113" s="139"/>
      <c r="AEJ113" s="139"/>
      <c r="AEK113" s="139"/>
      <c r="AEL113" s="139"/>
      <c r="AEM113" s="139"/>
      <c r="AEN113" s="139"/>
      <c r="AEO113" s="139"/>
      <c r="AEP113" s="139"/>
      <c r="AEQ113" s="139"/>
      <c r="AER113" s="139"/>
      <c r="AES113" s="139"/>
      <c r="AET113" s="139"/>
      <c r="AEU113" s="139"/>
      <c r="AEV113" s="139"/>
      <c r="AEW113" s="139"/>
      <c r="AEX113" s="139"/>
      <c r="AEY113" s="139"/>
      <c r="AEZ113" s="139"/>
      <c r="AFA113" s="139"/>
      <c r="AFB113" s="139"/>
      <c r="AFC113" s="139"/>
      <c r="AFD113" s="139"/>
      <c r="AFE113" s="139"/>
      <c r="AFF113" s="139"/>
      <c r="AFG113" s="139"/>
      <c r="AFH113" s="139"/>
      <c r="AFI113" s="139"/>
      <c r="AFJ113" s="139"/>
      <c r="AFK113" s="139"/>
      <c r="AFL113" s="139"/>
      <c r="AFM113" s="139"/>
      <c r="AFN113" s="139"/>
      <c r="AFO113" s="139"/>
      <c r="AFP113" s="139"/>
      <c r="AFQ113" s="139"/>
      <c r="AFR113" s="139"/>
      <c r="AFS113" s="139"/>
      <c r="AFT113" s="139"/>
      <c r="AFU113" s="139"/>
      <c r="AFV113" s="139"/>
      <c r="AFW113" s="139"/>
      <c r="AFX113" s="139"/>
      <c r="AFY113" s="139"/>
      <c r="AFZ113" s="139"/>
      <c r="AGA113" s="139"/>
      <c r="AGB113" s="139"/>
      <c r="AGC113" s="139"/>
      <c r="AGD113" s="139"/>
      <c r="AGE113" s="139"/>
      <c r="AGF113" s="139"/>
      <c r="AGG113" s="139"/>
      <c r="AGH113" s="139"/>
      <c r="AGI113" s="139"/>
      <c r="AGJ113" s="139"/>
      <c r="AGK113" s="139"/>
      <c r="AGL113" s="139"/>
      <c r="AGM113" s="139"/>
      <c r="AGN113" s="139"/>
      <c r="AGO113" s="139"/>
      <c r="AGP113" s="139"/>
      <c r="AGQ113" s="139"/>
      <c r="AGR113" s="139"/>
      <c r="AGS113" s="139"/>
      <c r="AGT113" s="139"/>
      <c r="AGU113" s="139"/>
      <c r="AGV113" s="139"/>
      <c r="AGW113" s="139"/>
      <c r="AGX113" s="139"/>
      <c r="AGY113" s="139"/>
      <c r="AGZ113" s="139"/>
      <c r="AHA113" s="139"/>
      <c r="AHB113" s="139"/>
      <c r="AHC113" s="139"/>
      <c r="AHD113" s="139"/>
      <c r="AHE113" s="139"/>
      <c r="AHF113" s="139"/>
      <c r="AHG113" s="139"/>
      <c r="AHH113" s="139"/>
      <c r="AHI113" s="139"/>
      <c r="AHJ113" s="139"/>
      <c r="AHK113" s="139"/>
      <c r="AHL113" s="139"/>
      <c r="AHM113" s="139"/>
      <c r="AHN113" s="139"/>
      <c r="AHO113" s="139"/>
      <c r="AHP113" s="139"/>
      <c r="AHQ113" s="139"/>
      <c r="AHR113" s="139"/>
      <c r="AHS113" s="139"/>
      <c r="AHT113" s="139"/>
      <c r="AHU113" s="139"/>
      <c r="AHV113" s="139"/>
      <c r="AHW113" s="139"/>
      <c r="AHX113" s="139"/>
      <c r="AHY113" s="139"/>
      <c r="AHZ113" s="139"/>
      <c r="AIA113" s="139"/>
      <c r="AIB113" s="139"/>
      <c r="AIC113" s="139"/>
      <c r="AID113" s="139"/>
      <c r="AIE113" s="139"/>
      <c r="AIF113" s="139"/>
      <c r="AIG113" s="139"/>
      <c r="AIH113" s="139"/>
      <c r="AII113" s="139"/>
      <c r="AIJ113" s="139"/>
      <c r="AIK113" s="139"/>
      <c r="AIL113" s="139"/>
      <c r="AIM113" s="139"/>
      <c r="AIN113" s="139"/>
      <c r="AIO113" s="139"/>
      <c r="AIP113" s="139"/>
      <c r="AIQ113" s="139"/>
      <c r="AIR113" s="139"/>
      <c r="AIS113" s="139"/>
      <c r="AIT113" s="139"/>
      <c r="AIU113" s="139"/>
      <c r="AIV113" s="139"/>
      <c r="AIW113" s="139"/>
      <c r="AIX113" s="139"/>
      <c r="AIY113" s="139"/>
      <c r="AIZ113" s="139"/>
      <c r="AJA113" s="139"/>
      <c r="AJB113" s="139"/>
      <c r="AJC113" s="139"/>
      <c r="AJD113" s="139"/>
      <c r="AJE113" s="139"/>
      <c r="AJF113" s="139"/>
      <c r="AJG113" s="139"/>
      <c r="AJH113" s="139"/>
      <c r="AJI113" s="139"/>
      <c r="AJJ113" s="139"/>
      <c r="AJK113" s="139"/>
      <c r="AJL113" s="139"/>
      <c r="AJM113" s="139"/>
      <c r="AJN113" s="139"/>
      <c r="AJO113" s="139"/>
      <c r="AJP113" s="139"/>
      <c r="AJQ113" s="139"/>
      <c r="AJR113" s="139"/>
      <c r="AJS113" s="139"/>
      <c r="AJT113" s="139"/>
      <c r="AJU113" s="139"/>
      <c r="AJV113" s="139"/>
      <c r="AJW113" s="139"/>
      <c r="AJX113" s="139"/>
      <c r="AJY113" s="139"/>
      <c r="AJZ113" s="139"/>
      <c r="AKA113" s="139"/>
      <c r="AKB113" s="139"/>
      <c r="AKC113" s="139"/>
      <c r="AKD113" s="139"/>
      <c r="AKE113" s="139"/>
      <c r="AKF113" s="139"/>
      <c r="AKG113" s="139"/>
      <c r="AKH113" s="139"/>
      <c r="AKI113" s="139"/>
      <c r="AKJ113" s="139"/>
      <c r="AKK113" s="139"/>
      <c r="AKL113" s="139"/>
      <c r="AKM113" s="139"/>
      <c r="AKN113" s="139"/>
      <c r="AKO113" s="139"/>
      <c r="AKP113" s="139"/>
      <c r="AKQ113" s="139"/>
      <c r="AKR113" s="139"/>
      <c r="AKS113" s="139"/>
      <c r="AKT113" s="139"/>
      <c r="AKU113" s="139"/>
      <c r="AKV113" s="139"/>
      <c r="AKW113" s="139"/>
      <c r="AKX113" s="139"/>
      <c r="AKY113" s="139"/>
      <c r="AKZ113" s="139"/>
      <c r="ALA113" s="139"/>
      <c r="ALB113" s="139"/>
      <c r="ALC113" s="139"/>
      <c r="ALD113" s="139"/>
      <c r="ALE113" s="139"/>
      <c r="ALF113" s="139"/>
      <c r="ALG113" s="139"/>
      <c r="ALH113" s="139"/>
      <c r="ALI113" s="139"/>
      <c r="ALJ113" s="139"/>
      <c r="ALK113" s="139"/>
      <c r="ALL113" s="139"/>
      <c r="ALM113" s="139"/>
      <c r="ALN113" s="139"/>
      <c r="ALO113" s="139"/>
      <c r="ALP113" s="139"/>
      <c r="ALQ113" s="139"/>
      <c r="ALR113" s="139"/>
      <c r="ALS113" s="139"/>
      <c r="ALT113" s="139"/>
      <c r="ALU113" s="139"/>
      <c r="ALV113" s="139"/>
      <c r="ALW113" s="139"/>
      <c r="ALX113" s="139"/>
      <c r="ALY113" s="139"/>
      <c r="ALZ113" s="139"/>
      <c r="AMA113" s="139"/>
      <c r="AMB113" s="139"/>
      <c r="AMC113" s="139"/>
      <c r="AMD113" s="139"/>
      <c r="AME113" s="139"/>
      <c r="AMF113" s="139"/>
      <c r="AMG113" s="139"/>
      <c r="AMH113" s="139"/>
      <c r="AMI113" s="139"/>
      <c r="AMJ113" s="139"/>
      <c r="AMK113" s="139"/>
      <c r="AML113" s="139"/>
      <c r="AMM113" s="139"/>
      <c r="AMN113" s="139"/>
      <c r="AMO113" s="139"/>
      <c r="AMP113" s="139"/>
      <c r="AMQ113" s="139"/>
      <c r="AMR113" s="139"/>
      <c r="AMS113" s="139"/>
      <c r="AMT113" s="139"/>
      <c r="AMU113" s="139"/>
      <c r="AMV113" s="139"/>
      <c r="AMW113" s="139"/>
      <c r="AMX113" s="139"/>
      <c r="AMY113" s="139"/>
      <c r="AMZ113" s="139"/>
      <c r="ANA113" s="139"/>
      <c r="ANB113" s="139"/>
      <c r="ANC113" s="139"/>
      <c r="AND113" s="139"/>
      <c r="ANE113" s="139"/>
      <c r="ANF113" s="139"/>
      <c r="ANG113" s="139"/>
      <c r="ANH113" s="139"/>
      <c r="ANI113" s="139"/>
      <c r="ANJ113" s="139"/>
      <c r="ANK113" s="139"/>
      <c r="ANL113" s="139"/>
      <c r="ANM113" s="139"/>
      <c r="ANN113" s="139"/>
      <c r="ANO113" s="139"/>
      <c r="ANP113" s="139"/>
      <c r="ANQ113" s="139"/>
      <c r="ANR113" s="139"/>
      <c r="ANS113" s="139"/>
      <c r="ANT113" s="139"/>
      <c r="ANU113" s="139"/>
      <c r="ANV113" s="139"/>
      <c r="ANW113" s="139"/>
      <c r="ANX113" s="139"/>
      <c r="ANY113" s="139"/>
      <c r="ANZ113" s="139"/>
      <c r="AOA113" s="139"/>
      <c r="AOB113" s="139"/>
      <c r="AOC113" s="139"/>
      <c r="AOD113" s="139"/>
      <c r="AOE113" s="139"/>
      <c r="AOF113" s="139"/>
      <c r="AOG113" s="139"/>
      <c r="AOH113" s="139"/>
      <c r="AOI113" s="139"/>
      <c r="AOJ113" s="139"/>
      <c r="AOK113" s="139"/>
      <c r="AOL113" s="139"/>
      <c r="AOM113" s="139"/>
      <c r="AON113" s="139"/>
      <c r="AOO113" s="139"/>
      <c r="AOP113" s="139"/>
      <c r="AOQ113" s="139"/>
      <c r="AOR113" s="139"/>
      <c r="AOS113" s="139"/>
      <c r="AOT113" s="139"/>
      <c r="AOU113" s="139"/>
      <c r="AOV113" s="139"/>
      <c r="AOW113" s="139"/>
      <c r="AOX113" s="139"/>
      <c r="AOY113" s="139"/>
      <c r="AOZ113" s="139"/>
      <c r="APA113" s="139"/>
      <c r="APB113" s="139"/>
      <c r="APC113" s="139"/>
      <c r="APD113" s="139"/>
      <c r="APE113" s="139"/>
      <c r="APF113" s="139"/>
      <c r="APG113" s="139"/>
      <c r="APH113" s="139"/>
      <c r="API113" s="139"/>
      <c r="APJ113" s="139"/>
      <c r="APK113" s="139"/>
      <c r="APL113" s="139"/>
      <c r="APM113" s="139"/>
      <c r="APN113" s="139"/>
      <c r="APO113" s="139"/>
      <c r="APP113" s="139"/>
      <c r="APQ113" s="139"/>
      <c r="APR113" s="139"/>
      <c r="APS113" s="139"/>
      <c r="APT113" s="139"/>
      <c r="APU113" s="139"/>
      <c r="APV113" s="139"/>
      <c r="APW113" s="139"/>
      <c r="APX113" s="139"/>
      <c r="APY113" s="139"/>
      <c r="APZ113" s="139"/>
      <c r="AQA113" s="139"/>
      <c r="AQB113" s="139"/>
      <c r="AQC113" s="139"/>
      <c r="AQD113" s="139"/>
      <c r="AQE113" s="139"/>
      <c r="AQF113" s="139"/>
      <c r="AQG113" s="139"/>
      <c r="AQH113" s="139"/>
      <c r="AQI113" s="139"/>
      <c r="AQJ113" s="139"/>
      <c r="AQK113" s="139"/>
      <c r="AQL113" s="139"/>
      <c r="AQM113" s="139"/>
      <c r="AQN113" s="139"/>
      <c r="AQO113" s="139"/>
      <c r="AQP113" s="139"/>
      <c r="AQQ113" s="139"/>
      <c r="AQR113" s="139"/>
      <c r="AQS113" s="139"/>
      <c r="AQT113" s="139"/>
      <c r="AQU113" s="139"/>
      <c r="AQV113" s="139"/>
      <c r="AQW113" s="139"/>
      <c r="AQX113" s="139"/>
      <c r="AQY113" s="139"/>
      <c r="AQZ113" s="139"/>
      <c r="ARA113" s="139"/>
      <c r="ARB113" s="139"/>
      <c r="ARC113" s="139"/>
      <c r="ARD113" s="139"/>
      <c r="ARE113" s="139"/>
      <c r="ARF113" s="139"/>
      <c r="ARG113" s="139"/>
      <c r="ARH113" s="139"/>
      <c r="ARI113" s="139"/>
      <c r="ARJ113" s="139"/>
      <c r="ARK113" s="139"/>
      <c r="ARL113" s="139"/>
      <c r="ARM113" s="139"/>
      <c r="ARN113" s="139"/>
      <c r="ARO113" s="139"/>
      <c r="ARP113" s="139"/>
      <c r="ARQ113" s="139"/>
      <c r="ARR113" s="139"/>
      <c r="ARS113" s="139"/>
      <c r="ART113" s="139"/>
      <c r="ARU113" s="139"/>
      <c r="ARV113" s="139"/>
      <c r="ARW113" s="139"/>
      <c r="ARX113" s="139"/>
      <c r="ARY113" s="139"/>
      <c r="ARZ113" s="139"/>
      <c r="ASA113" s="139"/>
      <c r="ASB113" s="139"/>
      <c r="ASC113" s="139"/>
      <c r="ASD113" s="139"/>
      <c r="ASE113" s="139"/>
      <c r="ASF113" s="139"/>
      <c r="ASG113" s="139"/>
      <c r="ASH113" s="139"/>
      <c r="ASI113" s="139"/>
      <c r="ASJ113" s="139"/>
      <c r="ASK113" s="139"/>
      <c r="ASL113" s="139"/>
      <c r="ASM113" s="139"/>
      <c r="ASN113" s="139"/>
      <c r="ASO113" s="139"/>
      <c r="ASP113" s="139"/>
      <c r="ASQ113" s="139"/>
      <c r="ASR113" s="139"/>
      <c r="ASS113" s="139"/>
      <c r="AST113" s="139"/>
      <c r="ASU113" s="139"/>
      <c r="ASV113" s="139"/>
      <c r="ASW113" s="139"/>
      <c r="ASX113" s="139"/>
      <c r="ASY113" s="139"/>
      <c r="ASZ113" s="139"/>
      <c r="ATA113" s="139"/>
      <c r="ATB113" s="139"/>
      <c r="ATC113" s="139"/>
      <c r="ATD113" s="139"/>
      <c r="ATE113" s="139"/>
      <c r="ATF113" s="139"/>
      <c r="ATG113" s="139"/>
      <c r="ATH113" s="139"/>
      <c r="ATI113" s="139"/>
      <c r="ATJ113" s="139"/>
      <c r="ATK113" s="139"/>
      <c r="ATL113" s="139"/>
      <c r="ATM113" s="139"/>
      <c r="ATN113" s="139"/>
      <c r="ATO113" s="139"/>
      <c r="ATP113" s="139"/>
      <c r="ATQ113" s="139"/>
      <c r="ATR113" s="139"/>
      <c r="ATS113" s="139"/>
      <c r="ATT113" s="139"/>
      <c r="ATU113" s="139"/>
      <c r="ATV113" s="139"/>
      <c r="ATW113" s="139"/>
      <c r="ATX113" s="139"/>
      <c r="ATY113" s="139"/>
      <c r="ATZ113" s="139"/>
      <c r="AUA113" s="139"/>
      <c r="AUB113" s="139"/>
      <c r="AUC113" s="139"/>
      <c r="AUD113" s="139"/>
      <c r="AUE113" s="139"/>
      <c r="AUF113" s="139"/>
      <c r="AUG113" s="139"/>
      <c r="AUH113" s="139"/>
      <c r="AUI113" s="139"/>
      <c r="AUJ113" s="139"/>
      <c r="AUK113" s="139"/>
      <c r="AUL113" s="139"/>
      <c r="AUM113" s="139"/>
      <c r="AUN113" s="139"/>
      <c r="AUO113" s="139"/>
      <c r="AUP113" s="139"/>
      <c r="AUQ113" s="139"/>
      <c r="AUR113" s="139"/>
      <c r="AUS113" s="139"/>
      <c r="AUT113" s="139"/>
      <c r="AUU113" s="139"/>
      <c r="AUV113" s="139"/>
      <c r="AUW113" s="139"/>
      <c r="AUX113" s="139"/>
      <c r="AUY113" s="139"/>
      <c r="AUZ113" s="139"/>
      <c r="AVA113" s="139"/>
      <c r="AVB113" s="139"/>
      <c r="AVC113" s="139"/>
      <c r="AVD113" s="139"/>
      <c r="AVE113" s="139"/>
      <c r="AVF113" s="139"/>
      <c r="AVG113" s="139"/>
      <c r="AVH113" s="139"/>
      <c r="AVI113" s="139"/>
      <c r="AVJ113" s="139"/>
      <c r="AVK113" s="139"/>
      <c r="AVL113" s="139"/>
      <c r="AVM113" s="139"/>
      <c r="AVN113" s="139"/>
      <c r="AVO113" s="139"/>
      <c r="AVP113" s="139"/>
      <c r="AVQ113" s="139"/>
      <c r="AVR113" s="139"/>
      <c r="AVS113" s="139"/>
      <c r="AVT113" s="139"/>
      <c r="AVU113" s="139"/>
      <c r="AVV113" s="139"/>
      <c r="AVW113" s="139"/>
      <c r="AVX113" s="139"/>
      <c r="AVY113" s="139"/>
      <c r="AVZ113" s="139"/>
      <c r="AWA113" s="139"/>
      <c r="AWB113" s="139"/>
      <c r="AWC113" s="139"/>
      <c r="AWD113" s="139"/>
      <c r="AWE113" s="139"/>
      <c r="AWF113" s="139"/>
      <c r="AWG113" s="139"/>
      <c r="AWH113" s="139"/>
      <c r="AWI113" s="139"/>
      <c r="AWJ113" s="139"/>
      <c r="AWK113" s="139"/>
      <c r="AWL113" s="139"/>
      <c r="AWM113" s="139"/>
      <c r="AWN113" s="139"/>
      <c r="AWO113" s="139"/>
      <c r="AWP113" s="139"/>
      <c r="AWQ113" s="139"/>
      <c r="AWR113" s="139"/>
      <c r="AWS113" s="139"/>
      <c r="AWT113" s="139"/>
      <c r="AWU113" s="139"/>
      <c r="AWV113" s="139"/>
      <c r="AWW113" s="139"/>
      <c r="AWX113" s="139"/>
      <c r="AWY113" s="139"/>
      <c r="AWZ113" s="139"/>
      <c r="AXA113" s="139"/>
      <c r="AXB113" s="139"/>
      <c r="AXC113" s="139"/>
      <c r="AXD113" s="139"/>
      <c r="AXE113" s="139"/>
      <c r="AXF113" s="139"/>
      <c r="AXG113" s="139"/>
      <c r="AXH113" s="139"/>
      <c r="AXI113" s="139"/>
      <c r="AXJ113" s="139"/>
      <c r="AXK113" s="139"/>
      <c r="AXL113" s="139"/>
      <c r="AXM113" s="139"/>
      <c r="AXN113" s="139"/>
      <c r="AXO113" s="139"/>
      <c r="AXP113" s="139"/>
      <c r="AXQ113" s="139"/>
      <c r="AXR113" s="139"/>
      <c r="AXS113" s="139"/>
      <c r="AXT113" s="139"/>
      <c r="AXU113" s="139"/>
      <c r="AXV113" s="139"/>
      <c r="AXW113" s="139"/>
      <c r="AXX113" s="139"/>
      <c r="AXY113" s="139"/>
      <c r="AXZ113" s="139"/>
      <c r="AYA113" s="139"/>
      <c r="AYB113" s="139"/>
      <c r="AYC113" s="139"/>
      <c r="AYD113" s="139"/>
      <c r="AYE113" s="139"/>
      <c r="AYF113" s="139"/>
      <c r="AYG113" s="139"/>
      <c r="AYH113" s="139"/>
      <c r="AYI113" s="139"/>
      <c r="AYJ113" s="139"/>
      <c r="AYK113" s="139"/>
      <c r="AYL113" s="139"/>
      <c r="AYM113" s="139"/>
      <c r="AYN113" s="139"/>
      <c r="AYO113" s="139"/>
      <c r="AYP113" s="139"/>
      <c r="AYQ113" s="139"/>
      <c r="AYR113" s="139"/>
      <c r="AYS113" s="139"/>
      <c r="AYT113" s="139"/>
      <c r="AYU113" s="139"/>
      <c r="AYV113" s="139"/>
      <c r="AYW113" s="139"/>
      <c r="AYX113" s="139"/>
      <c r="AYY113" s="139"/>
      <c r="AYZ113" s="139"/>
      <c r="AZA113" s="139"/>
      <c r="AZB113" s="139"/>
      <c r="AZC113" s="139"/>
      <c r="AZD113" s="139"/>
      <c r="AZE113" s="139"/>
      <c r="AZF113" s="139"/>
      <c r="AZG113" s="139"/>
      <c r="AZH113" s="139"/>
      <c r="AZI113" s="139"/>
      <c r="AZJ113" s="139"/>
      <c r="AZK113" s="139"/>
      <c r="AZL113" s="139"/>
      <c r="AZM113" s="139"/>
      <c r="AZN113" s="139"/>
      <c r="AZO113" s="139"/>
      <c r="AZP113" s="139"/>
      <c r="AZQ113" s="139"/>
      <c r="AZR113" s="139"/>
      <c r="AZS113" s="139"/>
      <c r="AZT113" s="139"/>
      <c r="AZU113" s="139"/>
      <c r="AZV113" s="139"/>
      <c r="AZW113" s="139"/>
      <c r="AZX113" s="139"/>
      <c r="AZY113" s="139"/>
      <c r="AZZ113" s="139"/>
      <c r="BAA113" s="139"/>
      <c r="BAB113" s="139"/>
      <c r="BAC113" s="139"/>
      <c r="BAD113" s="139"/>
      <c r="BAE113" s="139"/>
      <c r="BAF113" s="139"/>
      <c r="BAG113" s="139"/>
      <c r="BAH113" s="139"/>
      <c r="BAI113" s="139"/>
      <c r="BAJ113" s="139"/>
      <c r="BAK113" s="139"/>
      <c r="BAL113" s="139"/>
      <c r="BAM113" s="139"/>
      <c r="BAN113" s="139"/>
      <c r="BAO113" s="139"/>
      <c r="BAP113" s="139"/>
      <c r="BAQ113" s="139"/>
      <c r="BAR113" s="139"/>
      <c r="BAS113" s="139"/>
      <c r="BAT113" s="139"/>
      <c r="BAU113" s="139"/>
      <c r="BAV113" s="139"/>
      <c r="BAW113" s="139"/>
      <c r="BAX113" s="139"/>
      <c r="BAY113" s="139"/>
      <c r="BAZ113" s="139"/>
      <c r="BBA113" s="139"/>
      <c r="BBB113" s="139"/>
      <c r="BBC113" s="139"/>
      <c r="BBD113" s="139"/>
      <c r="BBE113" s="139"/>
      <c r="BBF113" s="139"/>
      <c r="BBG113" s="139"/>
      <c r="BBH113" s="139"/>
      <c r="BBI113" s="139"/>
      <c r="BBJ113" s="139"/>
      <c r="BBK113" s="139"/>
      <c r="BBL113" s="139"/>
      <c r="BBM113" s="139"/>
      <c r="BBN113" s="139"/>
      <c r="BBO113" s="139"/>
      <c r="BBP113" s="139"/>
      <c r="BBQ113" s="139"/>
      <c r="BBR113" s="139"/>
      <c r="BBS113" s="139"/>
      <c r="BBT113" s="139"/>
      <c r="BBU113" s="139"/>
      <c r="BBV113" s="139"/>
      <c r="BBW113" s="139"/>
      <c r="BBX113" s="139"/>
      <c r="BBY113" s="139"/>
      <c r="BBZ113" s="139"/>
      <c r="BCA113" s="139"/>
      <c r="BCB113" s="139"/>
      <c r="BCC113" s="139"/>
      <c r="BCD113" s="139"/>
      <c r="BCE113" s="139"/>
      <c r="BCF113" s="139"/>
      <c r="BCG113" s="139"/>
      <c r="BCH113" s="139"/>
      <c r="BCI113" s="139"/>
      <c r="BCJ113" s="139"/>
      <c r="BCK113" s="139"/>
      <c r="BCL113" s="139"/>
      <c r="BCM113" s="139"/>
      <c r="BCN113" s="139"/>
      <c r="BCO113" s="139"/>
      <c r="BCP113" s="139"/>
      <c r="BCQ113" s="139"/>
      <c r="BCR113" s="139"/>
      <c r="BCS113" s="139"/>
      <c r="BCT113" s="139"/>
      <c r="BCU113" s="139"/>
      <c r="BCV113" s="139"/>
      <c r="BCW113" s="139"/>
      <c r="BCX113" s="139"/>
      <c r="BCY113" s="139"/>
      <c r="BCZ113" s="139"/>
      <c r="BDA113" s="139"/>
      <c r="BDB113" s="139"/>
      <c r="BDC113" s="139"/>
      <c r="BDD113" s="139"/>
      <c r="BDE113" s="139"/>
      <c r="BDF113" s="139"/>
      <c r="BDG113" s="139"/>
      <c r="BDH113" s="139"/>
      <c r="BDI113" s="139"/>
      <c r="BDJ113" s="139"/>
      <c r="BDK113" s="139"/>
      <c r="BDL113" s="139"/>
      <c r="BDM113" s="139"/>
      <c r="BDN113" s="139"/>
      <c r="BDO113" s="139"/>
      <c r="BDP113" s="139"/>
      <c r="BDQ113" s="139"/>
      <c r="BDR113" s="139"/>
      <c r="BDS113" s="139"/>
      <c r="BDT113" s="139"/>
      <c r="BDU113" s="139"/>
      <c r="BDV113" s="139"/>
      <c r="BDW113" s="139"/>
      <c r="BDX113" s="139"/>
      <c r="BDY113" s="139"/>
      <c r="BDZ113" s="139"/>
      <c r="BEA113" s="139"/>
      <c r="BEB113" s="139"/>
      <c r="BEC113" s="139"/>
      <c r="BED113" s="139"/>
      <c r="BEE113" s="139"/>
      <c r="BEF113" s="139"/>
      <c r="BEG113" s="139"/>
      <c r="BEH113" s="139"/>
      <c r="BEI113" s="139"/>
      <c r="BEJ113" s="139"/>
      <c r="BEK113" s="139"/>
      <c r="BEL113" s="139"/>
      <c r="BEM113" s="139"/>
      <c r="BEN113" s="139"/>
      <c r="BEO113" s="139"/>
      <c r="BEP113" s="139"/>
      <c r="BEQ113" s="139"/>
      <c r="BER113" s="139"/>
      <c r="BES113" s="139"/>
      <c r="BET113" s="139"/>
      <c r="BEU113" s="139"/>
      <c r="BEV113" s="139"/>
      <c r="BEW113" s="139"/>
      <c r="BEX113" s="139"/>
      <c r="BEY113" s="139"/>
      <c r="BEZ113" s="139"/>
      <c r="BFA113" s="139"/>
      <c r="BFB113" s="139"/>
      <c r="BFC113" s="139"/>
      <c r="BFD113" s="139"/>
      <c r="BFE113" s="139"/>
      <c r="BFF113" s="139"/>
      <c r="BFG113" s="139"/>
      <c r="BFH113" s="139"/>
      <c r="BFI113" s="139"/>
      <c r="BFJ113" s="139"/>
      <c r="BFK113" s="139"/>
      <c r="BFL113" s="139"/>
      <c r="BFM113" s="139"/>
      <c r="BFN113" s="139"/>
      <c r="BFO113" s="139"/>
      <c r="BFP113" s="139"/>
      <c r="BFQ113" s="139"/>
      <c r="BFR113" s="139"/>
      <c r="BFS113" s="139"/>
      <c r="BFT113" s="139"/>
      <c r="BFU113" s="139"/>
      <c r="BFV113" s="139"/>
      <c r="BFW113" s="139"/>
      <c r="BFX113" s="139"/>
      <c r="BFY113" s="139"/>
      <c r="BFZ113" s="139"/>
      <c r="BGA113" s="139"/>
      <c r="BGB113" s="139"/>
      <c r="BGC113" s="139"/>
      <c r="BGD113" s="139"/>
      <c r="BGE113" s="139"/>
      <c r="BGF113" s="139"/>
      <c r="BGG113" s="139"/>
      <c r="BGH113" s="139"/>
      <c r="BGI113" s="139"/>
      <c r="BGJ113" s="139"/>
      <c r="BGK113" s="139"/>
      <c r="BGL113" s="139"/>
      <c r="BGM113" s="139"/>
      <c r="BGN113" s="139"/>
      <c r="BGO113" s="139"/>
      <c r="BGP113" s="139"/>
      <c r="BGQ113" s="139"/>
      <c r="BGR113" s="139"/>
      <c r="BGS113" s="139"/>
      <c r="BGT113" s="139"/>
      <c r="BGU113" s="139"/>
      <c r="BGV113" s="139"/>
      <c r="BGW113" s="139"/>
      <c r="BGX113" s="139"/>
      <c r="BGY113" s="139"/>
      <c r="BGZ113" s="139"/>
      <c r="BHA113" s="139"/>
      <c r="BHB113" s="139"/>
      <c r="BHC113" s="139"/>
      <c r="BHD113" s="139"/>
      <c r="BHE113" s="139"/>
      <c r="BHF113" s="139"/>
      <c r="BHG113" s="139"/>
      <c r="BHH113" s="139"/>
      <c r="BHI113" s="139"/>
      <c r="BHJ113" s="139"/>
      <c r="BHK113" s="139"/>
      <c r="BHL113" s="139"/>
      <c r="BHM113" s="139"/>
      <c r="BHN113" s="139"/>
      <c r="BHO113" s="139"/>
      <c r="BHP113" s="139"/>
      <c r="BHQ113" s="139"/>
      <c r="BHR113" s="139"/>
      <c r="BHS113" s="139"/>
      <c r="BHT113" s="139"/>
      <c r="BHU113" s="139"/>
      <c r="BHV113" s="139"/>
      <c r="BHW113" s="139"/>
      <c r="BHX113" s="139"/>
      <c r="BHY113" s="139"/>
      <c r="BHZ113" s="139"/>
      <c r="BIA113" s="139"/>
      <c r="BIB113" s="139"/>
      <c r="BIC113" s="139"/>
      <c r="BID113" s="139"/>
      <c r="BIE113" s="139"/>
      <c r="BIF113" s="139"/>
      <c r="BIG113" s="139"/>
      <c r="BIH113" s="139"/>
      <c r="BII113" s="139"/>
      <c r="BIJ113" s="139"/>
      <c r="BIK113" s="139"/>
      <c r="BIL113" s="139"/>
      <c r="BIM113" s="139"/>
      <c r="BIN113" s="139"/>
      <c r="BIO113" s="139"/>
      <c r="BIP113" s="139"/>
      <c r="BIQ113" s="139"/>
      <c r="BIR113" s="139"/>
      <c r="BIS113" s="139"/>
      <c r="BIT113" s="139"/>
      <c r="BIU113" s="139"/>
      <c r="BIV113" s="139"/>
      <c r="BIW113" s="139"/>
      <c r="BIX113" s="139"/>
      <c r="BIY113" s="139"/>
      <c r="BIZ113" s="139"/>
      <c r="BJA113" s="139"/>
      <c r="BJB113" s="139"/>
      <c r="BJC113" s="139"/>
      <c r="BJD113" s="139"/>
      <c r="BJE113" s="139"/>
      <c r="BJF113" s="139"/>
      <c r="BJG113" s="139"/>
      <c r="BJH113" s="139"/>
      <c r="BJI113" s="139"/>
      <c r="BJJ113" s="139"/>
      <c r="BJK113" s="139"/>
      <c r="BJL113" s="139"/>
      <c r="BJM113" s="139"/>
      <c r="BJN113" s="139"/>
      <c r="BJO113" s="139"/>
      <c r="BJP113" s="139"/>
      <c r="BJQ113" s="139"/>
      <c r="BJR113" s="139"/>
      <c r="BJS113" s="139"/>
      <c r="BJT113" s="139"/>
      <c r="BJU113" s="139"/>
      <c r="BJV113" s="139"/>
      <c r="BJW113" s="139"/>
      <c r="BJX113" s="139"/>
      <c r="BJY113" s="139"/>
      <c r="BJZ113" s="139"/>
      <c r="BKA113" s="139"/>
      <c r="BKB113" s="139"/>
      <c r="BKC113" s="139"/>
      <c r="BKD113" s="139"/>
      <c r="BKE113" s="139"/>
      <c r="BKF113" s="139"/>
      <c r="BKG113" s="139"/>
      <c r="BKH113" s="139"/>
      <c r="BKI113" s="139"/>
      <c r="BKJ113" s="139"/>
      <c r="BKK113" s="139"/>
      <c r="BKL113" s="139"/>
      <c r="BKM113" s="139"/>
      <c r="BKN113" s="139"/>
      <c r="BKO113" s="139"/>
      <c r="BKP113" s="139"/>
      <c r="BKQ113" s="139"/>
      <c r="BKR113" s="139"/>
      <c r="BKS113" s="139"/>
      <c r="BKT113" s="139"/>
      <c r="BKU113" s="139"/>
      <c r="BKV113" s="139"/>
      <c r="BKW113" s="139"/>
      <c r="BKX113" s="139"/>
      <c r="BKY113" s="139"/>
      <c r="BKZ113" s="139"/>
      <c r="BLA113" s="139"/>
      <c r="BLB113" s="139"/>
      <c r="BLC113" s="139"/>
      <c r="BLD113" s="139"/>
      <c r="BLE113" s="139"/>
      <c r="BLF113" s="139"/>
      <c r="BLG113" s="139"/>
      <c r="BLH113" s="139"/>
      <c r="BLI113" s="139"/>
      <c r="BLJ113" s="139"/>
      <c r="BLK113" s="139"/>
      <c r="BLL113" s="139"/>
      <c r="BLM113" s="139"/>
      <c r="BLN113" s="139"/>
      <c r="BLO113" s="139"/>
      <c r="BLP113" s="139"/>
      <c r="BLQ113" s="139"/>
      <c r="BLR113" s="139"/>
      <c r="BLS113" s="139"/>
      <c r="BLT113" s="139"/>
      <c r="BLU113" s="139"/>
      <c r="BLV113" s="139"/>
      <c r="BLW113" s="139"/>
      <c r="BLX113" s="139"/>
      <c r="BLY113" s="139"/>
      <c r="BLZ113" s="139"/>
      <c r="BMA113" s="139"/>
      <c r="BMB113" s="139"/>
      <c r="BMC113" s="139"/>
      <c r="BMD113" s="139"/>
      <c r="BME113" s="139"/>
      <c r="BMF113" s="139"/>
      <c r="BMG113" s="139"/>
      <c r="BMH113" s="139"/>
      <c r="BMI113" s="139"/>
      <c r="BMJ113" s="139"/>
      <c r="BMK113" s="139"/>
      <c r="BML113" s="139"/>
      <c r="BMM113" s="139"/>
      <c r="BMN113" s="139"/>
      <c r="BMO113" s="139"/>
      <c r="BMP113" s="139"/>
      <c r="BMQ113" s="139"/>
      <c r="BMR113" s="139"/>
      <c r="BMS113" s="139"/>
      <c r="BMT113" s="139"/>
      <c r="BMU113" s="139"/>
      <c r="BMV113" s="139"/>
      <c r="BMW113" s="139"/>
      <c r="BMX113" s="139"/>
      <c r="BMY113" s="139"/>
      <c r="BMZ113" s="139"/>
      <c r="BNA113" s="139"/>
      <c r="BNB113" s="139"/>
      <c r="BNC113" s="139"/>
      <c r="BND113" s="139"/>
      <c r="BNE113" s="139"/>
      <c r="BNF113" s="139"/>
      <c r="BNG113" s="139"/>
      <c r="BNH113" s="139"/>
      <c r="BNI113" s="139"/>
      <c r="BNJ113" s="139"/>
      <c r="BNK113" s="139"/>
      <c r="BNL113" s="139"/>
      <c r="BNM113" s="139"/>
      <c r="BNN113" s="139"/>
      <c r="BNO113" s="139"/>
      <c r="BNP113" s="139"/>
      <c r="BNQ113" s="139"/>
      <c r="BNR113" s="139"/>
      <c r="BNS113" s="139"/>
      <c r="BNT113" s="139"/>
      <c r="BNU113" s="139"/>
      <c r="BNV113" s="139"/>
      <c r="BNW113" s="139"/>
      <c r="BNX113" s="139"/>
      <c r="BNY113" s="139"/>
      <c r="BNZ113" s="139"/>
      <c r="BOA113" s="139"/>
      <c r="BOB113" s="139"/>
      <c r="BOC113" s="139"/>
      <c r="BOD113" s="139"/>
      <c r="BOE113" s="139"/>
      <c r="BOF113" s="139"/>
      <c r="BOG113" s="139"/>
      <c r="BOH113" s="139"/>
      <c r="BOI113" s="139"/>
      <c r="BOJ113" s="139"/>
      <c r="BOK113" s="139"/>
      <c r="BOL113" s="139"/>
      <c r="BOM113" s="139"/>
      <c r="BON113" s="139"/>
      <c r="BOO113" s="139"/>
      <c r="BOP113" s="139"/>
      <c r="BOQ113" s="139"/>
      <c r="BOR113" s="139"/>
      <c r="BOS113" s="139"/>
      <c r="BOT113" s="139"/>
      <c r="BOU113" s="139"/>
      <c r="BOV113" s="139"/>
      <c r="BOW113" s="139"/>
      <c r="BOX113" s="139"/>
      <c r="BOY113" s="139"/>
      <c r="BOZ113" s="139"/>
      <c r="BPA113" s="139"/>
      <c r="BPB113" s="139"/>
      <c r="BPC113" s="139"/>
      <c r="BPD113" s="139"/>
      <c r="BPE113" s="139"/>
      <c r="BPF113" s="139"/>
      <c r="BPG113" s="139"/>
      <c r="BPH113" s="139"/>
      <c r="BPI113" s="139"/>
      <c r="BPJ113" s="139"/>
      <c r="BPK113" s="139"/>
      <c r="BPL113" s="139"/>
      <c r="BPM113" s="139"/>
      <c r="BPN113" s="139"/>
      <c r="BPO113" s="139"/>
      <c r="BPP113" s="139"/>
      <c r="BPQ113" s="139"/>
      <c r="BPR113" s="139"/>
      <c r="BPS113" s="139"/>
      <c r="BPT113" s="139"/>
      <c r="BPU113" s="139"/>
      <c r="BPV113" s="139"/>
      <c r="BPW113" s="139"/>
      <c r="BPX113" s="139"/>
      <c r="BPY113" s="139"/>
      <c r="BPZ113" s="139"/>
      <c r="BQA113" s="139"/>
      <c r="BQB113" s="139"/>
      <c r="BQC113" s="139"/>
      <c r="BQD113" s="139"/>
      <c r="BQE113" s="139"/>
      <c r="BQF113" s="139"/>
      <c r="BQG113" s="139"/>
      <c r="BQH113" s="139"/>
      <c r="BQI113" s="139"/>
      <c r="BQJ113" s="139"/>
      <c r="BQK113" s="139"/>
      <c r="BQL113" s="139"/>
      <c r="BQM113" s="139"/>
      <c r="BQN113" s="139"/>
      <c r="BQO113" s="139"/>
      <c r="BQP113" s="139"/>
      <c r="BQQ113" s="139"/>
      <c r="BQR113" s="139"/>
      <c r="BQS113" s="139"/>
      <c r="BQT113" s="139"/>
      <c r="BQU113" s="139"/>
      <c r="BQV113" s="139"/>
      <c r="BQW113" s="139"/>
      <c r="BQX113" s="139"/>
      <c r="BQY113" s="139"/>
      <c r="BQZ113" s="139"/>
      <c r="BRA113" s="139"/>
      <c r="BRB113" s="139"/>
      <c r="BRC113" s="139"/>
      <c r="BRD113" s="139"/>
      <c r="BRE113" s="139"/>
      <c r="BRF113" s="139"/>
      <c r="BRG113" s="139"/>
      <c r="BRH113" s="139"/>
      <c r="BRI113" s="139"/>
      <c r="BRJ113" s="139"/>
      <c r="BRK113" s="139"/>
      <c r="BRL113" s="139"/>
      <c r="BRM113" s="139"/>
      <c r="BRN113" s="139"/>
      <c r="BRO113" s="139"/>
      <c r="BRP113" s="139"/>
      <c r="BRQ113" s="139"/>
      <c r="BRR113" s="139"/>
      <c r="BRS113" s="139"/>
      <c r="BRT113" s="139"/>
      <c r="BRU113" s="139"/>
      <c r="BRV113" s="139"/>
      <c r="BRW113" s="139"/>
      <c r="BRX113" s="139"/>
      <c r="BRY113" s="139"/>
      <c r="BRZ113" s="139"/>
      <c r="BSA113" s="139"/>
      <c r="BSB113" s="139"/>
      <c r="BSC113" s="139"/>
      <c r="BSD113" s="139"/>
      <c r="BSE113" s="139"/>
      <c r="BSF113" s="139"/>
      <c r="BSG113" s="139"/>
      <c r="BSH113" s="139"/>
      <c r="BSI113" s="139"/>
      <c r="BSJ113" s="139"/>
      <c r="BSK113" s="139"/>
      <c r="BSL113" s="139"/>
      <c r="BSM113" s="139"/>
      <c r="BSN113" s="139"/>
      <c r="BSO113" s="139"/>
      <c r="BSP113" s="139"/>
      <c r="BSQ113" s="139"/>
      <c r="BSR113" s="139"/>
      <c r="BSS113" s="139"/>
      <c r="BST113" s="139"/>
      <c r="BSU113" s="139"/>
      <c r="BSV113" s="139"/>
      <c r="BSW113" s="139"/>
      <c r="BSX113" s="139"/>
      <c r="BSY113" s="139"/>
      <c r="BSZ113" s="139"/>
      <c r="BTA113" s="139"/>
      <c r="BTB113" s="139"/>
      <c r="BTC113" s="139"/>
      <c r="BTD113" s="139"/>
      <c r="BTE113" s="139"/>
      <c r="BTF113" s="139"/>
      <c r="BTG113" s="139"/>
      <c r="BTH113" s="139"/>
      <c r="BTI113" s="139"/>
      <c r="BTJ113" s="139"/>
      <c r="BTK113" s="139"/>
      <c r="BTL113" s="139"/>
      <c r="BTM113" s="139"/>
      <c r="BTN113" s="139"/>
      <c r="BTO113" s="139"/>
      <c r="BTP113" s="139"/>
      <c r="BTQ113" s="139"/>
      <c r="BTR113" s="139"/>
      <c r="BTS113" s="139"/>
      <c r="BTT113" s="139"/>
      <c r="BTU113" s="139"/>
      <c r="BTV113" s="139"/>
      <c r="BTW113" s="139"/>
      <c r="BTX113" s="139"/>
      <c r="BTY113" s="139"/>
      <c r="BTZ113" s="139"/>
      <c r="BUA113" s="139"/>
      <c r="BUB113" s="139"/>
      <c r="BUC113" s="139"/>
      <c r="BUD113" s="139"/>
      <c r="BUE113" s="139"/>
      <c r="BUF113" s="139"/>
      <c r="BUG113" s="139"/>
      <c r="BUH113" s="139"/>
      <c r="BUI113" s="139"/>
      <c r="BUJ113" s="139"/>
      <c r="BUK113" s="139"/>
      <c r="BUL113" s="139"/>
      <c r="BUM113" s="139"/>
      <c r="BUN113" s="139"/>
      <c r="BUO113" s="139"/>
      <c r="BUP113" s="139"/>
      <c r="BUQ113" s="139"/>
      <c r="BUR113" s="139"/>
      <c r="BUS113" s="139"/>
      <c r="BUT113" s="139"/>
      <c r="BUU113" s="139"/>
      <c r="BUV113" s="139"/>
      <c r="BUW113" s="139"/>
      <c r="BUX113" s="139"/>
      <c r="BUY113" s="139"/>
      <c r="BUZ113" s="139"/>
      <c r="BVA113" s="139"/>
      <c r="BVB113" s="139"/>
      <c r="BVC113" s="139"/>
      <c r="BVD113" s="139"/>
      <c r="BVE113" s="139"/>
      <c r="BVF113" s="139"/>
      <c r="BVG113" s="139"/>
      <c r="BVH113" s="139"/>
      <c r="BVI113" s="139"/>
      <c r="BVJ113" s="139"/>
      <c r="BVK113" s="139"/>
      <c r="BVL113" s="139"/>
      <c r="BVM113" s="139"/>
      <c r="BVN113" s="139"/>
      <c r="BVO113" s="139"/>
      <c r="BVP113" s="139"/>
      <c r="BVQ113" s="139"/>
      <c r="BVR113" s="139"/>
      <c r="BVS113" s="139"/>
      <c r="BVT113" s="139"/>
      <c r="BVU113" s="139"/>
      <c r="BVV113" s="139"/>
      <c r="BVW113" s="139"/>
      <c r="BVX113" s="139"/>
      <c r="BVY113" s="139"/>
      <c r="BVZ113" s="139"/>
      <c r="BWA113" s="139"/>
      <c r="BWB113" s="139"/>
      <c r="BWC113" s="139"/>
      <c r="BWD113" s="139"/>
      <c r="BWE113" s="139"/>
      <c r="BWF113" s="139"/>
      <c r="BWG113" s="139"/>
      <c r="BWH113" s="139"/>
      <c r="BWI113" s="139"/>
      <c r="BWJ113" s="139"/>
      <c r="BWK113" s="139"/>
      <c r="BWL113" s="139"/>
      <c r="BWM113" s="139"/>
      <c r="BWN113" s="139"/>
      <c r="BWO113" s="139"/>
      <c r="BWP113" s="139"/>
      <c r="BWQ113" s="139"/>
      <c r="BWR113" s="139"/>
      <c r="BWS113" s="139"/>
      <c r="BWT113" s="139"/>
      <c r="BWU113" s="139"/>
      <c r="BWV113" s="139"/>
      <c r="BWW113" s="139"/>
      <c r="BWX113" s="139"/>
      <c r="BWY113" s="139"/>
      <c r="BWZ113" s="139"/>
      <c r="BXA113" s="139"/>
      <c r="BXB113" s="139"/>
      <c r="BXC113" s="139"/>
      <c r="BXD113" s="139"/>
      <c r="BXE113" s="139"/>
      <c r="BXF113" s="139"/>
      <c r="BXG113" s="139"/>
      <c r="BXH113" s="139"/>
      <c r="BXI113" s="139"/>
      <c r="BXJ113" s="139"/>
      <c r="BXK113" s="139"/>
      <c r="BXL113" s="139"/>
      <c r="BXM113" s="139"/>
      <c r="BXN113" s="139"/>
      <c r="BXO113" s="139"/>
      <c r="BXP113" s="139"/>
      <c r="BXQ113" s="139"/>
      <c r="BXR113" s="139"/>
      <c r="BXS113" s="139"/>
      <c r="BXT113" s="139"/>
      <c r="BXU113" s="139"/>
      <c r="BXV113" s="139"/>
      <c r="BXW113" s="139"/>
      <c r="BXX113" s="139"/>
      <c r="BXY113" s="139"/>
      <c r="BXZ113" s="139"/>
      <c r="BYA113" s="139"/>
      <c r="BYB113" s="139"/>
      <c r="BYC113" s="139"/>
      <c r="BYD113" s="139"/>
      <c r="BYE113" s="139"/>
      <c r="BYF113" s="139"/>
      <c r="BYG113" s="139"/>
      <c r="BYH113" s="139"/>
      <c r="BYI113" s="139"/>
      <c r="BYJ113" s="139"/>
      <c r="BYK113" s="139"/>
      <c r="BYL113" s="139"/>
      <c r="BYM113" s="139"/>
      <c r="BYN113" s="139"/>
      <c r="BYO113" s="139"/>
      <c r="BYP113" s="139"/>
      <c r="BYQ113" s="139"/>
      <c r="BYR113" s="139"/>
      <c r="BYS113" s="139"/>
      <c r="BYT113" s="139"/>
      <c r="BYU113" s="139"/>
      <c r="BYV113" s="139"/>
      <c r="BYW113" s="139"/>
      <c r="BYX113" s="139"/>
      <c r="BYY113" s="139"/>
      <c r="BYZ113" s="139"/>
      <c r="BZA113" s="139"/>
      <c r="BZB113" s="139"/>
      <c r="BZC113" s="139"/>
      <c r="BZD113" s="139"/>
      <c r="BZE113" s="139"/>
      <c r="BZF113" s="139"/>
      <c r="BZG113" s="139"/>
      <c r="BZH113" s="139"/>
      <c r="BZI113" s="139"/>
      <c r="BZJ113" s="139"/>
      <c r="BZK113" s="139"/>
      <c r="BZL113" s="139"/>
      <c r="BZM113" s="139"/>
      <c r="BZN113" s="139"/>
      <c r="BZO113" s="139"/>
      <c r="BZP113" s="139"/>
      <c r="BZQ113" s="139"/>
      <c r="BZR113" s="139"/>
      <c r="BZS113" s="139"/>
      <c r="BZT113" s="139"/>
      <c r="BZU113" s="139"/>
      <c r="BZV113" s="139"/>
      <c r="BZW113" s="139"/>
      <c r="BZX113" s="139"/>
      <c r="BZY113" s="139"/>
      <c r="BZZ113" s="139"/>
      <c r="CAA113" s="139"/>
      <c r="CAB113" s="139"/>
      <c r="CAC113" s="139"/>
      <c r="CAD113" s="139"/>
      <c r="CAE113" s="139"/>
      <c r="CAF113" s="139"/>
      <c r="CAG113" s="139"/>
      <c r="CAH113" s="139"/>
      <c r="CAI113" s="139"/>
      <c r="CAJ113" s="139"/>
      <c r="CAK113" s="139"/>
      <c r="CAL113" s="139"/>
      <c r="CAM113" s="139"/>
      <c r="CAN113" s="139"/>
      <c r="CAO113" s="139"/>
      <c r="CAP113" s="139"/>
      <c r="CAQ113" s="139"/>
      <c r="CAR113" s="139"/>
      <c r="CAS113" s="139"/>
      <c r="CAT113" s="139"/>
      <c r="CAU113" s="139"/>
      <c r="CAV113" s="139"/>
      <c r="CAW113" s="139"/>
      <c r="CAX113" s="139"/>
      <c r="CAY113" s="139"/>
      <c r="CAZ113" s="139"/>
      <c r="CBA113" s="139"/>
      <c r="CBB113" s="139"/>
      <c r="CBC113" s="139"/>
      <c r="CBD113" s="139"/>
      <c r="CBE113" s="139"/>
      <c r="CBF113" s="139"/>
      <c r="CBG113" s="139"/>
      <c r="CBH113" s="139"/>
      <c r="CBI113" s="139"/>
      <c r="CBJ113" s="139"/>
      <c r="CBK113" s="139"/>
      <c r="CBL113" s="139"/>
      <c r="CBM113" s="139"/>
      <c r="CBN113" s="139"/>
      <c r="CBO113" s="139"/>
      <c r="CBP113" s="139"/>
      <c r="CBQ113" s="139"/>
      <c r="CBR113" s="139"/>
      <c r="CBS113" s="139"/>
      <c r="CBT113" s="139"/>
      <c r="CBU113" s="139"/>
      <c r="CBV113" s="139"/>
      <c r="CBW113" s="139"/>
      <c r="CBX113" s="139"/>
      <c r="CBY113" s="139"/>
      <c r="CBZ113" s="139"/>
      <c r="CCA113" s="139"/>
      <c r="CCB113" s="139"/>
      <c r="CCC113" s="139"/>
      <c r="CCD113" s="139"/>
      <c r="CCE113" s="139"/>
      <c r="CCF113" s="139"/>
      <c r="CCG113" s="139"/>
      <c r="CCH113" s="139"/>
      <c r="CCI113" s="139"/>
      <c r="CCJ113" s="139"/>
      <c r="CCK113" s="139"/>
      <c r="CCL113" s="139"/>
      <c r="CCM113" s="139"/>
      <c r="CCN113" s="139"/>
      <c r="CCO113" s="139"/>
      <c r="CCP113" s="139"/>
      <c r="CCQ113" s="139"/>
      <c r="CCR113" s="139"/>
      <c r="CCS113" s="139"/>
      <c r="CCT113" s="139"/>
      <c r="CCU113" s="139"/>
      <c r="CCV113" s="139"/>
      <c r="CCW113" s="139"/>
      <c r="CCX113" s="139"/>
      <c r="CCY113" s="139"/>
      <c r="CCZ113" s="139"/>
      <c r="CDA113" s="139"/>
      <c r="CDB113" s="139"/>
      <c r="CDC113" s="139"/>
      <c r="CDD113" s="139"/>
      <c r="CDE113" s="139"/>
      <c r="CDF113" s="139"/>
      <c r="CDG113" s="139"/>
      <c r="CDH113" s="139"/>
      <c r="CDI113" s="139"/>
      <c r="CDJ113" s="139"/>
      <c r="CDK113" s="139"/>
      <c r="CDL113" s="139"/>
      <c r="CDM113" s="139"/>
      <c r="CDN113" s="139"/>
      <c r="CDO113" s="139"/>
      <c r="CDP113" s="139"/>
      <c r="CDQ113" s="139"/>
      <c r="CDR113" s="139"/>
      <c r="CDS113" s="139"/>
      <c r="CDT113" s="139"/>
      <c r="CDU113" s="139"/>
      <c r="CDV113" s="139"/>
      <c r="CDW113" s="139"/>
      <c r="CDX113" s="139"/>
      <c r="CDY113" s="139"/>
      <c r="CDZ113" s="139"/>
      <c r="CEA113" s="139"/>
      <c r="CEB113" s="139"/>
      <c r="CEC113" s="139"/>
      <c r="CED113" s="139"/>
      <c r="CEE113" s="139"/>
      <c r="CEF113" s="139"/>
      <c r="CEG113" s="139"/>
      <c r="CEH113" s="139"/>
      <c r="CEI113" s="139"/>
      <c r="CEJ113" s="139"/>
      <c r="CEK113" s="139"/>
      <c r="CEL113" s="139"/>
      <c r="CEM113" s="139"/>
      <c r="CEN113" s="139"/>
      <c r="CEO113" s="139"/>
      <c r="CEP113" s="139"/>
      <c r="CEQ113" s="139"/>
      <c r="CER113" s="139"/>
      <c r="CES113" s="139"/>
      <c r="CET113" s="139"/>
      <c r="CEU113" s="139"/>
      <c r="CEV113" s="139"/>
      <c r="CEW113" s="139"/>
      <c r="CEX113" s="139"/>
      <c r="CEY113" s="139"/>
      <c r="CEZ113" s="139"/>
      <c r="CFA113" s="139"/>
      <c r="CFB113" s="139"/>
      <c r="CFC113" s="139"/>
      <c r="CFD113" s="139"/>
      <c r="CFE113" s="139"/>
      <c r="CFF113" s="139"/>
      <c r="CFG113" s="139"/>
      <c r="CFH113" s="139"/>
      <c r="CFI113" s="139"/>
      <c r="CFJ113" s="139"/>
      <c r="CFK113" s="139"/>
      <c r="CFL113" s="139"/>
      <c r="CFM113" s="139"/>
      <c r="CFN113" s="139"/>
      <c r="CFO113" s="139"/>
      <c r="CFP113" s="139"/>
      <c r="CFQ113" s="139"/>
      <c r="CFR113" s="139"/>
      <c r="CFS113" s="139"/>
      <c r="CFT113" s="139"/>
      <c r="CFU113" s="139"/>
      <c r="CFV113" s="139"/>
      <c r="CFW113" s="139"/>
      <c r="CFX113" s="139"/>
      <c r="CFY113" s="139"/>
      <c r="CFZ113" s="139"/>
      <c r="CGA113" s="139"/>
      <c r="CGB113" s="139"/>
      <c r="CGC113" s="139"/>
      <c r="CGD113" s="139"/>
      <c r="CGE113" s="139"/>
      <c r="CGF113" s="139"/>
      <c r="CGG113" s="139"/>
      <c r="CGH113" s="139"/>
      <c r="CGI113" s="139"/>
      <c r="CGJ113" s="139"/>
      <c r="CGK113" s="139"/>
      <c r="CGL113" s="139"/>
      <c r="CGM113" s="139"/>
      <c r="CGN113" s="139"/>
      <c r="CGO113" s="139"/>
      <c r="CGP113" s="139"/>
      <c r="CGQ113" s="139"/>
      <c r="CGR113" s="139"/>
      <c r="CGS113" s="139"/>
      <c r="CGT113" s="139"/>
      <c r="CGU113" s="139"/>
      <c r="CGV113" s="139"/>
      <c r="CGW113" s="139"/>
      <c r="CGX113" s="139"/>
      <c r="CGY113" s="139"/>
      <c r="CGZ113" s="139"/>
      <c r="CHA113" s="139"/>
      <c r="CHB113" s="139"/>
      <c r="CHC113" s="139"/>
      <c r="CHD113" s="139"/>
      <c r="CHE113" s="139"/>
      <c r="CHF113" s="139"/>
      <c r="CHG113" s="139"/>
      <c r="CHH113" s="139"/>
      <c r="CHI113" s="139"/>
      <c r="CHJ113" s="139"/>
      <c r="CHK113" s="139"/>
      <c r="CHL113" s="139"/>
      <c r="CHM113" s="139"/>
      <c r="CHN113" s="139"/>
      <c r="CHO113" s="139"/>
      <c r="CHP113" s="139"/>
      <c r="CHQ113" s="139"/>
      <c r="CHR113" s="139"/>
      <c r="CHS113" s="139"/>
      <c r="CHT113" s="139"/>
      <c r="CHU113" s="139"/>
      <c r="CHV113" s="139"/>
      <c r="CHW113" s="139"/>
      <c r="CHX113" s="139"/>
      <c r="CHY113" s="139"/>
      <c r="CHZ113" s="139"/>
      <c r="CIA113" s="139"/>
      <c r="CIB113" s="139"/>
      <c r="CIC113" s="139"/>
      <c r="CID113" s="139"/>
      <c r="CIE113" s="139"/>
      <c r="CIF113" s="139"/>
      <c r="CIG113" s="139"/>
      <c r="CIH113" s="139"/>
      <c r="CII113" s="139"/>
      <c r="CIJ113" s="139"/>
      <c r="CIK113" s="139"/>
      <c r="CIL113" s="139"/>
      <c r="CIM113" s="139"/>
      <c r="CIN113" s="139"/>
      <c r="CIO113" s="139"/>
      <c r="CIP113" s="139"/>
      <c r="CIQ113" s="139"/>
      <c r="CIR113" s="139"/>
      <c r="CIS113" s="139"/>
      <c r="CIT113" s="139"/>
      <c r="CIU113" s="139"/>
      <c r="CIV113" s="139"/>
      <c r="CIW113" s="139"/>
      <c r="CIX113" s="139"/>
      <c r="CIY113" s="139"/>
      <c r="CIZ113" s="139"/>
      <c r="CJA113" s="139"/>
      <c r="CJB113" s="139"/>
      <c r="CJC113" s="139"/>
      <c r="CJD113" s="139"/>
      <c r="CJE113" s="139"/>
      <c r="CJF113" s="139"/>
      <c r="CJG113" s="139"/>
      <c r="CJH113" s="139"/>
      <c r="CJI113" s="139"/>
      <c r="CJJ113" s="139"/>
      <c r="CJK113" s="139"/>
      <c r="CJL113" s="139"/>
      <c r="CJM113" s="139"/>
      <c r="CJN113" s="139"/>
      <c r="CJO113" s="139"/>
      <c r="CJP113" s="139"/>
      <c r="CJQ113" s="139"/>
      <c r="CJR113" s="139"/>
      <c r="CJS113" s="139"/>
      <c r="CJT113" s="139"/>
      <c r="CJU113" s="139"/>
      <c r="CJV113" s="139"/>
      <c r="CJW113" s="139"/>
      <c r="CJX113" s="139"/>
      <c r="CJY113" s="139"/>
      <c r="CJZ113" s="139"/>
      <c r="CKA113" s="139"/>
      <c r="CKB113" s="139"/>
      <c r="CKC113" s="139"/>
      <c r="CKD113" s="139"/>
      <c r="CKE113" s="139"/>
      <c r="CKF113" s="139"/>
      <c r="CKG113" s="139"/>
      <c r="CKH113" s="139"/>
      <c r="CKI113" s="139"/>
      <c r="CKJ113" s="139"/>
      <c r="CKK113" s="139"/>
      <c r="CKL113" s="139"/>
      <c r="CKM113" s="139"/>
      <c r="CKN113" s="139"/>
      <c r="CKO113" s="139"/>
      <c r="CKP113" s="139"/>
      <c r="CKQ113" s="139"/>
      <c r="CKR113" s="139"/>
      <c r="CKS113" s="139"/>
      <c r="CKT113" s="139"/>
      <c r="CKU113" s="139"/>
      <c r="CKV113" s="139"/>
      <c r="CKW113" s="139"/>
      <c r="CKX113" s="139"/>
      <c r="CKY113" s="139"/>
      <c r="CKZ113" s="139"/>
      <c r="CLA113" s="139"/>
      <c r="CLB113" s="139"/>
      <c r="CLC113" s="139"/>
      <c r="CLD113" s="139"/>
      <c r="CLE113" s="139"/>
      <c r="CLF113" s="139"/>
      <c r="CLG113" s="139"/>
      <c r="CLH113" s="139"/>
      <c r="CLI113" s="139"/>
      <c r="CLJ113" s="139"/>
      <c r="CLK113" s="139"/>
      <c r="CLL113" s="139"/>
      <c r="CLM113" s="139"/>
      <c r="CLN113" s="139"/>
      <c r="CLO113" s="139"/>
      <c r="CLP113" s="139"/>
      <c r="CLQ113" s="139"/>
      <c r="CLR113" s="139"/>
      <c r="CLS113" s="139"/>
      <c r="CLT113" s="139"/>
      <c r="CLU113" s="139"/>
      <c r="CLV113" s="139"/>
      <c r="CLW113" s="139"/>
      <c r="CLX113" s="139"/>
      <c r="CLY113" s="139"/>
      <c r="CLZ113" s="139"/>
      <c r="CMA113" s="139"/>
      <c r="CMB113" s="139"/>
      <c r="CMC113" s="139"/>
      <c r="CMD113" s="139"/>
      <c r="CME113" s="139"/>
      <c r="CMF113" s="139"/>
      <c r="CMG113" s="139"/>
      <c r="CMH113" s="139"/>
      <c r="CMI113" s="139"/>
      <c r="CMJ113" s="139"/>
      <c r="CMK113" s="139"/>
      <c r="CML113" s="139"/>
      <c r="CMM113" s="139"/>
      <c r="CMN113" s="139"/>
      <c r="CMO113" s="139"/>
      <c r="CMP113" s="139"/>
      <c r="CMQ113" s="139"/>
      <c r="CMR113" s="139"/>
      <c r="CMS113" s="139"/>
      <c r="CMT113" s="139"/>
      <c r="CMU113" s="139"/>
      <c r="CMV113" s="139"/>
      <c r="CMW113" s="139"/>
      <c r="CMX113" s="139"/>
      <c r="CMY113" s="139"/>
      <c r="CMZ113" s="139"/>
      <c r="CNA113" s="139"/>
      <c r="CNB113" s="139"/>
      <c r="CNC113" s="139"/>
      <c r="CND113" s="139"/>
      <c r="CNE113" s="139"/>
      <c r="CNF113" s="139"/>
      <c r="CNG113" s="139"/>
      <c r="CNH113" s="139"/>
      <c r="CNI113" s="139"/>
      <c r="CNJ113" s="139"/>
      <c r="CNK113" s="139"/>
      <c r="CNL113" s="139"/>
      <c r="CNM113" s="139"/>
      <c r="CNN113" s="139"/>
      <c r="CNO113" s="139"/>
      <c r="CNP113" s="139"/>
      <c r="CNQ113" s="139"/>
      <c r="CNR113" s="139"/>
      <c r="CNS113" s="139"/>
      <c r="CNT113" s="139"/>
      <c r="CNU113" s="139"/>
      <c r="CNV113" s="139"/>
      <c r="CNW113" s="139"/>
      <c r="CNX113" s="139"/>
      <c r="CNY113" s="139"/>
      <c r="CNZ113" s="139"/>
      <c r="COA113" s="139"/>
      <c r="COB113" s="139"/>
      <c r="COC113" s="139"/>
      <c r="COD113" s="139"/>
      <c r="COE113" s="139"/>
      <c r="COF113" s="139"/>
      <c r="COG113" s="139"/>
      <c r="COH113" s="139"/>
      <c r="COI113" s="139"/>
      <c r="COJ113" s="139"/>
      <c r="COK113" s="139"/>
      <c r="COL113" s="139"/>
      <c r="COM113" s="139"/>
      <c r="CON113" s="139"/>
      <c r="COO113" s="139"/>
      <c r="COP113" s="139"/>
      <c r="COQ113" s="139"/>
      <c r="COR113" s="139"/>
      <c r="COS113" s="139"/>
      <c r="COT113" s="139"/>
      <c r="COU113" s="139"/>
      <c r="COV113" s="139"/>
      <c r="COW113" s="139"/>
      <c r="COX113" s="139"/>
      <c r="COY113" s="139"/>
      <c r="COZ113" s="139"/>
      <c r="CPA113" s="139"/>
      <c r="CPB113" s="139"/>
      <c r="CPC113" s="139"/>
      <c r="CPD113" s="139"/>
      <c r="CPE113" s="139"/>
      <c r="CPF113" s="139"/>
      <c r="CPG113" s="139"/>
      <c r="CPH113" s="139"/>
      <c r="CPI113" s="139"/>
      <c r="CPJ113" s="139"/>
      <c r="CPK113" s="139"/>
      <c r="CPL113" s="139"/>
      <c r="CPM113" s="139"/>
      <c r="CPN113" s="139"/>
      <c r="CPO113" s="139"/>
      <c r="CPP113" s="139"/>
      <c r="CPQ113" s="139"/>
      <c r="CPR113" s="139"/>
      <c r="CPS113" s="139"/>
      <c r="CPT113" s="139"/>
      <c r="CPU113" s="139"/>
      <c r="CPV113" s="139"/>
      <c r="CPW113" s="139"/>
      <c r="CPX113" s="139"/>
      <c r="CPY113" s="139"/>
      <c r="CPZ113" s="139"/>
      <c r="CQA113" s="139"/>
      <c r="CQB113" s="139"/>
      <c r="CQC113" s="139"/>
      <c r="CQD113" s="139"/>
      <c r="CQE113" s="139"/>
      <c r="CQF113" s="139"/>
      <c r="CQG113" s="139"/>
      <c r="CQH113" s="139"/>
      <c r="CQI113" s="139"/>
      <c r="CQJ113" s="139"/>
      <c r="CQK113" s="139"/>
      <c r="CQL113" s="139"/>
      <c r="CQM113" s="139"/>
      <c r="CQN113" s="139"/>
      <c r="CQO113" s="139"/>
      <c r="CQP113" s="139"/>
      <c r="CQQ113" s="139"/>
      <c r="CQR113" s="139"/>
      <c r="CQS113" s="139"/>
      <c r="CQT113" s="139"/>
      <c r="CQU113" s="139"/>
      <c r="CQV113" s="139"/>
      <c r="CQW113" s="139"/>
      <c r="CQX113" s="139"/>
      <c r="CQY113" s="139"/>
      <c r="CQZ113" s="139"/>
      <c r="CRA113" s="139"/>
      <c r="CRB113" s="139"/>
      <c r="CRC113" s="139"/>
      <c r="CRD113" s="139"/>
      <c r="CRE113" s="139"/>
      <c r="CRF113" s="139"/>
      <c r="CRG113" s="139"/>
      <c r="CRH113" s="139"/>
      <c r="CRI113" s="139"/>
      <c r="CRJ113" s="139"/>
      <c r="CRK113" s="139"/>
      <c r="CRL113" s="139"/>
      <c r="CRM113" s="139"/>
      <c r="CRN113" s="139"/>
      <c r="CRO113" s="139"/>
      <c r="CRP113" s="139"/>
      <c r="CRQ113" s="139"/>
      <c r="CRR113" s="139"/>
      <c r="CRS113" s="139"/>
      <c r="CRT113" s="139"/>
      <c r="CRU113" s="139"/>
      <c r="CRV113" s="139"/>
      <c r="CRW113" s="139"/>
      <c r="CRX113" s="139"/>
      <c r="CRY113" s="139"/>
      <c r="CRZ113" s="139"/>
      <c r="CSA113" s="139"/>
      <c r="CSB113" s="139"/>
      <c r="CSC113" s="139"/>
      <c r="CSD113" s="139"/>
      <c r="CSE113" s="139"/>
      <c r="CSF113" s="139"/>
      <c r="CSG113" s="139"/>
      <c r="CSH113" s="139"/>
      <c r="CSI113" s="139"/>
      <c r="CSJ113" s="139"/>
      <c r="CSK113" s="139"/>
      <c r="CSL113" s="139"/>
      <c r="CSM113" s="139"/>
      <c r="CSN113" s="139"/>
      <c r="CSO113" s="139"/>
      <c r="CSP113" s="139"/>
      <c r="CSQ113" s="139"/>
      <c r="CSR113" s="139"/>
      <c r="CSS113" s="139"/>
      <c r="CST113" s="139"/>
      <c r="CSU113" s="139"/>
      <c r="CSV113" s="139"/>
      <c r="CSW113" s="139"/>
      <c r="CSX113" s="139"/>
      <c r="CSY113" s="139"/>
      <c r="CSZ113" s="139"/>
      <c r="CTA113" s="139"/>
      <c r="CTB113" s="139"/>
      <c r="CTC113" s="139"/>
      <c r="CTD113" s="139"/>
      <c r="CTE113" s="139"/>
      <c r="CTF113" s="139"/>
      <c r="CTG113" s="139"/>
      <c r="CTH113" s="139"/>
      <c r="CTI113" s="139"/>
      <c r="CTJ113" s="139"/>
      <c r="CTK113" s="139"/>
      <c r="CTL113" s="139"/>
      <c r="CTM113" s="139"/>
      <c r="CTN113" s="139"/>
      <c r="CTO113" s="139"/>
      <c r="CTP113" s="139"/>
      <c r="CTQ113" s="139"/>
      <c r="CTR113" s="139"/>
      <c r="CTS113" s="139"/>
      <c r="CTT113" s="139"/>
      <c r="CTU113" s="139"/>
      <c r="CTV113" s="139"/>
      <c r="CTW113" s="139"/>
      <c r="CTX113" s="139"/>
      <c r="CTY113" s="139"/>
      <c r="CTZ113" s="139"/>
      <c r="CUA113" s="139"/>
      <c r="CUB113" s="139"/>
      <c r="CUC113" s="139"/>
      <c r="CUD113" s="139"/>
      <c r="CUE113" s="139"/>
      <c r="CUF113" s="139"/>
      <c r="CUG113" s="139"/>
      <c r="CUH113" s="139"/>
      <c r="CUI113" s="139"/>
      <c r="CUJ113" s="139"/>
      <c r="CUK113" s="139"/>
      <c r="CUL113" s="139"/>
      <c r="CUM113" s="139"/>
      <c r="CUN113" s="139"/>
      <c r="CUO113" s="139"/>
      <c r="CUP113" s="139"/>
      <c r="CUQ113" s="139"/>
      <c r="CUR113" s="139"/>
      <c r="CUS113" s="139"/>
      <c r="CUT113" s="139"/>
      <c r="CUU113" s="139"/>
      <c r="CUV113" s="139"/>
      <c r="CUW113" s="139"/>
      <c r="CUX113" s="139"/>
      <c r="CUY113" s="139"/>
      <c r="CUZ113" s="139"/>
      <c r="CVA113" s="139"/>
      <c r="CVB113" s="139"/>
      <c r="CVC113" s="139"/>
      <c r="CVD113" s="139"/>
      <c r="CVE113" s="139"/>
      <c r="CVF113" s="139"/>
      <c r="CVG113" s="139"/>
      <c r="CVH113" s="139"/>
      <c r="CVI113" s="139"/>
      <c r="CVJ113" s="139"/>
      <c r="CVK113" s="139"/>
      <c r="CVL113" s="139"/>
      <c r="CVM113" s="139"/>
      <c r="CVN113" s="139"/>
      <c r="CVO113" s="139"/>
      <c r="CVP113" s="139"/>
      <c r="CVQ113" s="139"/>
      <c r="CVR113" s="139"/>
      <c r="CVS113" s="139"/>
      <c r="CVT113" s="139"/>
      <c r="CVU113" s="139"/>
      <c r="CVV113" s="139"/>
      <c r="CVW113" s="139"/>
      <c r="CVX113" s="139"/>
      <c r="CVY113" s="139"/>
      <c r="CVZ113" s="139"/>
      <c r="CWA113" s="139"/>
      <c r="CWB113" s="139"/>
      <c r="CWC113" s="139"/>
      <c r="CWD113" s="139"/>
      <c r="CWE113" s="139"/>
      <c r="CWF113" s="139"/>
      <c r="CWG113" s="139"/>
      <c r="CWH113" s="139"/>
      <c r="CWI113" s="139"/>
      <c r="CWJ113" s="139"/>
      <c r="CWK113" s="139"/>
      <c r="CWL113" s="139"/>
      <c r="CWM113" s="139"/>
      <c r="CWN113" s="139"/>
      <c r="CWO113" s="139"/>
      <c r="CWP113" s="139"/>
      <c r="CWQ113" s="139"/>
      <c r="CWR113" s="139"/>
      <c r="CWS113" s="139"/>
      <c r="CWT113" s="139"/>
      <c r="CWU113" s="139"/>
      <c r="CWV113" s="139"/>
      <c r="CWW113" s="139"/>
      <c r="CWX113" s="139"/>
      <c r="CWY113" s="139"/>
      <c r="CWZ113" s="139"/>
      <c r="CXA113" s="139"/>
      <c r="CXB113" s="139"/>
      <c r="CXC113" s="139"/>
      <c r="CXD113" s="139"/>
      <c r="CXE113" s="139"/>
      <c r="CXF113" s="139"/>
      <c r="CXG113" s="139"/>
      <c r="CXH113" s="139"/>
      <c r="CXI113" s="139"/>
      <c r="CXJ113" s="139"/>
      <c r="CXK113" s="139"/>
      <c r="CXL113" s="139"/>
      <c r="CXM113" s="139"/>
      <c r="CXN113" s="139"/>
      <c r="CXO113" s="139"/>
      <c r="CXP113" s="139"/>
      <c r="CXQ113" s="139"/>
      <c r="CXR113" s="139"/>
      <c r="CXS113" s="139"/>
      <c r="CXT113" s="139"/>
      <c r="CXU113" s="139"/>
      <c r="CXV113" s="139"/>
      <c r="CXW113" s="139"/>
      <c r="CXX113" s="139"/>
      <c r="CXY113" s="139"/>
      <c r="CXZ113" s="139"/>
      <c r="CYA113" s="139"/>
      <c r="CYB113" s="139"/>
      <c r="CYC113" s="139"/>
      <c r="CYD113" s="139"/>
      <c r="CYE113" s="139"/>
      <c r="CYF113" s="139"/>
      <c r="CYG113" s="139"/>
      <c r="CYH113" s="139"/>
      <c r="CYI113" s="139"/>
      <c r="CYJ113" s="139"/>
      <c r="CYK113" s="139"/>
      <c r="CYL113" s="139"/>
      <c r="CYM113" s="139"/>
      <c r="CYN113" s="139"/>
      <c r="CYO113" s="139"/>
      <c r="CYP113" s="139"/>
      <c r="CYQ113" s="139"/>
      <c r="CYR113" s="139"/>
      <c r="CYS113" s="139"/>
      <c r="CYT113" s="139"/>
      <c r="CYU113" s="139"/>
      <c r="CYV113" s="139"/>
      <c r="CYW113" s="139"/>
      <c r="CYX113" s="139"/>
      <c r="CYY113" s="139"/>
      <c r="CYZ113" s="139"/>
      <c r="CZA113" s="139"/>
      <c r="CZB113" s="139"/>
      <c r="CZC113" s="139"/>
      <c r="CZD113" s="139"/>
      <c r="CZE113" s="139"/>
      <c r="CZF113" s="139"/>
      <c r="CZG113" s="139"/>
      <c r="CZH113" s="139"/>
      <c r="CZI113" s="139"/>
      <c r="CZJ113" s="139"/>
      <c r="CZK113" s="139"/>
      <c r="CZL113" s="139"/>
      <c r="CZM113" s="139"/>
      <c r="CZN113" s="139"/>
      <c r="CZO113" s="139"/>
      <c r="CZP113" s="139"/>
      <c r="CZQ113" s="139"/>
      <c r="CZR113" s="139"/>
      <c r="CZS113" s="139"/>
      <c r="CZT113" s="139"/>
      <c r="CZU113" s="139"/>
      <c r="CZV113" s="139"/>
      <c r="CZW113" s="139"/>
      <c r="CZX113" s="139"/>
      <c r="CZY113" s="139"/>
      <c r="CZZ113" s="139"/>
      <c r="DAA113" s="139"/>
      <c r="DAB113" s="139"/>
      <c r="DAC113" s="139"/>
      <c r="DAD113" s="139"/>
      <c r="DAE113" s="139"/>
      <c r="DAF113" s="139"/>
      <c r="DAG113" s="139"/>
      <c r="DAH113" s="139"/>
      <c r="DAI113" s="139"/>
      <c r="DAJ113" s="139"/>
      <c r="DAK113" s="139"/>
      <c r="DAL113" s="139"/>
      <c r="DAM113" s="139"/>
      <c r="DAN113" s="139"/>
      <c r="DAO113" s="139"/>
      <c r="DAP113" s="139"/>
      <c r="DAQ113" s="139"/>
      <c r="DAR113" s="139"/>
      <c r="DAS113" s="139"/>
      <c r="DAT113" s="139"/>
      <c r="DAU113" s="139"/>
      <c r="DAV113" s="139"/>
      <c r="DAW113" s="139"/>
      <c r="DAX113" s="139"/>
      <c r="DAY113" s="139"/>
      <c r="DAZ113" s="139"/>
      <c r="DBA113" s="139"/>
      <c r="DBB113" s="139"/>
      <c r="DBC113" s="139"/>
      <c r="DBD113" s="139"/>
      <c r="DBE113" s="139"/>
      <c r="DBF113" s="139"/>
      <c r="DBG113" s="139"/>
      <c r="DBH113" s="139"/>
      <c r="DBI113" s="139"/>
      <c r="DBJ113" s="139"/>
      <c r="DBK113" s="139"/>
      <c r="DBL113" s="139"/>
      <c r="DBM113" s="139"/>
      <c r="DBN113" s="139"/>
      <c r="DBO113" s="139"/>
      <c r="DBP113" s="139"/>
      <c r="DBQ113" s="139"/>
      <c r="DBR113" s="139"/>
      <c r="DBS113" s="139"/>
      <c r="DBT113" s="139"/>
      <c r="DBU113" s="139"/>
      <c r="DBV113" s="139"/>
      <c r="DBW113" s="139"/>
      <c r="DBX113" s="139"/>
      <c r="DBY113" s="139"/>
      <c r="DBZ113" s="139"/>
      <c r="DCA113" s="139"/>
      <c r="DCB113" s="139"/>
      <c r="DCC113" s="139"/>
      <c r="DCD113" s="139"/>
      <c r="DCE113" s="139"/>
      <c r="DCF113" s="139"/>
      <c r="DCG113" s="139"/>
      <c r="DCH113" s="139"/>
      <c r="DCI113" s="139"/>
      <c r="DCJ113" s="139"/>
      <c r="DCK113" s="139"/>
      <c r="DCL113" s="139"/>
      <c r="DCM113" s="139"/>
      <c r="DCN113" s="139"/>
      <c r="DCO113" s="139"/>
      <c r="DCP113" s="139"/>
      <c r="DCQ113" s="139"/>
      <c r="DCR113" s="139"/>
      <c r="DCS113" s="139"/>
      <c r="DCT113" s="139"/>
      <c r="DCU113" s="139"/>
      <c r="DCV113" s="139"/>
      <c r="DCW113" s="139"/>
      <c r="DCX113" s="139"/>
      <c r="DCY113" s="139"/>
      <c r="DCZ113" s="139"/>
      <c r="DDA113" s="139"/>
      <c r="DDB113" s="139"/>
      <c r="DDC113" s="139"/>
      <c r="DDD113" s="139"/>
      <c r="DDE113" s="139"/>
      <c r="DDF113" s="139"/>
      <c r="DDG113" s="139"/>
      <c r="DDH113" s="139"/>
      <c r="DDI113" s="139"/>
      <c r="DDJ113" s="139"/>
      <c r="DDK113" s="139"/>
      <c r="DDL113" s="139"/>
      <c r="DDM113" s="139"/>
      <c r="DDN113" s="139"/>
      <c r="DDO113" s="139"/>
      <c r="DDP113" s="139"/>
      <c r="DDQ113" s="139"/>
      <c r="DDR113" s="139"/>
      <c r="DDS113" s="139"/>
      <c r="DDT113" s="139"/>
      <c r="DDU113" s="139"/>
      <c r="DDV113" s="139"/>
      <c r="DDW113" s="139"/>
      <c r="DDX113" s="139"/>
      <c r="DDY113" s="139"/>
      <c r="DDZ113" s="139"/>
      <c r="DEA113" s="139"/>
      <c r="DEB113" s="139"/>
      <c r="DEC113" s="139"/>
      <c r="DED113" s="139"/>
      <c r="DEE113" s="139"/>
      <c r="DEF113" s="139"/>
      <c r="DEG113" s="139"/>
      <c r="DEH113" s="139"/>
      <c r="DEI113" s="139"/>
      <c r="DEJ113" s="139"/>
      <c r="DEK113" s="139"/>
      <c r="DEL113" s="139"/>
      <c r="DEM113" s="139"/>
      <c r="DEN113" s="139"/>
      <c r="DEO113" s="139"/>
      <c r="DEP113" s="139"/>
      <c r="DEQ113" s="139"/>
      <c r="DER113" s="139"/>
      <c r="DES113" s="139"/>
      <c r="DET113" s="139"/>
      <c r="DEU113" s="139"/>
      <c r="DEV113" s="139"/>
      <c r="DEW113" s="139"/>
      <c r="DEX113" s="139"/>
      <c r="DEY113" s="139"/>
      <c r="DEZ113" s="139"/>
      <c r="DFA113" s="139"/>
      <c r="DFB113" s="139"/>
      <c r="DFC113" s="139"/>
      <c r="DFD113" s="139"/>
      <c r="DFE113" s="139"/>
      <c r="DFF113" s="139"/>
      <c r="DFG113" s="139"/>
      <c r="DFH113" s="139"/>
      <c r="DFI113" s="139"/>
      <c r="DFJ113" s="139"/>
      <c r="DFK113" s="139"/>
      <c r="DFL113" s="139"/>
      <c r="DFM113" s="139"/>
      <c r="DFN113" s="139"/>
      <c r="DFO113" s="139"/>
      <c r="DFP113" s="139"/>
      <c r="DFQ113" s="139"/>
      <c r="DFR113" s="139"/>
      <c r="DFS113" s="139"/>
      <c r="DFT113" s="139"/>
      <c r="DFU113" s="139"/>
      <c r="DFV113" s="139"/>
      <c r="DFW113" s="139"/>
      <c r="DFX113" s="139"/>
      <c r="DFY113" s="139"/>
      <c r="DFZ113" s="139"/>
      <c r="DGA113" s="139"/>
      <c r="DGB113" s="139"/>
      <c r="DGC113" s="139"/>
      <c r="DGD113" s="139"/>
      <c r="DGE113" s="139"/>
      <c r="DGF113" s="139"/>
      <c r="DGG113" s="139"/>
      <c r="DGH113" s="139"/>
      <c r="DGI113" s="139"/>
      <c r="DGJ113" s="139"/>
      <c r="DGK113" s="139"/>
      <c r="DGL113" s="139"/>
      <c r="DGM113" s="139"/>
      <c r="DGN113" s="139"/>
      <c r="DGO113" s="139"/>
      <c r="DGP113" s="139"/>
      <c r="DGQ113" s="139"/>
      <c r="DGR113" s="139"/>
      <c r="DGS113" s="139"/>
      <c r="DGT113" s="139"/>
      <c r="DGU113" s="139"/>
      <c r="DGV113" s="139"/>
      <c r="DGW113" s="139"/>
      <c r="DGX113" s="139"/>
      <c r="DGY113" s="139"/>
      <c r="DGZ113" s="139"/>
      <c r="DHA113" s="139"/>
      <c r="DHB113" s="139"/>
      <c r="DHC113" s="139"/>
      <c r="DHD113" s="139"/>
      <c r="DHE113" s="139"/>
      <c r="DHF113" s="139"/>
      <c r="DHG113" s="139"/>
      <c r="DHH113" s="139"/>
      <c r="DHI113" s="139"/>
      <c r="DHJ113" s="139"/>
      <c r="DHK113" s="139"/>
      <c r="DHL113" s="139"/>
      <c r="DHM113" s="139"/>
      <c r="DHN113" s="139"/>
      <c r="DHO113" s="139"/>
      <c r="DHP113" s="139"/>
      <c r="DHQ113" s="139"/>
      <c r="DHR113" s="139"/>
      <c r="DHS113" s="139"/>
      <c r="DHT113" s="139"/>
      <c r="DHU113" s="139"/>
      <c r="DHV113" s="139"/>
      <c r="DHW113" s="139"/>
      <c r="DHX113" s="139"/>
      <c r="DHY113" s="139"/>
      <c r="DHZ113" s="139"/>
      <c r="DIA113" s="139"/>
      <c r="DIB113" s="139"/>
      <c r="DIC113" s="139"/>
      <c r="DID113" s="139"/>
      <c r="DIE113" s="139"/>
      <c r="DIF113" s="139"/>
      <c r="DIG113" s="139"/>
      <c r="DIH113" s="139"/>
      <c r="DII113" s="139"/>
      <c r="DIJ113" s="139"/>
      <c r="DIK113" s="139"/>
      <c r="DIL113" s="139"/>
      <c r="DIM113" s="139"/>
      <c r="DIN113" s="139"/>
      <c r="DIO113" s="139"/>
      <c r="DIP113" s="139"/>
      <c r="DIQ113" s="139"/>
      <c r="DIR113" s="139"/>
      <c r="DIS113" s="139"/>
      <c r="DIT113" s="139"/>
      <c r="DIU113" s="139"/>
      <c r="DIV113" s="139"/>
      <c r="DIW113" s="139"/>
      <c r="DIX113" s="139"/>
      <c r="DIY113" s="139"/>
      <c r="DIZ113" s="139"/>
      <c r="DJA113" s="139"/>
      <c r="DJB113" s="139"/>
      <c r="DJC113" s="139"/>
      <c r="DJD113" s="139"/>
      <c r="DJE113" s="139"/>
      <c r="DJF113" s="139"/>
      <c r="DJG113" s="139"/>
      <c r="DJH113" s="139"/>
      <c r="DJI113" s="139"/>
      <c r="DJJ113" s="139"/>
      <c r="DJK113" s="139"/>
      <c r="DJL113" s="139"/>
      <c r="DJM113" s="139"/>
      <c r="DJN113" s="139"/>
      <c r="DJO113" s="139"/>
      <c r="DJP113" s="139"/>
      <c r="DJQ113" s="139"/>
      <c r="DJR113" s="139"/>
      <c r="DJS113" s="139"/>
      <c r="DJT113" s="139"/>
      <c r="DJU113" s="139"/>
      <c r="DJV113" s="139"/>
      <c r="DJW113" s="139"/>
      <c r="DJX113" s="139"/>
      <c r="DJY113" s="139"/>
      <c r="DJZ113" s="139"/>
      <c r="DKA113" s="139"/>
      <c r="DKB113" s="139"/>
      <c r="DKC113" s="139"/>
      <c r="DKD113" s="139"/>
      <c r="DKE113" s="139"/>
      <c r="DKF113" s="139"/>
      <c r="DKG113" s="139"/>
      <c r="DKH113" s="139"/>
      <c r="DKI113" s="139"/>
      <c r="DKJ113" s="139"/>
      <c r="DKK113" s="139"/>
      <c r="DKL113" s="139"/>
      <c r="DKM113" s="139"/>
      <c r="DKN113" s="139"/>
      <c r="DKO113" s="139"/>
      <c r="DKP113" s="139"/>
      <c r="DKQ113" s="139"/>
      <c r="DKR113" s="139"/>
      <c r="DKS113" s="139"/>
      <c r="DKT113" s="139"/>
      <c r="DKU113" s="139"/>
      <c r="DKV113" s="139"/>
      <c r="DKW113" s="139"/>
      <c r="DKX113" s="139"/>
      <c r="DKY113" s="139"/>
      <c r="DKZ113" s="139"/>
      <c r="DLA113" s="139"/>
      <c r="DLB113" s="139"/>
      <c r="DLC113" s="139"/>
      <c r="DLD113" s="139"/>
      <c r="DLE113" s="139"/>
      <c r="DLF113" s="139"/>
      <c r="DLG113" s="139"/>
      <c r="DLH113" s="139"/>
      <c r="DLI113" s="139"/>
      <c r="DLJ113" s="139"/>
      <c r="DLK113" s="139"/>
      <c r="DLL113" s="139"/>
      <c r="DLM113" s="139"/>
      <c r="DLN113" s="139"/>
      <c r="DLO113" s="139"/>
      <c r="DLP113" s="139"/>
      <c r="DLQ113" s="139"/>
      <c r="DLR113" s="139"/>
      <c r="DLS113" s="139"/>
      <c r="DLT113" s="139"/>
      <c r="DLU113" s="139"/>
      <c r="DLV113" s="139"/>
      <c r="DLW113" s="139"/>
      <c r="DLX113" s="139"/>
      <c r="DLY113" s="139"/>
      <c r="DLZ113" s="139"/>
      <c r="DMA113" s="139"/>
      <c r="DMB113" s="139"/>
      <c r="DMC113" s="139"/>
      <c r="DMD113" s="139"/>
      <c r="DME113" s="139"/>
      <c r="DMF113" s="139"/>
      <c r="DMG113" s="139"/>
      <c r="DMH113" s="139"/>
      <c r="DMI113" s="139"/>
      <c r="DMJ113" s="139"/>
      <c r="DMK113" s="139"/>
      <c r="DML113" s="139"/>
      <c r="DMM113" s="139"/>
      <c r="DMN113" s="139"/>
      <c r="DMO113" s="139"/>
      <c r="DMP113" s="139"/>
      <c r="DMQ113" s="139"/>
      <c r="DMR113" s="139"/>
      <c r="DMS113" s="139"/>
      <c r="DMT113" s="139"/>
      <c r="DMU113" s="139"/>
      <c r="DMV113" s="139"/>
      <c r="DMW113" s="139"/>
      <c r="DMX113" s="139"/>
      <c r="DMY113" s="139"/>
      <c r="DMZ113" s="139"/>
      <c r="DNA113" s="139"/>
      <c r="DNB113" s="139"/>
      <c r="DNC113" s="139"/>
      <c r="DND113" s="139"/>
      <c r="DNE113" s="139"/>
      <c r="DNF113" s="139"/>
      <c r="DNG113" s="139"/>
      <c r="DNH113" s="139"/>
      <c r="DNI113" s="139"/>
      <c r="DNJ113" s="139"/>
      <c r="DNK113" s="139"/>
      <c r="DNL113" s="139"/>
      <c r="DNM113" s="139"/>
      <c r="DNN113" s="139"/>
      <c r="DNO113" s="139"/>
      <c r="DNP113" s="139"/>
      <c r="DNQ113" s="139"/>
      <c r="DNR113" s="139"/>
      <c r="DNS113" s="139"/>
      <c r="DNT113" s="139"/>
      <c r="DNU113" s="139"/>
      <c r="DNV113" s="139"/>
      <c r="DNW113" s="139"/>
      <c r="DNX113" s="139"/>
      <c r="DNY113" s="139"/>
      <c r="DNZ113" s="139"/>
      <c r="DOA113" s="139"/>
      <c r="DOB113" s="139"/>
      <c r="DOC113" s="139"/>
      <c r="DOD113" s="139"/>
      <c r="DOE113" s="139"/>
      <c r="DOF113" s="139"/>
      <c r="DOG113" s="139"/>
      <c r="DOH113" s="139"/>
      <c r="DOI113" s="139"/>
      <c r="DOJ113" s="139"/>
      <c r="DOK113" s="139"/>
      <c r="DOL113" s="139"/>
      <c r="DOM113" s="139"/>
      <c r="DON113" s="139"/>
      <c r="DOO113" s="139"/>
      <c r="DOP113" s="139"/>
      <c r="DOQ113" s="139"/>
      <c r="DOR113" s="139"/>
      <c r="DOS113" s="139"/>
      <c r="DOT113" s="139"/>
      <c r="DOU113" s="139"/>
      <c r="DOV113" s="139"/>
      <c r="DOW113" s="139"/>
      <c r="DOX113" s="139"/>
      <c r="DOY113" s="139"/>
      <c r="DOZ113" s="139"/>
      <c r="DPA113" s="139"/>
      <c r="DPB113" s="139"/>
      <c r="DPC113" s="139"/>
      <c r="DPD113" s="139"/>
      <c r="DPE113" s="139"/>
      <c r="DPF113" s="139"/>
      <c r="DPG113" s="139"/>
      <c r="DPH113" s="139"/>
      <c r="DPI113" s="139"/>
      <c r="DPJ113" s="139"/>
      <c r="DPK113" s="139"/>
      <c r="DPL113" s="139"/>
      <c r="DPM113" s="139"/>
      <c r="DPN113" s="139"/>
      <c r="DPO113" s="139"/>
      <c r="DPP113" s="139"/>
      <c r="DPQ113" s="139"/>
      <c r="DPR113" s="139"/>
      <c r="DPS113" s="139"/>
      <c r="DPT113" s="139"/>
      <c r="DPU113" s="139"/>
      <c r="DPV113" s="139"/>
      <c r="DPW113" s="139"/>
      <c r="DPX113" s="139"/>
      <c r="DPY113" s="139"/>
      <c r="DPZ113" s="139"/>
      <c r="DQA113" s="139"/>
      <c r="DQB113" s="139"/>
      <c r="DQC113" s="139"/>
      <c r="DQD113" s="139"/>
      <c r="DQE113" s="139"/>
      <c r="DQF113" s="139"/>
      <c r="DQG113" s="139"/>
      <c r="DQH113" s="139"/>
      <c r="DQI113" s="139"/>
      <c r="DQJ113" s="139"/>
      <c r="DQK113" s="139"/>
      <c r="DQL113" s="139"/>
      <c r="DQM113" s="139"/>
      <c r="DQN113" s="139"/>
      <c r="DQO113" s="139"/>
      <c r="DQP113" s="139"/>
      <c r="DQQ113" s="139"/>
      <c r="DQR113" s="139"/>
      <c r="DQS113" s="139"/>
      <c r="DQT113" s="139"/>
      <c r="DQU113" s="139"/>
      <c r="DQV113" s="139"/>
      <c r="DQW113" s="139"/>
      <c r="DQX113" s="139"/>
      <c r="DQY113" s="139"/>
      <c r="DQZ113" s="139"/>
      <c r="DRA113" s="139"/>
      <c r="DRB113" s="139"/>
      <c r="DRC113" s="139"/>
      <c r="DRD113" s="139"/>
      <c r="DRE113" s="139"/>
      <c r="DRF113" s="139"/>
      <c r="DRG113" s="139"/>
      <c r="DRH113" s="139"/>
      <c r="DRI113" s="139"/>
      <c r="DRJ113" s="139"/>
      <c r="DRK113" s="139"/>
      <c r="DRL113" s="139"/>
      <c r="DRM113" s="139"/>
      <c r="DRN113" s="139"/>
      <c r="DRO113" s="139"/>
      <c r="DRP113" s="139"/>
      <c r="DRQ113" s="139"/>
      <c r="DRR113" s="139"/>
      <c r="DRS113" s="139"/>
      <c r="DRT113" s="139"/>
      <c r="DRU113" s="139"/>
      <c r="DRV113" s="139"/>
      <c r="DRW113" s="139"/>
      <c r="DRX113" s="139"/>
      <c r="DRY113" s="139"/>
      <c r="DRZ113" s="139"/>
      <c r="DSA113" s="139"/>
      <c r="DSB113" s="139"/>
      <c r="DSC113" s="139"/>
      <c r="DSD113" s="139"/>
      <c r="DSE113" s="139"/>
      <c r="DSF113" s="139"/>
      <c r="DSG113" s="139"/>
      <c r="DSH113" s="139"/>
      <c r="DSI113" s="139"/>
      <c r="DSJ113" s="139"/>
      <c r="DSK113" s="139"/>
      <c r="DSL113" s="139"/>
      <c r="DSM113" s="139"/>
      <c r="DSN113" s="139"/>
      <c r="DSO113" s="139"/>
      <c r="DSP113" s="139"/>
      <c r="DSQ113" s="139"/>
      <c r="DSR113" s="139"/>
      <c r="DSS113" s="139"/>
      <c r="DST113" s="139"/>
      <c r="DSU113" s="139"/>
      <c r="DSV113" s="139"/>
      <c r="DSW113" s="139"/>
      <c r="DSX113" s="139"/>
      <c r="DSY113" s="139"/>
      <c r="DSZ113" s="139"/>
      <c r="DTA113" s="139"/>
      <c r="DTB113" s="139"/>
      <c r="DTC113" s="139"/>
      <c r="DTD113" s="139"/>
      <c r="DTE113" s="139"/>
      <c r="DTF113" s="139"/>
      <c r="DTG113" s="139"/>
      <c r="DTH113" s="139"/>
      <c r="DTI113" s="139"/>
      <c r="DTJ113" s="139"/>
      <c r="DTK113" s="139"/>
      <c r="DTL113" s="139"/>
      <c r="DTM113" s="139"/>
      <c r="DTN113" s="139"/>
      <c r="DTO113" s="139"/>
      <c r="DTP113" s="139"/>
      <c r="DTQ113" s="139"/>
      <c r="DTR113" s="139"/>
      <c r="DTS113" s="139"/>
      <c r="DTT113" s="139"/>
      <c r="DTU113" s="139"/>
      <c r="DTV113" s="139"/>
      <c r="DTW113" s="139"/>
      <c r="DTX113" s="139"/>
      <c r="DTY113" s="139"/>
      <c r="DTZ113" s="139"/>
      <c r="DUA113" s="139"/>
      <c r="DUB113" s="139"/>
      <c r="DUC113" s="139"/>
      <c r="DUD113" s="139"/>
      <c r="DUE113" s="139"/>
      <c r="DUF113" s="139"/>
      <c r="DUG113" s="139"/>
      <c r="DUH113" s="139"/>
      <c r="DUI113" s="139"/>
      <c r="DUJ113" s="139"/>
      <c r="DUK113" s="139"/>
      <c r="DUL113" s="139"/>
      <c r="DUM113" s="139"/>
      <c r="DUN113" s="139"/>
      <c r="DUO113" s="139"/>
      <c r="DUP113" s="139"/>
      <c r="DUQ113" s="139"/>
      <c r="DUR113" s="139"/>
      <c r="DUS113" s="139"/>
      <c r="DUT113" s="139"/>
      <c r="DUU113" s="139"/>
      <c r="DUV113" s="139"/>
      <c r="DUW113" s="139"/>
      <c r="DUX113" s="139"/>
      <c r="DUY113" s="139"/>
      <c r="DUZ113" s="139"/>
      <c r="DVA113" s="139"/>
      <c r="DVB113" s="139"/>
      <c r="DVC113" s="139"/>
      <c r="DVD113" s="139"/>
      <c r="DVE113" s="139"/>
      <c r="DVF113" s="139"/>
      <c r="DVG113" s="139"/>
      <c r="DVH113" s="139"/>
      <c r="DVI113" s="139"/>
      <c r="DVJ113" s="139"/>
      <c r="DVK113" s="139"/>
      <c r="DVL113" s="139"/>
      <c r="DVM113" s="139"/>
      <c r="DVN113" s="139"/>
      <c r="DVO113" s="139"/>
      <c r="DVP113" s="139"/>
      <c r="DVQ113" s="139"/>
      <c r="DVR113" s="139"/>
      <c r="DVS113" s="139"/>
      <c r="DVT113" s="139"/>
      <c r="DVU113" s="139"/>
      <c r="DVV113" s="139"/>
      <c r="DVW113" s="139"/>
      <c r="DVX113" s="139"/>
      <c r="DVY113" s="139"/>
      <c r="DVZ113" s="139"/>
      <c r="DWA113" s="139"/>
      <c r="DWB113" s="139"/>
      <c r="DWC113" s="139"/>
      <c r="DWD113" s="139"/>
      <c r="DWE113" s="139"/>
      <c r="DWF113" s="139"/>
      <c r="DWG113" s="139"/>
      <c r="DWH113" s="139"/>
      <c r="DWI113" s="139"/>
      <c r="DWJ113" s="139"/>
      <c r="DWK113" s="139"/>
      <c r="DWL113" s="139"/>
      <c r="DWM113" s="139"/>
      <c r="DWN113" s="139"/>
      <c r="DWO113" s="139"/>
      <c r="DWP113" s="139"/>
      <c r="DWQ113" s="139"/>
      <c r="DWR113" s="139"/>
      <c r="DWS113" s="139"/>
      <c r="DWT113" s="139"/>
      <c r="DWU113" s="139"/>
      <c r="DWV113" s="139"/>
      <c r="DWW113" s="139"/>
      <c r="DWX113" s="139"/>
      <c r="DWY113" s="139"/>
      <c r="DWZ113" s="139"/>
      <c r="DXA113" s="139"/>
      <c r="DXB113" s="139"/>
      <c r="DXC113" s="139"/>
      <c r="DXD113" s="139"/>
      <c r="DXE113" s="139"/>
      <c r="DXF113" s="139"/>
      <c r="DXG113" s="139"/>
      <c r="DXH113" s="139"/>
      <c r="DXI113" s="139"/>
      <c r="DXJ113" s="139"/>
      <c r="DXK113" s="139"/>
      <c r="DXL113" s="139"/>
      <c r="DXM113" s="139"/>
      <c r="DXN113" s="139"/>
      <c r="DXO113" s="139"/>
      <c r="DXP113" s="139"/>
      <c r="DXQ113" s="139"/>
      <c r="DXR113" s="139"/>
      <c r="DXS113" s="139"/>
      <c r="DXT113" s="139"/>
      <c r="DXU113" s="139"/>
      <c r="DXV113" s="139"/>
      <c r="DXW113" s="139"/>
      <c r="DXX113" s="139"/>
      <c r="DXY113" s="139"/>
      <c r="DXZ113" s="139"/>
      <c r="DYA113" s="139"/>
      <c r="DYB113" s="139"/>
      <c r="DYC113" s="139"/>
      <c r="DYD113" s="139"/>
      <c r="DYE113" s="139"/>
      <c r="DYF113" s="139"/>
      <c r="DYG113" s="139"/>
      <c r="DYH113" s="139"/>
      <c r="DYI113" s="139"/>
      <c r="DYJ113" s="139"/>
      <c r="DYK113" s="139"/>
      <c r="DYL113" s="139"/>
      <c r="DYM113" s="139"/>
      <c r="DYN113" s="139"/>
      <c r="DYO113" s="139"/>
      <c r="DYP113" s="139"/>
      <c r="DYQ113" s="139"/>
      <c r="DYR113" s="139"/>
      <c r="DYS113" s="139"/>
      <c r="DYT113" s="139"/>
      <c r="DYU113" s="139"/>
      <c r="DYV113" s="139"/>
      <c r="DYW113" s="139"/>
      <c r="DYX113" s="139"/>
      <c r="DYY113" s="139"/>
      <c r="DYZ113" s="139"/>
      <c r="DZA113" s="139"/>
      <c r="DZB113" s="139"/>
      <c r="DZC113" s="139"/>
      <c r="DZD113" s="139"/>
      <c r="DZE113" s="139"/>
      <c r="DZF113" s="139"/>
      <c r="DZG113" s="139"/>
      <c r="DZH113" s="139"/>
      <c r="DZI113" s="139"/>
      <c r="DZJ113" s="139"/>
      <c r="DZK113" s="139"/>
      <c r="DZL113" s="139"/>
      <c r="DZM113" s="139"/>
      <c r="DZN113" s="139"/>
      <c r="DZO113" s="139"/>
      <c r="DZP113" s="139"/>
      <c r="DZQ113" s="139"/>
      <c r="DZR113" s="139"/>
      <c r="DZS113" s="139"/>
      <c r="DZT113" s="139"/>
      <c r="DZU113" s="139"/>
      <c r="DZV113" s="139"/>
      <c r="DZW113" s="139"/>
      <c r="DZX113" s="139"/>
      <c r="DZY113" s="139"/>
      <c r="DZZ113" s="139"/>
      <c r="EAA113" s="139"/>
      <c r="EAB113" s="139"/>
      <c r="EAC113" s="139"/>
      <c r="EAD113" s="139"/>
      <c r="EAE113" s="139"/>
      <c r="EAF113" s="139"/>
      <c r="EAG113" s="139"/>
      <c r="EAH113" s="139"/>
      <c r="EAI113" s="139"/>
      <c r="EAJ113" s="139"/>
      <c r="EAK113" s="139"/>
      <c r="EAL113" s="139"/>
      <c r="EAM113" s="139"/>
      <c r="EAN113" s="139"/>
      <c r="EAO113" s="139"/>
      <c r="EAP113" s="139"/>
      <c r="EAQ113" s="139"/>
      <c r="EAR113" s="139"/>
      <c r="EAS113" s="139"/>
      <c r="EAT113" s="139"/>
      <c r="EAU113" s="139"/>
      <c r="EAV113" s="139"/>
      <c r="EAW113" s="139"/>
      <c r="EAX113" s="139"/>
      <c r="EAY113" s="139"/>
      <c r="EAZ113" s="139"/>
      <c r="EBA113" s="139"/>
      <c r="EBB113" s="139"/>
      <c r="EBC113" s="139"/>
      <c r="EBD113" s="139"/>
      <c r="EBE113" s="139"/>
      <c r="EBF113" s="139"/>
      <c r="EBG113" s="139"/>
      <c r="EBH113" s="139"/>
      <c r="EBI113" s="139"/>
      <c r="EBJ113" s="139"/>
      <c r="EBK113" s="139"/>
      <c r="EBL113" s="139"/>
      <c r="EBM113" s="139"/>
      <c r="EBN113" s="139"/>
      <c r="EBO113" s="139"/>
      <c r="EBP113" s="139"/>
      <c r="EBQ113" s="139"/>
      <c r="EBR113" s="139"/>
      <c r="EBS113" s="139"/>
      <c r="EBT113" s="139"/>
      <c r="EBU113" s="139"/>
      <c r="EBV113" s="139"/>
      <c r="EBW113" s="139"/>
      <c r="EBX113" s="139"/>
      <c r="EBY113" s="139"/>
      <c r="EBZ113" s="139"/>
      <c r="ECA113" s="139"/>
      <c r="ECB113" s="139"/>
      <c r="ECC113" s="139"/>
      <c r="ECD113" s="139"/>
      <c r="ECE113" s="139"/>
      <c r="ECF113" s="139"/>
      <c r="ECG113" s="139"/>
      <c r="ECH113" s="139"/>
      <c r="ECI113" s="139"/>
      <c r="ECJ113" s="139"/>
      <c r="ECK113" s="139"/>
      <c r="ECL113" s="139"/>
      <c r="ECM113" s="139"/>
      <c r="ECN113" s="139"/>
      <c r="ECO113" s="139"/>
      <c r="ECP113" s="139"/>
      <c r="ECQ113" s="139"/>
      <c r="ECR113" s="139"/>
      <c r="ECS113" s="139"/>
      <c r="ECT113" s="139"/>
      <c r="ECU113" s="139"/>
      <c r="ECV113" s="139"/>
      <c r="ECW113" s="139"/>
      <c r="ECX113" s="139"/>
      <c r="ECY113" s="139"/>
      <c r="ECZ113" s="139"/>
      <c r="EDA113" s="139"/>
      <c r="EDB113" s="139"/>
      <c r="EDC113" s="139"/>
      <c r="EDD113" s="139"/>
      <c r="EDE113" s="139"/>
      <c r="EDF113" s="139"/>
      <c r="EDG113" s="139"/>
      <c r="EDH113" s="139"/>
      <c r="EDI113" s="139"/>
      <c r="EDJ113" s="139"/>
      <c r="EDK113" s="139"/>
      <c r="EDL113" s="139"/>
      <c r="EDM113" s="139"/>
      <c r="EDN113" s="139"/>
      <c r="EDO113" s="139"/>
      <c r="EDP113" s="139"/>
      <c r="EDQ113" s="139"/>
      <c r="EDR113" s="139"/>
      <c r="EDS113" s="139"/>
      <c r="EDT113" s="139"/>
      <c r="EDU113" s="139"/>
      <c r="EDV113" s="139"/>
      <c r="EDW113" s="139"/>
      <c r="EDX113" s="139"/>
      <c r="EDY113" s="139"/>
      <c r="EDZ113" s="139"/>
      <c r="EEA113" s="139"/>
      <c r="EEB113" s="139"/>
      <c r="EEC113" s="139"/>
      <c r="EED113" s="139"/>
      <c r="EEE113" s="139"/>
      <c r="EEF113" s="139"/>
      <c r="EEG113" s="139"/>
      <c r="EEH113" s="139"/>
      <c r="EEI113" s="139"/>
      <c r="EEJ113" s="139"/>
      <c r="EEK113" s="139"/>
      <c r="EEL113" s="139"/>
      <c r="EEM113" s="139"/>
      <c r="EEN113" s="139"/>
      <c r="EEO113" s="139"/>
      <c r="EEP113" s="139"/>
      <c r="EEQ113" s="139"/>
      <c r="EER113" s="139"/>
      <c r="EES113" s="139"/>
      <c r="EET113" s="139"/>
      <c r="EEU113" s="139"/>
      <c r="EEV113" s="139"/>
      <c r="EEW113" s="139"/>
      <c r="EEX113" s="139"/>
      <c r="EEY113" s="139"/>
      <c r="EEZ113" s="139"/>
      <c r="EFA113" s="139"/>
      <c r="EFB113" s="139"/>
      <c r="EFC113" s="139"/>
      <c r="EFD113" s="139"/>
      <c r="EFE113" s="139"/>
      <c r="EFF113" s="139"/>
      <c r="EFG113" s="139"/>
      <c r="EFH113" s="139"/>
      <c r="EFI113" s="139"/>
      <c r="EFJ113" s="139"/>
      <c r="EFK113" s="139"/>
      <c r="EFL113" s="139"/>
      <c r="EFM113" s="139"/>
      <c r="EFN113" s="139"/>
      <c r="EFO113" s="139"/>
      <c r="EFP113" s="139"/>
      <c r="EFQ113" s="139"/>
      <c r="EFR113" s="139"/>
      <c r="EFS113" s="139"/>
      <c r="EFT113" s="139"/>
      <c r="EFU113" s="139"/>
      <c r="EFV113" s="139"/>
      <c r="EFW113" s="139"/>
      <c r="EFX113" s="139"/>
      <c r="EFY113" s="139"/>
      <c r="EFZ113" s="139"/>
      <c r="EGA113" s="139"/>
      <c r="EGB113" s="139"/>
      <c r="EGC113" s="139"/>
      <c r="EGD113" s="139"/>
      <c r="EGE113" s="139"/>
      <c r="EGF113" s="139"/>
      <c r="EGG113" s="139"/>
      <c r="EGH113" s="139"/>
      <c r="EGI113" s="139"/>
      <c r="EGJ113" s="139"/>
      <c r="EGK113" s="139"/>
      <c r="EGL113" s="139"/>
      <c r="EGM113" s="139"/>
      <c r="EGN113" s="139"/>
      <c r="EGO113" s="139"/>
      <c r="EGP113" s="139"/>
      <c r="EGQ113" s="139"/>
      <c r="EGR113" s="139"/>
      <c r="EGS113" s="139"/>
      <c r="EGT113" s="139"/>
      <c r="EGU113" s="139"/>
      <c r="EGV113" s="139"/>
      <c r="EGW113" s="139"/>
      <c r="EGX113" s="139"/>
      <c r="EGY113" s="139"/>
      <c r="EGZ113" s="139"/>
      <c r="EHA113" s="139"/>
      <c r="EHB113" s="139"/>
      <c r="EHC113" s="139"/>
      <c r="EHD113" s="139"/>
      <c r="EHE113" s="139"/>
      <c r="EHF113" s="139"/>
      <c r="EHG113" s="139"/>
      <c r="EHH113" s="139"/>
      <c r="EHI113" s="139"/>
      <c r="EHJ113" s="139"/>
      <c r="EHK113" s="139"/>
      <c r="EHL113" s="139"/>
      <c r="EHM113" s="139"/>
      <c r="EHN113" s="139"/>
      <c r="EHO113" s="139"/>
      <c r="EHP113" s="139"/>
      <c r="EHQ113" s="139"/>
      <c r="EHR113" s="139"/>
      <c r="EHS113" s="139"/>
      <c r="EHT113" s="139"/>
      <c r="EHU113" s="139"/>
      <c r="EHV113" s="139"/>
      <c r="EHW113" s="139"/>
      <c r="EHX113" s="139"/>
      <c r="EHY113" s="139"/>
      <c r="EHZ113" s="139"/>
      <c r="EIA113" s="139"/>
      <c r="EIB113" s="139"/>
      <c r="EIC113" s="139"/>
      <c r="EID113" s="139"/>
      <c r="EIE113" s="139"/>
      <c r="EIF113" s="139"/>
      <c r="EIG113" s="139"/>
      <c r="EIH113" s="139"/>
      <c r="EII113" s="139"/>
      <c r="EIJ113" s="139"/>
      <c r="EIK113" s="139"/>
      <c r="EIL113" s="139"/>
      <c r="EIM113" s="139"/>
      <c r="EIN113" s="139"/>
      <c r="EIO113" s="139"/>
      <c r="EIP113" s="139"/>
      <c r="EIQ113" s="139"/>
      <c r="EIR113" s="139"/>
      <c r="EIS113" s="139"/>
      <c r="EIT113" s="139"/>
      <c r="EIU113" s="139"/>
      <c r="EIV113" s="139"/>
      <c r="EIW113" s="139"/>
      <c r="EIX113" s="139"/>
      <c r="EIY113" s="139"/>
      <c r="EIZ113" s="139"/>
      <c r="EJA113" s="139"/>
      <c r="EJB113" s="139"/>
      <c r="EJC113" s="139"/>
      <c r="EJD113" s="139"/>
      <c r="EJE113" s="139"/>
      <c r="EJF113" s="139"/>
      <c r="EJG113" s="139"/>
      <c r="EJH113" s="139"/>
      <c r="EJI113" s="139"/>
      <c r="EJJ113" s="139"/>
      <c r="EJK113" s="139"/>
      <c r="EJL113" s="139"/>
      <c r="EJM113" s="139"/>
      <c r="EJN113" s="139"/>
      <c r="EJO113" s="139"/>
      <c r="EJP113" s="139"/>
      <c r="EJQ113" s="139"/>
      <c r="EJR113" s="139"/>
      <c r="EJS113" s="139"/>
      <c r="EJT113" s="139"/>
      <c r="EJU113" s="139"/>
      <c r="EJV113" s="139"/>
      <c r="EJW113" s="139"/>
      <c r="EJX113" s="139"/>
      <c r="EJY113" s="139"/>
      <c r="EJZ113" s="139"/>
      <c r="EKA113" s="139"/>
      <c r="EKB113" s="139"/>
      <c r="EKC113" s="139"/>
      <c r="EKD113" s="139"/>
      <c r="EKE113" s="139"/>
      <c r="EKF113" s="139"/>
      <c r="EKG113" s="139"/>
      <c r="EKH113" s="139"/>
      <c r="EKI113" s="139"/>
      <c r="EKJ113" s="139"/>
      <c r="EKK113" s="139"/>
      <c r="EKL113" s="139"/>
      <c r="EKM113" s="139"/>
      <c r="EKN113" s="139"/>
      <c r="EKO113" s="139"/>
      <c r="EKP113" s="139"/>
      <c r="EKQ113" s="139"/>
      <c r="EKR113" s="139"/>
      <c r="EKS113" s="139"/>
      <c r="EKT113" s="139"/>
      <c r="EKU113" s="139"/>
      <c r="EKV113" s="139"/>
      <c r="EKW113" s="139"/>
      <c r="EKX113" s="139"/>
      <c r="EKY113" s="139"/>
      <c r="EKZ113" s="139"/>
      <c r="ELA113" s="139"/>
      <c r="ELB113" s="139"/>
      <c r="ELC113" s="139"/>
      <c r="ELD113" s="139"/>
      <c r="ELE113" s="139"/>
      <c r="ELF113" s="139"/>
      <c r="ELG113" s="139"/>
      <c r="ELH113" s="139"/>
      <c r="ELI113" s="139"/>
      <c r="ELJ113" s="139"/>
      <c r="ELK113" s="139"/>
      <c r="ELL113" s="139"/>
      <c r="ELM113" s="139"/>
      <c r="ELN113" s="139"/>
      <c r="ELO113" s="139"/>
      <c r="ELP113" s="139"/>
      <c r="ELQ113" s="139"/>
      <c r="ELR113" s="139"/>
      <c r="ELS113" s="139"/>
      <c r="ELT113" s="139"/>
      <c r="ELU113" s="139"/>
      <c r="ELV113" s="139"/>
      <c r="ELW113" s="139"/>
      <c r="ELX113" s="139"/>
      <c r="ELY113" s="139"/>
      <c r="ELZ113" s="139"/>
      <c r="EMA113" s="139"/>
      <c r="EMB113" s="139"/>
      <c r="EMC113" s="139"/>
      <c r="EMD113" s="139"/>
      <c r="EME113" s="139"/>
      <c r="EMF113" s="139"/>
      <c r="EMG113" s="139"/>
      <c r="EMH113" s="139"/>
      <c r="EMI113" s="139"/>
      <c r="EMJ113" s="139"/>
      <c r="EMK113" s="139"/>
      <c r="EML113" s="139"/>
      <c r="EMM113" s="139"/>
      <c r="EMN113" s="139"/>
      <c r="EMO113" s="139"/>
      <c r="EMP113" s="139"/>
      <c r="EMQ113" s="139"/>
      <c r="EMR113" s="139"/>
      <c r="EMS113" s="139"/>
      <c r="EMT113" s="139"/>
      <c r="EMU113" s="139"/>
      <c r="EMV113" s="139"/>
      <c r="EMW113" s="139"/>
      <c r="EMX113" s="139"/>
      <c r="EMY113" s="139"/>
      <c r="EMZ113" s="139"/>
      <c r="ENA113" s="139"/>
      <c r="ENB113" s="139"/>
      <c r="ENC113" s="139"/>
      <c r="END113" s="139"/>
      <c r="ENE113" s="139"/>
      <c r="ENF113" s="139"/>
      <c r="ENG113" s="139"/>
      <c r="ENH113" s="139"/>
      <c r="ENI113" s="139"/>
      <c r="ENJ113" s="139"/>
      <c r="ENK113" s="139"/>
      <c r="ENL113" s="139"/>
      <c r="ENM113" s="139"/>
      <c r="ENN113" s="139"/>
      <c r="ENO113" s="139"/>
      <c r="ENP113" s="139"/>
      <c r="ENQ113" s="139"/>
      <c r="ENR113" s="139"/>
      <c r="ENS113" s="139"/>
      <c r="ENT113" s="139"/>
      <c r="ENU113" s="139"/>
      <c r="ENV113" s="139"/>
      <c r="ENW113" s="139"/>
      <c r="ENX113" s="139"/>
      <c r="ENY113" s="139"/>
      <c r="ENZ113" s="139"/>
      <c r="EOA113" s="139"/>
      <c r="EOB113" s="139"/>
      <c r="EOC113" s="139"/>
      <c r="EOD113" s="139"/>
      <c r="EOE113" s="139"/>
      <c r="EOF113" s="139"/>
      <c r="EOG113" s="139"/>
      <c r="EOH113" s="139"/>
      <c r="EOI113" s="139"/>
      <c r="EOJ113" s="139"/>
      <c r="EOK113" s="139"/>
      <c r="EOL113" s="139"/>
      <c r="EOM113" s="139"/>
      <c r="EON113" s="139"/>
      <c r="EOO113" s="139"/>
      <c r="EOP113" s="139"/>
      <c r="EOQ113" s="139"/>
      <c r="EOR113" s="139"/>
      <c r="EOS113" s="139"/>
      <c r="EOT113" s="139"/>
      <c r="EOU113" s="139"/>
      <c r="EOV113" s="139"/>
      <c r="EOW113" s="139"/>
      <c r="EOX113" s="139"/>
      <c r="EOY113" s="139"/>
      <c r="EOZ113" s="139"/>
      <c r="EPA113" s="139"/>
      <c r="EPB113" s="139"/>
      <c r="EPC113" s="139"/>
      <c r="EPD113" s="139"/>
      <c r="EPE113" s="139"/>
      <c r="EPF113" s="139"/>
      <c r="EPG113" s="139"/>
      <c r="EPH113" s="139"/>
      <c r="EPI113" s="139"/>
      <c r="EPJ113" s="139"/>
      <c r="EPK113" s="139"/>
      <c r="EPL113" s="139"/>
      <c r="EPM113" s="139"/>
      <c r="EPN113" s="139"/>
      <c r="EPO113" s="139"/>
      <c r="EPP113" s="139"/>
      <c r="EPQ113" s="139"/>
      <c r="EPR113" s="139"/>
      <c r="EPS113" s="139"/>
      <c r="EPT113" s="139"/>
      <c r="EPU113" s="139"/>
      <c r="EPV113" s="139"/>
      <c r="EPW113" s="139"/>
      <c r="EPX113" s="139"/>
      <c r="EPY113" s="139"/>
      <c r="EPZ113" s="139"/>
      <c r="EQA113" s="139"/>
      <c r="EQB113" s="139"/>
      <c r="EQC113" s="139"/>
      <c r="EQD113" s="139"/>
      <c r="EQE113" s="139"/>
      <c r="EQF113" s="139"/>
      <c r="EQG113" s="139"/>
      <c r="EQH113" s="139"/>
      <c r="EQI113" s="139"/>
      <c r="EQJ113" s="139"/>
      <c r="EQK113" s="139"/>
      <c r="EQL113" s="139"/>
      <c r="EQM113" s="139"/>
      <c r="EQN113" s="139"/>
      <c r="EQO113" s="139"/>
      <c r="EQP113" s="139"/>
      <c r="EQQ113" s="139"/>
      <c r="EQR113" s="139"/>
      <c r="EQS113" s="139"/>
      <c r="EQT113" s="139"/>
      <c r="EQU113" s="139"/>
      <c r="EQV113" s="139"/>
      <c r="EQW113" s="139"/>
      <c r="EQX113" s="139"/>
      <c r="EQY113" s="139"/>
      <c r="EQZ113" s="139"/>
      <c r="ERA113" s="139"/>
      <c r="ERB113" s="139"/>
      <c r="ERC113" s="139"/>
      <c r="ERD113" s="139"/>
      <c r="ERE113" s="139"/>
      <c r="ERF113" s="139"/>
      <c r="ERG113" s="139"/>
      <c r="ERH113" s="139"/>
      <c r="ERI113" s="139"/>
      <c r="ERJ113" s="139"/>
      <c r="ERK113" s="139"/>
      <c r="ERL113" s="139"/>
      <c r="ERM113" s="139"/>
      <c r="ERN113" s="139"/>
      <c r="ERO113" s="139"/>
      <c r="ERP113" s="139"/>
      <c r="ERQ113" s="139"/>
      <c r="ERR113" s="139"/>
      <c r="ERS113" s="139"/>
      <c r="ERT113" s="139"/>
      <c r="ERU113" s="139"/>
      <c r="ERV113" s="139"/>
      <c r="ERW113" s="139"/>
      <c r="ERX113" s="139"/>
      <c r="ERY113" s="139"/>
      <c r="ERZ113" s="139"/>
      <c r="ESA113" s="139"/>
      <c r="ESB113" s="139"/>
      <c r="ESC113" s="139"/>
      <c r="ESD113" s="139"/>
      <c r="ESE113" s="139"/>
      <c r="ESF113" s="139"/>
      <c r="ESG113" s="139"/>
      <c r="ESH113" s="139"/>
      <c r="ESI113" s="139"/>
      <c r="ESJ113" s="139"/>
      <c r="ESK113" s="139"/>
      <c r="ESL113" s="139"/>
      <c r="ESM113" s="139"/>
      <c r="ESN113" s="139"/>
      <c r="ESO113" s="139"/>
      <c r="ESP113" s="139"/>
      <c r="ESQ113" s="139"/>
      <c r="ESR113" s="139"/>
      <c r="ESS113" s="139"/>
      <c r="EST113" s="139"/>
      <c r="ESU113" s="139"/>
      <c r="ESV113" s="139"/>
      <c r="ESW113" s="139"/>
      <c r="ESX113" s="139"/>
      <c r="ESY113" s="139"/>
      <c r="ESZ113" s="139"/>
      <c r="ETA113" s="139"/>
      <c r="ETB113" s="139"/>
      <c r="ETC113" s="139"/>
      <c r="ETD113" s="139"/>
      <c r="ETE113" s="139"/>
      <c r="ETF113" s="139"/>
      <c r="ETG113" s="139"/>
      <c r="ETH113" s="139"/>
      <c r="ETI113" s="139"/>
      <c r="ETJ113" s="139"/>
      <c r="ETK113" s="139"/>
      <c r="ETL113" s="139"/>
      <c r="ETM113" s="139"/>
      <c r="ETN113" s="139"/>
      <c r="ETO113" s="139"/>
      <c r="ETP113" s="139"/>
      <c r="ETQ113" s="139"/>
      <c r="ETR113" s="139"/>
      <c r="ETS113" s="139"/>
      <c r="ETT113" s="139"/>
      <c r="ETU113" s="139"/>
      <c r="ETV113" s="139"/>
      <c r="ETW113" s="139"/>
      <c r="ETX113" s="139"/>
      <c r="ETY113" s="139"/>
      <c r="ETZ113" s="139"/>
      <c r="EUA113" s="139"/>
      <c r="EUB113" s="139"/>
      <c r="EUC113" s="139"/>
      <c r="EUD113" s="139"/>
      <c r="EUE113" s="139"/>
      <c r="EUF113" s="139"/>
      <c r="EUG113" s="139"/>
      <c r="EUH113" s="139"/>
      <c r="EUI113" s="139"/>
      <c r="EUJ113" s="139"/>
      <c r="EUK113" s="139"/>
      <c r="EUL113" s="139"/>
      <c r="EUM113" s="139"/>
      <c r="EUN113" s="139"/>
      <c r="EUO113" s="139"/>
      <c r="EUP113" s="139"/>
      <c r="EUQ113" s="139"/>
      <c r="EUR113" s="139"/>
      <c r="EUS113" s="139"/>
      <c r="EUT113" s="139"/>
      <c r="EUU113" s="139"/>
      <c r="EUV113" s="139"/>
      <c r="EUW113" s="139"/>
      <c r="EUX113" s="139"/>
      <c r="EUY113" s="139"/>
      <c r="EUZ113" s="139"/>
      <c r="EVA113" s="139"/>
      <c r="EVB113" s="139"/>
      <c r="EVC113" s="139"/>
      <c r="EVD113" s="139"/>
      <c r="EVE113" s="139"/>
      <c r="EVF113" s="139"/>
      <c r="EVG113" s="139"/>
      <c r="EVH113" s="139"/>
      <c r="EVI113" s="139"/>
      <c r="EVJ113" s="139"/>
      <c r="EVK113" s="139"/>
      <c r="EVL113" s="139"/>
      <c r="EVM113" s="139"/>
      <c r="EVN113" s="139"/>
      <c r="EVO113" s="139"/>
      <c r="EVP113" s="139"/>
      <c r="EVQ113" s="139"/>
      <c r="EVR113" s="139"/>
      <c r="EVS113" s="139"/>
      <c r="EVT113" s="139"/>
      <c r="EVU113" s="139"/>
      <c r="EVV113" s="139"/>
      <c r="EVW113" s="139"/>
      <c r="EVX113" s="139"/>
      <c r="EVY113" s="139"/>
      <c r="EVZ113" s="139"/>
      <c r="EWA113" s="139"/>
      <c r="EWB113" s="139"/>
      <c r="EWC113" s="139"/>
      <c r="EWD113" s="139"/>
      <c r="EWE113" s="139"/>
      <c r="EWF113" s="139"/>
      <c r="EWG113" s="139"/>
      <c r="EWH113" s="139"/>
      <c r="EWI113" s="139"/>
      <c r="EWJ113" s="139"/>
      <c r="EWK113" s="139"/>
      <c r="EWL113" s="139"/>
      <c r="EWM113" s="139"/>
      <c r="EWN113" s="139"/>
      <c r="EWO113" s="139"/>
      <c r="EWP113" s="139"/>
      <c r="EWQ113" s="139"/>
      <c r="EWR113" s="139"/>
      <c r="EWS113" s="139"/>
      <c r="EWT113" s="139"/>
      <c r="EWU113" s="139"/>
      <c r="EWV113" s="139"/>
      <c r="EWW113" s="139"/>
      <c r="EWX113" s="139"/>
      <c r="EWY113" s="139"/>
      <c r="EWZ113" s="139"/>
      <c r="EXA113" s="139"/>
      <c r="EXB113" s="139"/>
      <c r="EXC113" s="139"/>
      <c r="EXD113" s="139"/>
      <c r="EXE113" s="139"/>
      <c r="EXF113" s="139"/>
      <c r="EXG113" s="139"/>
      <c r="EXH113" s="139"/>
      <c r="EXI113" s="139"/>
      <c r="EXJ113" s="139"/>
      <c r="EXK113" s="139"/>
      <c r="EXL113" s="139"/>
      <c r="EXM113" s="139"/>
      <c r="EXN113" s="139"/>
      <c r="EXO113" s="139"/>
      <c r="EXP113" s="139"/>
      <c r="EXQ113" s="139"/>
      <c r="EXR113" s="139"/>
      <c r="EXS113" s="139"/>
      <c r="EXT113" s="139"/>
      <c r="EXU113" s="139"/>
      <c r="EXV113" s="139"/>
      <c r="EXW113" s="139"/>
      <c r="EXX113" s="139"/>
      <c r="EXY113" s="139"/>
      <c r="EXZ113" s="139"/>
      <c r="EYA113" s="139"/>
      <c r="EYB113" s="139"/>
      <c r="EYC113" s="139"/>
      <c r="EYD113" s="139"/>
      <c r="EYE113" s="139"/>
      <c r="EYF113" s="139"/>
      <c r="EYG113" s="139"/>
      <c r="EYH113" s="139"/>
      <c r="EYI113" s="139"/>
      <c r="EYJ113" s="139"/>
      <c r="EYK113" s="139"/>
      <c r="EYL113" s="139"/>
      <c r="EYM113" s="139"/>
      <c r="EYN113" s="139"/>
      <c r="EYO113" s="139"/>
      <c r="EYP113" s="139"/>
      <c r="EYQ113" s="139"/>
      <c r="EYR113" s="139"/>
      <c r="EYS113" s="139"/>
      <c r="EYT113" s="139"/>
      <c r="EYU113" s="139"/>
      <c r="EYV113" s="139"/>
      <c r="EYW113" s="139"/>
      <c r="EYX113" s="139"/>
      <c r="EYY113" s="139"/>
      <c r="EYZ113" s="139"/>
      <c r="EZA113" s="139"/>
      <c r="EZB113" s="139"/>
      <c r="EZC113" s="139"/>
      <c r="EZD113" s="139"/>
      <c r="EZE113" s="139"/>
      <c r="EZF113" s="139"/>
      <c r="EZG113" s="139"/>
      <c r="EZH113" s="139"/>
      <c r="EZI113" s="139"/>
      <c r="EZJ113" s="139"/>
      <c r="EZK113" s="139"/>
      <c r="EZL113" s="139"/>
      <c r="EZM113" s="139"/>
      <c r="EZN113" s="139"/>
      <c r="EZO113" s="139"/>
      <c r="EZP113" s="139"/>
      <c r="EZQ113" s="139"/>
      <c r="EZR113" s="139"/>
      <c r="EZS113" s="139"/>
      <c r="EZT113" s="139"/>
      <c r="EZU113" s="139"/>
      <c r="EZV113" s="139"/>
      <c r="EZW113" s="139"/>
      <c r="EZX113" s="139"/>
      <c r="EZY113" s="139"/>
      <c r="EZZ113" s="139"/>
      <c r="FAA113" s="139"/>
      <c r="FAB113" s="139"/>
      <c r="FAC113" s="139"/>
      <c r="FAD113" s="139"/>
      <c r="FAE113" s="139"/>
      <c r="FAF113" s="139"/>
      <c r="FAG113" s="139"/>
      <c r="FAH113" s="139"/>
      <c r="FAI113" s="139"/>
      <c r="FAJ113" s="139"/>
      <c r="FAK113" s="139"/>
      <c r="FAL113" s="139"/>
      <c r="FAM113" s="139"/>
      <c r="FAN113" s="139"/>
      <c r="FAO113" s="139"/>
      <c r="FAP113" s="139"/>
      <c r="FAQ113" s="139"/>
      <c r="FAR113" s="139"/>
      <c r="FAS113" s="139"/>
      <c r="FAT113" s="139"/>
      <c r="FAU113" s="139"/>
      <c r="FAV113" s="139"/>
      <c r="FAW113" s="139"/>
      <c r="FAX113" s="139"/>
      <c r="FAY113" s="139"/>
      <c r="FAZ113" s="139"/>
      <c r="FBA113" s="139"/>
      <c r="FBB113" s="139"/>
      <c r="FBC113" s="139"/>
      <c r="FBD113" s="139"/>
      <c r="FBE113" s="139"/>
      <c r="FBF113" s="139"/>
      <c r="FBG113" s="139"/>
      <c r="FBH113" s="139"/>
      <c r="FBI113" s="139"/>
      <c r="FBJ113" s="139"/>
      <c r="FBK113" s="139"/>
      <c r="FBL113" s="139"/>
      <c r="FBM113" s="139"/>
      <c r="FBN113" s="139"/>
      <c r="FBO113" s="139"/>
      <c r="FBP113" s="139"/>
      <c r="FBQ113" s="139"/>
      <c r="FBR113" s="139"/>
      <c r="FBS113" s="139"/>
      <c r="FBT113" s="139"/>
      <c r="FBU113" s="139"/>
      <c r="FBV113" s="139"/>
      <c r="FBW113" s="139"/>
      <c r="FBX113" s="139"/>
      <c r="FBY113" s="139"/>
      <c r="FBZ113" s="139"/>
      <c r="FCA113" s="139"/>
      <c r="FCB113" s="139"/>
      <c r="FCC113" s="139"/>
      <c r="FCD113" s="139"/>
      <c r="FCE113" s="139"/>
      <c r="FCF113" s="139"/>
      <c r="FCG113" s="139"/>
      <c r="FCH113" s="139"/>
      <c r="FCI113" s="139"/>
      <c r="FCJ113" s="139"/>
      <c r="FCK113" s="139"/>
      <c r="FCL113" s="139"/>
      <c r="FCM113" s="139"/>
      <c r="FCN113" s="139"/>
      <c r="FCO113" s="139"/>
      <c r="FCP113" s="139"/>
      <c r="FCQ113" s="139"/>
      <c r="FCR113" s="139"/>
      <c r="FCS113" s="139"/>
      <c r="FCT113" s="139"/>
      <c r="FCU113" s="139"/>
      <c r="FCV113" s="139"/>
      <c r="FCW113" s="139"/>
      <c r="FCX113" s="139"/>
      <c r="FCY113" s="139"/>
      <c r="FCZ113" s="139"/>
      <c r="FDA113" s="139"/>
      <c r="FDB113" s="139"/>
      <c r="FDC113" s="139"/>
      <c r="FDD113" s="139"/>
      <c r="FDE113" s="139"/>
      <c r="FDF113" s="139"/>
      <c r="FDG113" s="139"/>
      <c r="FDH113" s="139"/>
      <c r="FDI113" s="139"/>
      <c r="FDJ113" s="139"/>
      <c r="FDK113" s="139"/>
      <c r="FDL113" s="139"/>
      <c r="FDM113" s="139"/>
      <c r="FDN113" s="139"/>
      <c r="FDO113" s="139"/>
      <c r="FDP113" s="139"/>
      <c r="FDQ113" s="139"/>
      <c r="FDR113" s="139"/>
      <c r="FDS113" s="139"/>
      <c r="FDT113" s="139"/>
      <c r="FDU113" s="139"/>
      <c r="FDV113" s="139"/>
      <c r="FDW113" s="139"/>
      <c r="FDX113" s="139"/>
      <c r="FDY113" s="139"/>
      <c r="FDZ113" s="139"/>
      <c r="FEA113" s="139"/>
      <c r="FEB113" s="139"/>
      <c r="FEC113" s="139"/>
      <c r="FED113" s="139"/>
      <c r="FEE113" s="139"/>
      <c r="FEF113" s="139"/>
      <c r="FEG113" s="139"/>
      <c r="FEH113" s="139"/>
      <c r="FEI113" s="139"/>
      <c r="FEJ113" s="139"/>
      <c r="FEK113" s="139"/>
      <c r="FEL113" s="139"/>
      <c r="FEM113" s="139"/>
      <c r="FEN113" s="139"/>
      <c r="FEO113" s="139"/>
      <c r="FEP113" s="139"/>
      <c r="FEQ113" s="139"/>
      <c r="FER113" s="139"/>
      <c r="FES113" s="139"/>
      <c r="FET113" s="139"/>
      <c r="FEU113" s="139"/>
      <c r="FEV113" s="139"/>
      <c r="FEW113" s="139"/>
      <c r="FEX113" s="139"/>
      <c r="FEY113" s="139"/>
      <c r="FEZ113" s="139"/>
      <c r="FFA113" s="139"/>
      <c r="FFB113" s="139"/>
      <c r="FFC113" s="139"/>
      <c r="FFD113" s="139"/>
      <c r="FFE113" s="139"/>
      <c r="FFF113" s="139"/>
      <c r="FFG113" s="139"/>
      <c r="FFH113" s="139"/>
      <c r="FFI113" s="139"/>
      <c r="FFJ113" s="139"/>
      <c r="FFK113" s="139"/>
      <c r="FFL113" s="139"/>
      <c r="FFM113" s="139"/>
      <c r="FFN113" s="139"/>
      <c r="FFO113" s="139"/>
      <c r="FFP113" s="139"/>
      <c r="FFQ113" s="139"/>
      <c r="FFR113" s="139"/>
      <c r="FFS113" s="139"/>
      <c r="FFT113" s="139"/>
      <c r="FFU113" s="139"/>
      <c r="FFV113" s="139"/>
      <c r="FFW113" s="139"/>
      <c r="FFX113" s="139"/>
      <c r="FFY113" s="139"/>
      <c r="FFZ113" s="139"/>
      <c r="FGA113" s="139"/>
      <c r="FGB113" s="139"/>
      <c r="FGC113" s="139"/>
      <c r="FGD113" s="139"/>
      <c r="FGE113" s="139"/>
      <c r="FGF113" s="139"/>
      <c r="FGG113" s="139"/>
      <c r="FGH113" s="139"/>
      <c r="FGI113" s="139"/>
      <c r="FGJ113" s="139"/>
      <c r="FGK113" s="139"/>
      <c r="FGL113" s="139"/>
      <c r="FGM113" s="139"/>
      <c r="FGN113" s="139"/>
      <c r="FGO113" s="139"/>
      <c r="FGP113" s="139"/>
      <c r="FGQ113" s="139"/>
      <c r="FGR113" s="139"/>
      <c r="FGS113" s="139"/>
      <c r="FGT113" s="139"/>
      <c r="FGU113" s="139"/>
      <c r="FGV113" s="139"/>
      <c r="FGW113" s="139"/>
      <c r="FGX113" s="139"/>
      <c r="FGY113" s="139"/>
      <c r="FGZ113" s="139"/>
      <c r="FHA113" s="139"/>
      <c r="FHB113" s="139"/>
      <c r="FHC113" s="139"/>
      <c r="FHD113" s="139"/>
      <c r="FHE113" s="139"/>
      <c r="FHF113" s="139"/>
      <c r="FHG113" s="139"/>
      <c r="FHH113" s="139"/>
      <c r="FHI113" s="139"/>
      <c r="FHJ113" s="139"/>
      <c r="FHK113" s="139"/>
      <c r="FHL113" s="139"/>
      <c r="FHM113" s="139"/>
      <c r="FHN113" s="139"/>
      <c r="FHO113" s="139"/>
      <c r="FHP113" s="139"/>
      <c r="FHQ113" s="139"/>
      <c r="FHR113" s="139"/>
      <c r="FHS113" s="139"/>
      <c r="FHT113" s="139"/>
      <c r="FHU113" s="139"/>
      <c r="FHV113" s="139"/>
      <c r="FHW113" s="139"/>
      <c r="FHX113" s="139"/>
      <c r="FHY113" s="139"/>
      <c r="FHZ113" s="139"/>
      <c r="FIA113" s="139"/>
      <c r="FIB113" s="139"/>
      <c r="FIC113" s="139"/>
      <c r="FID113" s="139"/>
      <c r="FIE113" s="139"/>
      <c r="FIF113" s="139"/>
      <c r="FIG113" s="139"/>
      <c r="FIH113" s="139"/>
      <c r="FII113" s="139"/>
      <c r="FIJ113" s="139"/>
      <c r="FIK113" s="139"/>
      <c r="FIL113" s="139"/>
      <c r="FIM113" s="139"/>
      <c r="FIN113" s="139"/>
      <c r="FIO113" s="139"/>
      <c r="FIP113" s="139"/>
      <c r="FIQ113" s="139"/>
      <c r="FIR113" s="139"/>
      <c r="FIS113" s="139"/>
      <c r="FIT113" s="139"/>
      <c r="FIU113" s="139"/>
      <c r="FIV113" s="139"/>
      <c r="FIW113" s="139"/>
      <c r="FIX113" s="139"/>
      <c r="FIY113" s="139"/>
      <c r="FIZ113" s="139"/>
      <c r="FJA113" s="139"/>
      <c r="FJB113" s="139"/>
      <c r="FJC113" s="139"/>
      <c r="FJD113" s="139"/>
      <c r="FJE113" s="139"/>
      <c r="FJF113" s="139"/>
      <c r="FJG113" s="139"/>
      <c r="FJH113" s="139"/>
      <c r="FJI113" s="139"/>
      <c r="FJJ113" s="139"/>
      <c r="FJK113" s="139"/>
      <c r="FJL113" s="139"/>
      <c r="FJM113" s="139"/>
      <c r="FJN113" s="139"/>
      <c r="FJO113" s="139"/>
      <c r="FJP113" s="139"/>
      <c r="FJQ113" s="139"/>
      <c r="FJR113" s="139"/>
      <c r="FJS113" s="139"/>
      <c r="FJT113" s="139"/>
      <c r="FJU113" s="139"/>
      <c r="FJV113" s="139"/>
      <c r="FJW113" s="139"/>
      <c r="FJX113" s="139"/>
      <c r="FJY113" s="139"/>
      <c r="FJZ113" s="139"/>
      <c r="FKA113" s="139"/>
      <c r="FKB113" s="139"/>
      <c r="FKC113" s="139"/>
      <c r="FKD113" s="139"/>
      <c r="FKE113" s="139"/>
      <c r="FKF113" s="139"/>
      <c r="FKG113" s="139"/>
      <c r="FKH113" s="139"/>
      <c r="FKI113" s="139"/>
      <c r="FKJ113" s="139"/>
      <c r="FKK113" s="139"/>
      <c r="FKL113" s="139"/>
      <c r="FKM113" s="139"/>
      <c r="FKN113" s="139"/>
      <c r="FKO113" s="139"/>
      <c r="FKP113" s="139"/>
      <c r="FKQ113" s="139"/>
      <c r="FKR113" s="139"/>
      <c r="FKS113" s="139"/>
      <c r="FKT113" s="139"/>
      <c r="FKU113" s="139"/>
      <c r="FKV113" s="139"/>
      <c r="FKW113" s="139"/>
      <c r="FKX113" s="139"/>
      <c r="FKY113" s="139"/>
      <c r="FKZ113" s="139"/>
      <c r="FLA113" s="139"/>
      <c r="FLB113" s="139"/>
      <c r="FLC113" s="139"/>
      <c r="FLD113" s="139"/>
      <c r="FLE113" s="139"/>
      <c r="FLF113" s="139"/>
      <c r="FLG113" s="139"/>
      <c r="FLH113" s="139"/>
      <c r="FLI113" s="139"/>
      <c r="FLJ113" s="139"/>
      <c r="FLK113" s="139"/>
      <c r="FLL113" s="139"/>
      <c r="FLM113" s="139"/>
      <c r="FLN113" s="139"/>
      <c r="FLO113" s="139"/>
      <c r="FLP113" s="139"/>
      <c r="FLQ113" s="139"/>
      <c r="FLR113" s="139"/>
      <c r="FLS113" s="139"/>
      <c r="FLT113" s="139"/>
      <c r="FLU113" s="139"/>
      <c r="FLV113" s="139"/>
      <c r="FLW113" s="139"/>
      <c r="FLX113" s="139"/>
      <c r="FLY113" s="139"/>
      <c r="FLZ113" s="139"/>
      <c r="FMA113" s="139"/>
      <c r="FMB113" s="139"/>
      <c r="FMC113" s="139"/>
      <c r="FMD113" s="139"/>
      <c r="FME113" s="139"/>
      <c r="FMF113" s="139"/>
      <c r="FMG113" s="139"/>
      <c r="FMH113" s="139"/>
      <c r="FMI113" s="139"/>
      <c r="FMJ113" s="139"/>
      <c r="FMK113" s="139"/>
      <c r="FML113" s="139"/>
      <c r="FMM113" s="139"/>
      <c r="FMN113" s="139"/>
      <c r="FMO113" s="139"/>
      <c r="FMP113" s="139"/>
      <c r="FMQ113" s="139"/>
      <c r="FMR113" s="139"/>
      <c r="FMS113" s="139"/>
      <c r="FMT113" s="139"/>
      <c r="FMU113" s="139"/>
      <c r="FMV113" s="139"/>
      <c r="FMW113" s="139"/>
      <c r="FMX113" s="139"/>
      <c r="FMY113" s="139"/>
      <c r="FMZ113" s="139"/>
      <c r="FNA113" s="139"/>
      <c r="FNB113" s="139"/>
      <c r="FNC113" s="139"/>
      <c r="FND113" s="139"/>
      <c r="FNE113" s="139"/>
      <c r="FNF113" s="139"/>
      <c r="FNG113" s="139"/>
      <c r="FNH113" s="139"/>
      <c r="FNI113" s="139"/>
      <c r="FNJ113" s="139"/>
      <c r="FNK113" s="139"/>
      <c r="FNL113" s="139"/>
      <c r="FNM113" s="139"/>
      <c r="FNN113" s="139"/>
      <c r="FNO113" s="139"/>
      <c r="FNP113" s="139"/>
      <c r="FNQ113" s="139"/>
      <c r="FNR113" s="139"/>
      <c r="FNS113" s="139"/>
      <c r="FNT113" s="139"/>
      <c r="FNU113" s="139"/>
      <c r="FNV113" s="139"/>
      <c r="FNW113" s="139"/>
      <c r="FNX113" s="139"/>
      <c r="FNY113" s="139"/>
      <c r="FNZ113" s="139"/>
      <c r="FOA113" s="139"/>
      <c r="FOB113" s="139"/>
      <c r="FOC113" s="139"/>
      <c r="FOD113" s="139"/>
      <c r="FOE113" s="139"/>
      <c r="FOF113" s="139"/>
      <c r="FOG113" s="139"/>
      <c r="FOH113" s="139"/>
      <c r="FOI113" s="139"/>
      <c r="FOJ113" s="139"/>
      <c r="FOK113" s="139"/>
      <c r="FOL113" s="139"/>
      <c r="FOM113" s="139"/>
      <c r="FON113" s="139"/>
      <c r="FOO113" s="139"/>
      <c r="FOP113" s="139"/>
      <c r="FOQ113" s="139"/>
      <c r="FOR113" s="139"/>
      <c r="FOS113" s="139"/>
      <c r="FOT113" s="139"/>
      <c r="FOU113" s="139"/>
      <c r="FOV113" s="139"/>
      <c r="FOW113" s="139"/>
      <c r="FOX113" s="139"/>
      <c r="FOY113" s="139"/>
      <c r="FOZ113" s="139"/>
      <c r="FPA113" s="139"/>
      <c r="FPB113" s="139"/>
      <c r="FPC113" s="139"/>
      <c r="FPD113" s="139"/>
      <c r="FPE113" s="139"/>
      <c r="FPF113" s="139"/>
      <c r="FPG113" s="139"/>
      <c r="FPH113" s="139"/>
      <c r="FPI113" s="139"/>
      <c r="FPJ113" s="139"/>
      <c r="FPK113" s="139"/>
      <c r="FPL113" s="139"/>
      <c r="FPM113" s="139"/>
      <c r="FPN113" s="139"/>
      <c r="FPO113" s="139"/>
      <c r="FPP113" s="139"/>
      <c r="FPQ113" s="139"/>
      <c r="FPR113" s="139"/>
      <c r="FPS113" s="139"/>
      <c r="FPT113" s="139"/>
      <c r="FPU113" s="139"/>
      <c r="FPV113" s="139"/>
      <c r="FPW113" s="139"/>
      <c r="FPX113" s="139"/>
      <c r="FPY113" s="139"/>
      <c r="FPZ113" s="139"/>
      <c r="FQA113" s="139"/>
      <c r="FQB113" s="139"/>
      <c r="FQC113" s="139"/>
      <c r="FQD113" s="139"/>
      <c r="FQE113" s="139"/>
      <c r="FQF113" s="139"/>
      <c r="FQG113" s="139"/>
      <c r="FQH113" s="139"/>
      <c r="FQI113" s="139"/>
      <c r="FQJ113" s="139"/>
      <c r="FQK113" s="139"/>
      <c r="FQL113" s="139"/>
      <c r="FQM113" s="139"/>
      <c r="FQN113" s="139"/>
      <c r="FQO113" s="139"/>
      <c r="FQP113" s="139"/>
      <c r="FQQ113" s="139"/>
      <c r="FQR113" s="139"/>
      <c r="FQS113" s="139"/>
      <c r="FQT113" s="139"/>
      <c r="FQU113" s="139"/>
      <c r="FQV113" s="139"/>
      <c r="FQW113" s="139"/>
      <c r="FQX113" s="139"/>
      <c r="FQY113" s="139"/>
      <c r="FQZ113" s="139"/>
      <c r="FRA113" s="139"/>
      <c r="FRB113" s="139"/>
      <c r="FRC113" s="139"/>
      <c r="FRD113" s="139"/>
      <c r="FRE113" s="139"/>
      <c r="FRF113" s="139"/>
      <c r="FRG113" s="139"/>
      <c r="FRH113" s="139"/>
      <c r="FRI113" s="139"/>
      <c r="FRJ113" s="139"/>
      <c r="FRK113" s="139"/>
      <c r="FRL113" s="139"/>
      <c r="FRM113" s="139"/>
      <c r="FRN113" s="139"/>
      <c r="FRO113" s="139"/>
      <c r="FRP113" s="139"/>
      <c r="FRQ113" s="139"/>
      <c r="FRR113" s="139"/>
      <c r="FRS113" s="139"/>
      <c r="FRT113" s="139"/>
      <c r="FRU113" s="139"/>
      <c r="FRV113" s="139"/>
      <c r="FRW113" s="139"/>
      <c r="FRX113" s="139"/>
      <c r="FRY113" s="139"/>
      <c r="FRZ113" s="139"/>
      <c r="FSA113" s="139"/>
      <c r="FSB113" s="139"/>
      <c r="FSC113" s="139"/>
      <c r="FSD113" s="139"/>
      <c r="FSE113" s="139"/>
      <c r="FSF113" s="139"/>
      <c r="FSG113" s="139"/>
      <c r="FSH113" s="139"/>
      <c r="FSI113" s="139"/>
      <c r="FSJ113" s="139"/>
      <c r="FSK113" s="139"/>
      <c r="FSL113" s="139"/>
      <c r="FSM113" s="139"/>
      <c r="FSN113" s="139"/>
      <c r="FSO113" s="139"/>
      <c r="FSP113" s="139"/>
      <c r="FSQ113" s="139"/>
      <c r="FSR113" s="139"/>
      <c r="FSS113" s="139"/>
      <c r="FST113" s="139"/>
      <c r="FSU113" s="139"/>
      <c r="FSV113" s="139"/>
      <c r="FSW113" s="139"/>
      <c r="FSX113" s="139"/>
      <c r="FSY113" s="139"/>
      <c r="FSZ113" s="139"/>
      <c r="FTA113" s="139"/>
      <c r="FTB113" s="139"/>
      <c r="FTC113" s="139"/>
      <c r="FTD113" s="139"/>
      <c r="FTE113" s="139"/>
      <c r="FTF113" s="139"/>
      <c r="FTG113" s="139"/>
      <c r="FTH113" s="139"/>
      <c r="FTI113" s="139"/>
      <c r="FTJ113" s="139"/>
      <c r="FTK113" s="139"/>
      <c r="FTL113" s="139"/>
      <c r="FTM113" s="139"/>
      <c r="FTN113" s="139"/>
      <c r="FTO113" s="139"/>
      <c r="FTP113" s="139"/>
      <c r="FTQ113" s="139"/>
      <c r="FTR113" s="139"/>
      <c r="FTS113" s="139"/>
      <c r="FTT113" s="139"/>
      <c r="FTU113" s="139"/>
      <c r="FTV113" s="139"/>
      <c r="FTW113" s="139"/>
      <c r="FTX113" s="139"/>
      <c r="FTY113" s="139"/>
      <c r="FTZ113" s="139"/>
      <c r="FUA113" s="139"/>
      <c r="FUB113" s="139"/>
      <c r="FUC113" s="139"/>
      <c r="FUD113" s="139"/>
      <c r="FUE113" s="139"/>
      <c r="FUF113" s="139"/>
      <c r="FUG113" s="139"/>
      <c r="FUH113" s="139"/>
      <c r="FUI113" s="139"/>
      <c r="FUJ113" s="139"/>
      <c r="FUK113" s="139"/>
      <c r="FUL113" s="139"/>
      <c r="FUM113" s="139"/>
      <c r="FUN113" s="139"/>
      <c r="FUO113" s="139"/>
      <c r="FUP113" s="139"/>
      <c r="FUQ113" s="139"/>
      <c r="FUR113" s="139"/>
      <c r="FUS113" s="139"/>
      <c r="FUT113" s="139"/>
      <c r="FUU113" s="139"/>
      <c r="FUV113" s="139"/>
      <c r="FUW113" s="139"/>
      <c r="FUX113" s="139"/>
      <c r="FUY113" s="139"/>
      <c r="FUZ113" s="139"/>
      <c r="FVA113" s="139"/>
      <c r="FVB113" s="139"/>
      <c r="FVC113" s="139"/>
      <c r="FVD113" s="139"/>
      <c r="FVE113" s="139"/>
      <c r="FVF113" s="139"/>
      <c r="FVG113" s="139"/>
      <c r="FVH113" s="139"/>
      <c r="FVI113" s="139"/>
      <c r="FVJ113" s="139"/>
      <c r="FVK113" s="139"/>
      <c r="FVL113" s="139"/>
      <c r="FVM113" s="139"/>
      <c r="FVN113" s="139"/>
      <c r="FVO113" s="139"/>
      <c r="FVP113" s="139"/>
      <c r="FVQ113" s="139"/>
      <c r="FVR113" s="139"/>
      <c r="FVS113" s="139"/>
      <c r="FVT113" s="139"/>
      <c r="FVU113" s="139"/>
      <c r="FVV113" s="139"/>
      <c r="FVW113" s="139"/>
      <c r="FVX113" s="139"/>
      <c r="FVY113" s="139"/>
      <c r="FVZ113" s="139"/>
      <c r="FWA113" s="139"/>
      <c r="FWB113" s="139"/>
      <c r="FWC113" s="139"/>
      <c r="FWD113" s="139"/>
      <c r="FWE113" s="139"/>
      <c r="FWF113" s="139"/>
      <c r="FWG113" s="139"/>
      <c r="FWH113" s="139"/>
      <c r="FWI113" s="139"/>
      <c r="FWJ113" s="139"/>
      <c r="FWK113" s="139"/>
      <c r="FWL113" s="139"/>
      <c r="FWM113" s="139"/>
      <c r="FWN113" s="139"/>
      <c r="FWO113" s="139"/>
      <c r="FWP113" s="139"/>
      <c r="FWQ113" s="139"/>
      <c r="FWR113" s="139"/>
      <c r="FWS113" s="139"/>
      <c r="FWT113" s="139"/>
      <c r="FWU113" s="139"/>
      <c r="FWV113" s="139"/>
      <c r="FWW113" s="139"/>
      <c r="FWX113" s="139"/>
      <c r="FWY113" s="139"/>
      <c r="FWZ113" s="139"/>
      <c r="FXA113" s="139"/>
      <c r="FXB113" s="139"/>
      <c r="FXC113" s="139"/>
      <c r="FXD113" s="139"/>
      <c r="FXE113" s="139"/>
      <c r="FXF113" s="139"/>
      <c r="FXG113" s="139"/>
      <c r="FXH113" s="139"/>
      <c r="FXI113" s="139"/>
      <c r="FXJ113" s="139"/>
      <c r="FXK113" s="139"/>
      <c r="FXL113" s="139"/>
      <c r="FXM113" s="139"/>
      <c r="FXN113" s="139"/>
      <c r="FXO113" s="139"/>
      <c r="FXP113" s="139"/>
      <c r="FXQ113" s="139"/>
      <c r="FXR113" s="139"/>
      <c r="FXS113" s="139"/>
      <c r="FXT113" s="139"/>
      <c r="FXU113" s="139"/>
      <c r="FXV113" s="139"/>
      <c r="FXW113" s="139"/>
      <c r="FXX113" s="139"/>
      <c r="FXY113" s="139"/>
      <c r="FXZ113" s="139"/>
      <c r="FYA113" s="139"/>
      <c r="FYB113" s="139"/>
      <c r="FYC113" s="139"/>
      <c r="FYD113" s="139"/>
      <c r="FYE113" s="139"/>
      <c r="FYF113" s="139"/>
      <c r="FYG113" s="139"/>
      <c r="FYH113" s="139"/>
      <c r="FYI113" s="139"/>
      <c r="FYJ113" s="139"/>
      <c r="FYK113" s="139"/>
      <c r="FYL113" s="139"/>
      <c r="FYM113" s="139"/>
      <c r="FYN113" s="139"/>
      <c r="FYO113" s="139"/>
      <c r="FYP113" s="139"/>
      <c r="FYQ113" s="139"/>
      <c r="FYR113" s="139"/>
      <c r="FYS113" s="139"/>
      <c r="FYT113" s="139"/>
      <c r="FYU113" s="139"/>
      <c r="FYV113" s="139"/>
      <c r="FYW113" s="139"/>
      <c r="FYX113" s="139"/>
      <c r="FYY113" s="139"/>
      <c r="FYZ113" s="139"/>
      <c r="FZA113" s="139"/>
      <c r="FZB113" s="139"/>
      <c r="FZC113" s="139"/>
      <c r="FZD113" s="139"/>
      <c r="FZE113" s="139"/>
      <c r="FZF113" s="139"/>
      <c r="FZG113" s="139"/>
      <c r="FZH113" s="139"/>
      <c r="FZI113" s="139"/>
      <c r="FZJ113" s="139"/>
      <c r="FZK113" s="139"/>
      <c r="FZL113" s="139"/>
      <c r="FZM113" s="139"/>
      <c r="FZN113" s="139"/>
      <c r="FZO113" s="139"/>
      <c r="FZP113" s="139"/>
      <c r="FZQ113" s="139"/>
      <c r="FZR113" s="139"/>
      <c r="FZS113" s="139"/>
      <c r="FZT113" s="139"/>
      <c r="FZU113" s="139"/>
      <c r="FZV113" s="139"/>
      <c r="FZW113" s="139"/>
      <c r="FZX113" s="139"/>
      <c r="FZY113" s="139"/>
      <c r="FZZ113" s="139"/>
      <c r="GAA113" s="139"/>
      <c r="GAB113" s="139"/>
      <c r="GAC113" s="139"/>
      <c r="GAD113" s="139"/>
      <c r="GAE113" s="139"/>
      <c r="GAF113" s="139"/>
      <c r="GAG113" s="139"/>
      <c r="GAH113" s="139"/>
      <c r="GAI113" s="139"/>
      <c r="GAJ113" s="139"/>
      <c r="GAK113" s="139"/>
      <c r="GAL113" s="139"/>
      <c r="GAM113" s="139"/>
      <c r="GAN113" s="139"/>
      <c r="GAO113" s="139"/>
      <c r="GAP113" s="139"/>
      <c r="GAQ113" s="139"/>
      <c r="GAR113" s="139"/>
      <c r="GAS113" s="139"/>
      <c r="GAT113" s="139"/>
      <c r="GAU113" s="139"/>
      <c r="GAV113" s="139"/>
      <c r="GAW113" s="139"/>
      <c r="GAX113" s="139"/>
      <c r="GAY113" s="139"/>
      <c r="GAZ113" s="139"/>
      <c r="GBA113" s="139"/>
      <c r="GBB113" s="139"/>
      <c r="GBC113" s="139"/>
      <c r="GBD113" s="139"/>
      <c r="GBE113" s="139"/>
      <c r="GBF113" s="139"/>
      <c r="GBG113" s="139"/>
      <c r="GBH113" s="139"/>
      <c r="GBI113" s="139"/>
      <c r="GBJ113" s="139"/>
      <c r="GBK113" s="139"/>
      <c r="GBL113" s="139"/>
      <c r="GBM113" s="139"/>
      <c r="GBN113" s="139"/>
      <c r="GBO113" s="139"/>
      <c r="GBP113" s="139"/>
      <c r="GBQ113" s="139"/>
      <c r="GBR113" s="139"/>
      <c r="GBS113" s="139"/>
      <c r="GBT113" s="139"/>
      <c r="GBU113" s="139"/>
      <c r="GBV113" s="139"/>
      <c r="GBW113" s="139"/>
      <c r="GBX113" s="139"/>
      <c r="GBY113" s="139"/>
      <c r="GBZ113" s="139"/>
      <c r="GCA113" s="139"/>
      <c r="GCB113" s="139"/>
      <c r="GCC113" s="139"/>
      <c r="GCD113" s="139"/>
      <c r="GCE113" s="139"/>
      <c r="GCF113" s="139"/>
      <c r="GCG113" s="139"/>
      <c r="GCH113" s="139"/>
      <c r="GCI113" s="139"/>
      <c r="GCJ113" s="139"/>
      <c r="GCK113" s="139"/>
      <c r="GCL113" s="139"/>
      <c r="GCM113" s="139"/>
      <c r="GCN113" s="139"/>
      <c r="GCO113" s="139"/>
      <c r="GCP113" s="139"/>
      <c r="GCQ113" s="139"/>
      <c r="GCR113" s="139"/>
      <c r="GCS113" s="139"/>
      <c r="GCT113" s="139"/>
      <c r="GCU113" s="139"/>
      <c r="GCV113" s="139"/>
      <c r="GCW113" s="139"/>
      <c r="GCX113" s="139"/>
      <c r="GCY113" s="139"/>
      <c r="GCZ113" s="139"/>
      <c r="GDA113" s="139"/>
      <c r="GDB113" s="139"/>
      <c r="GDC113" s="139"/>
      <c r="GDD113" s="139"/>
      <c r="GDE113" s="139"/>
      <c r="GDF113" s="139"/>
      <c r="GDG113" s="139"/>
      <c r="GDH113" s="139"/>
      <c r="GDI113" s="139"/>
      <c r="GDJ113" s="139"/>
      <c r="GDK113" s="139"/>
      <c r="GDL113" s="139"/>
      <c r="GDM113" s="139"/>
      <c r="GDN113" s="139"/>
      <c r="GDO113" s="139"/>
      <c r="GDP113" s="139"/>
      <c r="GDQ113" s="139"/>
      <c r="GDR113" s="139"/>
      <c r="GDS113" s="139"/>
      <c r="GDT113" s="139"/>
      <c r="GDU113" s="139"/>
      <c r="GDV113" s="139"/>
      <c r="GDW113" s="139"/>
      <c r="GDX113" s="139"/>
      <c r="GDY113" s="139"/>
      <c r="GDZ113" s="139"/>
      <c r="GEA113" s="139"/>
      <c r="GEB113" s="139"/>
      <c r="GEC113" s="139"/>
      <c r="GED113" s="139"/>
      <c r="GEE113" s="139"/>
      <c r="GEF113" s="139"/>
      <c r="GEG113" s="139"/>
      <c r="GEH113" s="139"/>
      <c r="GEI113" s="139"/>
      <c r="GEJ113" s="139"/>
      <c r="GEK113" s="139"/>
      <c r="GEL113" s="139"/>
      <c r="GEM113" s="139"/>
      <c r="GEN113" s="139"/>
      <c r="GEO113" s="139"/>
      <c r="GEP113" s="139"/>
      <c r="GEQ113" s="139"/>
      <c r="GER113" s="139"/>
      <c r="GES113" s="139"/>
      <c r="GET113" s="139"/>
      <c r="GEU113" s="139"/>
      <c r="GEV113" s="139"/>
      <c r="GEW113" s="139"/>
      <c r="GEX113" s="139"/>
      <c r="GEY113" s="139"/>
      <c r="GEZ113" s="139"/>
      <c r="GFA113" s="139"/>
      <c r="GFB113" s="139"/>
      <c r="GFC113" s="139"/>
      <c r="GFD113" s="139"/>
      <c r="GFE113" s="139"/>
      <c r="GFF113" s="139"/>
      <c r="GFG113" s="139"/>
      <c r="GFH113" s="139"/>
      <c r="GFI113" s="139"/>
      <c r="GFJ113" s="139"/>
      <c r="GFK113" s="139"/>
      <c r="GFL113" s="139"/>
      <c r="GFM113" s="139"/>
      <c r="GFN113" s="139"/>
      <c r="GFO113" s="139"/>
      <c r="GFP113" s="139"/>
      <c r="GFQ113" s="139"/>
      <c r="GFR113" s="139"/>
      <c r="GFS113" s="139"/>
      <c r="GFT113" s="139"/>
      <c r="GFU113" s="139"/>
      <c r="GFV113" s="139"/>
      <c r="GFW113" s="139"/>
      <c r="GFX113" s="139"/>
      <c r="GFY113" s="139"/>
      <c r="GFZ113" s="139"/>
      <c r="GGA113" s="139"/>
      <c r="GGB113" s="139"/>
      <c r="GGC113" s="139"/>
      <c r="GGD113" s="139"/>
      <c r="GGE113" s="139"/>
      <c r="GGF113" s="139"/>
      <c r="GGG113" s="139"/>
      <c r="GGH113" s="139"/>
      <c r="GGI113" s="139"/>
      <c r="GGJ113" s="139"/>
      <c r="GGK113" s="139"/>
      <c r="GGL113" s="139"/>
      <c r="GGM113" s="139"/>
      <c r="GGN113" s="139"/>
      <c r="GGO113" s="139"/>
      <c r="GGP113" s="139"/>
      <c r="GGQ113" s="139"/>
      <c r="GGR113" s="139"/>
      <c r="GGS113" s="139"/>
      <c r="GGT113" s="139"/>
      <c r="GGU113" s="139"/>
      <c r="GGV113" s="139"/>
      <c r="GGW113" s="139"/>
      <c r="GGX113" s="139"/>
      <c r="GGY113" s="139"/>
      <c r="GGZ113" s="139"/>
      <c r="GHA113" s="139"/>
      <c r="GHB113" s="139"/>
      <c r="GHC113" s="139"/>
      <c r="GHD113" s="139"/>
      <c r="GHE113" s="139"/>
      <c r="GHF113" s="139"/>
      <c r="GHG113" s="139"/>
      <c r="GHH113" s="139"/>
      <c r="GHI113" s="139"/>
      <c r="GHJ113" s="139"/>
      <c r="GHK113" s="139"/>
      <c r="GHL113" s="139"/>
      <c r="GHM113" s="139"/>
      <c r="GHN113" s="139"/>
      <c r="GHO113" s="139"/>
      <c r="GHP113" s="139"/>
      <c r="GHQ113" s="139"/>
      <c r="GHR113" s="139"/>
      <c r="GHS113" s="139"/>
      <c r="GHT113" s="139"/>
      <c r="GHU113" s="139"/>
      <c r="GHV113" s="139"/>
      <c r="GHW113" s="139"/>
      <c r="GHX113" s="139"/>
      <c r="GHY113" s="139"/>
      <c r="GHZ113" s="139"/>
      <c r="GIA113" s="139"/>
      <c r="GIB113" s="139"/>
      <c r="GIC113" s="139"/>
      <c r="GID113" s="139"/>
      <c r="GIE113" s="139"/>
      <c r="GIF113" s="139"/>
      <c r="GIG113" s="139"/>
      <c r="GIH113" s="139"/>
      <c r="GII113" s="139"/>
      <c r="GIJ113" s="139"/>
      <c r="GIK113" s="139"/>
      <c r="GIL113" s="139"/>
      <c r="GIM113" s="139"/>
      <c r="GIN113" s="139"/>
      <c r="GIO113" s="139"/>
      <c r="GIP113" s="139"/>
      <c r="GIQ113" s="139"/>
      <c r="GIR113" s="139"/>
      <c r="GIS113" s="139"/>
      <c r="GIT113" s="139"/>
      <c r="GIU113" s="139"/>
      <c r="GIV113" s="139"/>
      <c r="GIW113" s="139"/>
      <c r="GIX113" s="139"/>
      <c r="GIY113" s="139"/>
      <c r="GIZ113" s="139"/>
      <c r="GJA113" s="139"/>
      <c r="GJB113" s="139"/>
      <c r="GJC113" s="139"/>
      <c r="GJD113" s="139"/>
      <c r="GJE113" s="139"/>
      <c r="GJF113" s="139"/>
      <c r="GJG113" s="139"/>
      <c r="GJH113" s="139"/>
      <c r="GJI113" s="139"/>
      <c r="GJJ113" s="139"/>
      <c r="GJK113" s="139"/>
      <c r="GJL113" s="139"/>
      <c r="GJM113" s="139"/>
      <c r="GJN113" s="139"/>
      <c r="GJO113" s="139"/>
      <c r="GJP113" s="139"/>
      <c r="GJQ113" s="139"/>
      <c r="GJR113" s="139"/>
      <c r="GJS113" s="139"/>
      <c r="GJT113" s="139"/>
      <c r="GJU113" s="139"/>
      <c r="GJV113" s="139"/>
      <c r="GJW113" s="139"/>
      <c r="GJX113" s="139"/>
      <c r="GJY113" s="139"/>
      <c r="GJZ113" s="139"/>
      <c r="GKA113" s="139"/>
      <c r="GKB113" s="139"/>
      <c r="GKC113" s="139"/>
      <c r="GKD113" s="139"/>
      <c r="GKE113" s="139"/>
      <c r="GKF113" s="139"/>
      <c r="GKG113" s="139"/>
      <c r="GKH113" s="139"/>
      <c r="GKI113" s="139"/>
      <c r="GKJ113" s="139"/>
      <c r="GKK113" s="139"/>
      <c r="GKL113" s="139"/>
      <c r="GKM113" s="139"/>
      <c r="GKN113" s="139"/>
      <c r="GKO113" s="139"/>
      <c r="GKP113" s="139"/>
      <c r="GKQ113" s="139"/>
      <c r="GKR113" s="139"/>
      <c r="GKS113" s="139"/>
      <c r="GKT113" s="139"/>
      <c r="GKU113" s="139"/>
      <c r="GKV113" s="139"/>
      <c r="GKW113" s="139"/>
      <c r="GKX113" s="139"/>
      <c r="GKY113" s="139"/>
      <c r="GKZ113" s="139"/>
      <c r="GLA113" s="139"/>
      <c r="GLB113" s="139"/>
      <c r="GLC113" s="139"/>
      <c r="GLD113" s="139"/>
      <c r="GLE113" s="139"/>
      <c r="GLF113" s="139"/>
      <c r="GLG113" s="139"/>
      <c r="GLH113" s="139"/>
      <c r="GLI113" s="139"/>
      <c r="GLJ113" s="139"/>
      <c r="GLK113" s="139"/>
      <c r="GLL113" s="139"/>
      <c r="GLM113" s="139"/>
      <c r="GLN113" s="139"/>
      <c r="GLO113" s="139"/>
      <c r="GLP113" s="139"/>
      <c r="GLQ113" s="139"/>
      <c r="GLR113" s="139"/>
      <c r="GLS113" s="139"/>
      <c r="GLT113" s="139"/>
      <c r="GLU113" s="139"/>
      <c r="GLV113" s="139"/>
      <c r="GLW113" s="139"/>
      <c r="GLX113" s="139"/>
      <c r="GLY113" s="139"/>
      <c r="GLZ113" s="139"/>
      <c r="GMA113" s="139"/>
      <c r="GMB113" s="139"/>
      <c r="GMC113" s="139"/>
      <c r="GMD113" s="139"/>
      <c r="GME113" s="139"/>
      <c r="GMF113" s="139"/>
      <c r="GMG113" s="139"/>
      <c r="GMH113" s="139"/>
      <c r="GMI113" s="139"/>
      <c r="GMJ113" s="139"/>
      <c r="GMK113" s="139"/>
      <c r="GML113" s="139"/>
      <c r="GMM113" s="139"/>
      <c r="GMN113" s="139"/>
      <c r="GMO113" s="139"/>
      <c r="GMP113" s="139"/>
      <c r="GMQ113" s="139"/>
      <c r="GMR113" s="139"/>
      <c r="GMS113" s="139"/>
      <c r="GMT113" s="139"/>
      <c r="GMU113" s="139"/>
      <c r="GMV113" s="139"/>
      <c r="GMW113" s="139"/>
      <c r="GMX113" s="139"/>
      <c r="GMY113" s="139"/>
      <c r="GMZ113" s="139"/>
      <c r="GNA113" s="139"/>
      <c r="GNB113" s="139"/>
      <c r="GNC113" s="139"/>
      <c r="GND113" s="139"/>
      <c r="GNE113" s="139"/>
      <c r="GNF113" s="139"/>
      <c r="GNG113" s="139"/>
      <c r="GNH113" s="139"/>
      <c r="GNI113" s="139"/>
      <c r="GNJ113" s="139"/>
      <c r="GNK113" s="139"/>
      <c r="GNL113" s="139"/>
      <c r="GNM113" s="139"/>
      <c r="GNN113" s="139"/>
      <c r="GNO113" s="139"/>
      <c r="GNP113" s="139"/>
      <c r="GNQ113" s="139"/>
      <c r="GNR113" s="139"/>
      <c r="GNS113" s="139"/>
      <c r="GNT113" s="139"/>
      <c r="GNU113" s="139"/>
      <c r="GNV113" s="139"/>
      <c r="GNW113" s="139"/>
      <c r="GNX113" s="139"/>
      <c r="GNY113" s="139"/>
      <c r="GNZ113" s="139"/>
      <c r="GOA113" s="139"/>
      <c r="GOB113" s="139"/>
      <c r="GOC113" s="139"/>
      <c r="GOD113" s="139"/>
      <c r="GOE113" s="139"/>
      <c r="GOF113" s="139"/>
      <c r="GOG113" s="139"/>
      <c r="GOH113" s="139"/>
      <c r="GOI113" s="139"/>
      <c r="GOJ113" s="139"/>
      <c r="GOK113" s="139"/>
      <c r="GOL113" s="139"/>
      <c r="GOM113" s="139"/>
      <c r="GON113" s="139"/>
      <c r="GOO113" s="139"/>
      <c r="GOP113" s="139"/>
      <c r="GOQ113" s="139"/>
      <c r="GOR113" s="139"/>
      <c r="GOS113" s="139"/>
      <c r="GOT113" s="139"/>
      <c r="GOU113" s="139"/>
      <c r="GOV113" s="139"/>
      <c r="GOW113" s="139"/>
      <c r="GOX113" s="139"/>
      <c r="GOY113" s="139"/>
      <c r="GOZ113" s="139"/>
      <c r="GPA113" s="139"/>
      <c r="GPB113" s="139"/>
      <c r="GPC113" s="139"/>
      <c r="GPD113" s="139"/>
      <c r="GPE113" s="139"/>
      <c r="GPF113" s="139"/>
      <c r="GPG113" s="139"/>
      <c r="GPH113" s="139"/>
      <c r="GPI113" s="139"/>
      <c r="GPJ113" s="139"/>
      <c r="GPK113" s="139"/>
      <c r="GPL113" s="139"/>
      <c r="GPM113" s="139"/>
      <c r="GPN113" s="139"/>
      <c r="GPO113" s="139"/>
      <c r="GPP113" s="139"/>
      <c r="GPQ113" s="139"/>
      <c r="GPR113" s="139"/>
      <c r="GPS113" s="139"/>
      <c r="GPT113" s="139"/>
      <c r="GPU113" s="139"/>
      <c r="GPV113" s="139"/>
      <c r="GPW113" s="139"/>
      <c r="GPX113" s="139"/>
      <c r="GPY113" s="139"/>
      <c r="GPZ113" s="139"/>
      <c r="GQA113" s="139"/>
      <c r="GQB113" s="139"/>
      <c r="GQC113" s="139"/>
      <c r="GQD113" s="139"/>
      <c r="GQE113" s="139"/>
      <c r="GQF113" s="139"/>
      <c r="GQG113" s="139"/>
      <c r="GQH113" s="139"/>
      <c r="GQI113" s="139"/>
      <c r="GQJ113" s="139"/>
      <c r="GQK113" s="139"/>
      <c r="GQL113" s="139"/>
      <c r="GQM113" s="139"/>
      <c r="GQN113" s="139"/>
      <c r="GQO113" s="139"/>
      <c r="GQP113" s="139"/>
      <c r="GQQ113" s="139"/>
      <c r="GQR113" s="139"/>
      <c r="GQS113" s="139"/>
      <c r="GQT113" s="139"/>
      <c r="GQU113" s="139"/>
      <c r="GQV113" s="139"/>
      <c r="GQW113" s="139"/>
      <c r="GQX113" s="139"/>
      <c r="GQY113" s="139"/>
      <c r="GQZ113" s="139"/>
      <c r="GRA113" s="139"/>
      <c r="GRB113" s="139"/>
      <c r="GRC113" s="139"/>
      <c r="GRD113" s="139"/>
      <c r="GRE113" s="139"/>
      <c r="GRF113" s="139"/>
      <c r="GRG113" s="139"/>
      <c r="GRH113" s="139"/>
      <c r="GRI113" s="139"/>
      <c r="GRJ113" s="139"/>
      <c r="GRK113" s="139"/>
      <c r="GRL113" s="139"/>
      <c r="GRM113" s="139"/>
      <c r="GRN113" s="139"/>
      <c r="GRO113" s="139"/>
      <c r="GRP113" s="139"/>
      <c r="GRQ113" s="139"/>
      <c r="GRR113" s="139"/>
      <c r="GRS113" s="139"/>
      <c r="GRT113" s="139"/>
      <c r="GRU113" s="139"/>
      <c r="GRV113" s="139"/>
      <c r="GRW113" s="139"/>
      <c r="GRX113" s="139"/>
      <c r="GRY113" s="139"/>
      <c r="GRZ113" s="139"/>
      <c r="GSA113" s="139"/>
      <c r="GSB113" s="139"/>
      <c r="GSC113" s="139"/>
      <c r="GSD113" s="139"/>
      <c r="GSE113" s="139"/>
      <c r="GSF113" s="139"/>
      <c r="GSG113" s="139"/>
      <c r="GSH113" s="139"/>
      <c r="GSI113" s="139"/>
      <c r="GSJ113" s="139"/>
      <c r="GSK113" s="139"/>
      <c r="GSL113" s="139"/>
      <c r="GSM113" s="139"/>
      <c r="GSN113" s="139"/>
      <c r="GSO113" s="139"/>
      <c r="GSP113" s="139"/>
      <c r="GSQ113" s="139"/>
      <c r="GSR113" s="139"/>
      <c r="GSS113" s="139"/>
      <c r="GST113" s="139"/>
      <c r="GSU113" s="139"/>
      <c r="GSV113" s="139"/>
      <c r="GSW113" s="139"/>
      <c r="GSX113" s="139"/>
      <c r="GSY113" s="139"/>
      <c r="GSZ113" s="139"/>
      <c r="GTA113" s="139"/>
      <c r="GTB113" s="139"/>
      <c r="GTC113" s="139"/>
      <c r="GTD113" s="139"/>
      <c r="GTE113" s="139"/>
      <c r="GTF113" s="139"/>
      <c r="GTG113" s="139"/>
      <c r="GTH113" s="139"/>
      <c r="GTI113" s="139"/>
      <c r="GTJ113" s="139"/>
      <c r="GTK113" s="139"/>
      <c r="GTL113" s="139"/>
      <c r="GTM113" s="139"/>
      <c r="GTN113" s="139"/>
      <c r="GTO113" s="139"/>
      <c r="GTP113" s="139"/>
      <c r="GTQ113" s="139"/>
      <c r="GTR113" s="139"/>
      <c r="GTS113" s="139"/>
      <c r="GTT113" s="139"/>
      <c r="GTU113" s="139"/>
      <c r="GTV113" s="139"/>
      <c r="GTW113" s="139"/>
      <c r="GTX113" s="139"/>
      <c r="GTY113" s="139"/>
      <c r="GTZ113" s="139"/>
      <c r="GUA113" s="139"/>
      <c r="GUB113" s="139"/>
      <c r="GUC113" s="139"/>
      <c r="GUD113" s="139"/>
      <c r="GUE113" s="139"/>
      <c r="GUF113" s="139"/>
      <c r="GUG113" s="139"/>
      <c r="GUH113" s="139"/>
      <c r="GUI113" s="139"/>
      <c r="GUJ113" s="139"/>
      <c r="GUK113" s="139"/>
      <c r="GUL113" s="139"/>
      <c r="GUM113" s="139"/>
      <c r="GUN113" s="139"/>
      <c r="GUO113" s="139"/>
      <c r="GUP113" s="139"/>
      <c r="GUQ113" s="139"/>
      <c r="GUR113" s="139"/>
      <c r="GUS113" s="139"/>
      <c r="GUT113" s="139"/>
      <c r="GUU113" s="139"/>
      <c r="GUV113" s="139"/>
      <c r="GUW113" s="139"/>
      <c r="GUX113" s="139"/>
      <c r="GUY113" s="139"/>
      <c r="GUZ113" s="139"/>
      <c r="GVA113" s="139"/>
      <c r="GVB113" s="139"/>
      <c r="GVC113" s="139"/>
      <c r="GVD113" s="139"/>
      <c r="GVE113" s="139"/>
      <c r="GVF113" s="139"/>
      <c r="GVG113" s="139"/>
      <c r="GVH113" s="139"/>
      <c r="GVI113" s="139"/>
      <c r="GVJ113" s="139"/>
      <c r="GVK113" s="139"/>
      <c r="GVL113" s="139"/>
      <c r="GVM113" s="139"/>
      <c r="GVN113" s="139"/>
      <c r="GVO113" s="139"/>
      <c r="GVP113" s="139"/>
      <c r="GVQ113" s="139"/>
      <c r="GVR113" s="139"/>
      <c r="GVS113" s="139"/>
      <c r="GVT113" s="139"/>
      <c r="GVU113" s="139"/>
      <c r="GVV113" s="139"/>
      <c r="GVW113" s="139"/>
      <c r="GVX113" s="139"/>
      <c r="GVY113" s="139"/>
      <c r="GVZ113" s="139"/>
      <c r="GWA113" s="139"/>
      <c r="GWB113" s="139"/>
      <c r="GWC113" s="139"/>
      <c r="GWD113" s="139"/>
      <c r="GWE113" s="139"/>
      <c r="GWF113" s="139"/>
      <c r="GWG113" s="139"/>
      <c r="GWH113" s="139"/>
      <c r="GWI113" s="139"/>
      <c r="GWJ113" s="139"/>
      <c r="GWK113" s="139"/>
      <c r="GWL113" s="139"/>
      <c r="GWM113" s="139"/>
      <c r="GWN113" s="139"/>
      <c r="GWO113" s="139"/>
      <c r="GWP113" s="139"/>
      <c r="GWQ113" s="139"/>
      <c r="GWR113" s="139"/>
      <c r="GWS113" s="139"/>
      <c r="GWT113" s="139"/>
      <c r="GWU113" s="139"/>
      <c r="GWV113" s="139"/>
      <c r="GWW113" s="139"/>
      <c r="GWX113" s="139"/>
      <c r="GWY113" s="139"/>
      <c r="GWZ113" s="139"/>
      <c r="GXA113" s="139"/>
      <c r="GXB113" s="139"/>
      <c r="GXC113" s="139"/>
      <c r="GXD113" s="139"/>
      <c r="GXE113" s="139"/>
      <c r="GXF113" s="139"/>
      <c r="GXG113" s="139"/>
      <c r="GXH113" s="139"/>
      <c r="GXI113" s="139"/>
      <c r="GXJ113" s="139"/>
      <c r="GXK113" s="139"/>
      <c r="GXL113" s="139"/>
      <c r="GXM113" s="139"/>
      <c r="GXN113" s="139"/>
      <c r="GXO113" s="139"/>
      <c r="GXP113" s="139"/>
      <c r="GXQ113" s="139"/>
      <c r="GXR113" s="139"/>
      <c r="GXS113" s="139"/>
      <c r="GXT113" s="139"/>
      <c r="GXU113" s="139"/>
      <c r="GXV113" s="139"/>
      <c r="GXW113" s="139"/>
      <c r="GXX113" s="139"/>
      <c r="GXY113" s="139"/>
      <c r="GXZ113" s="139"/>
      <c r="GYA113" s="139"/>
      <c r="GYB113" s="139"/>
      <c r="GYC113" s="139"/>
      <c r="GYD113" s="139"/>
      <c r="GYE113" s="139"/>
      <c r="GYF113" s="139"/>
      <c r="GYG113" s="139"/>
      <c r="GYH113" s="139"/>
      <c r="GYI113" s="139"/>
      <c r="GYJ113" s="139"/>
      <c r="GYK113" s="139"/>
      <c r="GYL113" s="139"/>
      <c r="GYM113" s="139"/>
      <c r="GYN113" s="139"/>
      <c r="GYO113" s="139"/>
      <c r="GYP113" s="139"/>
      <c r="GYQ113" s="139"/>
      <c r="GYR113" s="139"/>
      <c r="GYS113" s="139"/>
      <c r="GYT113" s="139"/>
      <c r="GYU113" s="139"/>
      <c r="GYV113" s="139"/>
      <c r="GYW113" s="139"/>
      <c r="GYX113" s="139"/>
      <c r="GYY113" s="139"/>
      <c r="GYZ113" s="139"/>
      <c r="GZA113" s="139"/>
      <c r="GZB113" s="139"/>
      <c r="GZC113" s="139"/>
      <c r="GZD113" s="139"/>
      <c r="GZE113" s="139"/>
      <c r="GZF113" s="139"/>
      <c r="GZG113" s="139"/>
      <c r="GZH113" s="139"/>
      <c r="GZI113" s="139"/>
      <c r="GZJ113" s="139"/>
      <c r="GZK113" s="139"/>
      <c r="GZL113" s="139"/>
      <c r="GZM113" s="139"/>
      <c r="GZN113" s="139"/>
      <c r="GZO113" s="139"/>
      <c r="GZP113" s="139"/>
      <c r="GZQ113" s="139"/>
      <c r="GZR113" s="139"/>
      <c r="GZS113" s="139"/>
      <c r="GZT113" s="139"/>
      <c r="GZU113" s="139"/>
      <c r="GZV113" s="139"/>
      <c r="GZW113" s="139"/>
      <c r="GZX113" s="139"/>
      <c r="GZY113" s="139"/>
      <c r="GZZ113" s="139"/>
      <c r="HAA113" s="139"/>
      <c r="HAB113" s="139"/>
      <c r="HAC113" s="139"/>
      <c r="HAD113" s="139"/>
      <c r="HAE113" s="139"/>
      <c r="HAF113" s="139"/>
      <c r="HAG113" s="139"/>
      <c r="HAH113" s="139"/>
      <c r="HAI113" s="139"/>
      <c r="HAJ113" s="139"/>
      <c r="HAK113" s="139"/>
      <c r="HAL113" s="139"/>
      <c r="HAM113" s="139"/>
      <c r="HAN113" s="139"/>
      <c r="HAO113" s="139"/>
      <c r="HAP113" s="139"/>
      <c r="HAQ113" s="139"/>
      <c r="HAR113" s="139"/>
      <c r="HAS113" s="139"/>
      <c r="HAT113" s="139"/>
      <c r="HAU113" s="139"/>
      <c r="HAV113" s="139"/>
      <c r="HAW113" s="139"/>
      <c r="HAX113" s="139"/>
      <c r="HAY113" s="139"/>
      <c r="HAZ113" s="139"/>
      <c r="HBA113" s="139"/>
      <c r="HBB113" s="139"/>
      <c r="HBC113" s="139"/>
      <c r="HBD113" s="139"/>
      <c r="HBE113" s="139"/>
      <c r="HBF113" s="139"/>
      <c r="HBG113" s="139"/>
      <c r="HBH113" s="139"/>
      <c r="HBI113" s="139"/>
      <c r="HBJ113" s="139"/>
      <c r="HBK113" s="139"/>
      <c r="HBL113" s="139"/>
      <c r="HBM113" s="139"/>
      <c r="HBN113" s="139"/>
      <c r="HBO113" s="139"/>
      <c r="HBP113" s="139"/>
      <c r="HBQ113" s="139"/>
      <c r="HBR113" s="139"/>
      <c r="HBS113" s="139"/>
      <c r="HBT113" s="139"/>
      <c r="HBU113" s="139"/>
      <c r="HBV113" s="139"/>
      <c r="HBW113" s="139"/>
      <c r="HBX113" s="139"/>
      <c r="HBY113" s="139"/>
      <c r="HBZ113" s="139"/>
      <c r="HCA113" s="139"/>
      <c r="HCB113" s="139"/>
      <c r="HCC113" s="139"/>
      <c r="HCD113" s="139"/>
      <c r="HCE113" s="139"/>
      <c r="HCF113" s="139"/>
      <c r="HCG113" s="139"/>
      <c r="HCH113" s="139"/>
      <c r="HCI113" s="139"/>
      <c r="HCJ113" s="139"/>
      <c r="HCK113" s="139"/>
      <c r="HCL113" s="139"/>
      <c r="HCM113" s="139"/>
      <c r="HCN113" s="139"/>
      <c r="HCO113" s="139"/>
      <c r="HCP113" s="139"/>
      <c r="HCQ113" s="139"/>
      <c r="HCR113" s="139"/>
      <c r="HCS113" s="139"/>
      <c r="HCT113" s="139"/>
      <c r="HCU113" s="139"/>
      <c r="HCV113" s="139"/>
      <c r="HCW113" s="139"/>
      <c r="HCX113" s="139"/>
      <c r="HCY113" s="139"/>
      <c r="HCZ113" s="139"/>
      <c r="HDA113" s="139"/>
      <c r="HDB113" s="139"/>
      <c r="HDC113" s="139"/>
      <c r="HDD113" s="139"/>
      <c r="HDE113" s="139"/>
      <c r="HDF113" s="139"/>
      <c r="HDG113" s="139"/>
      <c r="HDH113" s="139"/>
      <c r="HDI113" s="139"/>
      <c r="HDJ113" s="139"/>
      <c r="HDK113" s="139"/>
      <c r="HDL113" s="139"/>
      <c r="HDM113" s="139"/>
      <c r="HDN113" s="139"/>
      <c r="HDO113" s="139"/>
      <c r="HDP113" s="139"/>
      <c r="HDQ113" s="139"/>
      <c r="HDR113" s="139"/>
      <c r="HDS113" s="139"/>
      <c r="HDT113" s="139"/>
      <c r="HDU113" s="139"/>
      <c r="HDV113" s="139"/>
      <c r="HDW113" s="139"/>
      <c r="HDX113" s="139"/>
      <c r="HDY113" s="139"/>
      <c r="HDZ113" s="139"/>
      <c r="HEA113" s="139"/>
      <c r="HEB113" s="139"/>
      <c r="HEC113" s="139"/>
      <c r="HED113" s="139"/>
      <c r="HEE113" s="139"/>
      <c r="HEF113" s="139"/>
      <c r="HEG113" s="139"/>
      <c r="HEH113" s="139"/>
      <c r="HEI113" s="139"/>
      <c r="HEJ113" s="139"/>
      <c r="HEK113" s="139"/>
      <c r="HEL113" s="139"/>
      <c r="HEM113" s="139"/>
      <c r="HEN113" s="139"/>
      <c r="HEO113" s="139"/>
      <c r="HEP113" s="139"/>
      <c r="HEQ113" s="139"/>
      <c r="HER113" s="139"/>
      <c r="HES113" s="139"/>
      <c r="HET113" s="139"/>
      <c r="HEU113" s="139"/>
      <c r="HEV113" s="139"/>
      <c r="HEW113" s="139"/>
      <c r="HEX113" s="139"/>
      <c r="HEY113" s="139"/>
      <c r="HEZ113" s="139"/>
      <c r="HFA113" s="139"/>
      <c r="HFB113" s="139"/>
      <c r="HFC113" s="139"/>
      <c r="HFD113" s="139"/>
      <c r="HFE113" s="139"/>
      <c r="HFF113" s="139"/>
      <c r="HFG113" s="139"/>
      <c r="HFH113" s="139"/>
      <c r="HFI113" s="139"/>
      <c r="HFJ113" s="139"/>
      <c r="HFK113" s="139"/>
      <c r="HFL113" s="139"/>
      <c r="HFM113" s="139"/>
      <c r="HFN113" s="139"/>
      <c r="HFO113" s="139"/>
      <c r="HFP113" s="139"/>
      <c r="HFQ113" s="139"/>
      <c r="HFR113" s="139"/>
      <c r="HFS113" s="139"/>
      <c r="HFT113" s="139"/>
      <c r="HFU113" s="139"/>
      <c r="HFV113" s="139"/>
      <c r="HFW113" s="139"/>
      <c r="HFX113" s="139"/>
      <c r="HFY113" s="139"/>
      <c r="HFZ113" s="139"/>
      <c r="HGA113" s="139"/>
      <c r="HGB113" s="139"/>
      <c r="HGC113" s="139"/>
      <c r="HGD113" s="139"/>
      <c r="HGE113" s="139"/>
      <c r="HGF113" s="139"/>
      <c r="HGG113" s="139"/>
      <c r="HGH113" s="139"/>
      <c r="HGI113" s="139"/>
      <c r="HGJ113" s="139"/>
      <c r="HGK113" s="139"/>
      <c r="HGL113" s="139"/>
      <c r="HGM113" s="139"/>
      <c r="HGN113" s="139"/>
      <c r="HGO113" s="139"/>
      <c r="HGP113" s="139"/>
      <c r="HGQ113" s="139"/>
      <c r="HGR113" s="139"/>
      <c r="HGS113" s="139"/>
      <c r="HGT113" s="139"/>
      <c r="HGU113" s="139"/>
      <c r="HGV113" s="139"/>
      <c r="HGW113" s="139"/>
      <c r="HGX113" s="139"/>
      <c r="HGY113" s="139"/>
      <c r="HGZ113" s="139"/>
      <c r="HHA113" s="139"/>
      <c r="HHB113" s="139"/>
      <c r="HHC113" s="139"/>
      <c r="HHD113" s="139"/>
      <c r="HHE113" s="139"/>
      <c r="HHF113" s="139"/>
      <c r="HHG113" s="139"/>
      <c r="HHH113" s="139"/>
      <c r="HHI113" s="139"/>
      <c r="HHJ113" s="139"/>
      <c r="HHK113" s="139"/>
      <c r="HHL113" s="139"/>
      <c r="HHM113" s="139"/>
      <c r="HHN113" s="139"/>
      <c r="HHO113" s="139"/>
      <c r="HHP113" s="139"/>
      <c r="HHQ113" s="139"/>
      <c r="HHR113" s="139"/>
      <c r="HHS113" s="139"/>
      <c r="HHT113" s="139"/>
      <c r="HHU113" s="139"/>
      <c r="HHV113" s="139"/>
      <c r="HHW113" s="139"/>
      <c r="HHX113" s="139"/>
      <c r="HHY113" s="139"/>
      <c r="HHZ113" s="139"/>
      <c r="HIA113" s="139"/>
      <c r="HIB113" s="139"/>
      <c r="HIC113" s="139"/>
      <c r="HID113" s="139"/>
      <c r="HIE113" s="139"/>
      <c r="HIF113" s="139"/>
      <c r="HIG113" s="139"/>
      <c r="HIH113" s="139"/>
      <c r="HII113" s="139"/>
      <c r="HIJ113" s="139"/>
      <c r="HIK113" s="139"/>
      <c r="HIL113" s="139"/>
      <c r="HIM113" s="139"/>
      <c r="HIN113" s="139"/>
      <c r="HIO113" s="139"/>
      <c r="HIP113" s="139"/>
      <c r="HIQ113" s="139"/>
      <c r="HIR113" s="139"/>
      <c r="HIS113" s="139"/>
      <c r="HIT113" s="139"/>
      <c r="HIU113" s="139"/>
      <c r="HIV113" s="139"/>
      <c r="HIW113" s="139"/>
      <c r="HIX113" s="139"/>
      <c r="HIY113" s="139"/>
      <c r="HIZ113" s="139"/>
      <c r="HJA113" s="139"/>
      <c r="HJB113" s="139"/>
      <c r="HJC113" s="139"/>
      <c r="HJD113" s="139"/>
      <c r="HJE113" s="139"/>
      <c r="HJF113" s="139"/>
      <c r="HJG113" s="139"/>
      <c r="HJH113" s="139"/>
      <c r="HJI113" s="139"/>
      <c r="HJJ113" s="139"/>
      <c r="HJK113" s="139"/>
      <c r="HJL113" s="139"/>
      <c r="HJM113" s="139"/>
      <c r="HJN113" s="139"/>
      <c r="HJO113" s="139"/>
      <c r="HJP113" s="139"/>
      <c r="HJQ113" s="139"/>
      <c r="HJR113" s="139"/>
      <c r="HJS113" s="139"/>
      <c r="HJT113" s="139"/>
      <c r="HJU113" s="139"/>
      <c r="HJV113" s="139"/>
      <c r="HJW113" s="139"/>
      <c r="HJX113" s="139"/>
      <c r="HJY113" s="139"/>
      <c r="HJZ113" s="139"/>
      <c r="HKA113" s="139"/>
      <c r="HKB113" s="139"/>
      <c r="HKC113" s="139"/>
      <c r="HKD113" s="139"/>
      <c r="HKE113" s="139"/>
      <c r="HKF113" s="139"/>
      <c r="HKG113" s="139"/>
      <c r="HKH113" s="139"/>
      <c r="HKI113" s="139"/>
      <c r="HKJ113" s="139"/>
      <c r="HKK113" s="139"/>
      <c r="HKL113" s="139"/>
      <c r="HKM113" s="139"/>
      <c r="HKN113" s="139"/>
      <c r="HKO113" s="139"/>
      <c r="HKP113" s="139"/>
      <c r="HKQ113" s="139"/>
      <c r="HKR113" s="139"/>
      <c r="HKS113" s="139"/>
      <c r="HKT113" s="139"/>
      <c r="HKU113" s="139"/>
      <c r="HKV113" s="139"/>
      <c r="HKW113" s="139"/>
      <c r="HKX113" s="139"/>
      <c r="HKY113" s="139"/>
      <c r="HKZ113" s="139"/>
      <c r="HLA113" s="139"/>
      <c r="HLB113" s="139"/>
      <c r="HLC113" s="139"/>
      <c r="HLD113" s="139"/>
      <c r="HLE113" s="139"/>
      <c r="HLF113" s="139"/>
      <c r="HLG113" s="139"/>
      <c r="HLH113" s="139"/>
      <c r="HLI113" s="139"/>
      <c r="HLJ113" s="139"/>
      <c r="HLK113" s="139"/>
      <c r="HLL113" s="139"/>
      <c r="HLM113" s="139"/>
      <c r="HLN113" s="139"/>
      <c r="HLO113" s="139"/>
      <c r="HLP113" s="139"/>
      <c r="HLQ113" s="139"/>
      <c r="HLR113" s="139"/>
      <c r="HLS113" s="139"/>
      <c r="HLT113" s="139"/>
      <c r="HLU113" s="139"/>
      <c r="HLV113" s="139"/>
      <c r="HLW113" s="139"/>
      <c r="HLX113" s="139"/>
      <c r="HLY113" s="139"/>
      <c r="HLZ113" s="139"/>
      <c r="HMA113" s="139"/>
      <c r="HMB113" s="139"/>
      <c r="HMC113" s="139"/>
      <c r="HMD113" s="139"/>
      <c r="HME113" s="139"/>
      <c r="HMF113" s="139"/>
      <c r="HMG113" s="139"/>
      <c r="HMH113" s="139"/>
      <c r="HMI113" s="139"/>
      <c r="HMJ113" s="139"/>
      <c r="HMK113" s="139"/>
      <c r="HML113" s="139"/>
      <c r="HMM113" s="139"/>
      <c r="HMN113" s="139"/>
      <c r="HMO113" s="139"/>
      <c r="HMP113" s="139"/>
      <c r="HMQ113" s="139"/>
      <c r="HMR113" s="139"/>
      <c r="HMS113" s="139"/>
      <c r="HMT113" s="139"/>
      <c r="HMU113" s="139"/>
      <c r="HMV113" s="139"/>
      <c r="HMW113" s="139"/>
      <c r="HMX113" s="139"/>
      <c r="HMY113" s="139"/>
      <c r="HMZ113" s="139"/>
      <c r="HNA113" s="139"/>
      <c r="HNB113" s="139"/>
      <c r="HNC113" s="139"/>
      <c r="HND113" s="139"/>
      <c r="HNE113" s="139"/>
      <c r="HNF113" s="139"/>
      <c r="HNG113" s="139"/>
      <c r="HNH113" s="139"/>
      <c r="HNI113" s="139"/>
      <c r="HNJ113" s="139"/>
      <c r="HNK113" s="139"/>
      <c r="HNL113" s="139"/>
      <c r="HNM113" s="139"/>
      <c r="HNN113" s="139"/>
      <c r="HNO113" s="139"/>
      <c r="HNP113" s="139"/>
      <c r="HNQ113" s="139"/>
      <c r="HNR113" s="139"/>
      <c r="HNS113" s="139"/>
      <c r="HNT113" s="139"/>
      <c r="HNU113" s="139"/>
      <c r="HNV113" s="139"/>
      <c r="HNW113" s="139"/>
      <c r="HNX113" s="139"/>
      <c r="HNY113" s="139"/>
      <c r="HNZ113" s="139"/>
      <c r="HOA113" s="139"/>
      <c r="HOB113" s="139"/>
      <c r="HOC113" s="139"/>
      <c r="HOD113" s="139"/>
      <c r="HOE113" s="139"/>
      <c r="HOF113" s="139"/>
      <c r="HOG113" s="139"/>
      <c r="HOH113" s="139"/>
      <c r="HOI113" s="139"/>
      <c r="HOJ113" s="139"/>
      <c r="HOK113" s="139"/>
      <c r="HOL113" s="139"/>
      <c r="HOM113" s="139"/>
      <c r="HON113" s="139"/>
      <c r="HOO113" s="139"/>
      <c r="HOP113" s="139"/>
      <c r="HOQ113" s="139"/>
      <c r="HOR113" s="139"/>
      <c r="HOS113" s="139"/>
      <c r="HOT113" s="139"/>
      <c r="HOU113" s="139"/>
      <c r="HOV113" s="139"/>
      <c r="HOW113" s="139"/>
      <c r="HOX113" s="139"/>
      <c r="HOY113" s="139"/>
      <c r="HOZ113" s="139"/>
      <c r="HPA113" s="139"/>
      <c r="HPB113" s="139"/>
      <c r="HPC113" s="139"/>
      <c r="HPD113" s="139"/>
      <c r="HPE113" s="139"/>
      <c r="HPF113" s="139"/>
      <c r="HPG113" s="139"/>
      <c r="HPH113" s="139"/>
      <c r="HPI113" s="139"/>
      <c r="HPJ113" s="139"/>
      <c r="HPK113" s="139"/>
      <c r="HPL113" s="139"/>
      <c r="HPM113" s="139"/>
      <c r="HPN113" s="139"/>
      <c r="HPO113" s="139"/>
      <c r="HPP113" s="139"/>
      <c r="HPQ113" s="139"/>
      <c r="HPR113" s="139"/>
      <c r="HPS113" s="139"/>
      <c r="HPT113" s="139"/>
      <c r="HPU113" s="139"/>
      <c r="HPV113" s="139"/>
      <c r="HPW113" s="139"/>
      <c r="HPX113" s="139"/>
      <c r="HPY113" s="139"/>
      <c r="HPZ113" s="139"/>
      <c r="HQA113" s="139"/>
      <c r="HQB113" s="139"/>
      <c r="HQC113" s="139"/>
      <c r="HQD113" s="139"/>
      <c r="HQE113" s="139"/>
      <c r="HQF113" s="139"/>
      <c r="HQG113" s="139"/>
      <c r="HQH113" s="139"/>
      <c r="HQI113" s="139"/>
      <c r="HQJ113" s="139"/>
      <c r="HQK113" s="139"/>
      <c r="HQL113" s="139"/>
      <c r="HQM113" s="139"/>
      <c r="HQN113" s="139"/>
      <c r="HQO113" s="139"/>
      <c r="HQP113" s="139"/>
      <c r="HQQ113" s="139"/>
      <c r="HQR113" s="139"/>
      <c r="HQS113" s="139"/>
      <c r="HQT113" s="139"/>
      <c r="HQU113" s="139"/>
      <c r="HQV113" s="139"/>
      <c r="HQW113" s="139"/>
      <c r="HQX113" s="139"/>
      <c r="HQY113" s="139"/>
      <c r="HQZ113" s="139"/>
      <c r="HRA113" s="139"/>
      <c r="HRB113" s="139"/>
      <c r="HRC113" s="139"/>
      <c r="HRD113" s="139"/>
      <c r="HRE113" s="139"/>
      <c r="HRF113" s="139"/>
      <c r="HRG113" s="139"/>
      <c r="HRH113" s="139"/>
      <c r="HRI113" s="139"/>
      <c r="HRJ113" s="139"/>
      <c r="HRK113" s="139"/>
      <c r="HRL113" s="139"/>
      <c r="HRM113" s="139"/>
      <c r="HRN113" s="139"/>
      <c r="HRO113" s="139"/>
      <c r="HRP113" s="139"/>
      <c r="HRQ113" s="139"/>
      <c r="HRR113" s="139"/>
      <c r="HRS113" s="139"/>
      <c r="HRT113" s="139"/>
      <c r="HRU113" s="139"/>
      <c r="HRV113" s="139"/>
      <c r="HRW113" s="139"/>
      <c r="HRX113" s="139"/>
      <c r="HRY113" s="139"/>
      <c r="HRZ113" s="139"/>
      <c r="HSA113" s="139"/>
      <c r="HSB113" s="139"/>
      <c r="HSC113" s="139"/>
      <c r="HSD113" s="139"/>
      <c r="HSE113" s="139"/>
      <c r="HSF113" s="139"/>
      <c r="HSG113" s="139"/>
      <c r="HSH113" s="139"/>
      <c r="HSI113" s="139"/>
      <c r="HSJ113" s="139"/>
      <c r="HSK113" s="139"/>
      <c r="HSL113" s="139"/>
      <c r="HSM113" s="139"/>
      <c r="HSN113" s="139"/>
      <c r="HSO113" s="139"/>
      <c r="HSP113" s="139"/>
      <c r="HSQ113" s="139"/>
      <c r="HSR113" s="139"/>
      <c r="HSS113" s="139"/>
      <c r="HST113" s="139"/>
      <c r="HSU113" s="139"/>
      <c r="HSV113" s="139"/>
      <c r="HSW113" s="139"/>
      <c r="HSX113" s="139"/>
      <c r="HSY113" s="139"/>
      <c r="HSZ113" s="139"/>
      <c r="HTA113" s="139"/>
      <c r="HTB113" s="139"/>
      <c r="HTC113" s="139"/>
      <c r="HTD113" s="139"/>
      <c r="HTE113" s="139"/>
      <c r="HTF113" s="139"/>
      <c r="HTG113" s="139"/>
      <c r="HTH113" s="139"/>
      <c r="HTI113" s="139"/>
      <c r="HTJ113" s="139"/>
      <c r="HTK113" s="139"/>
      <c r="HTL113" s="139"/>
      <c r="HTM113" s="139"/>
      <c r="HTN113" s="139"/>
      <c r="HTO113" s="139"/>
      <c r="HTP113" s="139"/>
      <c r="HTQ113" s="139"/>
      <c r="HTR113" s="139"/>
      <c r="HTS113" s="139"/>
      <c r="HTT113" s="139"/>
      <c r="HTU113" s="139"/>
      <c r="HTV113" s="139"/>
      <c r="HTW113" s="139"/>
      <c r="HTX113" s="139"/>
      <c r="HTY113" s="139"/>
      <c r="HTZ113" s="139"/>
      <c r="HUA113" s="139"/>
      <c r="HUB113" s="139"/>
      <c r="HUC113" s="139"/>
      <c r="HUD113" s="139"/>
      <c r="HUE113" s="139"/>
      <c r="HUF113" s="139"/>
      <c r="HUG113" s="139"/>
      <c r="HUH113" s="139"/>
      <c r="HUI113" s="139"/>
      <c r="HUJ113" s="139"/>
      <c r="HUK113" s="139"/>
      <c r="HUL113" s="139"/>
      <c r="HUM113" s="139"/>
      <c r="HUN113" s="139"/>
      <c r="HUO113" s="139"/>
      <c r="HUP113" s="139"/>
      <c r="HUQ113" s="139"/>
      <c r="HUR113" s="139"/>
      <c r="HUS113" s="139"/>
      <c r="HUT113" s="139"/>
      <c r="HUU113" s="139"/>
      <c r="HUV113" s="139"/>
      <c r="HUW113" s="139"/>
      <c r="HUX113" s="139"/>
      <c r="HUY113" s="139"/>
      <c r="HUZ113" s="139"/>
      <c r="HVA113" s="139"/>
      <c r="HVB113" s="139"/>
      <c r="HVC113" s="139"/>
      <c r="HVD113" s="139"/>
      <c r="HVE113" s="139"/>
      <c r="HVF113" s="139"/>
      <c r="HVG113" s="139"/>
      <c r="HVH113" s="139"/>
      <c r="HVI113" s="139"/>
      <c r="HVJ113" s="139"/>
      <c r="HVK113" s="139"/>
      <c r="HVL113" s="139"/>
      <c r="HVM113" s="139"/>
      <c r="HVN113" s="139"/>
      <c r="HVO113" s="139"/>
      <c r="HVP113" s="139"/>
      <c r="HVQ113" s="139"/>
      <c r="HVR113" s="139"/>
      <c r="HVS113" s="139"/>
      <c r="HVT113" s="139"/>
      <c r="HVU113" s="139"/>
      <c r="HVV113" s="139"/>
      <c r="HVW113" s="139"/>
      <c r="HVX113" s="139"/>
      <c r="HVY113" s="139"/>
      <c r="HVZ113" s="139"/>
      <c r="HWA113" s="139"/>
      <c r="HWB113" s="139"/>
      <c r="HWC113" s="139"/>
      <c r="HWD113" s="139"/>
      <c r="HWE113" s="139"/>
      <c r="HWF113" s="139"/>
      <c r="HWG113" s="139"/>
      <c r="HWH113" s="139"/>
      <c r="HWI113" s="139"/>
      <c r="HWJ113" s="139"/>
      <c r="HWK113" s="139"/>
      <c r="HWL113" s="139"/>
      <c r="HWM113" s="139"/>
      <c r="HWN113" s="139"/>
      <c r="HWO113" s="139"/>
      <c r="HWP113" s="139"/>
      <c r="HWQ113" s="139"/>
      <c r="HWR113" s="139"/>
      <c r="HWS113" s="139"/>
      <c r="HWT113" s="139"/>
      <c r="HWU113" s="139"/>
      <c r="HWV113" s="139"/>
      <c r="HWW113" s="139"/>
      <c r="HWX113" s="139"/>
      <c r="HWY113" s="139"/>
      <c r="HWZ113" s="139"/>
      <c r="HXA113" s="139"/>
      <c r="HXB113" s="139"/>
      <c r="HXC113" s="139"/>
      <c r="HXD113" s="139"/>
      <c r="HXE113" s="139"/>
      <c r="HXF113" s="139"/>
      <c r="HXG113" s="139"/>
      <c r="HXH113" s="139"/>
      <c r="HXI113" s="139"/>
      <c r="HXJ113" s="139"/>
      <c r="HXK113" s="139"/>
      <c r="HXL113" s="139"/>
      <c r="HXM113" s="139"/>
      <c r="HXN113" s="139"/>
      <c r="HXO113" s="139"/>
      <c r="HXP113" s="139"/>
      <c r="HXQ113" s="139"/>
      <c r="HXR113" s="139"/>
      <c r="HXS113" s="139"/>
      <c r="HXT113" s="139"/>
      <c r="HXU113" s="139"/>
      <c r="HXV113" s="139"/>
      <c r="HXW113" s="139"/>
      <c r="HXX113" s="139"/>
      <c r="HXY113" s="139"/>
      <c r="HXZ113" s="139"/>
      <c r="HYA113" s="139"/>
      <c r="HYB113" s="139"/>
      <c r="HYC113" s="139"/>
      <c r="HYD113" s="139"/>
      <c r="HYE113" s="139"/>
      <c r="HYF113" s="139"/>
      <c r="HYG113" s="139"/>
      <c r="HYH113" s="139"/>
      <c r="HYI113" s="139"/>
      <c r="HYJ113" s="139"/>
      <c r="HYK113" s="139"/>
      <c r="HYL113" s="139"/>
      <c r="HYM113" s="139"/>
      <c r="HYN113" s="139"/>
      <c r="HYO113" s="139"/>
      <c r="HYP113" s="139"/>
      <c r="HYQ113" s="139"/>
      <c r="HYR113" s="139"/>
      <c r="HYS113" s="139"/>
      <c r="HYT113" s="139"/>
      <c r="HYU113" s="139"/>
      <c r="HYV113" s="139"/>
      <c r="HYW113" s="139"/>
      <c r="HYX113" s="139"/>
      <c r="HYY113" s="139"/>
      <c r="HYZ113" s="139"/>
      <c r="HZA113" s="139"/>
      <c r="HZB113" s="139"/>
      <c r="HZC113" s="139"/>
      <c r="HZD113" s="139"/>
      <c r="HZE113" s="139"/>
      <c r="HZF113" s="139"/>
      <c r="HZG113" s="139"/>
      <c r="HZH113" s="139"/>
      <c r="HZI113" s="139"/>
      <c r="HZJ113" s="139"/>
      <c r="HZK113" s="139"/>
      <c r="HZL113" s="139"/>
      <c r="HZM113" s="139"/>
      <c r="HZN113" s="139"/>
      <c r="HZO113" s="139"/>
      <c r="HZP113" s="139"/>
      <c r="HZQ113" s="139"/>
      <c r="HZR113" s="139"/>
      <c r="HZS113" s="139"/>
      <c r="HZT113" s="139"/>
      <c r="HZU113" s="139"/>
      <c r="HZV113" s="139"/>
      <c r="HZW113" s="139"/>
      <c r="HZX113" s="139"/>
      <c r="HZY113" s="139"/>
      <c r="HZZ113" s="139"/>
      <c r="IAA113" s="139"/>
      <c r="IAB113" s="139"/>
      <c r="IAC113" s="139"/>
      <c r="IAD113" s="139"/>
      <c r="IAE113" s="139"/>
      <c r="IAF113" s="139"/>
      <c r="IAG113" s="139"/>
      <c r="IAH113" s="139"/>
      <c r="IAI113" s="139"/>
      <c r="IAJ113" s="139"/>
      <c r="IAK113" s="139"/>
      <c r="IAL113" s="139"/>
      <c r="IAM113" s="139"/>
      <c r="IAN113" s="139"/>
      <c r="IAO113" s="139"/>
      <c r="IAP113" s="139"/>
      <c r="IAQ113" s="139"/>
      <c r="IAR113" s="139"/>
      <c r="IAS113" s="139"/>
      <c r="IAT113" s="139"/>
      <c r="IAU113" s="139"/>
      <c r="IAV113" s="139"/>
      <c r="IAW113" s="139"/>
      <c r="IAX113" s="139"/>
      <c r="IAY113" s="139"/>
      <c r="IAZ113" s="139"/>
      <c r="IBA113" s="139"/>
      <c r="IBB113" s="139"/>
      <c r="IBC113" s="139"/>
      <c r="IBD113" s="139"/>
      <c r="IBE113" s="139"/>
      <c r="IBF113" s="139"/>
      <c r="IBG113" s="139"/>
      <c r="IBH113" s="139"/>
      <c r="IBI113" s="139"/>
      <c r="IBJ113" s="139"/>
      <c r="IBK113" s="139"/>
      <c r="IBL113" s="139"/>
      <c r="IBM113" s="139"/>
      <c r="IBN113" s="139"/>
      <c r="IBO113" s="139"/>
      <c r="IBP113" s="139"/>
      <c r="IBQ113" s="139"/>
      <c r="IBR113" s="139"/>
      <c r="IBS113" s="139"/>
      <c r="IBT113" s="139"/>
      <c r="IBU113" s="139"/>
      <c r="IBV113" s="139"/>
      <c r="IBW113" s="139"/>
      <c r="IBX113" s="139"/>
      <c r="IBY113" s="139"/>
      <c r="IBZ113" s="139"/>
      <c r="ICA113" s="139"/>
      <c r="ICB113" s="139"/>
      <c r="ICC113" s="139"/>
      <c r="ICD113" s="139"/>
      <c r="ICE113" s="139"/>
      <c r="ICF113" s="139"/>
      <c r="ICG113" s="139"/>
      <c r="ICH113" s="139"/>
      <c r="ICI113" s="139"/>
      <c r="ICJ113" s="139"/>
      <c r="ICK113" s="139"/>
      <c r="ICL113" s="139"/>
      <c r="ICM113" s="139"/>
      <c r="ICN113" s="139"/>
      <c r="ICO113" s="139"/>
      <c r="ICP113" s="139"/>
      <c r="ICQ113" s="139"/>
      <c r="ICR113" s="139"/>
      <c r="ICS113" s="139"/>
      <c r="ICT113" s="139"/>
      <c r="ICU113" s="139"/>
      <c r="ICV113" s="139"/>
      <c r="ICW113" s="139"/>
      <c r="ICX113" s="139"/>
      <c r="ICY113" s="139"/>
      <c r="ICZ113" s="139"/>
      <c r="IDA113" s="139"/>
      <c r="IDB113" s="139"/>
      <c r="IDC113" s="139"/>
      <c r="IDD113" s="139"/>
      <c r="IDE113" s="139"/>
      <c r="IDF113" s="139"/>
      <c r="IDG113" s="139"/>
      <c r="IDH113" s="139"/>
      <c r="IDI113" s="139"/>
      <c r="IDJ113" s="139"/>
      <c r="IDK113" s="139"/>
      <c r="IDL113" s="139"/>
      <c r="IDM113" s="139"/>
      <c r="IDN113" s="139"/>
      <c r="IDO113" s="139"/>
      <c r="IDP113" s="139"/>
      <c r="IDQ113" s="139"/>
      <c r="IDR113" s="139"/>
      <c r="IDS113" s="139"/>
      <c r="IDT113" s="139"/>
      <c r="IDU113" s="139"/>
      <c r="IDV113" s="139"/>
      <c r="IDW113" s="139"/>
      <c r="IDX113" s="139"/>
      <c r="IDY113" s="139"/>
      <c r="IDZ113" s="139"/>
      <c r="IEA113" s="139"/>
      <c r="IEB113" s="139"/>
      <c r="IEC113" s="139"/>
      <c r="IED113" s="139"/>
      <c r="IEE113" s="139"/>
      <c r="IEF113" s="139"/>
      <c r="IEG113" s="139"/>
      <c r="IEH113" s="139"/>
      <c r="IEI113" s="139"/>
      <c r="IEJ113" s="139"/>
      <c r="IEK113" s="139"/>
      <c r="IEL113" s="139"/>
      <c r="IEM113" s="139"/>
      <c r="IEN113" s="139"/>
      <c r="IEO113" s="139"/>
      <c r="IEP113" s="139"/>
      <c r="IEQ113" s="139"/>
      <c r="IER113" s="139"/>
      <c r="IES113" s="139"/>
      <c r="IET113" s="139"/>
      <c r="IEU113" s="139"/>
      <c r="IEV113" s="139"/>
      <c r="IEW113" s="139"/>
      <c r="IEX113" s="139"/>
      <c r="IEY113" s="139"/>
      <c r="IEZ113" s="139"/>
      <c r="IFA113" s="139"/>
      <c r="IFB113" s="139"/>
      <c r="IFC113" s="139"/>
      <c r="IFD113" s="139"/>
      <c r="IFE113" s="139"/>
      <c r="IFF113" s="139"/>
      <c r="IFG113" s="139"/>
      <c r="IFH113" s="139"/>
      <c r="IFI113" s="139"/>
      <c r="IFJ113" s="139"/>
      <c r="IFK113" s="139"/>
      <c r="IFL113" s="139"/>
      <c r="IFM113" s="139"/>
      <c r="IFN113" s="139"/>
      <c r="IFO113" s="139"/>
      <c r="IFP113" s="139"/>
      <c r="IFQ113" s="139"/>
      <c r="IFR113" s="139"/>
      <c r="IFS113" s="139"/>
      <c r="IFT113" s="139"/>
      <c r="IFU113" s="139"/>
      <c r="IFV113" s="139"/>
      <c r="IFW113" s="139"/>
      <c r="IFX113" s="139"/>
      <c r="IFY113" s="139"/>
      <c r="IFZ113" s="139"/>
      <c r="IGA113" s="139"/>
      <c r="IGB113" s="139"/>
      <c r="IGC113" s="139"/>
      <c r="IGD113" s="139"/>
      <c r="IGE113" s="139"/>
      <c r="IGF113" s="139"/>
      <c r="IGG113" s="139"/>
      <c r="IGH113" s="139"/>
      <c r="IGI113" s="139"/>
      <c r="IGJ113" s="139"/>
      <c r="IGK113" s="139"/>
      <c r="IGL113" s="139"/>
      <c r="IGM113" s="139"/>
      <c r="IGN113" s="139"/>
      <c r="IGO113" s="139"/>
      <c r="IGP113" s="139"/>
      <c r="IGQ113" s="139"/>
      <c r="IGR113" s="139"/>
      <c r="IGS113" s="139"/>
      <c r="IGT113" s="139"/>
      <c r="IGU113" s="139"/>
      <c r="IGV113" s="139"/>
      <c r="IGW113" s="139"/>
      <c r="IGX113" s="139"/>
      <c r="IGY113" s="139"/>
      <c r="IGZ113" s="139"/>
      <c r="IHA113" s="139"/>
      <c r="IHB113" s="139"/>
      <c r="IHC113" s="139"/>
      <c r="IHD113" s="139"/>
      <c r="IHE113" s="139"/>
      <c r="IHF113" s="139"/>
      <c r="IHG113" s="139"/>
      <c r="IHH113" s="139"/>
      <c r="IHI113" s="139"/>
      <c r="IHJ113" s="139"/>
      <c r="IHK113" s="139"/>
      <c r="IHL113" s="139"/>
      <c r="IHM113" s="139"/>
      <c r="IHN113" s="139"/>
      <c r="IHO113" s="139"/>
      <c r="IHP113" s="139"/>
      <c r="IHQ113" s="139"/>
      <c r="IHR113" s="139"/>
      <c r="IHS113" s="139"/>
      <c r="IHT113" s="139"/>
      <c r="IHU113" s="139"/>
      <c r="IHV113" s="139"/>
      <c r="IHW113" s="139"/>
      <c r="IHX113" s="139"/>
      <c r="IHY113" s="139"/>
      <c r="IHZ113" s="139"/>
      <c r="IIA113" s="139"/>
      <c r="IIB113" s="139"/>
      <c r="IIC113" s="139"/>
      <c r="IID113" s="139"/>
      <c r="IIE113" s="139"/>
      <c r="IIF113" s="139"/>
      <c r="IIG113" s="139"/>
      <c r="IIH113" s="139"/>
      <c r="III113" s="139"/>
      <c r="IIJ113" s="139"/>
      <c r="IIK113" s="139"/>
      <c r="IIL113" s="139"/>
      <c r="IIM113" s="139"/>
      <c r="IIN113" s="139"/>
      <c r="IIO113" s="139"/>
      <c r="IIP113" s="139"/>
      <c r="IIQ113" s="139"/>
      <c r="IIR113" s="139"/>
      <c r="IIS113" s="139"/>
      <c r="IIT113" s="139"/>
      <c r="IIU113" s="139"/>
      <c r="IIV113" s="139"/>
      <c r="IIW113" s="139"/>
      <c r="IIX113" s="139"/>
      <c r="IIY113" s="139"/>
      <c r="IIZ113" s="139"/>
      <c r="IJA113" s="139"/>
      <c r="IJB113" s="139"/>
      <c r="IJC113" s="139"/>
      <c r="IJD113" s="139"/>
      <c r="IJE113" s="139"/>
      <c r="IJF113" s="139"/>
      <c r="IJG113" s="139"/>
      <c r="IJH113" s="139"/>
      <c r="IJI113" s="139"/>
      <c r="IJJ113" s="139"/>
      <c r="IJK113" s="139"/>
      <c r="IJL113" s="139"/>
      <c r="IJM113" s="139"/>
      <c r="IJN113" s="139"/>
      <c r="IJO113" s="139"/>
      <c r="IJP113" s="139"/>
      <c r="IJQ113" s="139"/>
      <c r="IJR113" s="139"/>
      <c r="IJS113" s="139"/>
      <c r="IJT113" s="139"/>
      <c r="IJU113" s="139"/>
      <c r="IJV113" s="139"/>
      <c r="IJW113" s="139"/>
      <c r="IJX113" s="139"/>
      <c r="IJY113" s="139"/>
      <c r="IJZ113" s="139"/>
      <c r="IKA113" s="139"/>
      <c r="IKB113" s="139"/>
      <c r="IKC113" s="139"/>
      <c r="IKD113" s="139"/>
      <c r="IKE113" s="139"/>
      <c r="IKF113" s="139"/>
      <c r="IKG113" s="139"/>
      <c r="IKH113" s="139"/>
      <c r="IKI113" s="139"/>
      <c r="IKJ113" s="139"/>
      <c r="IKK113" s="139"/>
      <c r="IKL113" s="139"/>
      <c r="IKM113" s="139"/>
      <c r="IKN113" s="139"/>
      <c r="IKO113" s="139"/>
      <c r="IKP113" s="139"/>
      <c r="IKQ113" s="139"/>
      <c r="IKR113" s="139"/>
      <c r="IKS113" s="139"/>
      <c r="IKT113" s="139"/>
      <c r="IKU113" s="139"/>
      <c r="IKV113" s="139"/>
      <c r="IKW113" s="139"/>
      <c r="IKX113" s="139"/>
      <c r="IKY113" s="139"/>
      <c r="IKZ113" s="139"/>
      <c r="ILA113" s="139"/>
      <c r="ILB113" s="139"/>
      <c r="ILC113" s="139"/>
      <c r="ILD113" s="139"/>
      <c r="ILE113" s="139"/>
      <c r="ILF113" s="139"/>
      <c r="ILG113" s="139"/>
      <c r="ILH113" s="139"/>
      <c r="ILI113" s="139"/>
      <c r="ILJ113" s="139"/>
      <c r="ILK113" s="139"/>
      <c r="ILL113" s="139"/>
      <c r="ILM113" s="139"/>
      <c r="ILN113" s="139"/>
      <c r="ILO113" s="139"/>
      <c r="ILP113" s="139"/>
      <c r="ILQ113" s="139"/>
      <c r="ILR113" s="139"/>
      <c r="ILS113" s="139"/>
      <c r="ILT113" s="139"/>
      <c r="ILU113" s="139"/>
      <c r="ILV113" s="139"/>
      <c r="ILW113" s="139"/>
      <c r="ILX113" s="139"/>
      <c r="ILY113" s="139"/>
      <c r="ILZ113" s="139"/>
      <c r="IMA113" s="139"/>
      <c r="IMB113" s="139"/>
      <c r="IMC113" s="139"/>
      <c r="IMD113" s="139"/>
      <c r="IME113" s="139"/>
      <c r="IMF113" s="139"/>
      <c r="IMG113" s="139"/>
      <c r="IMH113" s="139"/>
      <c r="IMI113" s="139"/>
      <c r="IMJ113" s="139"/>
      <c r="IMK113" s="139"/>
      <c r="IML113" s="139"/>
      <c r="IMM113" s="139"/>
      <c r="IMN113" s="139"/>
      <c r="IMO113" s="139"/>
      <c r="IMP113" s="139"/>
      <c r="IMQ113" s="139"/>
      <c r="IMR113" s="139"/>
      <c r="IMS113" s="139"/>
      <c r="IMT113" s="139"/>
      <c r="IMU113" s="139"/>
      <c r="IMV113" s="139"/>
      <c r="IMW113" s="139"/>
      <c r="IMX113" s="139"/>
      <c r="IMY113" s="139"/>
      <c r="IMZ113" s="139"/>
      <c r="INA113" s="139"/>
      <c r="INB113" s="139"/>
      <c r="INC113" s="139"/>
      <c r="IND113" s="139"/>
      <c r="INE113" s="139"/>
      <c r="INF113" s="139"/>
      <c r="ING113" s="139"/>
      <c r="INH113" s="139"/>
      <c r="INI113" s="139"/>
      <c r="INJ113" s="139"/>
      <c r="INK113" s="139"/>
      <c r="INL113" s="139"/>
      <c r="INM113" s="139"/>
      <c r="INN113" s="139"/>
      <c r="INO113" s="139"/>
      <c r="INP113" s="139"/>
      <c r="INQ113" s="139"/>
      <c r="INR113" s="139"/>
      <c r="INS113" s="139"/>
      <c r="INT113" s="139"/>
      <c r="INU113" s="139"/>
      <c r="INV113" s="139"/>
      <c r="INW113" s="139"/>
      <c r="INX113" s="139"/>
      <c r="INY113" s="139"/>
      <c r="INZ113" s="139"/>
      <c r="IOA113" s="139"/>
      <c r="IOB113" s="139"/>
      <c r="IOC113" s="139"/>
      <c r="IOD113" s="139"/>
      <c r="IOE113" s="139"/>
      <c r="IOF113" s="139"/>
      <c r="IOG113" s="139"/>
      <c r="IOH113" s="139"/>
      <c r="IOI113" s="139"/>
      <c r="IOJ113" s="139"/>
      <c r="IOK113" s="139"/>
      <c r="IOL113" s="139"/>
      <c r="IOM113" s="139"/>
      <c r="ION113" s="139"/>
      <c r="IOO113" s="139"/>
      <c r="IOP113" s="139"/>
      <c r="IOQ113" s="139"/>
      <c r="IOR113" s="139"/>
      <c r="IOS113" s="139"/>
      <c r="IOT113" s="139"/>
      <c r="IOU113" s="139"/>
      <c r="IOV113" s="139"/>
      <c r="IOW113" s="139"/>
      <c r="IOX113" s="139"/>
      <c r="IOY113" s="139"/>
      <c r="IOZ113" s="139"/>
      <c r="IPA113" s="139"/>
      <c r="IPB113" s="139"/>
      <c r="IPC113" s="139"/>
      <c r="IPD113" s="139"/>
      <c r="IPE113" s="139"/>
      <c r="IPF113" s="139"/>
      <c r="IPG113" s="139"/>
      <c r="IPH113" s="139"/>
      <c r="IPI113" s="139"/>
      <c r="IPJ113" s="139"/>
      <c r="IPK113" s="139"/>
      <c r="IPL113" s="139"/>
      <c r="IPM113" s="139"/>
      <c r="IPN113" s="139"/>
      <c r="IPO113" s="139"/>
      <c r="IPP113" s="139"/>
      <c r="IPQ113" s="139"/>
      <c r="IPR113" s="139"/>
      <c r="IPS113" s="139"/>
      <c r="IPT113" s="139"/>
      <c r="IPU113" s="139"/>
      <c r="IPV113" s="139"/>
      <c r="IPW113" s="139"/>
      <c r="IPX113" s="139"/>
      <c r="IPY113" s="139"/>
      <c r="IPZ113" s="139"/>
      <c r="IQA113" s="139"/>
      <c r="IQB113" s="139"/>
      <c r="IQC113" s="139"/>
      <c r="IQD113" s="139"/>
      <c r="IQE113" s="139"/>
      <c r="IQF113" s="139"/>
      <c r="IQG113" s="139"/>
      <c r="IQH113" s="139"/>
      <c r="IQI113" s="139"/>
      <c r="IQJ113" s="139"/>
      <c r="IQK113" s="139"/>
      <c r="IQL113" s="139"/>
      <c r="IQM113" s="139"/>
      <c r="IQN113" s="139"/>
      <c r="IQO113" s="139"/>
      <c r="IQP113" s="139"/>
      <c r="IQQ113" s="139"/>
      <c r="IQR113" s="139"/>
      <c r="IQS113" s="139"/>
      <c r="IQT113" s="139"/>
      <c r="IQU113" s="139"/>
      <c r="IQV113" s="139"/>
      <c r="IQW113" s="139"/>
      <c r="IQX113" s="139"/>
      <c r="IQY113" s="139"/>
      <c r="IQZ113" s="139"/>
      <c r="IRA113" s="139"/>
      <c r="IRB113" s="139"/>
      <c r="IRC113" s="139"/>
      <c r="IRD113" s="139"/>
      <c r="IRE113" s="139"/>
      <c r="IRF113" s="139"/>
      <c r="IRG113" s="139"/>
      <c r="IRH113" s="139"/>
      <c r="IRI113" s="139"/>
      <c r="IRJ113" s="139"/>
      <c r="IRK113" s="139"/>
      <c r="IRL113" s="139"/>
      <c r="IRM113" s="139"/>
      <c r="IRN113" s="139"/>
      <c r="IRO113" s="139"/>
      <c r="IRP113" s="139"/>
      <c r="IRQ113" s="139"/>
      <c r="IRR113" s="139"/>
      <c r="IRS113" s="139"/>
      <c r="IRT113" s="139"/>
      <c r="IRU113" s="139"/>
      <c r="IRV113" s="139"/>
      <c r="IRW113" s="139"/>
      <c r="IRX113" s="139"/>
      <c r="IRY113" s="139"/>
      <c r="IRZ113" s="139"/>
      <c r="ISA113" s="139"/>
      <c r="ISB113" s="139"/>
      <c r="ISC113" s="139"/>
      <c r="ISD113" s="139"/>
      <c r="ISE113" s="139"/>
      <c r="ISF113" s="139"/>
      <c r="ISG113" s="139"/>
      <c r="ISH113" s="139"/>
      <c r="ISI113" s="139"/>
      <c r="ISJ113" s="139"/>
      <c r="ISK113" s="139"/>
      <c r="ISL113" s="139"/>
      <c r="ISM113" s="139"/>
      <c r="ISN113" s="139"/>
      <c r="ISO113" s="139"/>
      <c r="ISP113" s="139"/>
      <c r="ISQ113" s="139"/>
      <c r="ISR113" s="139"/>
      <c r="ISS113" s="139"/>
      <c r="IST113" s="139"/>
      <c r="ISU113" s="139"/>
      <c r="ISV113" s="139"/>
      <c r="ISW113" s="139"/>
      <c r="ISX113" s="139"/>
      <c r="ISY113" s="139"/>
      <c r="ISZ113" s="139"/>
      <c r="ITA113" s="139"/>
      <c r="ITB113" s="139"/>
      <c r="ITC113" s="139"/>
      <c r="ITD113" s="139"/>
      <c r="ITE113" s="139"/>
      <c r="ITF113" s="139"/>
      <c r="ITG113" s="139"/>
      <c r="ITH113" s="139"/>
      <c r="ITI113" s="139"/>
      <c r="ITJ113" s="139"/>
      <c r="ITK113" s="139"/>
      <c r="ITL113" s="139"/>
      <c r="ITM113" s="139"/>
      <c r="ITN113" s="139"/>
      <c r="ITO113" s="139"/>
      <c r="ITP113" s="139"/>
      <c r="ITQ113" s="139"/>
      <c r="ITR113" s="139"/>
      <c r="ITS113" s="139"/>
      <c r="ITT113" s="139"/>
      <c r="ITU113" s="139"/>
      <c r="ITV113" s="139"/>
      <c r="ITW113" s="139"/>
      <c r="ITX113" s="139"/>
      <c r="ITY113" s="139"/>
      <c r="ITZ113" s="139"/>
      <c r="IUA113" s="139"/>
      <c r="IUB113" s="139"/>
      <c r="IUC113" s="139"/>
      <c r="IUD113" s="139"/>
      <c r="IUE113" s="139"/>
      <c r="IUF113" s="139"/>
      <c r="IUG113" s="139"/>
      <c r="IUH113" s="139"/>
      <c r="IUI113" s="139"/>
      <c r="IUJ113" s="139"/>
      <c r="IUK113" s="139"/>
      <c r="IUL113" s="139"/>
      <c r="IUM113" s="139"/>
      <c r="IUN113" s="139"/>
      <c r="IUO113" s="139"/>
      <c r="IUP113" s="139"/>
      <c r="IUQ113" s="139"/>
      <c r="IUR113" s="139"/>
      <c r="IUS113" s="139"/>
      <c r="IUT113" s="139"/>
      <c r="IUU113" s="139"/>
      <c r="IUV113" s="139"/>
      <c r="IUW113" s="139"/>
      <c r="IUX113" s="139"/>
      <c r="IUY113" s="139"/>
      <c r="IUZ113" s="139"/>
      <c r="IVA113" s="139"/>
      <c r="IVB113" s="139"/>
      <c r="IVC113" s="139"/>
      <c r="IVD113" s="139"/>
      <c r="IVE113" s="139"/>
      <c r="IVF113" s="139"/>
      <c r="IVG113" s="139"/>
      <c r="IVH113" s="139"/>
      <c r="IVI113" s="139"/>
      <c r="IVJ113" s="139"/>
      <c r="IVK113" s="139"/>
      <c r="IVL113" s="139"/>
      <c r="IVM113" s="139"/>
      <c r="IVN113" s="139"/>
      <c r="IVO113" s="139"/>
      <c r="IVP113" s="139"/>
      <c r="IVQ113" s="139"/>
      <c r="IVR113" s="139"/>
      <c r="IVS113" s="139"/>
      <c r="IVT113" s="139"/>
      <c r="IVU113" s="139"/>
      <c r="IVV113" s="139"/>
      <c r="IVW113" s="139"/>
      <c r="IVX113" s="139"/>
      <c r="IVY113" s="139"/>
      <c r="IVZ113" s="139"/>
      <c r="IWA113" s="139"/>
      <c r="IWB113" s="139"/>
      <c r="IWC113" s="139"/>
      <c r="IWD113" s="139"/>
      <c r="IWE113" s="139"/>
      <c r="IWF113" s="139"/>
      <c r="IWG113" s="139"/>
      <c r="IWH113" s="139"/>
      <c r="IWI113" s="139"/>
      <c r="IWJ113" s="139"/>
      <c r="IWK113" s="139"/>
      <c r="IWL113" s="139"/>
      <c r="IWM113" s="139"/>
      <c r="IWN113" s="139"/>
      <c r="IWO113" s="139"/>
      <c r="IWP113" s="139"/>
      <c r="IWQ113" s="139"/>
      <c r="IWR113" s="139"/>
      <c r="IWS113" s="139"/>
      <c r="IWT113" s="139"/>
      <c r="IWU113" s="139"/>
      <c r="IWV113" s="139"/>
      <c r="IWW113" s="139"/>
      <c r="IWX113" s="139"/>
      <c r="IWY113" s="139"/>
      <c r="IWZ113" s="139"/>
      <c r="IXA113" s="139"/>
      <c r="IXB113" s="139"/>
      <c r="IXC113" s="139"/>
      <c r="IXD113" s="139"/>
      <c r="IXE113" s="139"/>
      <c r="IXF113" s="139"/>
      <c r="IXG113" s="139"/>
      <c r="IXH113" s="139"/>
      <c r="IXI113" s="139"/>
      <c r="IXJ113" s="139"/>
      <c r="IXK113" s="139"/>
      <c r="IXL113" s="139"/>
      <c r="IXM113" s="139"/>
      <c r="IXN113" s="139"/>
      <c r="IXO113" s="139"/>
      <c r="IXP113" s="139"/>
      <c r="IXQ113" s="139"/>
      <c r="IXR113" s="139"/>
      <c r="IXS113" s="139"/>
      <c r="IXT113" s="139"/>
      <c r="IXU113" s="139"/>
      <c r="IXV113" s="139"/>
      <c r="IXW113" s="139"/>
      <c r="IXX113" s="139"/>
      <c r="IXY113" s="139"/>
      <c r="IXZ113" s="139"/>
      <c r="IYA113" s="139"/>
      <c r="IYB113" s="139"/>
      <c r="IYC113" s="139"/>
      <c r="IYD113" s="139"/>
      <c r="IYE113" s="139"/>
      <c r="IYF113" s="139"/>
      <c r="IYG113" s="139"/>
      <c r="IYH113" s="139"/>
      <c r="IYI113" s="139"/>
      <c r="IYJ113" s="139"/>
      <c r="IYK113" s="139"/>
      <c r="IYL113" s="139"/>
      <c r="IYM113" s="139"/>
      <c r="IYN113" s="139"/>
      <c r="IYO113" s="139"/>
      <c r="IYP113" s="139"/>
      <c r="IYQ113" s="139"/>
      <c r="IYR113" s="139"/>
      <c r="IYS113" s="139"/>
      <c r="IYT113" s="139"/>
      <c r="IYU113" s="139"/>
      <c r="IYV113" s="139"/>
      <c r="IYW113" s="139"/>
      <c r="IYX113" s="139"/>
      <c r="IYY113" s="139"/>
      <c r="IYZ113" s="139"/>
      <c r="IZA113" s="139"/>
      <c r="IZB113" s="139"/>
      <c r="IZC113" s="139"/>
      <c r="IZD113" s="139"/>
      <c r="IZE113" s="139"/>
      <c r="IZF113" s="139"/>
      <c r="IZG113" s="139"/>
      <c r="IZH113" s="139"/>
      <c r="IZI113" s="139"/>
      <c r="IZJ113" s="139"/>
      <c r="IZK113" s="139"/>
      <c r="IZL113" s="139"/>
      <c r="IZM113" s="139"/>
      <c r="IZN113" s="139"/>
      <c r="IZO113" s="139"/>
      <c r="IZP113" s="139"/>
      <c r="IZQ113" s="139"/>
      <c r="IZR113" s="139"/>
      <c r="IZS113" s="139"/>
      <c r="IZT113" s="139"/>
      <c r="IZU113" s="139"/>
      <c r="IZV113" s="139"/>
      <c r="IZW113" s="139"/>
      <c r="IZX113" s="139"/>
      <c r="IZY113" s="139"/>
      <c r="IZZ113" s="139"/>
      <c r="JAA113" s="139"/>
      <c r="JAB113" s="139"/>
      <c r="JAC113" s="139"/>
      <c r="JAD113" s="139"/>
      <c r="JAE113" s="139"/>
      <c r="JAF113" s="139"/>
      <c r="JAG113" s="139"/>
      <c r="JAH113" s="139"/>
      <c r="JAI113" s="139"/>
      <c r="JAJ113" s="139"/>
      <c r="JAK113" s="139"/>
      <c r="JAL113" s="139"/>
      <c r="JAM113" s="139"/>
      <c r="JAN113" s="139"/>
      <c r="JAO113" s="139"/>
      <c r="JAP113" s="139"/>
      <c r="JAQ113" s="139"/>
      <c r="JAR113" s="139"/>
      <c r="JAS113" s="139"/>
      <c r="JAT113" s="139"/>
      <c r="JAU113" s="139"/>
      <c r="JAV113" s="139"/>
      <c r="JAW113" s="139"/>
      <c r="JAX113" s="139"/>
      <c r="JAY113" s="139"/>
      <c r="JAZ113" s="139"/>
      <c r="JBA113" s="139"/>
      <c r="JBB113" s="139"/>
      <c r="JBC113" s="139"/>
      <c r="JBD113" s="139"/>
      <c r="JBE113" s="139"/>
      <c r="JBF113" s="139"/>
      <c r="JBG113" s="139"/>
      <c r="JBH113" s="139"/>
      <c r="JBI113" s="139"/>
      <c r="JBJ113" s="139"/>
      <c r="JBK113" s="139"/>
      <c r="JBL113" s="139"/>
      <c r="JBM113" s="139"/>
      <c r="JBN113" s="139"/>
      <c r="JBO113" s="139"/>
      <c r="JBP113" s="139"/>
      <c r="JBQ113" s="139"/>
      <c r="JBR113" s="139"/>
      <c r="JBS113" s="139"/>
      <c r="JBT113" s="139"/>
      <c r="JBU113" s="139"/>
      <c r="JBV113" s="139"/>
      <c r="JBW113" s="139"/>
      <c r="JBX113" s="139"/>
      <c r="JBY113" s="139"/>
      <c r="JBZ113" s="139"/>
      <c r="JCA113" s="139"/>
      <c r="JCB113" s="139"/>
      <c r="JCC113" s="139"/>
      <c r="JCD113" s="139"/>
      <c r="JCE113" s="139"/>
      <c r="JCF113" s="139"/>
      <c r="JCG113" s="139"/>
      <c r="JCH113" s="139"/>
      <c r="JCI113" s="139"/>
      <c r="JCJ113" s="139"/>
      <c r="JCK113" s="139"/>
      <c r="JCL113" s="139"/>
      <c r="JCM113" s="139"/>
      <c r="JCN113" s="139"/>
      <c r="JCO113" s="139"/>
      <c r="JCP113" s="139"/>
      <c r="JCQ113" s="139"/>
      <c r="JCR113" s="139"/>
      <c r="JCS113" s="139"/>
      <c r="JCT113" s="139"/>
      <c r="JCU113" s="139"/>
      <c r="JCV113" s="139"/>
      <c r="JCW113" s="139"/>
      <c r="JCX113" s="139"/>
      <c r="JCY113" s="139"/>
      <c r="JCZ113" s="139"/>
      <c r="JDA113" s="139"/>
      <c r="JDB113" s="139"/>
      <c r="JDC113" s="139"/>
      <c r="JDD113" s="139"/>
      <c r="JDE113" s="139"/>
      <c r="JDF113" s="139"/>
      <c r="JDG113" s="139"/>
      <c r="JDH113" s="139"/>
      <c r="JDI113" s="139"/>
      <c r="JDJ113" s="139"/>
      <c r="JDK113" s="139"/>
      <c r="JDL113" s="139"/>
      <c r="JDM113" s="139"/>
      <c r="JDN113" s="139"/>
      <c r="JDO113" s="139"/>
      <c r="JDP113" s="139"/>
      <c r="JDQ113" s="139"/>
      <c r="JDR113" s="139"/>
      <c r="JDS113" s="139"/>
      <c r="JDT113" s="139"/>
      <c r="JDU113" s="139"/>
      <c r="JDV113" s="139"/>
      <c r="JDW113" s="139"/>
      <c r="JDX113" s="139"/>
      <c r="JDY113" s="139"/>
      <c r="JDZ113" s="139"/>
      <c r="JEA113" s="139"/>
      <c r="JEB113" s="139"/>
      <c r="JEC113" s="139"/>
      <c r="JED113" s="139"/>
      <c r="JEE113" s="139"/>
      <c r="JEF113" s="139"/>
      <c r="JEG113" s="139"/>
      <c r="JEH113" s="139"/>
      <c r="JEI113" s="139"/>
      <c r="JEJ113" s="139"/>
      <c r="JEK113" s="139"/>
      <c r="JEL113" s="139"/>
      <c r="JEM113" s="139"/>
      <c r="JEN113" s="139"/>
      <c r="JEO113" s="139"/>
      <c r="JEP113" s="139"/>
      <c r="JEQ113" s="139"/>
      <c r="JER113" s="139"/>
      <c r="JES113" s="139"/>
      <c r="JET113" s="139"/>
      <c r="JEU113" s="139"/>
      <c r="JEV113" s="139"/>
      <c r="JEW113" s="139"/>
      <c r="JEX113" s="139"/>
      <c r="JEY113" s="139"/>
      <c r="JEZ113" s="139"/>
      <c r="JFA113" s="139"/>
      <c r="JFB113" s="139"/>
      <c r="JFC113" s="139"/>
      <c r="JFD113" s="139"/>
      <c r="JFE113" s="139"/>
      <c r="JFF113" s="139"/>
      <c r="JFG113" s="139"/>
      <c r="JFH113" s="139"/>
      <c r="JFI113" s="139"/>
      <c r="JFJ113" s="139"/>
      <c r="JFK113" s="139"/>
      <c r="JFL113" s="139"/>
      <c r="JFM113" s="139"/>
      <c r="JFN113" s="139"/>
      <c r="JFO113" s="139"/>
      <c r="JFP113" s="139"/>
      <c r="JFQ113" s="139"/>
      <c r="JFR113" s="139"/>
      <c r="JFS113" s="139"/>
      <c r="JFT113" s="139"/>
      <c r="JFU113" s="139"/>
      <c r="JFV113" s="139"/>
      <c r="JFW113" s="139"/>
      <c r="JFX113" s="139"/>
      <c r="JFY113" s="139"/>
      <c r="JFZ113" s="139"/>
      <c r="JGA113" s="139"/>
      <c r="JGB113" s="139"/>
      <c r="JGC113" s="139"/>
      <c r="JGD113" s="139"/>
      <c r="JGE113" s="139"/>
      <c r="JGF113" s="139"/>
      <c r="JGG113" s="139"/>
      <c r="JGH113" s="139"/>
      <c r="JGI113" s="139"/>
      <c r="JGJ113" s="139"/>
      <c r="JGK113" s="139"/>
      <c r="JGL113" s="139"/>
      <c r="JGM113" s="139"/>
      <c r="JGN113" s="139"/>
      <c r="JGO113" s="139"/>
      <c r="JGP113" s="139"/>
      <c r="JGQ113" s="139"/>
      <c r="JGR113" s="139"/>
      <c r="JGS113" s="139"/>
      <c r="JGT113" s="139"/>
      <c r="JGU113" s="139"/>
      <c r="JGV113" s="139"/>
      <c r="JGW113" s="139"/>
      <c r="JGX113" s="139"/>
      <c r="JGY113" s="139"/>
      <c r="JGZ113" s="139"/>
      <c r="JHA113" s="139"/>
      <c r="JHB113" s="139"/>
      <c r="JHC113" s="139"/>
      <c r="JHD113" s="139"/>
      <c r="JHE113" s="139"/>
      <c r="JHF113" s="139"/>
      <c r="JHG113" s="139"/>
      <c r="JHH113" s="139"/>
      <c r="JHI113" s="139"/>
      <c r="JHJ113" s="139"/>
      <c r="JHK113" s="139"/>
      <c r="JHL113" s="139"/>
      <c r="JHM113" s="139"/>
      <c r="JHN113" s="139"/>
      <c r="JHO113" s="139"/>
      <c r="JHP113" s="139"/>
      <c r="JHQ113" s="139"/>
      <c r="JHR113" s="139"/>
      <c r="JHS113" s="139"/>
      <c r="JHT113" s="139"/>
      <c r="JHU113" s="139"/>
      <c r="JHV113" s="139"/>
      <c r="JHW113" s="139"/>
      <c r="JHX113" s="139"/>
      <c r="JHY113" s="139"/>
      <c r="JHZ113" s="139"/>
      <c r="JIA113" s="139"/>
      <c r="JIB113" s="139"/>
      <c r="JIC113" s="139"/>
      <c r="JID113" s="139"/>
      <c r="JIE113" s="139"/>
      <c r="JIF113" s="139"/>
      <c r="JIG113" s="139"/>
      <c r="JIH113" s="139"/>
      <c r="JII113" s="139"/>
      <c r="JIJ113" s="139"/>
      <c r="JIK113" s="139"/>
      <c r="JIL113" s="139"/>
      <c r="JIM113" s="139"/>
      <c r="JIN113" s="139"/>
      <c r="JIO113" s="139"/>
      <c r="JIP113" s="139"/>
      <c r="JIQ113" s="139"/>
      <c r="JIR113" s="139"/>
      <c r="JIS113" s="139"/>
      <c r="JIT113" s="139"/>
      <c r="JIU113" s="139"/>
      <c r="JIV113" s="139"/>
      <c r="JIW113" s="139"/>
      <c r="JIX113" s="139"/>
      <c r="JIY113" s="139"/>
      <c r="JIZ113" s="139"/>
      <c r="JJA113" s="139"/>
      <c r="JJB113" s="139"/>
      <c r="JJC113" s="139"/>
      <c r="JJD113" s="139"/>
      <c r="JJE113" s="139"/>
      <c r="JJF113" s="139"/>
      <c r="JJG113" s="139"/>
      <c r="JJH113" s="139"/>
      <c r="JJI113" s="139"/>
      <c r="JJJ113" s="139"/>
      <c r="JJK113" s="139"/>
      <c r="JJL113" s="139"/>
      <c r="JJM113" s="139"/>
      <c r="JJN113" s="139"/>
      <c r="JJO113" s="139"/>
      <c r="JJP113" s="139"/>
      <c r="JJQ113" s="139"/>
      <c r="JJR113" s="139"/>
      <c r="JJS113" s="139"/>
      <c r="JJT113" s="139"/>
      <c r="JJU113" s="139"/>
      <c r="JJV113" s="139"/>
      <c r="JJW113" s="139"/>
      <c r="JJX113" s="139"/>
      <c r="JJY113" s="139"/>
      <c r="JJZ113" s="139"/>
      <c r="JKA113" s="139"/>
      <c r="JKB113" s="139"/>
      <c r="JKC113" s="139"/>
      <c r="JKD113" s="139"/>
      <c r="JKE113" s="139"/>
      <c r="JKF113" s="139"/>
      <c r="JKG113" s="139"/>
      <c r="JKH113" s="139"/>
      <c r="JKI113" s="139"/>
      <c r="JKJ113" s="139"/>
      <c r="JKK113" s="139"/>
      <c r="JKL113" s="139"/>
      <c r="JKM113" s="139"/>
      <c r="JKN113" s="139"/>
      <c r="JKO113" s="139"/>
      <c r="JKP113" s="139"/>
      <c r="JKQ113" s="139"/>
      <c r="JKR113" s="139"/>
      <c r="JKS113" s="139"/>
      <c r="JKT113" s="139"/>
      <c r="JKU113" s="139"/>
      <c r="JKV113" s="139"/>
      <c r="JKW113" s="139"/>
      <c r="JKX113" s="139"/>
      <c r="JKY113" s="139"/>
      <c r="JKZ113" s="139"/>
      <c r="JLA113" s="139"/>
      <c r="JLB113" s="139"/>
      <c r="JLC113" s="139"/>
      <c r="JLD113" s="139"/>
      <c r="JLE113" s="139"/>
      <c r="JLF113" s="139"/>
      <c r="JLG113" s="139"/>
      <c r="JLH113" s="139"/>
      <c r="JLI113" s="139"/>
      <c r="JLJ113" s="139"/>
      <c r="JLK113" s="139"/>
      <c r="JLL113" s="139"/>
      <c r="JLM113" s="139"/>
      <c r="JLN113" s="139"/>
      <c r="JLO113" s="139"/>
      <c r="JLP113" s="139"/>
      <c r="JLQ113" s="139"/>
      <c r="JLR113" s="139"/>
      <c r="JLS113" s="139"/>
      <c r="JLT113" s="139"/>
      <c r="JLU113" s="139"/>
      <c r="JLV113" s="139"/>
      <c r="JLW113" s="139"/>
      <c r="JLX113" s="139"/>
      <c r="JLY113" s="139"/>
      <c r="JLZ113" s="139"/>
      <c r="JMA113" s="139"/>
      <c r="JMB113" s="139"/>
      <c r="JMC113" s="139"/>
      <c r="JMD113" s="139"/>
      <c r="JME113" s="139"/>
      <c r="JMF113" s="139"/>
      <c r="JMG113" s="139"/>
      <c r="JMH113" s="139"/>
      <c r="JMI113" s="139"/>
      <c r="JMJ113" s="139"/>
      <c r="JMK113" s="139"/>
      <c r="JML113" s="139"/>
      <c r="JMM113" s="139"/>
      <c r="JMN113" s="139"/>
      <c r="JMO113" s="139"/>
      <c r="JMP113" s="139"/>
      <c r="JMQ113" s="139"/>
      <c r="JMR113" s="139"/>
      <c r="JMS113" s="139"/>
      <c r="JMT113" s="139"/>
      <c r="JMU113" s="139"/>
      <c r="JMV113" s="139"/>
      <c r="JMW113" s="139"/>
      <c r="JMX113" s="139"/>
      <c r="JMY113" s="139"/>
      <c r="JMZ113" s="139"/>
      <c r="JNA113" s="139"/>
      <c r="JNB113" s="139"/>
      <c r="JNC113" s="139"/>
      <c r="JND113" s="139"/>
      <c r="JNE113" s="139"/>
      <c r="JNF113" s="139"/>
      <c r="JNG113" s="139"/>
      <c r="JNH113" s="139"/>
      <c r="JNI113" s="139"/>
      <c r="JNJ113" s="139"/>
      <c r="JNK113" s="139"/>
      <c r="JNL113" s="139"/>
      <c r="JNM113" s="139"/>
      <c r="JNN113" s="139"/>
      <c r="JNO113" s="139"/>
      <c r="JNP113" s="139"/>
      <c r="JNQ113" s="139"/>
      <c r="JNR113" s="139"/>
      <c r="JNS113" s="139"/>
      <c r="JNT113" s="139"/>
      <c r="JNU113" s="139"/>
      <c r="JNV113" s="139"/>
      <c r="JNW113" s="139"/>
      <c r="JNX113" s="139"/>
      <c r="JNY113" s="139"/>
      <c r="JNZ113" s="139"/>
      <c r="JOA113" s="139"/>
      <c r="JOB113" s="139"/>
      <c r="JOC113" s="139"/>
      <c r="JOD113" s="139"/>
      <c r="JOE113" s="139"/>
      <c r="JOF113" s="139"/>
      <c r="JOG113" s="139"/>
      <c r="JOH113" s="139"/>
      <c r="JOI113" s="139"/>
      <c r="JOJ113" s="139"/>
      <c r="JOK113" s="139"/>
      <c r="JOL113" s="139"/>
      <c r="JOM113" s="139"/>
      <c r="JON113" s="139"/>
      <c r="JOO113" s="139"/>
      <c r="JOP113" s="139"/>
      <c r="JOQ113" s="139"/>
      <c r="JOR113" s="139"/>
      <c r="JOS113" s="139"/>
      <c r="JOT113" s="139"/>
      <c r="JOU113" s="139"/>
      <c r="JOV113" s="139"/>
      <c r="JOW113" s="139"/>
      <c r="JOX113" s="139"/>
      <c r="JOY113" s="139"/>
      <c r="JOZ113" s="139"/>
      <c r="JPA113" s="139"/>
      <c r="JPB113" s="139"/>
      <c r="JPC113" s="139"/>
      <c r="JPD113" s="139"/>
      <c r="JPE113" s="139"/>
      <c r="JPF113" s="139"/>
      <c r="JPG113" s="139"/>
      <c r="JPH113" s="139"/>
      <c r="JPI113" s="139"/>
      <c r="JPJ113" s="139"/>
      <c r="JPK113" s="139"/>
      <c r="JPL113" s="139"/>
      <c r="JPM113" s="139"/>
      <c r="JPN113" s="139"/>
      <c r="JPO113" s="139"/>
      <c r="JPP113" s="139"/>
      <c r="JPQ113" s="139"/>
      <c r="JPR113" s="139"/>
      <c r="JPS113" s="139"/>
      <c r="JPT113" s="139"/>
      <c r="JPU113" s="139"/>
      <c r="JPV113" s="139"/>
      <c r="JPW113" s="139"/>
      <c r="JPX113" s="139"/>
      <c r="JPY113" s="139"/>
      <c r="JPZ113" s="139"/>
      <c r="JQA113" s="139"/>
      <c r="JQB113" s="139"/>
      <c r="JQC113" s="139"/>
      <c r="JQD113" s="139"/>
      <c r="JQE113" s="139"/>
      <c r="JQF113" s="139"/>
      <c r="JQG113" s="139"/>
      <c r="JQH113" s="139"/>
      <c r="JQI113" s="139"/>
      <c r="JQJ113" s="139"/>
      <c r="JQK113" s="139"/>
      <c r="JQL113" s="139"/>
      <c r="JQM113" s="139"/>
      <c r="JQN113" s="139"/>
      <c r="JQO113" s="139"/>
      <c r="JQP113" s="139"/>
      <c r="JQQ113" s="139"/>
      <c r="JQR113" s="139"/>
      <c r="JQS113" s="139"/>
      <c r="JQT113" s="139"/>
      <c r="JQU113" s="139"/>
      <c r="JQV113" s="139"/>
      <c r="JQW113" s="139"/>
      <c r="JQX113" s="139"/>
      <c r="JQY113" s="139"/>
      <c r="JQZ113" s="139"/>
      <c r="JRA113" s="139"/>
      <c r="JRB113" s="139"/>
      <c r="JRC113" s="139"/>
      <c r="JRD113" s="139"/>
      <c r="JRE113" s="139"/>
      <c r="JRF113" s="139"/>
      <c r="JRG113" s="139"/>
      <c r="JRH113" s="139"/>
      <c r="JRI113" s="139"/>
      <c r="JRJ113" s="139"/>
      <c r="JRK113" s="139"/>
      <c r="JRL113" s="139"/>
      <c r="JRM113" s="139"/>
      <c r="JRN113" s="139"/>
      <c r="JRO113" s="139"/>
      <c r="JRP113" s="139"/>
      <c r="JRQ113" s="139"/>
      <c r="JRR113" s="139"/>
      <c r="JRS113" s="139"/>
      <c r="JRT113" s="139"/>
      <c r="JRU113" s="139"/>
      <c r="JRV113" s="139"/>
      <c r="JRW113" s="139"/>
      <c r="JRX113" s="139"/>
      <c r="JRY113" s="139"/>
      <c r="JRZ113" s="139"/>
      <c r="JSA113" s="139"/>
      <c r="JSB113" s="139"/>
      <c r="JSC113" s="139"/>
      <c r="JSD113" s="139"/>
      <c r="JSE113" s="139"/>
      <c r="JSF113" s="139"/>
      <c r="JSG113" s="139"/>
      <c r="JSH113" s="139"/>
      <c r="JSI113" s="139"/>
      <c r="JSJ113" s="139"/>
      <c r="JSK113" s="139"/>
      <c r="JSL113" s="139"/>
      <c r="JSM113" s="139"/>
      <c r="JSN113" s="139"/>
      <c r="JSO113" s="139"/>
      <c r="JSP113" s="139"/>
      <c r="JSQ113" s="139"/>
      <c r="JSR113" s="139"/>
      <c r="JSS113" s="139"/>
      <c r="JST113" s="139"/>
      <c r="JSU113" s="139"/>
      <c r="JSV113" s="139"/>
      <c r="JSW113" s="139"/>
      <c r="JSX113" s="139"/>
      <c r="JSY113" s="139"/>
      <c r="JSZ113" s="139"/>
      <c r="JTA113" s="139"/>
      <c r="JTB113" s="139"/>
      <c r="JTC113" s="139"/>
      <c r="JTD113" s="139"/>
      <c r="JTE113" s="139"/>
      <c r="JTF113" s="139"/>
      <c r="JTG113" s="139"/>
      <c r="JTH113" s="139"/>
      <c r="JTI113" s="139"/>
      <c r="JTJ113" s="139"/>
      <c r="JTK113" s="139"/>
      <c r="JTL113" s="139"/>
      <c r="JTM113" s="139"/>
      <c r="JTN113" s="139"/>
      <c r="JTO113" s="139"/>
      <c r="JTP113" s="139"/>
      <c r="JTQ113" s="139"/>
      <c r="JTR113" s="139"/>
      <c r="JTS113" s="139"/>
      <c r="JTT113" s="139"/>
      <c r="JTU113" s="139"/>
      <c r="JTV113" s="139"/>
      <c r="JTW113" s="139"/>
      <c r="JTX113" s="139"/>
      <c r="JTY113" s="139"/>
      <c r="JTZ113" s="139"/>
      <c r="JUA113" s="139"/>
      <c r="JUB113" s="139"/>
      <c r="JUC113" s="139"/>
      <c r="JUD113" s="139"/>
      <c r="JUE113" s="139"/>
      <c r="JUF113" s="139"/>
      <c r="JUG113" s="139"/>
      <c r="JUH113" s="139"/>
      <c r="JUI113" s="139"/>
      <c r="JUJ113" s="139"/>
      <c r="JUK113" s="139"/>
      <c r="JUL113" s="139"/>
      <c r="JUM113" s="139"/>
      <c r="JUN113" s="139"/>
      <c r="JUO113" s="139"/>
      <c r="JUP113" s="139"/>
      <c r="JUQ113" s="139"/>
      <c r="JUR113" s="139"/>
      <c r="JUS113" s="139"/>
      <c r="JUT113" s="139"/>
      <c r="JUU113" s="139"/>
      <c r="JUV113" s="139"/>
      <c r="JUW113" s="139"/>
      <c r="JUX113" s="139"/>
      <c r="JUY113" s="139"/>
      <c r="JUZ113" s="139"/>
      <c r="JVA113" s="139"/>
      <c r="JVB113" s="139"/>
      <c r="JVC113" s="139"/>
      <c r="JVD113" s="139"/>
      <c r="JVE113" s="139"/>
      <c r="JVF113" s="139"/>
      <c r="JVG113" s="139"/>
      <c r="JVH113" s="139"/>
      <c r="JVI113" s="139"/>
      <c r="JVJ113" s="139"/>
      <c r="JVK113" s="139"/>
      <c r="JVL113" s="139"/>
      <c r="JVM113" s="139"/>
      <c r="JVN113" s="139"/>
      <c r="JVO113" s="139"/>
      <c r="JVP113" s="139"/>
      <c r="JVQ113" s="139"/>
      <c r="JVR113" s="139"/>
      <c r="JVS113" s="139"/>
      <c r="JVT113" s="139"/>
      <c r="JVU113" s="139"/>
      <c r="JVV113" s="139"/>
      <c r="JVW113" s="139"/>
      <c r="JVX113" s="139"/>
      <c r="JVY113" s="139"/>
      <c r="JVZ113" s="139"/>
      <c r="JWA113" s="139"/>
      <c r="JWB113" s="139"/>
      <c r="JWC113" s="139"/>
      <c r="JWD113" s="139"/>
      <c r="JWE113" s="139"/>
      <c r="JWF113" s="139"/>
      <c r="JWG113" s="139"/>
      <c r="JWH113" s="139"/>
      <c r="JWI113" s="139"/>
      <c r="JWJ113" s="139"/>
      <c r="JWK113" s="139"/>
      <c r="JWL113" s="139"/>
      <c r="JWM113" s="139"/>
      <c r="JWN113" s="139"/>
      <c r="JWO113" s="139"/>
      <c r="JWP113" s="139"/>
      <c r="JWQ113" s="139"/>
      <c r="JWR113" s="139"/>
      <c r="JWS113" s="139"/>
      <c r="JWT113" s="139"/>
      <c r="JWU113" s="139"/>
      <c r="JWV113" s="139"/>
      <c r="JWW113" s="139"/>
      <c r="JWX113" s="139"/>
      <c r="JWY113" s="139"/>
      <c r="JWZ113" s="139"/>
      <c r="JXA113" s="139"/>
      <c r="JXB113" s="139"/>
      <c r="JXC113" s="139"/>
      <c r="JXD113" s="139"/>
      <c r="JXE113" s="139"/>
      <c r="JXF113" s="139"/>
      <c r="JXG113" s="139"/>
      <c r="JXH113" s="139"/>
      <c r="JXI113" s="139"/>
      <c r="JXJ113" s="139"/>
      <c r="JXK113" s="139"/>
      <c r="JXL113" s="139"/>
      <c r="JXM113" s="139"/>
      <c r="JXN113" s="139"/>
      <c r="JXO113" s="139"/>
      <c r="JXP113" s="139"/>
      <c r="JXQ113" s="139"/>
      <c r="JXR113" s="139"/>
      <c r="JXS113" s="139"/>
      <c r="JXT113" s="139"/>
      <c r="JXU113" s="139"/>
      <c r="JXV113" s="139"/>
      <c r="JXW113" s="139"/>
      <c r="JXX113" s="139"/>
      <c r="JXY113" s="139"/>
      <c r="JXZ113" s="139"/>
      <c r="JYA113" s="139"/>
      <c r="JYB113" s="139"/>
      <c r="JYC113" s="139"/>
      <c r="JYD113" s="139"/>
      <c r="JYE113" s="139"/>
      <c r="JYF113" s="139"/>
      <c r="JYG113" s="139"/>
      <c r="JYH113" s="139"/>
      <c r="JYI113" s="139"/>
      <c r="JYJ113" s="139"/>
      <c r="JYK113" s="139"/>
      <c r="JYL113" s="139"/>
      <c r="JYM113" s="139"/>
      <c r="JYN113" s="139"/>
      <c r="JYO113" s="139"/>
      <c r="JYP113" s="139"/>
      <c r="JYQ113" s="139"/>
      <c r="JYR113" s="139"/>
      <c r="JYS113" s="139"/>
      <c r="JYT113" s="139"/>
      <c r="JYU113" s="139"/>
      <c r="JYV113" s="139"/>
      <c r="JYW113" s="139"/>
      <c r="JYX113" s="139"/>
      <c r="JYY113" s="139"/>
      <c r="JYZ113" s="139"/>
      <c r="JZA113" s="139"/>
      <c r="JZB113" s="139"/>
      <c r="JZC113" s="139"/>
      <c r="JZD113" s="139"/>
      <c r="JZE113" s="139"/>
      <c r="JZF113" s="139"/>
      <c r="JZG113" s="139"/>
      <c r="JZH113" s="139"/>
      <c r="JZI113" s="139"/>
      <c r="JZJ113" s="139"/>
      <c r="JZK113" s="139"/>
      <c r="JZL113" s="139"/>
      <c r="JZM113" s="139"/>
      <c r="JZN113" s="139"/>
      <c r="JZO113" s="139"/>
      <c r="JZP113" s="139"/>
      <c r="JZQ113" s="139"/>
      <c r="JZR113" s="139"/>
      <c r="JZS113" s="139"/>
      <c r="JZT113" s="139"/>
      <c r="JZU113" s="139"/>
      <c r="JZV113" s="139"/>
      <c r="JZW113" s="139"/>
      <c r="JZX113" s="139"/>
      <c r="JZY113" s="139"/>
      <c r="JZZ113" s="139"/>
      <c r="KAA113" s="139"/>
      <c r="KAB113" s="139"/>
      <c r="KAC113" s="139"/>
      <c r="KAD113" s="139"/>
      <c r="KAE113" s="139"/>
      <c r="KAF113" s="139"/>
      <c r="KAG113" s="139"/>
      <c r="KAH113" s="139"/>
      <c r="KAI113" s="139"/>
      <c r="KAJ113" s="139"/>
      <c r="KAK113" s="139"/>
      <c r="KAL113" s="139"/>
      <c r="KAM113" s="139"/>
      <c r="KAN113" s="139"/>
      <c r="KAO113" s="139"/>
      <c r="KAP113" s="139"/>
      <c r="KAQ113" s="139"/>
      <c r="KAR113" s="139"/>
      <c r="KAS113" s="139"/>
      <c r="KAT113" s="139"/>
      <c r="KAU113" s="139"/>
      <c r="KAV113" s="139"/>
      <c r="KAW113" s="139"/>
      <c r="KAX113" s="139"/>
      <c r="KAY113" s="139"/>
      <c r="KAZ113" s="139"/>
      <c r="KBA113" s="139"/>
      <c r="KBB113" s="139"/>
      <c r="KBC113" s="139"/>
      <c r="KBD113" s="139"/>
      <c r="KBE113" s="139"/>
      <c r="KBF113" s="139"/>
      <c r="KBG113" s="139"/>
      <c r="KBH113" s="139"/>
      <c r="KBI113" s="139"/>
      <c r="KBJ113" s="139"/>
      <c r="KBK113" s="139"/>
      <c r="KBL113" s="139"/>
      <c r="KBM113" s="139"/>
      <c r="KBN113" s="139"/>
      <c r="KBO113" s="139"/>
      <c r="KBP113" s="139"/>
      <c r="KBQ113" s="139"/>
      <c r="KBR113" s="139"/>
      <c r="KBS113" s="139"/>
      <c r="KBT113" s="139"/>
      <c r="KBU113" s="139"/>
      <c r="KBV113" s="139"/>
      <c r="KBW113" s="139"/>
      <c r="KBX113" s="139"/>
      <c r="KBY113" s="139"/>
      <c r="KBZ113" s="139"/>
      <c r="KCA113" s="139"/>
      <c r="KCB113" s="139"/>
      <c r="KCC113" s="139"/>
      <c r="KCD113" s="139"/>
      <c r="KCE113" s="139"/>
      <c r="KCF113" s="139"/>
      <c r="KCG113" s="139"/>
      <c r="KCH113" s="139"/>
      <c r="KCI113" s="139"/>
      <c r="KCJ113" s="139"/>
      <c r="KCK113" s="139"/>
      <c r="KCL113" s="139"/>
      <c r="KCM113" s="139"/>
      <c r="KCN113" s="139"/>
      <c r="KCO113" s="139"/>
      <c r="KCP113" s="139"/>
      <c r="KCQ113" s="139"/>
      <c r="KCR113" s="139"/>
      <c r="KCS113" s="139"/>
      <c r="KCT113" s="139"/>
      <c r="KCU113" s="139"/>
      <c r="KCV113" s="139"/>
      <c r="KCW113" s="139"/>
      <c r="KCX113" s="139"/>
      <c r="KCY113" s="139"/>
      <c r="KCZ113" s="139"/>
      <c r="KDA113" s="139"/>
      <c r="KDB113" s="139"/>
      <c r="KDC113" s="139"/>
      <c r="KDD113" s="139"/>
      <c r="KDE113" s="139"/>
      <c r="KDF113" s="139"/>
      <c r="KDG113" s="139"/>
      <c r="KDH113" s="139"/>
      <c r="KDI113" s="139"/>
      <c r="KDJ113" s="139"/>
      <c r="KDK113" s="139"/>
      <c r="KDL113" s="139"/>
      <c r="KDM113" s="139"/>
      <c r="KDN113" s="139"/>
      <c r="KDO113" s="139"/>
      <c r="KDP113" s="139"/>
      <c r="KDQ113" s="139"/>
      <c r="KDR113" s="139"/>
      <c r="KDS113" s="139"/>
      <c r="KDT113" s="139"/>
      <c r="KDU113" s="139"/>
      <c r="KDV113" s="139"/>
      <c r="KDW113" s="139"/>
      <c r="KDX113" s="139"/>
      <c r="KDY113" s="139"/>
      <c r="KDZ113" s="139"/>
      <c r="KEA113" s="139"/>
      <c r="KEB113" s="139"/>
      <c r="KEC113" s="139"/>
      <c r="KED113" s="139"/>
      <c r="KEE113" s="139"/>
      <c r="KEF113" s="139"/>
      <c r="KEG113" s="139"/>
      <c r="KEH113" s="139"/>
      <c r="KEI113" s="139"/>
      <c r="KEJ113" s="139"/>
      <c r="KEK113" s="139"/>
      <c r="KEL113" s="139"/>
      <c r="KEM113" s="139"/>
      <c r="KEN113" s="139"/>
      <c r="KEO113" s="139"/>
      <c r="KEP113" s="139"/>
      <c r="KEQ113" s="139"/>
      <c r="KER113" s="139"/>
      <c r="KES113" s="139"/>
      <c r="KET113" s="139"/>
      <c r="KEU113" s="139"/>
      <c r="KEV113" s="139"/>
      <c r="KEW113" s="139"/>
      <c r="KEX113" s="139"/>
      <c r="KEY113" s="139"/>
      <c r="KEZ113" s="139"/>
      <c r="KFA113" s="139"/>
      <c r="KFB113" s="139"/>
      <c r="KFC113" s="139"/>
      <c r="KFD113" s="139"/>
      <c r="KFE113" s="139"/>
      <c r="KFF113" s="139"/>
      <c r="KFG113" s="139"/>
      <c r="KFH113" s="139"/>
      <c r="KFI113" s="139"/>
      <c r="KFJ113" s="139"/>
      <c r="KFK113" s="139"/>
      <c r="KFL113" s="139"/>
      <c r="KFM113" s="139"/>
      <c r="KFN113" s="139"/>
      <c r="KFO113" s="139"/>
      <c r="KFP113" s="139"/>
      <c r="KFQ113" s="139"/>
      <c r="KFR113" s="139"/>
      <c r="KFS113" s="139"/>
      <c r="KFT113" s="139"/>
      <c r="KFU113" s="139"/>
      <c r="KFV113" s="139"/>
      <c r="KFW113" s="139"/>
      <c r="KFX113" s="139"/>
      <c r="KFY113" s="139"/>
      <c r="KFZ113" s="139"/>
      <c r="KGA113" s="139"/>
      <c r="KGB113" s="139"/>
      <c r="KGC113" s="139"/>
      <c r="KGD113" s="139"/>
      <c r="KGE113" s="139"/>
      <c r="KGF113" s="139"/>
      <c r="KGG113" s="139"/>
      <c r="KGH113" s="139"/>
      <c r="KGI113" s="139"/>
      <c r="KGJ113" s="139"/>
      <c r="KGK113" s="139"/>
      <c r="KGL113" s="139"/>
      <c r="KGM113" s="139"/>
      <c r="KGN113" s="139"/>
      <c r="KGO113" s="139"/>
      <c r="KGP113" s="139"/>
      <c r="KGQ113" s="139"/>
      <c r="KGR113" s="139"/>
      <c r="KGS113" s="139"/>
      <c r="KGT113" s="139"/>
      <c r="KGU113" s="139"/>
      <c r="KGV113" s="139"/>
      <c r="KGW113" s="139"/>
      <c r="KGX113" s="139"/>
      <c r="KGY113" s="139"/>
      <c r="KGZ113" s="139"/>
      <c r="KHA113" s="139"/>
      <c r="KHB113" s="139"/>
      <c r="KHC113" s="139"/>
      <c r="KHD113" s="139"/>
      <c r="KHE113" s="139"/>
      <c r="KHF113" s="139"/>
      <c r="KHG113" s="139"/>
      <c r="KHH113" s="139"/>
      <c r="KHI113" s="139"/>
      <c r="KHJ113" s="139"/>
      <c r="KHK113" s="139"/>
      <c r="KHL113" s="139"/>
      <c r="KHM113" s="139"/>
      <c r="KHN113" s="139"/>
      <c r="KHO113" s="139"/>
      <c r="KHP113" s="139"/>
      <c r="KHQ113" s="139"/>
      <c r="KHR113" s="139"/>
      <c r="KHS113" s="139"/>
      <c r="KHT113" s="139"/>
      <c r="KHU113" s="139"/>
      <c r="KHV113" s="139"/>
      <c r="KHW113" s="139"/>
      <c r="KHX113" s="139"/>
      <c r="KHY113" s="139"/>
      <c r="KHZ113" s="139"/>
      <c r="KIA113" s="139"/>
      <c r="KIB113" s="139"/>
      <c r="KIC113" s="139"/>
      <c r="KID113" s="139"/>
      <c r="KIE113" s="139"/>
      <c r="KIF113" s="139"/>
      <c r="KIG113" s="139"/>
      <c r="KIH113" s="139"/>
      <c r="KII113" s="139"/>
      <c r="KIJ113" s="139"/>
      <c r="KIK113" s="139"/>
      <c r="KIL113" s="139"/>
      <c r="KIM113" s="139"/>
      <c r="KIN113" s="139"/>
      <c r="KIO113" s="139"/>
      <c r="KIP113" s="139"/>
      <c r="KIQ113" s="139"/>
      <c r="KIR113" s="139"/>
      <c r="KIS113" s="139"/>
      <c r="KIT113" s="139"/>
      <c r="KIU113" s="139"/>
      <c r="KIV113" s="139"/>
      <c r="KIW113" s="139"/>
      <c r="KIX113" s="139"/>
      <c r="KIY113" s="139"/>
      <c r="KIZ113" s="139"/>
      <c r="KJA113" s="139"/>
      <c r="KJB113" s="139"/>
      <c r="KJC113" s="139"/>
      <c r="KJD113" s="139"/>
      <c r="KJE113" s="139"/>
      <c r="KJF113" s="139"/>
      <c r="KJG113" s="139"/>
      <c r="KJH113" s="139"/>
      <c r="KJI113" s="139"/>
      <c r="KJJ113" s="139"/>
      <c r="KJK113" s="139"/>
      <c r="KJL113" s="139"/>
      <c r="KJM113" s="139"/>
      <c r="KJN113" s="139"/>
      <c r="KJO113" s="139"/>
      <c r="KJP113" s="139"/>
      <c r="KJQ113" s="139"/>
      <c r="KJR113" s="139"/>
      <c r="KJS113" s="139"/>
      <c r="KJT113" s="139"/>
      <c r="KJU113" s="139"/>
      <c r="KJV113" s="139"/>
      <c r="KJW113" s="139"/>
      <c r="KJX113" s="139"/>
      <c r="KJY113" s="139"/>
      <c r="KJZ113" s="139"/>
      <c r="KKA113" s="139"/>
      <c r="KKB113" s="139"/>
      <c r="KKC113" s="139"/>
      <c r="KKD113" s="139"/>
      <c r="KKE113" s="139"/>
      <c r="KKF113" s="139"/>
      <c r="KKG113" s="139"/>
      <c r="KKH113" s="139"/>
      <c r="KKI113" s="139"/>
      <c r="KKJ113" s="139"/>
      <c r="KKK113" s="139"/>
      <c r="KKL113" s="139"/>
      <c r="KKM113" s="139"/>
      <c r="KKN113" s="139"/>
      <c r="KKO113" s="139"/>
      <c r="KKP113" s="139"/>
      <c r="KKQ113" s="139"/>
      <c r="KKR113" s="139"/>
      <c r="KKS113" s="139"/>
      <c r="KKT113" s="139"/>
      <c r="KKU113" s="139"/>
      <c r="KKV113" s="139"/>
      <c r="KKW113" s="139"/>
      <c r="KKX113" s="139"/>
      <c r="KKY113" s="139"/>
      <c r="KKZ113" s="139"/>
      <c r="KLA113" s="139"/>
      <c r="KLB113" s="139"/>
      <c r="KLC113" s="139"/>
      <c r="KLD113" s="139"/>
      <c r="KLE113" s="139"/>
      <c r="KLF113" s="139"/>
      <c r="KLG113" s="139"/>
      <c r="KLH113" s="139"/>
      <c r="KLI113" s="139"/>
      <c r="KLJ113" s="139"/>
      <c r="KLK113" s="139"/>
      <c r="KLL113" s="139"/>
      <c r="KLM113" s="139"/>
      <c r="KLN113" s="139"/>
      <c r="KLO113" s="139"/>
      <c r="KLP113" s="139"/>
      <c r="KLQ113" s="139"/>
      <c r="KLR113" s="139"/>
      <c r="KLS113" s="139"/>
      <c r="KLT113" s="139"/>
      <c r="KLU113" s="139"/>
      <c r="KLV113" s="139"/>
      <c r="KLW113" s="139"/>
      <c r="KLX113" s="139"/>
      <c r="KLY113" s="139"/>
      <c r="KLZ113" s="139"/>
      <c r="KMA113" s="139"/>
      <c r="KMB113" s="139"/>
      <c r="KMC113" s="139"/>
      <c r="KMD113" s="139"/>
      <c r="KME113" s="139"/>
      <c r="KMF113" s="139"/>
      <c r="KMG113" s="139"/>
      <c r="KMH113" s="139"/>
      <c r="KMI113" s="139"/>
      <c r="KMJ113" s="139"/>
      <c r="KMK113" s="139"/>
      <c r="KML113" s="139"/>
      <c r="KMM113" s="139"/>
      <c r="KMN113" s="139"/>
      <c r="KMO113" s="139"/>
      <c r="KMP113" s="139"/>
      <c r="KMQ113" s="139"/>
      <c r="KMR113" s="139"/>
      <c r="KMS113" s="139"/>
      <c r="KMT113" s="139"/>
      <c r="KMU113" s="139"/>
      <c r="KMV113" s="139"/>
      <c r="KMW113" s="139"/>
      <c r="KMX113" s="139"/>
      <c r="KMY113" s="139"/>
      <c r="KMZ113" s="139"/>
      <c r="KNA113" s="139"/>
      <c r="KNB113" s="139"/>
      <c r="KNC113" s="139"/>
      <c r="KND113" s="139"/>
      <c r="KNE113" s="139"/>
      <c r="KNF113" s="139"/>
      <c r="KNG113" s="139"/>
      <c r="KNH113" s="139"/>
      <c r="KNI113" s="139"/>
      <c r="KNJ113" s="139"/>
      <c r="KNK113" s="139"/>
      <c r="KNL113" s="139"/>
      <c r="KNM113" s="139"/>
      <c r="KNN113" s="139"/>
      <c r="KNO113" s="139"/>
      <c r="KNP113" s="139"/>
      <c r="KNQ113" s="139"/>
      <c r="KNR113" s="139"/>
      <c r="KNS113" s="139"/>
      <c r="KNT113" s="139"/>
      <c r="KNU113" s="139"/>
      <c r="KNV113" s="139"/>
      <c r="KNW113" s="139"/>
      <c r="KNX113" s="139"/>
      <c r="KNY113" s="139"/>
      <c r="KNZ113" s="139"/>
      <c r="KOA113" s="139"/>
      <c r="KOB113" s="139"/>
      <c r="KOC113" s="139"/>
      <c r="KOD113" s="139"/>
      <c r="KOE113" s="139"/>
      <c r="KOF113" s="139"/>
      <c r="KOG113" s="139"/>
      <c r="KOH113" s="139"/>
      <c r="KOI113" s="139"/>
      <c r="KOJ113" s="139"/>
      <c r="KOK113" s="139"/>
      <c r="KOL113" s="139"/>
      <c r="KOM113" s="139"/>
      <c r="KON113" s="139"/>
      <c r="KOO113" s="139"/>
      <c r="KOP113" s="139"/>
      <c r="KOQ113" s="139"/>
      <c r="KOR113" s="139"/>
      <c r="KOS113" s="139"/>
      <c r="KOT113" s="139"/>
      <c r="KOU113" s="139"/>
      <c r="KOV113" s="139"/>
      <c r="KOW113" s="139"/>
      <c r="KOX113" s="139"/>
      <c r="KOY113" s="139"/>
      <c r="KOZ113" s="139"/>
      <c r="KPA113" s="139"/>
      <c r="KPB113" s="139"/>
      <c r="KPC113" s="139"/>
      <c r="KPD113" s="139"/>
      <c r="KPE113" s="139"/>
      <c r="KPF113" s="139"/>
      <c r="KPG113" s="139"/>
      <c r="KPH113" s="139"/>
      <c r="KPI113" s="139"/>
      <c r="KPJ113" s="139"/>
      <c r="KPK113" s="139"/>
      <c r="KPL113" s="139"/>
      <c r="KPM113" s="139"/>
      <c r="KPN113" s="139"/>
      <c r="KPO113" s="139"/>
      <c r="KPP113" s="139"/>
      <c r="KPQ113" s="139"/>
      <c r="KPR113" s="139"/>
      <c r="KPS113" s="139"/>
      <c r="KPT113" s="139"/>
      <c r="KPU113" s="139"/>
      <c r="KPV113" s="139"/>
      <c r="KPW113" s="139"/>
      <c r="KPX113" s="139"/>
      <c r="KPY113" s="139"/>
      <c r="KPZ113" s="139"/>
      <c r="KQA113" s="139"/>
      <c r="KQB113" s="139"/>
      <c r="KQC113" s="139"/>
      <c r="KQD113" s="139"/>
      <c r="KQE113" s="139"/>
      <c r="KQF113" s="139"/>
      <c r="KQG113" s="139"/>
      <c r="KQH113" s="139"/>
      <c r="KQI113" s="139"/>
      <c r="KQJ113" s="139"/>
      <c r="KQK113" s="139"/>
      <c r="KQL113" s="139"/>
      <c r="KQM113" s="139"/>
      <c r="KQN113" s="139"/>
      <c r="KQO113" s="139"/>
      <c r="KQP113" s="139"/>
      <c r="KQQ113" s="139"/>
      <c r="KQR113" s="139"/>
      <c r="KQS113" s="139"/>
      <c r="KQT113" s="139"/>
      <c r="KQU113" s="139"/>
      <c r="KQV113" s="139"/>
      <c r="KQW113" s="139"/>
      <c r="KQX113" s="139"/>
      <c r="KQY113" s="139"/>
      <c r="KQZ113" s="139"/>
      <c r="KRA113" s="139"/>
      <c r="KRB113" s="139"/>
      <c r="KRC113" s="139"/>
      <c r="KRD113" s="139"/>
      <c r="KRE113" s="139"/>
      <c r="KRF113" s="139"/>
      <c r="KRG113" s="139"/>
      <c r="KRH113" s="139"/>
      <c r="KRI113" s="139"/>
      <c r="KRJ113" s="139"/>
      <c r="KRK113" s="139"/>
      <c r="KRL113" s="139"/>
      <c r="KRM113" s="139"/>
      <c r="KRN113" s="139"/>
      <c r="KRO113" s="139"/>
      <c r="KRP113" s="139"/>
      <c r="KRQ113" s="139"/>
      <c r="KRR113" s="139"/>
      <c r="KRS113" s="139"/>
      <c r="KRT113" s="139"/>
      <c r="KRU113" s="139"/>
      <c r="KRV113" s="139"/>
      <c r="KRW113" s="139"/>
      <c r="KRX113" s="139"/>
      <c r="KRY113" s="139"/>
      <c r="KRZ113" s="139"/>
      <c r="KSA113" s="139"/>
      <c r="KSB113" s="139"/>
      <c r="KSC113" s="139"/>
      <c r="KSD113" s="139"/>
      <c r="KSE113" s="139"/>
      <c r="KSF113" s="139"/>
      <c r="KSG113" s="139"/>
      <c r="KSH113" s="139"/>
      <c r="KSI113" s="139"/>
      <c r="KSJ113" s="139"/>
      <c r="KSK113" s="139"/>
      <c r="KSL113" s="139"/>
      <c r="KSM113" s="139"/>
      <c r="KSN113" s="139"/>
      <c r="KSO113" s="139"/>
      <c r="KSP113" s="139"/>
      <c r="KSQ113" s="139"/>
      <c r="KSR113" s="139"/>
      <c r="KSS113" s="139"/>
      <c r="KST113" s="139"/>
      <c r="KSU113" s="139"/>
      <c r="KSV113" s="139"/>
      <c r="KSW113" s="139"/>
      <c r="KSX113" s="139"/>
      <c r="KSY113" s="139"/>
      <c r="KSZ113" s="139"/>
      <c r="KTA113" s="139"/>
      <c r="KTB113" s="139"/>
      <c r="KTC113" s="139"/>
      <c r="KTD113" s="139"/>
      <c r="KTE113" s="139"/>
      <c r="KTF113" s="139"/>
      <c r="KTG113" s="139"/>
      <c r="KTH113" s="139"/>
      <c r="KTI113" s="139"/>
      <c r="KTJ113" s="139"/>
      <c r="KTK113" s="139"/>
      <c r="KTL113" s="139"/>
      <c r="KTM113" s="139"/>
      <c r="KTN113" s="139"/>
      <c r="KTO113" s="139"/>
      <c r="KTP113" s="139"/>
      <c r="KTQ113" s="139"/>
      <c r="KTR113" s="139"/>
      <c r="KTS113" s="139"/>
      <c r="KTT113" s="139"/>
      <c r="KTU113" s="139"/>
      <c r="KTV113" s="139"/>
      <c r="KTW113" s="139"/>
      <c r="KTX113" s="139"/>
      <c r="KTY113" s="139"/>
      <c r="KTZ113" s="139"/>
      <c r="KUA113" s="139"/>
      <c r="KUB113" s="139"/>
      <c r="KUC113" s="139"/>
      <c r="KUD113" s="139"/>
      <c r="KUE113" s="139"/>
      <c r="KUF113" s="139"/>
      <c r="KUG113" s="139"/>
      <c r="KUH113" s="139"/>
      <c r="KUI113" s="139"/>
      <c r="KUJ113" s="139"/>
      <c r="KUK113" s="139"/>
      <c r="KUL113" s="139"/>
      <c r="KUM113" s="139"/>
      <c r="KUN113" s="139"/>
      <c r="KUO113" s="139"/>
      <c r="KUP113" s="139"/>
      <c r="KUQ113" s="139"/>
      <c r="KUR113" s="139"/>
      <c r="KUS113" s="139"/>
      <c r="KUT113" s="139"/>
      <c r="KUU113" s="139"/>
      <c r="KUV113" s="139"/>
      <c r="KUW113" s="139"/>
      <c r="KUX113" s="139"/>
      <c r="KUY113" s="139"/>
      <c r="KUZ113" s="139"/>
      <c r="KVA113" s="139"/>
      <c r="KVB113" s="139"/>
      <c r="KVC113" s="139"/>
      <c r="KVD113" s="139"/>
      <c r="KVE113" s="139"/>
      <c r="KVF113" s="139"/>
      <c r="KVG113" s="139"/>
      <c r="KVH113" s="139"/>
      <c r="KVI113" s="139"/>
      <c r="KVJ113" s="139"/>
      <c r="KVK113" s="139"/>
      <c r="KVL113" s="139"/>
      <c r="KVM113" s="139"/>
      <c r="KVN113" s="139"/>
      <c r="KVO113" s="139"/>
      <c r="KVP113" s="139"/>
      <c r="KVQ113" s="139"/>
      <c r="KVR113" s="139"/>
      <c r="KVS113" s="139"/>
      <c r="KVT113" s="139"/>
      <c r="KVU113" s="139"/>
      <c r="KVV113" s="139"/>
      <c r="KVW113" s="139"/>
      <c r="KVX113" s="139"/>
      <c r="KVY113" s="139"/>
      <c r="KVZ113" s="139"/>
      <c r="KWA113" s="139"/>
      <c r="KWB113" s="139"/>
      <c r="KWC113" s="139"/>
      <c r="KWD113" s="139"/>
      <c r="KWE113" s="139"/>
      <c r="KWF113" s="139"/>
      <c r="KWG113" s="139"/>
      <c r="KWH113" s="139"/>
      <c r="KWI113" s="139"/>
      <c r="KWJ113" s="139"/>
      <c r="KWK113" s="139"/>
      <c r="KWL113" s="139"/>
      <c r="KWM113" s="139"/>
      <c r="KWN113" s="139"/>
      <c r="KWO113" s="139"/>
      <c r="KWP113" s="139"/>
      <c r="KWQ113" s="139"/>
      <c r="KWR113" s="139"/>
      <c r="KWS113" s="139"/>
      <c r="KWT113" s="139"/>
      <c r="KWU113" s="139"/>
      <c r="KWV113" s="139"/>
      <c r="KWW113" s="139"/>
      <c r="KWX113" s="139"/>
      <c r="KWY113" s="139"/>
      <c r="KWZ113" s="139"/>
      <c r="KXA113" s="139"/>
      <c r="KXB113" s="139"/>
      <c r="KXC113" s="139"/>
      <c r="KXD113" s="139"/>
      <c r="KXE113" s="139"/>
      <c r="KXF113" s="139"/>
      <c r="KXG113" s="139"/>
      <c r="KXH113" s="139"/>
      <c r="KXI113" s="139"/>
      <c r="KXJ113" s="139"/>
      <c r="KXK113" s="139"/>
      <c r="KXL113" s="139"/>
      <c r="KXM113" s="139"/>
      <c r="KXN113" s="139"/>
      <c r="KXO113" s="139"/>
      <c r="KXP113" s="139"/>
      <c r="KXQ113" s="139"/>
      <c r="KXR113" s="139"/>
      <c r="KXS113" s="139"/>
      <c r="KXT113" s="139"/>
      <c r="KXU113" s="139"/>
      <c r="KXV113" s="139"/>
      <c r="KXW113" s="139"/>
      <c r="KXX113" s="139"/>
      <c r="KXY113" s="139"/>
      <c r="KXZ113" s="139"/>
      <c r="KYA113" s="139"/>
      <c r="KYB113" s="139"/>
      <c r="KYC113" s="139"/>
      <c r="KYD113" s="139"/>
      <c r="KYE113" s="139"/>
      <c r="KYF113" s="139"/>
      <c r="KYG113" s="139"/>
      <c r="KYH113" s="139"/>
      <c r="KYI113" s="139"/>
      <c r="KYJ113" s="139"/>
      <c r="KYK113" s="139"/>
      <c r="KYL113" s="139"/>
      <c r="KYM113" s="139"/>
      <c r="KYN113" s="139"/>
      <c r="KYO113" s="139"/>
      <c r="KYP113" s="139"/>
      <c r="KYQ113" s="139"/>
      <c r="KYR113" s="139"/>
      <c r="KYS113" s="139"/>
      <c r="KYT113" s="139"/>
      <c r="KYU113" s="139"/>
      <c r="KYV113" s="139"/>
      <c r="KYW113" s="139"/>
      <c r="KYX113" s="139"/>
      <c r="KYY113" s="139"/>
      <c r="KYZ113" s="139"/>
      <c r="KZA113" s="139"/>
      <c r="KZB113" s="139"/>
      <c r="KZC113" s="139"/>
      <c r="KZD113" s="139"/>
      <c r="KZE113" s="139"/>
      <c r="KZF113" s="139"/>
      <c r="KZG113" s="139"/>
      <c r="KZH113" s="139"/>
      <c r="KZI113" s="139"/>
      <c r="KZJ113" s="139"/>
      <c r="KZK113" s="139"/>
      <c r="KZL113" s="139"/>
      <c r="KZM113" s="139"/>
      <c r="KZN113" s="139"/>
      <c r="KZO113" s="139"/>
      <c r="KZP113" s="139"/>
      <c r="KZQ113" s="139"/>
      <c r="KZR113" s="139"/>
      <c r="KZS113" s="139"/>
      <c r="KZT113" s="139"/>
      <c r="KZU113" s="139"/>
      <c r="KZV113" s="139"/>
      <c r="KZW113" s="139"/>
      <c r="KZX113" s="139"/>
      <c r="KZY113" s="139"/>
      <c r="KZZ113" s="139"/>
      <c r="LAA113" s="139"/>
      <c r="LAB113" s="139"/>
      <c r="LAC113" s="139"/>
      <c r="LAD113" s="139"/>
      <c r="LAE113" s="139"/>
      <c r="LAF113" s="139"/>
      <c r="LAG113" s="139"/>
      <c r="LAH113" s="139"/>
      <c r="LAI113" s="139"/>
      <c r="LAJ113" s="139"/>
      <c r="LAK113" s="139"/>
      <c r="LAL113" s="139"/>
      <c r="LAM113" s="139"/>
      <c r="LAN113" s="139"/>
      <c r="LAO113" s="139"/>
      <c r="LAP113" s="139"/>
      <c r="LAQ113" s="139"/>
      <c r="LAR113" s="139"/>
      <c r="LAS113" s="139"/>
      <c r="LAT113" s="139"/>
      <c r="LAU113" s="139"/>
      <c r="LAV113" s="139"/>
      <c r="LAW113" s="139"/>
      <c r="LAX113" s="139"/>
      <c r="LAY113" s="139"/>
      <c r="LAZ113" s="139"/>
      <c r="LBA113" s="139"/>
      <c r="LBB113" s="139"/>
      <c r="LBC113" s="139"/>
      <c r="LBD113" s="139"/>
      <c r="LBE113" s="139"/>
      <c r="LBF113" s="139"/>
      <c r="LBG113" s="139"/>
      <c r="LBH113" s="139"/>
      <c r="LBI113" s="139"/>
      <c r="LBJ113" s="139"/>
      <c r="LBK113" s="139"/>
      <c r="LBL113" s="139"/>
      <c r="LBM113" s="139"/>
      <c r="LBN113" s="139"/>
      <c r="LBO113" s="139"/>
      <c r="LBP113" s="139"/>
      <c r="LBQ113" s="139"/>
      <c r="LBR113" s="139"/>
      <c r="LBS113" s="139"/>
      <c r="LBT113" s="139"/>
      <c r="LBU113" s="139"/>
      <c r="LBV113" s="139"/>
      <c r="LBW113" s="139"/>
      <c r="LBX113" s="139"/>
      <c r="LBY113" s="139"/>
      <c r="LBZ113" s="139"/>
      <c r="LCA113" s="139"/>
      <c r="LCB113" s="139"/>
      <c r="LCC113" s="139"/>
      <c r="LCD113" s="139"/>
      <c r="LCE113" s="139"/>
      <c r="LCF113" s="139"/>
      <c r="LCG113" s="139"/>
      <c r="LCH113" s="139"/>
      <c r="LCI113" s="139"/>
      <c r="LCJ113" s="139"/>
      <c r="LCK113" s="139"/>
      <c r="LCL113" s="139"/>
      <c r="LCM113" s="139"/>
      <c r="LCN113" s="139"/>
      <c r="LCO113" s="139"/>
      <c r="LCP113" s="139"/>
      <c r="LCQ113" s="139"/>
      <c r="LCR113" s="139"/>
      <c r="LCS113" s="139"/>
      <c r="LCT113" s="139"/>
      <c r="LCU113" s="139"/>
      <c r="LCV113" s="139"/>
      <c r="LCW113" s="139"/>
      <c r="LCX113" s="139"/>
      <c r="LCY113" s="139"/>
      <c r="LCZ113" s="139"/>
      <c r="LDA113" s="139"/>
      <c r="LDB113" s="139"/>
      <c r="LDC113" s="139"/>
      <c r="LDD113" s="139"/>
      <c r="LDE113" s="139"/>
      <c r="LDF113" s="139"/>
      <c r="LDG113" s="139"/>
      <c r="LDH113" s="139"/>
      <c r="LDI113" s="139"/>
      <c r="LDJ113" s="139"/>
      <c r="LDK113" s="139"/>
      <c r="LDL113" s="139"/>
      <c r="LDM113" s="139"/>
      <c r="LDN113" s="139"/>
      <c r="LDO113" s="139"/>
      <c r="LDP113" s="139"/>
      <c r="LDQ113" s="139"/>
      <c r="LDR113" s="139"/>
      <c r="LDS113" s="139"/>
      <c r="LDT113" s="139"/>
      <c r="LDU113" s="139"/>
      <c r="LDV113" s="139"/>
      <c r="LDW113" s="139"/>
      <c r="LDX113" s="139"/>
      <c r="LDY113" s="139"/>
      <c r="LDZ113" s="139"/>
      <c r="LEA113" s="139"/>
      <c r="LEB113" s="139"/>
      <c r="LEC113" s="139"/>
      <c r="LED113" s="139"/>
      <c r="LEE113" s="139"/>
      <c r="LEF113" s="139"/>
      <c r="LEG113" s="139"/>
      <c r="LEH113" s="139"/>
      <c r="LEI113" s="139"/>
      <c r="LEJ113" s="139"/>
      <c r="LEK113" s="139"/>
      <c r="LEL113" s="139"/>
      <c r="LEM113" s="139"/>
      <c r="LEN113" s="139"/>
      <c r="LEO113" s="139"/>
      <c r="LEP113" s="139"/>
      <c r="LEQ113" s="139"/>
      <c r="LER113" s="139"/>
      <c r="LES113" s="139"/>
      <c r="LET113" s="139"/>
      <c r="LEU113" s="139"/>
      <c r="LEV113" s="139"/>
      <c r="LEW113" s="139"/>
      <c r="LEX113" s="139"/>
      <c r="LEY113" s="139"/>
      <c r="LEZ113" s="139"/>
      <c r="LFA113" s="139"/>
      <c r="LFB113" s="139"/>
      <c r="LFC113" s="139"/>
      <c r="LFD113" s="139"/>
      <c r="LFE113" s="139"/>
      <c r="LFF113" s="139"/>
      <c r="LFG113" s="139"/>
      <c r="LFH113" s="139"/>
      <c r="LFI113" s="139"/>
      <c r="LFJ113" s="139"/>
      <c r="LFK113" s="139"/>
      <c r="LFL113" s="139"/>
      <c r="LFM113" s="139"/>
      <c r="LFN113" s="139"/>
      <c r="LFO113" s="139"/>
      <c r="LFP113" s="139"/>
      <c r="LFQ113" s="139"/>
      <c r="LFR113" s="139"/>
      <c r="LFS113" s="139"/>
      <c r="LFT113" s="139"/>
      <c r="LFU113" s="139"/>
      <c r="LFV113" s="139"/>
      <c r="LFW113" s="139"/>
      <c r="LFX113" s="139"/>
      <c r="LFY113" s="139"/>
      <c r="LFZ113" s="139"/>
      <c r="LGA113" s="139"/>
      <c r="LGB113" s="139"/>
      <c r="LGC113" s="139"/>
      <c r="LGD113" s="139"/>
      <c r="LGE113" s="139"/>
      <c r="LGF113" s="139"/>
      <c r="LGG113" s="139"/>
      <c r="LGH113" s="139"/>
      <c r="LGI113" s="139"/>
      <c r="LGJ113" s="139"/>
      <c r="LGK113" s="139"/>
      <c r="LGL113" s="139"/>
      <c r="LGM113" s="139"/>
      <c r="LGN113" s="139"/>
      <c r="LGO113" s="139"/>
      <c r="LGP113" s="139"/>
      <c r="LGQ113" s="139"/>
      <c r="LGR113" s="139"/>
      <c r="LGS113" s="139"/>
      <c r="LGT113" s="139"/>
      <c r="LGU113" s="139"/>
      <c r="LGV113" s="139"/>
      <c r="LGW113" s="139"/>
      <c r="LGX113" s="139"/>
      <c r="LGY113" s="139"/>
      <c r="LGZ113" s="139"/>
      <c r="LHA113" s="139"/>
      <c r="LHB113" s="139"/>
      <c r="LHC113" s="139"/>
      <c r="LHD113" s="139"/>
      <c r="LHE113" s="139"/>
      <c r="LHF113" s="139"/>
      <c r="LHG113" s="139"/>
      <c r="LHH113" s="139"/>
      <c r="LHI113" s="139"/>
      <c r="LHJ113" s="139"/>
      <c r="LHK113" s="139"/>
      <c r="LHL113" s="139"/>
      <c r="LHM113" s="139"/>
      <c r="LHN113" s="139"/>
      <c r="LHO113" s="139"/>
      <c r="LHP113" s="139"/>
      <c r="LHQ113" s="139"/>
      <c r="LHR113" s="139"/>
      <c r="LHS113" s="139"/>
      <c r="LHT113" s="139"/>
      <c r="LHU113" s="139"/>
      <c r="LHV113" s="139"/>
      <c r="LHW113" s="139"/>
      <c r="LHX113" s="139"/>
      <c r="LHY113" s="139"/>
      <c r="LHZ113" s="139"/>
      <c r="LIA113" s="139"/>
      <c r="LIB113" s="139"/>
      <c r="LIC113" s="139"/>
      <c r="LID113" s="139"/>
      <c r="LIE113" s="139"/>
      <c r="LIF113" s="139"/>
      <c r="LIG113" s="139"/>
      <c r="LIH113" s="139"/>
      <c r="LII113" s="139"/>
      <c r="LIJ113" s="139"/>
      <c r="LIK113" s="139"/>
      <c r="LIL113" s="139"/>
      <c r="LIM113" s="139"/>
      <c r="LIN113" s="139"/>
      <c r="LIO113" s="139"/>
      <c r="LIP113" s="139"/>
      <c r="LIQ113" s="139"/>
      <c r="LIR113" s="139"/>
      <c r="LIS113" s="139"/>
      <c r="LIT113" s="139"/>
      <c r="LIU113" s="139"/>
      <c r="LIV113" s="139"/>
      <c r="LIW113" s="139"/>
      <c r="LIX113" s="139"/>
      <c r="LIY113" s="139"/>
      <c r="LIZ113" s="139"/>
      <c r="LJA113" s="139"/>
      <c r="LJB113" s="139"/>
      <c r="LJC113" s="139"/>
      <c r="LJD113" s="139"/>
      <c r="LJE113" s="139"/>
      <c r="LJF113" s="139"/>
      <c r="LJG113" s="139"/>
      <c r="LJH113" s="139"/>
      <c r="LJI113" s="139"/>
      <c r="LJJ113" s="139"/>
      <c r="LJK113" s="139"/>
      <c r="LJL113" s="139"/>
      <c r="LJM113" s="139"/>
      <c r="LJN113" s="139"/>
      <c r="LJO113" s="139"/>
      <c r="LJP113" s="139"/>
      <c r="LJQ113" s="139"/>
      <c r="LJR113" s="139"/>
      <c r="LJS113" s="139"/>
      <c r="LJT113" s="139"/>
      <c r="LJU113" s="139"/>
      <c r="LJV113" s="139"/>
      <c r="LJW113" s="139"/>
      <c r="LJX113" s="139"/>
      <c r="LJY113" s="139"/>
      <c r="LJZ113" s="139"/>
      <c r="LKA113" s="139"/>
      <c r="LKB113" s="139"/>
      <c r="LKC113" s="139"/>
      <c r="LKD113" s="139"/>
      <c r="LKE113" s="139"/>
      <c r="LKF113" s="139"/>
      <c r="LKG113" s="139"/>
      <c r="LKH113" s="139"/>
      <c r="LKI113" s="139"/>
      <c r="LKJ113" s="139"/>
      <c r="LKK113" s="139"/>
      <c r="LKL113" s="139"/>
      <c r="LKM113" s="139"/>
      <c r="LKN113" s="139"/>
      <c r="LKO113" s="139"/>
      <c r="LKP113" s="139"/>
      <c r="LKQ113" s="139"/>
      <c r="LKR113" s="139"/>
      <c r="LKS113" s="139"/>
      <c r="LKT113" s="139"/>
      <c r="LKU113" s="139"/>
      <c r="LKV113" s="139"/>
      <c r="LKW113" s="139"/>
      <c r="LKX113" s="139"/>
      <c r="LKY113" s="139"/>
      <c r="LKZ113" s="139"/>
      <c r="LLA113" s="139"/>
      <c r="LLB113" s="139"/>
      <c r="LLC113" s="139"/>
      <c r="LLD113" s="139"/>
      <c r="LLE113" s="139"/>
      <c r="LLF113" s="139"/>
      <c r="LLG113" s="139"/>
      <c r="LLH113" s="139"/>
      <c r="LLI113" s="139"/>
      <c r="LLJ113" s="139"/>
      <c r="LLK113" s="139"/>
      <c r="LLL113" s="139"/>
      <c r="LLM113" s="139"/>
      <c r="LLN113" s="139"/>
      <c r="LLO113" s="139"/>
      <c r="LLP113" s="139"/>
      <c r="LLQ113" s="139"/>
      <c r="LLR113" s="139"/>
      <c r="LLS113" s="139"/>
      <c r="LLT113" s="139"/>
      <c r="LLU113" s="139"/>
      <c r="LLV113" s="139"/>
      <c r="LLW113" s="139"/>
      <c r="LLX113" s="139"/>
      <c r="LLY113" s="139"/>
      <c r="LLZ113" s="139"/>
      <c r="LMA113" s="139"/>
      <c r="LMB113" s="139"/>
      <c r="LMC113" s="139"/>
      <c r="LMD113" s="139"/>
      <c r="LME113" s="139"/>
      <c r="LMF113" s="139"/>
      <c r="LMG113" s="139"/>
      <c r="LMH113" s="139"/>
      <c r="LMI113" s="139"/>
      <c r="LMJ113" s="139"/>
      <c r="LMK113" s="139"/>
      <c r="LML113" s="139"/>
      <c r="LMM113" s="139"/>
      <c r="LMN113" s="139"/>
      <c r="LMO113" s="139"/>
      <c r="LMP113" s="139"/>
      <c r="LMQ113" s="139"/>
      <c r="LMR113" s="139"/>
      <c r="LMS113" s="139"/>
      <c r="LMT113" s="139"/>
      <c r="LMU113" s="139"/>
      <c r="LMV113" s="139"/>
      <c r="LMW113" s="139"/>
      <c r="LMX113" s="139"/>
      <c r="LMY113" s="139"/>
      <c r="LMZ113" s="139"/>
      <c r="LNA113" s="139"/>
      <c r="LNB113" s="139"/>
      <c r="LNC113" s="139"/>
      <c r="LND113" s="139"/>
      <c r="LNE113" s="139"/>
      <c r="LNF113" s="139"/>
      <c r="LNG113" s="139"/>
      <c r="LNH113" s="139"/>
      <c r="LNI113" s="139"/>
      <c r="LNJ113" s="139"/>
      <c r="LNK113" s="139"/>
      <c r="LNL113" s="139"/>
      <c r="LNM113" s="139"/>
      <c r="LNN113" s="139"/>
      <c r="LNO113" s="139"/>
      <c r="LNP113" s="139"/>
      <c r="LNQ113" s="139"/>
      <c r="LNR113" s="139"/>
      <c r="LNS113" s="139"/>
      <c r="LNT113" s="139"/>
      <c r="LNU113" s="139"/>
      <c r="LNV113" s="139"/>
      <c r="LNW113" s="139"/>
      <c r="LNX113" s="139"/>
      <c r="LNY113" s="139"/>
      <c r="LNZ113" s="139"/>
      <c r="LOA113" s="139"/>
      <c r="LOB113" s="139"/>
      <c r="LOC113" s="139"/>
      <c r="LOD113" s="139"/>
      <c r="LOE113" s="139"/>
      <c r="LOF113" s="139"/>
      <c r="LOG113" s="139"/>
      <c r="LOH113" s="139"/>
      <c r="LOI113" s="139"/>
      <c r="LOJ113" s="139"/>
      <c r="LOK113" s="139"/>
      <c r="LOL113" s="139"/>
      <c r="LOM113" s="139"/>
      <c r="LON113" s="139"/>
      <c r="LOO113" s="139"/>
      <c r="LOP113" s="139"/>
      <c r="LOQ113" s="139"/>
      <c r="LOR113" s="139"/>
      <c r="LOS113" s="139"/>
      <c r="LOT113" s="139"/>
      <c r="LOU113" s="139"/>
      <c r="LOV113" s="139"/>
      <c r="LOW113" s="139"/>
      <c r="LOX113" s="139"/>
      <c r="LOY113" s="139"/>
      <c r="LOZ113" s="139"/>
      <c r="LPA113" s="139"/>
      <c r="LPB113" s="139"/>
      <c r="LPC113" s="139"/>
      <c r="LPD113" s="139"/>
      <c r="LPE113" s="139"/>
      <c r="LPF113" s="139"/>
      <c r="LPG113" s="139"/>
      <c r="LPH113" s="139"/>
      <c r="LPI113" s="139"/>
      <c r="LPJ113" s="139"/>
      <c r="LPK113" s="139"/>
      <c r="LPL113" s="139"/>
      <c r="LPM113" s="139"/>
      <c r="LPN113" s="139"/>
      <c r="LPO113" s="139"/>
      <c r="LPP113" s="139"/>
      <c r="LPQ113" s="139"/>
      <c r="LPR113" s="139"/>
      <c r="LPS113" s="139"/>
      <c r="LPT113" s="139"/>
      <c r="LPU113" s="139"/>
      <c r="LPV113" s="139"/>
      <c r="LPW113" s="139"/>
      <c r="LPX113" s="139"/>
      <c r="LPY113" s="139"/>
      <c r="LPZ113" s="139"/>
      <c r="LQA113" s="139"/>
      <c r="LQB113" s="139"/>
      <c r="LQC113" s="139"/>
      <c r="LQD113" s="139"/>
      <c r="LQE113" s="139"/>
      <c r="LQF113" s="139"/>
      <c r="LQG113" s="139"/>
      <c r="LQH113" s="139"/>
      <c r="LQI113" s="139"/>
      <c r="LQJ113" s="139"/>
      <c r="LQK113" s="139"/>
      <c r="LQL113" s="139"/>
      <c r="LQM113" s="139"/>
      <c r="LQN113" s="139"/>
      <c r="LQO113" s="139"/>
      <c r="LQP113" s="139"/>
      <c r="LQQ113" s="139"/>
      <c r="LQR113" s="139"/>
      <c r="LQS113" s="139"/>
      <c r="LQT113" s="139"/>
      <c r="LQU113" s="139"/>
      <c r="LQV113" s="139"/>
      <c r="LQW113" s="139"/>
      <c r="LQX113" s="139"/>
      <c r="LQY113" s="139"/>
      <c r="LQZ113" s="139"/>
      <c r="LRA113" s="139"/>
      <c r="LRB113" s="139"/>
      <c r="LRC113" s="139"/>
      <c r="LRD113" s="139"/>
      <c r="LRE113" s="139"/>
      <c r="LRF113" s="139"/>
      <c r="LRG113" s="139"/>
      <c r="LRH113" s="139"/>
      <c r="LRI113" s="139"/>
      <c r="LRJ113" s="139"/>
      <c r="LRK113" s="139"/>
      <c r="LRL113" s="139"/>
      <c r="LRM113" s="139"/>
      <c r="LRN113" s="139"/>
      <c r="LRO113" s="139"/>
      <c r="LRP113" s="139"/>
      <c r="LRQ113" s="139"/>
      <c r="LRR113" s="139"/>
      <c r="LRS113" s="139"/>
      <c r="LRT113" s="139"/>
      <c r="LRU113" s="139"/>
      <c r="LRV113" s="139"/>
      <c r="LRW113" s="139"/>
      <c r="LRX113" s="139"/>
      <c r="LRY113" s="139"/>
      <c r="LRZ113" s="139"/>
      <c r="LSA113" s="139"/>
      <c r="LSB113" s="139"/>
      <c r="LSC113" s="139"/>
      <c r="LSD113" s="139"/>
      <c r="LSE113" s="139"/>
      <c r="LSF113" s="139"/>
      <c r="LSG113" s="139"/>
      <c r="LSH113" s="139"/>
      <c r="LSI113" s="139"/>
      <c r="LSJ113" s="139"/>
      <c r="LSK113" s="139"/>
      <c r="LSL113" s="139"/>
      <c r="LSM113" s="139"/>
      <c r="LSN113" s="139"/>
      <c r="LSO113" s="139"/>
      <c r="LSP113" s="139"/>
      <c r="LSQ113" s="139"/>
      <c r="LSR113" s="139"/>
      <c r="LSS113" s="139"/>
      <c r="LST113" s="139"/>
      <c r="LSU113" s="139"/>
      <c r="LSV113" s="139"/>
      <c r="LSW113" s="139"/>
      <c r="LSX113" s="139"/>
      <c r="LSY113" s="139"/>
      <c r="LSZ113" s="139"/>
      <c r="LTA113" s="139"/>
      <c r="LTB113" s="139"/>
      <c r="LTC113" s="139"/>
      <c r="LTD113" s="139"/>
      <c r="LTE113" s="139"/>
      <c r="LTF113" s="139"/>
      <c r="LTG113" s="139"/>
      <c r="LTH113" s="139"/>
      <c r="LTI113" s="139"/>
      <c r="LTJ113" s="139"/>
      <c r="LTK113" s="139"/>
      <c r="LTL113" s="139"/>
      <c r="LTM113" s="139"/>
      <c r="LTN113" s="139"/>
      <c r="LTO113" s="139"/>
      <c r="LTP113" s="139"/>
      <c r="LTQ113" s="139"/>
      <c r="LTR113" s="139"/>
      <c r="LTS113" s="139"/>
      <c r="LTT113" s="139"/>
      <c r="LTU113" s="139"/>
      <c r="LTV113" s="139"/>
      <c r="LTW113" s="139"/>
      <c r="LTX113" s="139"/>
      <c r="LTY113" s="139"/>
      <c r="LTZ113" s="139"/>
      <c r="LUA113" s="139"/>
      <c r="LUB113" s="139"/>
      <c r="LUC113" s="139"/>
      <c r="LUD113" s="139"/>
      <c r="LUE113" s="139"/>
      <c r="LUF113" s="139"/>
      <c r="LUG113" s="139"/>
      <c r="LUH113" s="139"/>
      <c r="LUI113" s="139"/>
      <c r="LUJ113" s="139"/>
      <c r="LUK113" s="139"/>
      <c r="LUL113" s="139"/>
      <c r="LUM113" s="139"/>
      <c r="LUN113" s="139"/>
      <c r="LUO113" s="139"/>
      <c r="LUP113" s="139"/>
      <c r="LUQ113" s="139"/>
      <c r="LUR113" s="139"/>
      <c r="LUS113" s="139"/>
      <c r="LUT113" s="139"/>
      <c r="LUU113" s="139"/>
      <c r="LUV113" s="139"/>
      <c r="LUW113" s="139"/>
      <c r="LUX113" s="139"/>
      <c r="LUY113" s="139"/>
      <c r="LUZ113" s="139"/>
      <c r="LVA113" s="139"/>
      <c r="LVB113" s="139"/>
      <c r="LVC113" s="139"/>
      <c r="LVD113" s="139"/>
      <c r="LVE113" s="139"/>
      <c r="LVF113" s="139"/>
      <c r="LVG113" s="139"/>
      <c r="LVH113" s="139"/>
      <c r="LVI113" s="139"/>
      <c r="LVJ113" s="139"/>
      <c r="LVK113" s="139"/>
      <c r="LVL113" s="139"/>
      <c r="LVM113" s="139"/>
      <c r="LVN113" s="139"/>
      <c r="LVO113" s="139"/>
      <c r="LVP113" s="139"/>
      <c r="LVQ113" s="139"/>
      <c r="LVR113" s="139"/>
      <c r="LVS113" s="139"/>
      <c r="LVT113" s="139"/>
      <c r="LVU113" s="139"/>
      <c r="LVV113" s="139"/>
      <c r="LVW113" s="139"/>
      <c r="LVX113" s="139"/>
      <c r="LVY113" s="139"/>
      <c r="LVZ113" s="139"/>
      <c r="LWA113" s="139"/>
      <c r="LWB113" s="139"/>
      <c r="LWC113" s="139"/>
      <c r="LWD113" s="139"/>
      <c r="LWE113" s="139"/>
      <c r="LWF113" s="139"/>
      <c r="LWG113" s="139"/>
      <c r="LWH113" s="139"/>
      <c r="LWI113" s="139"/>
      <c r="LWJ113" s="139"/>
      <c r="LWK113" s="139"/>
      <c r="LWL113" s="139"/>
      <c r="LWM113" s="139"/>
      <c r="LWN113" s="139"/>
      <c r="LWO113" s="139"/>
      <c r="LWP113" s="139"/>
      <c r="LWQ113" s="139"/>
      <c r="LWR113" s="139"/>
      <c r="LWS113" s="139"/>
      <c r="LWT113" s="139"/>
      <c r="LWU113" s="139"/>
      <c r="LWV113" s="139"/>
      <c r="LWW113" s="139"/>
      <c r="LWX113" s="139"/>
      <c r="LWY113" s="139"/>
      <c r="LWZ113" s="139"/>
      <c r="LXA113" s="139"/>
      <c r="LXB113" s="139"/>
      <c r="LXC113" s="139"/>
      <c r="LXD113" s="139"/>
      <c r="LXE113" s="139"/>
      <c r="LXF113" s="139"/>
      <c r="LXG113" s="139"/>
      <c r="LXH113" s="139"/>
      <c r="LXI113" s="139"/>
      <c r="LXJ113" s="139"/>
      <c r="LXK113" s="139"/>
      <c r="LXL113" s="139"/>
      <c r="LXM113" s="139"/>
      <c r="LXN113" s="139"/>
      <c r="LXO113" s="139"/>
      <c r="LXP113" s="139"/>
      <c r="LXQ113" s="139"/>
      <c r="LXR113" s="139"/>
      <c r="LXS113" s="139"/>
      <c r="LXT113" s="139"/>
      <c r="LXU113" s="139"/>
      <c r="LXV113" s="139"/>
      <c r="LXW113" s="139"/>
      <c r="LXX113" s="139"/>
      <c r="LXY113" s="139"/>
      <c r="LXZ113" s="139"/>
      <c r="LYA113" s="139"/>
      <c r="LYB113" s="139"/>
      <c r="LYC113" s="139"/>
      <c r="LYD113" s="139"/>
      <c r="LYE113" s="139"/>
      <c r="LYF113" s="139"/>
      <c r="LYG113" s="139"/>
      <c r="LYH113" s="139"/>
      <c r="LYI113" s="139"/>
      <c r="LYJ113" s="139"/>
      <c r="LYK113" s="139"/>
      <c r="LYL113" s="139"/>
      <c r="LYM113" s="139"/>
      <c r="LYN113" s="139"/>
      <c r="LYO113" s="139"/>
      <c r="LYP113" s="139"/>
      <c r="LYQ113" s="139"/>
      <c r="LYR113" s="139"/>
      <c r="LYS113" s="139"/>
      <c r="LYT113" s="139"/>
      <c r="LYU113" s="139"/>
      <c r="LYV113" s="139"/>
      <c r="LYW113" s="139"/>
      <c r="LYX113" s="139"/>
      <c r="LYY113" s="139"/>
      <c r="LYZ113" s="139"/>
      <c r="LZA113" s="139"/>
      <c r="LZB113" s="139"/>
      <c r="LZC113" s="139"/>
      <c r="LZD113" s="139"/>
      <c r="LZE113" s="139"/>
      <c r="LZF113" s="139"/>
      <c r="LZG113" s="139"/>
      <c r="LZH113" s="139"/>
      <c r="LZI113" s="139"/>
      <c r="LZJ113" s="139"/>
      <c r="LZK113" s="139"/>
      <c r="LZL113" s="139"/>
      <c r="LZM113" s="139"/>
      <c r="LZN113" s="139"/>
      <c r="LZO113" s="139"/>
      <c r="LZP113" s="139"/>
      <c r="LZQ113" s="139"/>
      <c r="LZR113" s="139"/>
      <c r="LZS113" s="139"/>
      <c r="LZT113" s="139"/>
      <c r="LZU113" s="139"/>
      <c r="LZV113" s="139"/>
      <c r="LZW113" s="139"/>
      <c r="LZX113" s="139"/>
      <c r="LZY113" s="139"/>
      <c r="LZZ113" s="139"/>
      <c r="MAA113" s="139"/>
      <c r="MAB113" s="139"/>
      <c r="MAC113" s="139"/>
      <c r="MAD113" s="139"/>
      <c r="MAE113" s="139"/>
      <c r="MAF113" s="139"/>
      <c r="MAG113" s="139"/>
      <c r="MAH113" s="139"/>
      <c r="MAI113" s="139"/>
      <c r="MAJ113" s="139"/>
      <c r="MAK113" s="139"/>
      <c r="MAL113" s="139"/>
      <c r="MAM113" s="139"/>
      <c r="MAN113" s="139"/>
      <c r="MAO113" s="139"/>
      <c r="MAP113" s="139"/>
      <c r="MAQ113" s="139"/>
      <c r="MAR113" s="139"/>
      <c r="MAS113" s="139"/>
      <c r="MAT113" s="139"/>
      <c r="MAU113" s="139"/>
      <c r="MAV113" s="139"/>
      <c r="MAW113" s="139"/>
      <c r="MAX113" s="139"/>
      <c r="MAY113" s="139"/>
      <c r="MAZ113" s="139"/>
      <c r="MBA113" s="139"/>
      <c r="MBB113" s="139"/>
      <c r="MBC113" s="139"/>
      <c r="MBD113" s="139"/>
      <c r="MBE113" s="139"/>
      <c r="MBF113" s="139"/>
      <c r="MBG113" s="139"/>
      <c r="MBH113" s="139"/>
      <c r="MBI113" s="139"/>
      <c r="MBJ113" s="139"/>
      <c r="MBK113" s="139"/>
      <c r="MBL113" s="139"/>
      <c r="MBM113" s="139"/>
      <c r="MBN113" s="139"/>
      <c r="MBO113" s="139"/>
      <c r="MBP113" s="139"/>
      <c r="MBQ113" s="139"/>
      <c r="MBR113" s="139"/>
      <c r="MBS113" s="139"/>
      <c r="MBT113" s="139"/>
      <c r="MBU113" s="139"/>
      <c r="MBV113" s="139"/>
      <c r="MBW113" s="139"/>
      <c r="MBX113" s="139"/>
      <c r="MBY113" s="139"/>
      <c r="MBZ113" s="139"/>
      <c r="MCA113" s="139"/>
      <c r="MCB113" s="139"/>
      <c r="MCC113" s="139"/>
      <c r="MCD113" s="139"/>
      <c r="MCE113" s="139"/>
      <c r="MCF113" s="139"/>
      <c r="MCG113" s="139"/>
      <c r="MCH113" s="139"/>
      <c r="MCI113" s="139"/>
      <c r="MCJ113" s="139"/>
      <c r="MCK113" s="139"/>
      <c r="MCL113" s="139"/>
      <c r="MCM113" s="139"/>
      <c r="MCN113" s="139"/>
      <c r="MCO113" s="139"/>
      <c r="MCP113" s="139"/>
      <c r="MCQ113" s="139"/>
      <c r="MCR113" s="139"/>
      <c r="MCS113" s="139"/>
      <c r="MCT113" s="139"/>
      <c r="MCU113" s="139"/>
      <c r="MCV113" s="139"/>
      <c r="MCW113" s="139"/>
      <c r="MCX113" s="139"/>
      <c r="MCY113" s="139"/>
      <c r="MCZ113" s="139"/>
      <c r="MDA113" s="139"/>
      <c r="MDB113" s="139"/>
      <c r="MDC113" s="139"/>
      <c r="MDD113" s="139"/>
      <c r="MDE113" s="139"/>
      <c r="MDF113" s="139"/>
      <c r="MDG113" s="139"/>
      <c r="MDH113" s="139"/>
      <c r="MDI113" s="139"/>
      <c r="MDJ113" s="139"/>
      <c r="MDK113" s="139"/>
      <c r="MDL113" s="139"/>
      <c r="MDM113" s="139"/>
      <c r="MDN113" s="139"/>
      <c r="MDO113" s="139"/>
      <c r="MDP113" s="139"/>
      <c r="MDQ113" s="139"/>
      <c r="MDR113" s="139"/>
      <c r="MDS113" s="139"/>
      <c r="MDT113" s="139"/>
      <c r="MDU113" s="139"/>
      <c r="MDV113" s="139"/>
      <c r="MDW113" s="139"/>
      <c r="MDX113" s="139"/>
      <c r="MDY113" s="139"/>
      <c r="MDZ113" s="139"/>
      <c r="MEA113" s="139"/>
      <c r="MEB113" s="139"/>
      <c r="MEC113" s="139"/>
      <c r="MED113" s="139"/>
      <c r="MEE113" s="139"/>
      <c r="MEF113" s="139"/>
      <c r="MEG113" s="139"/>
      <c r="MEH113" s="139"/>
      <c r="MEI113" s="139"/>
      <c r="MEJ113" s="139"/>
      <c r="MEK113" s="139"/>
      <c r="MEL113" s="139"/>
      <c r="MEM113" s="139"/>
      <c r="MEN113" s="139"/>
      <c r="MEO113" s="139"/>
      <c r="MEP113" s="139"/>
      <c r="MEQ113" s="139"/>
      <c r="MER113" s="139"/>
      <c r="MES113" s="139"/>
      <c r="MET113" s="139"/>
      <c r="MEU113" s="139"/>
      <c r="MEV113" s="139"/>
      <c r="MEW113" s="139"/>
      <c r="MEX113" s="139"/>
      <c r="MEY113" s="139"/>
      <c r="MEZ113" s="139"/>
      <c r="MFA113" s="139"/>
      <c r="MFB113" s="139"/>
      <c r="MFC113" s="139"/>
      <c r="MFD113" s="139"/>
      <c r="MFE113" s="139"/>
      <c r="MFF113" s="139"/>
      <c r="MFG113" s="139"/>
      <c r="MFH113" s="139"/>
      <c r="MFI113" s="139"/>
      <c r="MFJ113" s="139"/>
      <c r="MFK113" s="139"/>
      <c r="MFL113" s="139"/>
      <c r="MFM113" s="139"/>
      <c r="MFN113" s="139"/>
      <c r="MFO113" s="139"/>
      <c r="MFP113" s="139"/>
      <c r="MFQ113" s="139"/>
      <c r="MFR113" s="139"/>
      <c r="MFS113" s="139"/>
      <c r="MFT113" s="139"/>
      <c r="MFU113" s="139"/>
      <c r="MFV113" s="139"/>
      <c r="MFW113" s="139"/>
      <c r="MFX113" s="139"/>
      <c r="MFY113" s="139"/>
      <c r="MFZ113" s="139"/>
      <c r="MGA113" s="139"/>
      <c r="MGB113" s="139"/>
      <c r="MGC113" s="139"/>
      <c r="MGD113" s="139"/>
      <c r="MGE113" s="139"/>
      <c r="MGF113" s="139"/>
      <c r="MGG113" s="139"/>
      <c r="MGH113" s="139"/>
      <c r="MGI113" s="139"/>
      <c r="MGJ113" s="139"/>
      <c r="MGK113" s="139"/>
      <c r="MGL113" s="139"/>
      <c r="MGM113" s="139"/>
      <c r="MGN113" s="139"/>
      <c r="MGO113" s="139"/>
      <c r="MGP113" s="139"/>
      <c r="MGQ113" s="139"/>
      <c r="MGR113" s="139"/>
      <c r="MGS113" s="139"/>
      <c r="MGT113" s="139"/>
      <c r="MGU113" s="139"/>
      <c r="MGV113" s="139"/>
      <c r="MGW113" s="139"/>
      <c r="MGX113" s="139"/>
      <c r="MGY113" s="139"/>
      <c r="MGZ113" s="139"/>
      <c r="MHA113" s="139"/>
      <c r="MHB113" s="139"/>
      <c r="MHC113" s="139"/>
      <c r="MHD113" s="139"/>
      <c r="MHE113" s="139"/>
      <c r="MHF113" s="139"/>
      <c r="MHG113" s="139"/>
      <c r="MHH113" s="139"/>
      <c r="MHI113" s="139"/>
      <c r="MHJ113" s="139"/>
      <c r="MHK113" s="139"/>
      <c r="MHL113" s="139"/>
      <c r="MHM113" s="139"/>
      <c r="MHN113" s="139"/>
      <c r="MHO113" s="139"/>
      <c r="MHP113" s="139"/>
      <c r="MHQ113" s="139"/>
      <c r="MHR113" s="139"/>
      <c r="MHS113" s="139"/>
      <c r="MHT113" s="139"/>
      <c r="MHU113" s="139"/>
      <c r="MHV113" s="139"/>
      <c r="MHW113" s="139"/>
      <c r="MHX113" s="139"/>
      <c r="MHY113" s="139"/>
      <c r="MHZ113" s="139"/>
      <c r="MIA113" s="139"/>
      <c r="MIB113" s="139"/>
      <c r="MIC113" s="139"/>
      <c r="MID113" s="139"/>
      <c r="MIE113" s="139"/>
      <c r="MIF113" s="139"/>
      <c r="MIG113" s="139"/>
      <c r="MIH113" s="139"/>
      <c r="MII113" s="139"/>
      <c r="MIJ113" s="139"/>
      <c r="MIK113" s="139"/>
      <c r="MIL113" s="139"/>
      <c r="MIM113" s="139"/>
      <c r="MIN113" s="139"/>
      <c r="MIO113" s="139"/>
      <c r="MIP113" s="139"/>
      <c r="MIQ113" s="139"/>
      <c r="MIR113" s="139"/>
      <c r="MIS113" s="139"/>
      <c r="MIT113" s="139"/>
      <c r="MIU113" s="139"/>
      <c r="MIV113" s="139"/>
      <c r="MIW113" s="139"/>
      <c r="MIX113" s="139"/>
      <c r="MIY113" s="139"/>
      <c r="MIZ113" s="139"/>
      <c r="MJA113" s="139"/>
      <c r="MJB113" s="139"/>
      <c r="MJC113" s="139"/>
      <c r="MJD113" s="139"/>
      <c r="MJE113" s="139"/>
      <c r="MJF113" s="139"/>
      <c r="MJG113" s="139"/>
      <c r="MJH113" s="139"/>
      <c r="MJI113" s="139"/>
      <c r="MJJ113" s="139"/>
      <c r="MJK113" s="139"/>
      <c r="MJL113" s="139"/>
      <c r="MJM113" s="139"/>
      <c r="MJN113" s="139"/>
      <c r="MJO113" s="139"/>
      <c r="MJP113" s="139"/>
      <c r="MJQ113" s="139"/>
      <c r="MJR113" s="139"/>
      <c r="MJS113" s="139"/>
      <c r="MJT113" s="139"/>
      <c r="MJU113" s="139"/>
      <c r="MJV113" s="139"/>
      <c r="MJW113" s="139"/>
      <c r="MJX113" s="139"/>
      <c r="MJY113" s="139"/>
      <c r="MJZ113" s="139"/>
      <c r="MKA113" s="139"/>
      <c r="MKB113" s="139"/>
      <c r="MKC113" s="139"/>
      <c r="MKD113" s="139"/>
      <c r="MKE113" s="139"/>
      <c r="MKF113" s="139"/>
      <c r="MKG113" s="139"/>
      <c r="MKH113" s="139"/>
      <c r="MKI113" s="139"/>
      <c r="MKJ113" s="139"/>
      <c r="MKK113" s="139"/>
      <c r="MKL113" s="139"/>
      <c r="MKM113" s="139"/>
      <c r="MKN113" s="139"/>
      <c r="MKO113" s="139"/>
      <c r="MKP113" s="139"/>
      <c r="MKQ113" s="139"/>
      <c r="MKR113" s="139"/>
      <c r="MKS113" s="139"/>
      <c r="MKT113" s="139"/>
      <c r="MKU113" s="139"/>
      <c r="MKV113" s="139"/>
      <c r="MKW113" s="139"/>
      <c r="MKX113" s="139"/>
      <c r="MKY113" s="139"/>
      <c r="MKZ113" s="139"/>
      <c r="MLA113" s="139"/>
      <c r="MLB113" s="139"/>
      <c r="MLC113" s="139"/>
      <c r="MLD113" s="139"/>
      <c r="MLE113" s="139"/>
      <c r="MLF113" s="139"/>
      <c r="MLG113" s="139"/>
      <c r="MLH113" s="139"/>
      <c r="MLI113" s="139"/>
      <c r="MLJ113" s="139"/>
      <c r="MLK113" s="139"/>
      <c r="MLL113" s="139"/>
      <c r="MLM113" s="139"/>
      <c r="MLN113" s="139"/>
      <c r="MLO113" s="139"/>
      <c r="MLP113" s="139"/>
      <c r="MLQ113" s="139"/>
      <c r="MLR113" s="139"/>
      <c r="MLS113" s="139"/>
      <c r="MLT113" s="139"/>
      <c r="MLU113" s="139"/>
      <c r="MLV113" s="139"/>
      <c r="MLW113" s="139"/>
      <c r="MLX113" s="139"/>
      <c r="MLY113" s="139"/>
      <c r="MLZ113" s="139"/>
      <c r="MMA113" s="139"/>
      <c r="MMB113" s="139"/>
      <c r="MMC113" s="139"/>
      <c r="MMD113" s="139"/>
      <c r="MME113" s="139"/>
      <c r="MMF113" s="139"/>
      <c r="MMG113" s="139"/>
      <c r="MMH113" s="139"/>
      <c r="MMI113" s="139"/>
      <c r="MMJ113" s="139"/>
      <c r="MMK113" s="139"/>
      <c r="MML113" s="139"/>
      <c r="MMM113" s="139"/>
      <c r="MMN113" s="139"/>
      <c r="MMO113" s="139"/>
      <c r="MMP113" s="139"/>
      <c r="MMQ113" s="139"/>
      <c r="MMR113" s="139"/>
      <c r="MMS113" s="139"/>
      <c r="MMT113" s="139"/>
      <c r="MMU113" s="139"/>
      <c r="MMV113" s="139"/>
      <c r="MMW113" s="139"/>
      <c r="MMX113" s="139"/>
      <c r="MMY113" s="139"/>
      <c r="MMZ113" s="139"/>
      <c r="MNA113" s="139"/>
      <c r="MNB113" s="139"/>
      <c r="MNC113" s="139"/>
      <c r="MND113" s="139"/>
      <c r="MNE113" s="139"/>
      <c r="MNF113" s="139"/>
      <c r="MNG113" s="139"/>
      <c r="MNH113" s="139"/>
      <c r="MNI113" s="139"/>
      <c r="MNJ113" s="139"/>
      <c r="MNK113" s="139"/>
      <c r="MNL113" s="139"/>
      <c r="MNM113" s="139"/>
      <c r="MNN113" s="139"/>
      <c r="MNO113" s="139"/>
      <c r="MNP113" s="139"/>
      <c r="MNQ113" s="139"/>
      <c r="MNR113" s="139"/>
      <c r="MNS113" s="139"/>
      <c r="MNT113" s="139"/>
      <c r="MNU113" s="139"/>
      <c r="MNV113" s="139"/>
      <c r="MNW113" s="139"/>
      <c r="MNX113" s="139"/>
      <c r="MNY113" s="139"/>
      <c r="MNZ113" s="139"/>
      <c r="MOA113" s="139"/>
      <c r="MOB113" s="139"/>
      <c r="MOC113" s="139"/>
      <c r="MOD113" s="139"/>
      <c r="MOE113" s="139"/>
      <c r="MOF113" s="139"/>
      <c r="MOG113" s="139"/>
      <c r="MOH113" s="139"/>
      <c r="MOI113" s="139"/>
      <c r="MOJ113" s="139"/>
      <c r="MOK113" s="139"/>
      <c r="MOL113" s="139"/>
      <c r="MOM113" s="139"/>
      <c r="MON113" s="139"/>
      <c r="MOO113" s="139"/>
      <c r="MOP113" s="139"/>
      <c r="MOQ113" s="139"/>
      <c r="MOR113" s="139"/>
      <c r="MOS113" s="139"/>
      <c r="MOT113" s="139"/>
      <c r="MOU113" s="139"/>
      <c r="MOV113" s="139"/>
      <c r="MOW113" s="139"/>
      <c r="MOX113" s="139"/>
      <c r="MOY113" s="139"/>
      <c r="MOZ113" s="139"/>
      <c r="MPA113" s="139"/>
      <c r="MPB113" s="139"/>
      <c r="MPC113" s="139"/>
      <c r="MPD113" s="139"/>
      <c r="MPE113" s="139"/>
      <c r="MPF113" s="139"/>
      <c r="MPG113" s="139"/>
      <c r="MPH113" s="139"/>
      <c r="MPI113" s="139"/>
      <c r="MPJ113" s="139"/>
      <c r="MPK113" s="139"/>
      <c r="MPL113" s="139"/>
      <c r="MPM113" s="139"/>
      <c r="MPN113" s="139"/>
      <c r="MPO113" s="139"/>
      <c r="MPP113" s="139"/>
      <c r="MPQ113" s="139"/>
      <c r="MPR113" s="139"/>
      <c r="MPS113" s="139"/>
      <c r="MPT113" s="139"/>
      <c r="MPU113" s="139"/>
      <c r="MPV113" s="139"/>
      <c r="MPW113" s="139"/>
      <c r="MPX113" s="139"/>
      <c r="MPY113" s="139"/>
      <c r="MPZ113" s="139"/>
      <c r="MQA113" s="139"/>
      <c r="MQB113" s="139"/>
      <c r="MQC113" s="139"/>
      <c r="MQD113" s="139"/>
      <c r="MQE113" s="139"/>
      <c r="MQF113" s="139"/>
      <c r="MQG113" s="139"/>
      <c r="MQH113" s="139"/>
      <c r="MQI113" s="139"/>
      <c r="MQJ113" s="139"/>
      <c r="MQK113" s="139"/>
      <c r="MQL113" s="139"/>
      <c r="MQM113" s="139"/>
      <c r="MQN113" s="139"/>
      <c r="MQO113" s="139"/>
      <c r="MQP113" s="139"/>
      <c r="MQQ113" s="139"/>
      <c r="MQR113" s="139"/>
      <c r="MQS113" s="139"/>
      <c r="MQT113" s="139"/>
      <c r="MQU113" s="139"/>
      <c r="MQV113" s="139"/>
      <c r="MQW113" s="139"/>
      <c r="MQX113" s="139"/>
      <c r="MQY113" s="139"/>
      <c r="MQZ113" s="139"/>
      <c r="MRA113" s="139"/>
      <c r="MRB113" s="139"/>
      <c r="MRC113" s="139"/>
      <c r="MRD113" s="139"/>
      <c r="MRE113" s="139"/>
      <c r="MRF113" s="139"/>
      <c r="MRG113" s="139"/>
      <c r="MRH113" s="139"/>
      <c r="MRI113" s="139"/>
      <c r="MRJ113" s="139"/>
      <c r="MRK113" s="139"/>
      <c r="MRL113" s="139"/>
      <c r="MRM113" s="139"/>
      <c r="MRN113" s="139"/>
      <c r="MRO113" s="139"/>
      <c r="MRP113" s="139"/>
      <c r="MRQ113" s="139"/>
      <c r="MRR113" s="139"/>
      <c r="MRS113" s="139"/>
      <c r="MRT113" s="139"/>
      <c r="MRU113" s="139"/>
      <c r="MRV113" s="139"/>
      <c r="MRW113" s="139"/>
      <c r="MRX113" s="139"/>
      <c r="MRY113" s="139"/>
      <c r="MRZ113" s="139"/>
      <c r="MSA113" s="139"/>
      <c r="MSB113" s="139"/>
      <c r="MSC113" s="139"/>
      <c r="MSD113" s="139"/>
      <c r="MSE113" s="139"/>
      <c r="MSF113" s="139"/>
      <c r="MSG113" s="139"/>
      <c r="MSH113" s="139"/>
      <c r="MSI113" s="139"/>
      <c r="MSJ113" s="139"/>
      <c r="MSK113" s="139"/>
      <c r="MSL113" s="139"/>
      <c r="MSM113" s="139"/>
      <c r="MSN113" s="139"/>
      <c r="MSO113" s="139"/>
      <c r="MSP113" s="139"/>
      <c r="MSQ113" s="139"/>
      <c r="MSR113" s="139"/>
      <c r="MSS113" s="139"/>
      <c r="MST113" s="139"/>
      <c r="MSU113" s="139"/>
      <c r="MSV113" s="139"/>
      <c r="MSW113" s="139"/>
      <c r="MSX113" s="139"/>
      <c r="MSY113" s="139"/>
      <c r="MSZ113" s="139"/>
      <c r="MTA113" s="139"/>
      <c r="MTB113" s="139"/>
      <c r="MTC113" s="139"/>
      <c r="MTD113" s="139"/>
      <c r="MTE113" s="139"/>
      <c r="MTF113" s="139"/>
      <c r="MTG113" s="139"/>
      <c r="MTH113" s="139"/>
      <c r="MTI113" s="139"/>
      <c r="MTJ113" s="139"/>
      <c r="MTK113" s="139"/>
      <c r="MTL113" s="139"/>
      <c r="MTM113" s="139"/>
      <c r="MTN113" s="139"/>
      <c r="MTO113" s="139"/>
      <c r="MTP113" s="139"/>
      <c r="MTQ113" s="139"/>
      <c r="MTR113" s="139"/>
      <c r="MTS113" s="139"/>
      <c r="MTT113" s="139"/>
      <c r="MTU113" s="139"/>
      <c r="MTV113" s="139"/>
      <c r="MTW113" s="139"/>
      <c r="MTX113" s="139"/>
      <c r="MTY113" s="139"/>
      <c r="MTZ113" s="139"/>
      <c r="MUA113" s="139"/>
      <c r="MUB113" s="139"/>
      <c r="MUC113" s="139"/>
      <c r="MUD113" s="139"/>
      <c r="MUE113" s="139"/>
      <c r="MUF113" s="139"/>
      <c r="MUG113" s="139"/>
      <c r="MUH113" s="139"/>
      <c r="MUI113" s="139"/>
      <c r="MUJ113" s="139"/>
      <c r="MUK113" s="139"/>
      <c r="MUL113" s="139"/>
      <c r="MUM113" s="139"/>
      <c r="MUN113" s="139"/>
      <c r="MUO113" s="139"/>
      <c r="MUP113" s="139"/>
      <c r="MUQ113" s="139"/>
      <c r="MUR113" s="139"/>
      <c r="MUS113" s="139"/>
      <c r="MUT113" s="139"/>
      <c r="MUU113" s="139"/>
      <c r="MUV113" s="139"/>
      <c r="MUW113" s="139"/>
      <c r="MUX113" s="139"/>
      <c r="MUY113" s="139"/>
      <c r="MUZ113" s="139"/>
      <c r="MVA113" s="139"/>
      <c r="MVB113" s="139"/>
      <c r="MVC113" s="139"/>
      <c r="MVD113" s="139"/>
      <c r="MVE113" s="139"/>
      <c r="MVF113" s="139"/>
      <c r="MVG113" s="139"/>
      <c r="MVH113" s="139"/>
      <c r="MVI113" s="139"/>
      <c r="MVJ113" s="139"/>
      <c r="MVK113" s="139"/>
      <c r="MVL113" s="139"/>
      <c r="MVM113" s="139"/>
      <c r="MVN113" s="139"/>
      <c r="MVO113" s="139"/>
      <c r="MVP113" s="139"/>
      <c r="MVQ113" s="139"/>
      <c r="MVR113" s="139"/>
      <c r="MVS113" s="139"/>
      <c r="MVT113" s="139"/>
      <c r="MVU113" s="139"/>
      <c r="MVV113" s="139"/>
      <c r="MVW113" s="139"/>
      <c r="MVX113" s="139"/>
      <c r="MVY113" s="139"/>
      <c r="MVZ113" s="139"/>
      <c r="MWA113" s="139"/>
      <c r="MWB113" s="139"/>
      <c r="MWC113" s="139"/>
      <c r="MWD113" s="139"/>
      <c r="MWE113" s="139"/>
      <c r="MWF113" s="139"/>
      <c r="MWG113" s="139"/>
      <c r="MWH113" s="139"/>
      <c r="MWI113" s="139"/>
      <c r="MWJ113" s="139"/>
      <c r="MWK113" s="139"/>
      <c r="MWL113" s="139"/>
      <c r="MWM113" s="139"/>
      <c r="MWN113" s="139"/>
      <c r="MWO113" s="139"/>
      <c r="MWP113" s="139"/>
      <c r="MWQ113" s="139"/>
      <c r="MWR113" s="139"/>
      <c r="MWS113" s="139"/>
      <c r="MWT113" s="139"/>
      <c r="MWU113" s="139"/>
      <c r="MWV113" s="139"/>
      <c r="MWW113" s="139"/>
      <c r="MWX113" s="139"/>
      <c r="MWY113" s="139"/>
      <c r="MWZ113" s="139"/>
      <c r="MXA113" s="139"/>
      <c r="MXB113" s="139"/>
      <c r="MXC113" s="139"/>
      <c r="MXD113" s="139"/>
      <c r="MXE113" s="139"/>
      <c r="MXF113" s="139"/>
      <c r="MXG113" s="139"/>
      <c r="MXH113" s="139"/>
      <c r="MXI113" s="139"/>
      <c r="MXJ113" s="139"/>
      <c r="MXK113" s="139"/>
      <c r="MXL113" s="139"/>
      <c r="MXM113" s="139"/>
      <c r="MXN113" s="139"/>
      <c r="MXO113" s="139"/>
      <c r="MXP113" s="139"/>
      <c r="MXQ113" s="139"/>
      <c r="MXR113" s="139"/>
      <c r="MXS113" s="139"/>
      <c r="MXT113" s="139"/>
      <c r="MXU113" s="139"/>
      <c r="MXV113" s="139"/>
      <c r="MXW113" s="139"/>
      <c r="MXX113" s="139"/>
      <c r="MXY113" s="139"/>
      <c r="MXZ113" s="139"/>
      <c r="MYA113" s="139"/>
      <c r="MYB113" s="139"/>
      <c r="MYC113" s="139"/>
      <c r="MYD113" s="139"/>
      <c r="MYE113" s="139"/>
      <c r="MYF113" s="139"/>
      <c r="MYG113" s="139"/>
      <c r="MYH113" s="139"/>
      <c r="MYI113" s="139"/>
      <c r="MYJ113" s="139"/>
      <c r="MYK113" s="139"/>
      <c r="MYL113" s="139"/>
      <c r="MYM113" s="139"/>
      <c r="MYN113" s="139"/>
      <c r="MYO113" s="139"/>
      <c r="MYP113" s="139"/>
      <c r="MYQ113" s="139"/>
      <c r="MYR113" s="139"/>
      <c r="MYS113" s="139"/>
      <c r="MYT113" s="139"/>
      <c r="MYU113" s="139"/>
      <c r="MYV113" s="139"/>
      <c r="MYW113" s="139"/>
      <c r="MYX113" s="139"/>
      <c r="MYY113" s="139"/>
      <c r="MYZ113" s="139"/>
      <c r="MZA113" s="139"/>
      <c r="MZB113" s="139"/>
      <c r="MZC113" s="139"/>
      <c r="MZD113" s="139"/>
      <c r="MZE113" s="139"/>
      <c r="MZF113" s="139"/>
      <c r="MZG113" s="139"/>
      <c r="MZH113" s="139"/>
      <c r="MZI113" s="139"/>
      <c r="MZJ113" s="139"/>
      <c r="MZK113" s="139"/>
      <c r="MZL113" s="139"/>
      <c r="MZM113" s="139"/>
      <c r="MZN113" s="139"/>
      <c r="MZO113" s="139"/>
      <c r="MZP113" s="139"/>
      <c r="MZQ113" s="139"/>
      <c r="MZR113" s="139"/>
      <c r="MZS113" s="139"/>
      <c r="MZT113" s="139"/>
      <c r="MZU113" s="139"/>
      <c r="MZV113" s="139"/>
      <c r="MZW113" s="139"/>
      <c r="MZX113" s="139"/>
      <c r="MZY113" s="139"/>
      <c r="MZZ113" s="139"/>
      <c r="NAA113" s="139"/>
      <c r="NAB113" s="139"/>
      <c r="NAC113" s="139"/>
      <c r="NAD113" s="139"/>
      <c r="NAE113" s="139"/>
      <c r="NAF113" s="139"/>
      <c r="NAG113" s="139"/>
      <c r="NAH113" s="139"/>
      <c r="NAI113" s="139"/>
      <c r="NAJ113" s="139"/>
      <c r="NAK113" s="139"/>
      <c r="NAL113" s="139"/>
      <c r="NAM113" s="139"/>
      <c r="NAN113" s="139"/>
      <c r="NAO113" s="139"/>
      <c r="NAP113" s="139"/>
      <c r="NAQ113" s="139"/>
      <c r="NAR113" s="139"/>
      <c r="NAS113" s="139"/>
      <c r="NAT113" s="139"/>
      <c r="NAU113" s="139"/>
      <c r="NAV113" s="139"/>
      <c r="NAW113" s="139"/>
      <c r="NAX113" s="139"/>
      <c r="NAY113" s="139"/>
      <c r="NAZ113" s="139"/>
      <c r="NBA113" s="139"/>
      <c r="NBB113" s="139"/>
      <c r="NBC113" s="139"/>
      <c r="NBD113" s="139"/>
      <c r="NBE113" s="139"/>
      <c r="NBF113" s="139"/>
      <c r="NBG113" s="139"/>
      <c r="NBH113" s="139"/>
      <c r="NBI113" s="139"/>
      <c r="NBJ113" s="139"/>
      <c r="NBK113" s="139"/>
      <c r="NBL113" s="139"/>
      <c r="NBM113" s="139"/>
      <c r="NBN113" s="139"/>
      <c r="NBO113" s="139"/>
      <c r="NBP113" s="139"/>
      <c r="NBQ113" s="139"/>
      <c r="NBR113" s="139"/>
      <c r="NBS113" s="139"/>
      <c r="NBT113" s="139"/>
      <c r="NBU113" s="139"/>
      <c r="NBV113" s="139"/>
      <c r="NBW113" s="139"/>
      <c r="NBX113" s="139"/>
      <c r="NBY113" s="139"/>
      <c r="NBZ113" s="139"/>
      <c r="NCA113" s="139"/>
      <c r="NCB113" s="139"/>
      <c r="NCC113" s="139"/>
      <c r="NCD113" s="139"/>
      <c r="NCE113" s="139"/>
      <c r="NCF113" s="139"/>
      <c r="NCG113" s="139"/>
      <c r="NCH113" s="139"/>
      <c r="NCI113" s="139"/>
      <c r="NCJ113" s="139"/>
      <c r="NCK113" s="139"/>
      <c r="NCL113" s="139"/>
      <c r="NCM113" s="139"/>
      <c r="NCN113" s="139"/>
      <c r="NCO113" s="139"/>
      <c r="NCP113" s="139"/>
      <c r="NCQ113" s="139"/>
      <c r="NCR113" s="139"/>
      <c r="NCS113" s="139"/>
      <c r="NCT113" s="139"/>
      <c r="NCU113" s="139"/>
      <c r="NCV113" s="139"/>
      <c r="NCW113" s="139"/>
      <c r="NCX113" s="139"/>
      <c r="NCY113" s="139"/>
      <c r="NCZ113" s="139"/>
      <c r="NDA113" s="139"/>
      <c r="NDB113" s="139"/>
      <c r="NDC113" s="139"/>
      <c r="NDD113" s="139"/>
      <c r="NDE113" s="139"/>
      <c r="NDF113" s="139"/>
      <c r="NDG113" s="139"/>
      <c r="NDH113" s="139"/>
      <c r="NDI113" s="139"/>
      <c r="NDJ113" s="139"/>
      <c r="NDK113" s="139"/>
      <c r="NDL113" s="139"/>
      <c r="NDM113" s="139"/>
      <c r="NDN113" s="139"/>
      <c r="NDO113" s="139"/>
      <c r="NDP113" s="139"/>
      <c r="NDQ113" s="139"/>
      <c r="NDR113" s="139"/>
      <c r="NDS113" s="139"/>
      <c r="NDT113" s="139"/>
      <c r="NDU113" s="139"/>
      <c r="NDV113" s="139"/>
      <c r="NDW113" s="139"/>
      <c r="NDX113" s="139"/>
      <c r="NDY113" s="139"/>
      <c r="NDZ113" s="139"/>
      <c r="NEA113" s="139"/>
      <c r="NEB113" s="139"/>
      <c r="NEC113" s="139"/>
      <c r="NED113" s="139"/>
      <c r="NEE113" s="139"/>
      <c r="NEF113" s="139"/>
      <c r="NEG113" s="139"/>
      <c r="NEH113" s="139"/>
      <c r="NEI113" s="139"/>
      <c r="NEJ113" s="139"/>
      <c r="NEK113" s="139"/>
      <c r="NEL113" s="139"/>
      <c r="NEM113" s="139"/>
      <c r="NEN113" s="139"/>
      <c r="NEO113" s="139"/>
      <c r="NEP113" s="139"/>
      <c r="NEQ113" s="139"/>
      <c r="NER113" s="139"/>
      <c r="NES113" s="139"/>
      <c r="NET113" s="139"/>
      <c r="NEU113" s="139"/>
      <c r="NEV113" s="139"/>
      <c r="NEW113" s="139"/>
      <c r="NEX113" s="139"/>
      <c r="NEY113" s="139"/>
      <c r="NEZ113" s="139"/>
      <c r="NFA113" s="139"/>
      <c r="NFB113" s="139"/>
      <c r="NFC113" s="139"/>
      <c r="NFD113" s="139"/>
      <c r="NFE113" s="139"/>
      <c r="NFF113" s="139"/>
      <c r="NFG113" s="139"/>
      <c r="NFH113" s="139"/>
      <c r="NFI113" s="139"/>
      <c r="NFJ113" s="139"/>
      <c r="NFK113" s="139"/>
      <c r="NFL113" s="139"/>
      <c r="NFM113" s="139"/>
      <c r="NFN113" s="139"/>
      <c r="NFO113" s="139"/>
      <c r="NFP113" s="139"/>
      <c r="NFQ113" s="139"/>
      <c r="NFR113" s="139"/>
      <c r="NFS113" s="139"/>
      <c r="NFT113" s="139"/>
      <c r="NFU113" s="139"/>
      <c r="NFV113" s="139"/>
      <c r="NFW113" s="139"/>
      <c r="NFX113" s="139"/>
      <c r="NFY113" s="139"/>
      <c r="NFZ113" s="139"/>
      <c r="NGA113" s="139"/>
      <c r="NGB113" s="139"/>
      <c r="NGC113" s="139"/>
      <c r="NGD113" s="139"/>
      <c r="NGE113" s="139"/>
      <c r="NGF113" s="139"/>
      <c r="NGG113" s="139"/>
      <c r="NGH113" s="139"/>
      <c r="NGI113" s="139"/>
      <c r="NGJ113" s="139"/>
      <c r="NGK113" s="139"/>
      <c r="NGL113" s="139"/>
      <c r="NGM113" s="139"/>
      <c r="NGN113" s="139"/>
      <c r="NGO113" s="139"/>
      <c r="NGP113" s="139"/>
      <c r="NGQ113" s="139"/>
      <c r="NGR113" s="139"/>
      <c r="NGS113" s="139"/>
      <c r="NGT113" s="139"/>
      <c r="NGU113" s="139"/>
      <c r="NGV113" s="139"/>
      <c r="NGW113" s="139"/>
      <c r="NGX113" s="139"/>
      <c r="NGY113" s="139"/>
      <c r="NGZ113" s="139"/>
      <c r="NHA113" s="139"/>
      <c r="NHB113" s="139"/>
      <c r="NHC113" s="139"/>
      <c r="NHD113" s="139"/>
      <c r="NHE113" s="139"/>
      <c r="NHF113" s="139"/>
      <c r="NHG113" s="139"/>
      <c r="NHH113" s="139"/>
      <c r="NHI113" s="139"/>
      <c r="NHJ113" s="139"/>
      <c r="NHK113" s="139"/>
      <c r="NHL113" s="139"/>
      <c r="NHM113" s="139"/>
      <c r="NHN113" s="139"/>
      <c r="NHO113" s="139"/>
      <c r="NHP113" s="139"/>
      <c r="NHQ113" s="139"/>
      <c r="NHR113" s="139"/>
      <c r="NHS113" s="139"/>
      <c r="NHT113" s="139"/>
      <c r="NHU113" s="139"/>
      <c r="NHV113" s="139"/>
      <c r="NHW113" s="139"/>
      <c r="NHX113" s="139"/>
      <c r="NHY113" s="139"/>
      <c r="NHZ113" s="139"/>
      <c r="NIA113" s="139"/>
      <c r="NIB113" s="139"/>
      <c r="NIC113" s="139"/>
      <c r="NID113" s="139"/>
      <c r="NIE113" s="139"/>
      <c r="NIF113" s="139"/>
      <c r="NIG113" s="139"/>
      <c r="NIH113" s="139"/>
      <c r="NII113" s="139"/>
      <c r="NIJ113" s="139"/>
      <c r="NIK113" s="139"/>
      <c r="NIL113" s="139"/>
      <c r="NIM113" s="139"/>
      <c r="NIN113" s="139"/>
      <c r="NIO113" s="139"/>
      <c r="NIP113" s="139"/>
      <c r="NIQ113" s="139"/>
      <c r="NIR113" s="139"/>
      <c r="NIS113" s="139"/>
      <c r="NIT113" s="139"/>
      <c r="NIU113" s="139"/>
      <c r="NIV113" s="139"/>
      <c r="NIW113" s="139"/>
      <c r="NIX113" s="139"/>
      <c r="NIY113" s="139"/>
      <c r="NIZ113" s="139"/>
      <c r="NJA113" s="139"/>
      <c r="NJB113" s="139"/>
      <c r="NJC113" s="139"/>
      <c r="NJD113" s="139"/>
      <c r="NJE113" s="139"/>
      <c r="NJF113" s="139"/>
      <c r="NJG113" s="139"/>
      <c r="NJH113" s="139"/>
      <c r="NJI113" s="139"/>
      <c r="NJJ113" s="139"/>
      <c r="NJK113" s="139"/>
      <c r="NJL113" s="139"/>
      <c r="NJM113" s="139"/>
      <c r="NJN113" s="139"/>
      <c r="NJO113" s="139"/>
      <c r="NJP113" s="139"/>
      <c r="NJQ113" s="139"/>
      <c r="NJR113" s="139"/>
      <c r="NJS113" s="139"/>
      <c r="NJT113" s="139"/>
      <c r="NJU113" s="139"/>
      <c r="NJV113" s="139"/>
      <c r="NJW113" s="139"/>
      <c r="NJX113" s="139"/>
      <c r="NJY113" s="139"/>
      <c r="NJZ113" s="139"/>
      <c r="NKA113" s="139"/>
      <c r="NKB113" s="139"/>
      <c r="NKC113" s="139"/>
      <c r="NKD113" s="139"/>
      <c r="NKE113" s="139"/>
      <c r="NKF113" s="139"/>
      <c r="NKG113" s="139"/>
      <c r="NKH113" s="139"/>
      <c r="NKI113" s="139"/>
      <c r="NKJ113" s="139"/>
      <c r="NKK113" s="139"/>
      <c r="NKL113" s="139"/>
      <c r="NKM113" s="139"/>
      <c r="NKN113" s="139"/>
      <c r="NKO113" s="139"/>
      <c r="NKP113" s="139"/>
      <c r="NKQ113" s="139"/>
      <c r="NKR113" s="139"/>
      <c r="NKS113" s="139"/>
      <c r="NKT113" s="139"/>
      <c r="NKU113" s="139"/>
      <c r="NKV113" s="139"/>
      <c r="NKW113" s="139"/>
      <c r="NKX113" s="139"/>
      <c r="NKY113" s="139"/>
      <c r="NKZ113" s="139"/>
      <c r="NLA113" s="139"/>
      <c r="NLB113" s="139"/>
      <c r="NLC113" s="139"/>
      <c r="NLD113" s="139"/>
      <c r="NLE113" s="139"/>
      <c r="NLF113" s="139"/>
      <c r="NLG113" s="139"/>
      <c r="NLH113" s="139"/>
      <c r="NLI113" s="139"/>
      <c r="NLJ113" s="139"/>
      <c r="NLK113" s="139"/>
      <c r="NLL113" s="139"/>
      <c r="NLM113" s="139"/>
      <c r="NLN113" s="139"/>
      <c r="NLO113" s="139"/>
      <c r="NLP113" s="139"/>
      <c r="NLQ113" s="139"/>
      <c r="NLR113" s="139"/>
      <c r="NLS113" s="139"/>
      <c r="NLT113" s="139"/>
      <c r="NLU113" s="139"/>
      <c r="NLV113" s="139"/>
      <c r="NLW113" s="139"/>
      <c r="NLX113" s="139"/>
      <c r="NLY113" s="139"/>
      <c r="NLZ113" s="139"/>
      <c r="NMA113" s="139"/>
      <c r="NMB113" s="139"/>
      <c r="NMC113" s="139"/>
      <c r="NMD113" s="139"/>
      <c r="NME113" s="139"/>
      <c r="NMF113" s="139"/>
      <c r="NMG113" s="139"/>
      <c r="NMH113" s="139"/>
      <c r="NMI113" s="139"/>
      <c r="NMJ113" s="139"/>
      <c r="NMK113" s="139"/>
      <c r="NML113" s="139"/>
      <c r="NMM113" s="139"/>
      <c r="NMN113" s="139"/>
      <c r="NMO113" s="139"/>
      <c r="NMP113" s="139"/>
      <c r="NMQ113" s="139"/>
      <c r="NMR113" s="139"/>
      <c r="NMS113" s="139"/>
      <c r="NMT113" s="139"/>
      <c r="NMU113" s="139"/>
      <c r="NMV113" s="139"/>
      <c r="NMW113" s="139"/>
      <c r="NMX113" s="139"/>
      <c r="NMY113" s="139"/>
      <c r="NMZ113" s="139"/>
      <c r="NNA113" s="139"/>
      <c r="NNB113" s="139"/>
      <c r="NNC113" s="139"/>
      <c r="NND113" s="139"/>
      <c r="NNE113" s="139"/>
      <c r="NNF113" s="139"/>
      <c r="NNG113" s="139"/>
      <c r="NNH113" s="139"/>
      <c r="NNI113" s="139"/>
      <c r="NNJ113" s="139"/>
      <c r="NNK113" s="139"/>
      <c r="NNL113" s="139"/>
      <c r="NNM113" s="139"/>
      <c r="NNN113" s="139"/>
      <c r="NNO113" s="139"/>
      <c r="NNP113" s="139"/>
      <c r="NNQ113" s="139"/>
      <c r="NNR113" s="139"/>
      <c r="NNS113" s="139"/>
      <c r="NNT113" s="139"/>
      <c r="NNU113" s="139"/>
      <c r="NNV113" s="139"/>
      <c r="NNW113" s="139"/>
      <c r="NNX113" s="139"/>
      <c r="NNY113" s="139"/>
      <c r="NNZ113" s="139"/>
      <c r="NOA113" s="139"/>
      <c r="NOB113" s="139"/>
      <c r="NOC113" s="139"/>
      <c r="NOD113" s="139"/>
      <c r="NOE113" s="139"/>
      <c r="NOF113" s="139"/>
      <c r="NOG113" s="139"/>
      <c r="NOH113" s="139"/>
      <c r="NOI113" s="139"/>
      <c r="NOJ113" s="139"/>
      <c r="NOK113" s="139"/>
      <c r="NOL113" s="139"/>
      <c r="NOM113" s="139"/>
      <c r="NON113" s="139"/>
      <c r="NOO113" s="139"/>
      <c r="NOP113" s="139"/>
      <c r="NOQ113" s="139"/>
      <c r="NOR113" s="139"/>
      <c r="NOS113" s="139"/>
      <c r="NOT113" s="139"/>
      <c r="NOU113" s="139"/>
      <c r="NOV113" s="139"/>
      <c r="NOW113" s="139"/>
      <c r="NOX113" s="139"/>
      <c r="NOY113" s="139"/>
      <c r="NOZ113" s="139"/>
      <c r="NPA113" s="139"/>
      <c r="NPB113" s="139"/>
      <c r="NPC113" s="139"/>
      <c r="NPD113" s="139"/>
      <c r="NPE113" s="139"/>
      <c r="NPF113" s="139"/>
      <c r="NPG113" s="139"/>
      <c r="NPH113" s="139"/>
      <c r="NPI113" s="139"/>
      <c r="NPJ113" s="139"/>
      <c r="NPK113" s="139"/>
      <c r="NPL113" s="139"/>
      <c r="NPM113" s="139"/>
      <c r="NPN113" s="139"/>
      <c r="NPO113" s="139"/>
      <c r="NPP113" s="139"/>
      <c r="NPQ113" s="139"/>
      <c r="NPR113" s="139"/>
      <c r="NPS113" s="139"/>
      <c r="NPT113" s="139"/>
      <c r="NPU113" s="139"/>
      <c r="NPV113" s="139"/>
      <c r="NPW113" s="139"/>
      <c r="NPX113" s="139"/>
      <c r="NPY113" s="139"/>
      <c r="NPZ113" s="139"/>
      <c r="NQA113" s="139"/>
      <c r="NQB113" s="139"/>
      <c r="NQC113" s="139"/>
      <c r="NQD113" s="139"/>
      <c r="NQE113" s="139"/>
      <c r="NQF113" s="139"/>
      <c r="NQG113" s="139"/>
      <c r="NQH113" s="139"/>
      <c r="NQI113" s="139"/>
      <c r="NQJ113" s="139"/>
      <c r="NQK113" s="139"/>
      <c r="NQL113" s="139"/>
      <c r="NQM113" s="139"/>
      <c r="NQN113" s="139"/>
      <c r="NQO113" s="139"/>
      <c r="NQP113" s="139"/>
      <c r="NQQ113" s="139"/>
      <c r="NQR113" s="139"/>
      <c r="NQS113" s="139"/>
      <c r="NQT113" s="139"/>
      <c r="NQU113" s="139"/>
      <c r="NQV113" s="139"/>
      <c r="NQW113" s="139"/>
      <c r="NQX113" s="139"/>
      <c r="NQY113" s="139"/>
      <c r="NQZ113" s="139"/>
      <c r="NRA113" s="139"/>
      <c r="NRB113" s="139"/>
      <c r="NRC113" s="139"/>
      <c r="NRD113" s="139"/>
      <c r="NRE113" s="139"/>
      <c r="NRF113" s="139"/>
      <c r="NRG113" s="139"/>
      <c r="NRH113" s="139"/>
      <c r="NRI113" s="139"/>
      <c r="NRJ113" s="139"/>
      <c r="NRK113" s="139"/>
      <c r="NRL113" s="139"/>
      <c r="NRM113" s="139"/>
      <c r="NRN113" s="139"/>
      <c r="NRO113" s="139"/>
      <c r="NRP113" s="139"/>
      <c r="NRQ113" s="139"/>
      <c r="NRR113" s="139"/>
      <c r="NRS113" s="139"/>
      <c r="NRT113" s="139"/>
      <c r="NRU113" s="139"/>
      <c r="NRV113" s="139"/>
      <c r="NRW113" s="139"/>
      <c r="NRX113" s="139"/>
      <c r="NRY113" s="139"/>
      <c r="NRZ113" s="139"/>
      <c r="NSA113" s="139"/>
      <c r="NSB113" s="139"/>
      <c r="NSC113" s="139"/>
      <c r="NSD113" s="139"/>
      <c r="NSE113" s="139"/>
      <c r="NSF113" s="139"/>
      <c r="NSG113" s="139"/>
      <c r="NSH113" s="139"/>
      <c r="NSI113" s="139"/>
      <c r="NSJ113" s="139"/>
      <c r="NSK113" s="139"/>
      <c r="NSL113" s="139"/>
      <c r="NSM113" s="139"/>
      <c r="NSN113" s="139"/>
      <c r="NSO113" s="139"/>
      <c r="NSP113" s="139"/>
      <c r="NSQ113" s="139"/>
      <c r="NSR113" s="139"/>
      <c r="NSS113" s="139"/>
      <c r="NST113" s="139"/>
      <c r="NSU113" s="139"/>
      <c r="NSV113" s="139"/>
      <c r="NSW113" s="139"/>
      <c r="NSX113" s="139"/>
      <c r="NSY113" s="139"/>
      <c r="NSZ113" s="139"/>
      <c r="NTA113" s="139"/>
      <c r="NTB113" s="139"/>
      <c r="NTC113" s="139"/>
      <c r="NTD113" s="139"/>
      <c r="NTE113" s="139"/>
      <c r="NTF113" s="139"/>
      <c r="NTG113" s="139"/>
      <c r="NTH113" s="139"/>
      <c r="NTI113" s="139"/>
      <c r="NTJ113" s="139"/>
      <c r="NTK113" s="139"/>
      <c r="NTL113" s="139"/>
      <c r="NTM113" s="139"/>
      <c r="NTN113" s="139"/>
      <c r="NTO113" s="139"/>
      <c r="NTP113" s="139"/>
      <c r="NTQ113" s="139"/>
      <c r="NTR113" s="139"/>
      <c r="NTS113" s="139"/>
      <c r="NTT113" s="139"/>
      <c r="NTU113" s="139"/>
      <c r="NTV113" s="139"/>
      <c r="NTW113" s="139"/>
      <c r="NTX113" s="139"/>
      <c r="NTY113" s="139"/>
      <c r="NTZ113" s="139"/>
      <c r="NUA113" s="139"/>
      <c r="NUB113" s="139"/>
      <c r="NUC113" s="139"/>
      <c r="NUD113" s="139"/>
      <c r="NUE113" s="139"/>
      <c r="NUF113" s="139"/>
      <c r="NUG113" s="139"/>
      <c r="NUH113" s="139"/>
      <c r="NUI113" s="139"/>
      <c r="NUJ113" s="139"/>
      <c r="NUK113" s="139"/>
      <c r="NUL113" s="139"/>
      <c r="NUM113" s="139"/>
      <c r="NUN113" s="139"/>
      <c r="NUO113" s="139"/>
      <c r="NUP113" s="139"/>
      <c r="NUQ113" s="139"/>
      <c r="NUR113" s="139"/>
      <c r="NUS113" s="139"/>
      <c r="NUT113" s="139"/>
      <c r="NUU113" s="139"/>
      <c r="NUV113" s="139"/>
      <c r="NUW113" s="139"/>
      <c r="NUX113" s="139"/>
      <c r="NUY113" s="139"/>
      <c r="NUZ113" s="139"/>
      <c r="NVA113" s="139"/>
      <c r="NVB113" s="139"/>
      <c r="NVC113" s="139"/>
      <c r="NVD113" s="139"/>
      <c r="NVE113" s="139"/>
      <c r="NVF113" s="139"/>
      <c r="NVG113" s="139"/>
      <c r="NVH113" s="139"/>
      <c r="NVI113" s="139"/>
      <c r="NVJ113" s="139"/>
      <c r="NVK113" s="139"/>
      <c r="NVL113" s="139"/>
      <c r="NVM113" s="139"/>
      <c r="NVN113" s="139"/>
      <c r="NVO113" s="139"/>
      <c r="NVP113" s="139"/>
      <c r="NVQ113" s="139"/>
      <c r="NVR113" s="139"/>
      <c r="NVS113" s="139"/>
      <c r="NVT113" s="139"/>
      <c r="NVU113" s="139"/>
      <c r="NVV113" s="139"/>
      <c r="NVW113" s="139"/>
      <c r="NVX113" s="139"/>
      <c r="NVY113" s="139"/>
      <c r="NVZ113" s="139"/>
      <c r="NWA113" s="139"/>
      <c r="NWB113" s="139"/>
      <c r="NWC113" s="139"/>
      <c r="NWD113" s="139"/>
      <c r="NWE113" s="139"/>
      <c r="NWF113" s="139"/>
      <c r="NWG113" s="139"/>
      <c r="NWH113" s="139"/>
      <c r="NWI113" s="139"/>
      <c r="NWJ113" s="139"/>
      <c r="NWK113" s="139"/>
      <c r="NWL113" s="139"/>
      <c r="NWM113" s="139"/>
      <c r="NWN113" s="139"/>
      <c r="NWO113" s="139"/>
      <c r="NWP113" s="139"/>
      <c r="NWQ113" s="139"/>
      <c r="NWR113" s="139"/>
      <c r="NWS113" s="139"/>
      <c r="NWT113" s="139"/>
      <c r="NWU113" s="139"/>
      <c r="NWV113" s="139"/>
      <c r="NWW113" s="139"/>
      <c r="NWX113" s="139"/>
      <c r="NWY113" s="139"/>
      <c r="NWZ113" s="139"/>
      <c r="NXA113" s="139"/>
      <c r="NXB113" s="139"/>
      <c r="NXC113" s="139"/>
      <c r="NXD113" s="139"/>
      <c r="NXE113" s="139"/>
      <c r="NXF113" s="139"/>
      <c r="NXG113" s="139"/>
      <c r="NXH113" s="139"/>
      <c r="NXI113" s="139"/>
      <c r="NXJ113" s="139"/>
      <c r="NXK113" s="139"/>
      <c r="NXL113" s="139"/>
      <c r="NXM113" s="139"/>
      <c r="NXN113" s="139"/>
      <c r="NXO113" s="139"/>
      <c r="NXP113" s="139"/>
      <c r="NXQ113" s="139"/>
      <c r="NXR113" s="139"/>
      <c r="NXS113" s="139"/>
      <c r="NXT113" s="139"/>
      <c r="NXU113" s="139"/>
      <c r="NXV113" s="139"/>
      <c r="NXW113" s="139"/>
      <c r="NXX113" s="139"/>
      <c r="NXY113" s="139"/>
      <c r="NXZ113" s="139"/>
      <c r="NYA113" s="139"/>
      <c r="NYB113" s="139"/>
      <c r="NYC113" s="139"/>
      <c r="NYD113" s="139"/>
      <c r="NYE113" s="139"/>
      <c r="NYF113" s="139"/>
      <c r="NYG113" s="139"/>
      <c r="NYH113" s="139"/>
      <c r="NYI113" s="139"/>
      <c r="NYJ113" s="139"/>
      <c r="NYK113" s="139"/>
      <c r="NYL113" s="139"/>
      <c r="NYM113" s="139"/>
      <c r="NYN113" s="139"/>
      <c r="NYO113" s="139"/>
      <c r="NYP113" s="139"/>
      <c r="NYQ113" s="139"/>
      <c r="NYR113" s="139"/>
      <c r="NYS113" s="139"/>
      <c r="NYT113" s="139"/>
      <c r="NYU113" s="139"/>
      <c r="NYV113" s="139"/>
      <c r="NYW113" s="139"/>
      <c r="NYX113" s="139"/>
      <c r="NYY113" s="139"/>
      <c r="NYZ113" s="139"/>
      <c r="NZA113" s="139"/>
      <c r="NZB113" s="139"/>
      <c r="NZC113" s="139"/>
      <c r="NZD113" s="139"/>
      <c r="NZE113" s="139"/>
      <c r="NZF113" s="139"/>
      <c r="NZG113" s="139"/>
      <c r="NZH113" s="139"/>
      <c r="NZI113" s="139"/>
      <c r="NZJ113" s="139"/>
      <c r="NZK113" s="139"/>
      <c r="NZL113" s="139"/>
      <c r="NZM113" s="139"/>
      <c r="NZN113" s="139"/>
      <c r="NZO113" s="139"/>
      <c r="NZP113" s="139"/>
      <c r="NZQ113" s="139"/>
      <c r="NZR113" s="139"/>
      <c r="NZS113" s="139"/>
      <c r="NZT113" s="139"/>
      <c r="NZU113" s="139"/>
      <c r="NZV113" s="139"/>
      <c r="NZW113" s="139"/>
      <c r="NZX113" s="139"/>
      <c r="NZY113" s="139"/>
      <c r="NZZ113" s="139"/>
      <c r="OAA113" s="139"/>
      <c r="OAB113" s="139"/>
      <c r="OAC113" s="139"/>
      <c r="OAD113" s="139"/>
      <c r="OAE113" s="139"/>
      <c r="OAF113" s="139"/>
      <c r="OAG113" s="139"/>
      <c r="OAH113" s="139"/>
      <c r="OAI113" s="139"/>
      <c r="OAJ113" s="139"/>
      <c r="OAK113" s="139"/>
      <c r="OAL113" s="139"/>
      <c r="OAM113" s="139"/>
      <c r="OAN113" s="139"/>
      <c r="OAO113" s="139"/>
      <c r="OAP113" s="139"/>
      <c r="OAQ113" s="139"/>
      <c r="OAR113" s="139"/>
      <c r="OAS113" s="139"/>
      <c r="OAT113" s="139"/>
      <c r="OAU113" s="139"/>
      <c r="OAV113" s="139"/>
      <c r="OAW113" s="139"/>
      <c r="OAX113" s="139"/>
      <c r="OAY113" s="139"/>
      <c r="OAZ113" s="139"/>
      <c r="OBA113" s="139"/>
      <c r="OBB113" s="139"/>
      <c r="OBC113" s="139"/>
      <c r="OBD113" s="139"/>
      <c r="OBE113" s="139"/>
      <c r="OBF113" s="139"/>
      <c r="OBG113" s="139"/>
      <c r="OBH113" s="139"/>
      <c r="OBI113" s="139"/>
      <c r="OBJ113" s="139"/>
      <c r="OBK113" s="139"/>
      <c r="OBL113" s="139"/>
      <c r="OBM113" s="139"/>
      <c r="OBN113" s="139"/>
      <c r="OBO113" s="139"/>
      <c r="OBP113" s="139"/>
      <c r="OBQ113" s="139"/>
      <c r="OBR113" s="139"/>
      <c r="OBS113" s="139"/>
      <c r="OBT113" s="139"/>
      <c r="OBU113" s="139"/>
      <c r="OBV113" s="139"/>
      <c r="OBW113" s="139"/>
      <c r="OBX113" s="139"/>
      <c r="OBY113" s="139"/>
      <c r="OBZ113" s="139"/>
      <c r="OCA113" s="139"/>
      <c r="OCB113" s="139"/>
      <c r="OCC113" s="139"/>
      <c r="OCD113" s="139"/>
      <c r="OCE113" s="139"/>
      <c r="OCF113" s="139"/>
      <c r="OCG113" s="139"/>
      <c r="OCH113" s="139"/>
      <c r="OCI113" s="139"/>
      <c r="OCJ113" s="139"/>
      <c r="OCK113" s="139"/>
      <c r="OCL113" s="139"/>
      <c r="OCM113" s="139"/>
      <c r="OCN113" s="139"/>
      <c r="OCO113" s="139"/>
      <c r="OCP113" s="139"/>
      <c r="OCQ113" s="139"/>
      <c r="OCR113" s="139"/>
      <c r="OCS113" s="139"/>
      <c r="OCT113" s="139"/>
      <c r="OCU113" s="139"/>
      <c r="OCV113" s="139"/>
      <c r="OCW113" s="139"/>
      <c r="OCX113" s="139"/>
      <c r="OCY113" s="139"/>
      <c r="OCZ113" s="139"/>
      <c r="ODA113" s="139"/>
      <c r="ODB113" s="139"/>
      <c r="ODC113" s="139"/>
      <c r="ODD113" s="139"/>
      <c r="ODE113" s="139"/>
      <c r="ODF113" s="139"/>
      <c r="ODG113" s="139"/>
      <c r="ODH113" s="139"/>
      <c r="ODI113" s="139"/>
      <c r="ODJ113" s="139"/>
      <c r="ODK113" s="139"/>
      <c r="ODL113" s="139"/>
      <c r="ODM113" s="139"/>
      <c r="ODN113" s="139"/>
      <c r="ODO113" s="139"/>
      <c r="ODP113" s="139"/>
      <c r="ODQ113" s="139"/>
      <c r="ODR113" s="139"/>
      <c r="ODS113" s="139"/>
      <c r="ODT113" s="139"/>
      <c r="ODU113" s="139"/>
      <c r="ODV113" s="139"/>
      <c r="ODW113" s="139"/>
      <c r="ODX113" s="139"/>
      <c r="ODY113" s="139"/>
      <c r="ODZ113" s="139"/>
      <c r="OEA113" s="139"/>
      <c r="OEB113" s="139"/>
      <c r="OEC113" s="139"/>
      <c r="OED113" s="139"/>
      <c r="OEE113" s="139"/>
      <c r="OEF113" s="139"/>
      <c r="OEG113" s="139"/>
      <c r="OEH113" s="139"/>
      <c r="OEI113" s="139"/>
      <c r="OEJ113" s="139"/>
      <c r="OEK113" s="139"/>
      <c r="OEL113" s="139"/>
      <c r="OEM113" s="139"/>
      <c r="OEN113" s="139"/>
      <c r="OEO113" s="139"/>
      <c r="OEP113" s="139"/>
      <c r="OEQ113" s="139"/>
      <c r="OER113" s="139"/>
      <c r="OES113" s="139"/>
      <c r="OET113" s="139"/>
      <c r="OEU113" s="139"/>
      <c r="OEV113" s="139"/>
      <c r="OEW113" s="139"/>
      <c r="OEX113" s="139"/>
      <c r="OEY113" s="139"/>
      <c r="OEZ113" s="139"/>
      <c r="OFA113" s="139"/>
      <c r="OFB113" s="139"/>
      <c r="OFC113" s="139"/>
      <c r="OFD113" s="139"/>
      <c r="OFE113" s="139"/>
      <c r="OFF113" s="139"/>
      <c r="OFG113" s="139"/>
      <c r="OFH113" s="139"/>
      <c r="OFI113" s="139"/>
      <c r="OFJ113" s="139"/>
      <c r="OFK113" s="139"/>
      <c r="OFL113" s="139"/>
      <c r="OFM113" s="139"/>
      <c r="OFN113" s="139"/>
      <c r="OFO113" s="139"/>
      <c r="OFP113" s="139"/>
      <c r="OFQ113" s="139"/>
      <c r="OFR113" s="139"/>
      <c r="OFS113" s="139"/>
      <c r="OFT113" s="139"/>
      <c r="OFU113" s="139"/>
      <c r="OFV113" s="139"/>
      <c r="OFW113" s="139"/>
      <c r="OFX113" s="139"/>
      <c r="OFY113" s="139"/>
      <c r="OFZ113" s="139"/>
      <c r="OGA113" s="139"/>
      <c r="OGB113" s="139"/>
      <c r="OGC113" s="139"/>
      <c r="OGD113" s="139"/>
      <c r="OGE113" s="139"/>
      <c r="OGF113" s="139"/>
      <c r="OGG113" s="139"/>
      <c r="OGH113" s="139"/>
      <c r="OGI113" s="139"/>
      <c r="OGJ113" s="139"/>
      <c r="OGK113" s="139"/>
      <c r="OGL113" s="139"/>
      <c r="OGM113" s="139"/>
      <c r="OGN113" s="139"/>
      <c r="OGO113" s="139"/>
      <c r="OGP113" s="139"/>
      <c r="OGQ113" s="139"/>
      <c r="OGR113" s="139"/>
      <c r="OGS113" s="139"/>
      <c r="OGT113" s="139"/>
      <c r="OGU113" s="139"/>
      <c r="OGV113" s="139"/>
      <c r="OGW113" s="139"/>
      <c r="OGX113" s="139"/>
      <c r="OGY113" s="139"/>
      <c r="OGZ113" s="139"/>
      <c r="OHA113" s="139"/>
      <c r="OHB113" s="139"/>
      <c r="OHC113" s="139"/>
      <c r="OHD113" s="139"/>
      <c r="OHE113" s="139"/>
      <c r="OHF113" s="139"/>
      <c r="OHG113" s="139"/>
      <c r="OHH113" s="139"/>
      <c r="OHI113" s="139"/>
      <c r="OHJ113" s="139"/>
      <c r="OHK113" s="139"/>
      <c r="OHL113" s="139"/>
      <c r="OHM113" s="139"/>
      <c r="OHN113" s="139"/>
      <c r="OHO113" s="139"/>
      <c r="OHP113" s="139"/>
      <c r="OHQ113" s="139"/>
      <c r="OHR113" s="139"/>
      <c r="OHS113" s="139"/>
      <c r="OHT113" s="139"/>
      <c r="OHU113" s="139"/>
      <c r="OHV113" s="139"/>
      <c r="OHW113" s="139"/>
      <c r="OHX113" s="139"/>
      <c r="OHY113" s="139"/>
      <c r="OHZ113" s="139"/>
      <c r="OIA113" s="139"/>
      <c r="OIB113" s="139"/>
      <c r="OIC113" s="139"/>
      <c r="OID113" s="139"/>
      <c r="OIE113" s="139"/>
      <c r="OIF113" s="139"/>
      <c r="OIG113" s="139"/>
      <c r="OIH113" s="139"/>
      <c r="OII113" s="139"/>
      <c r="OIJ113" s="139"/>
      <c r="OIK113" s="139"/>
      <c r="OIL113" s="139"/>
      <c r="OIM113" s="139"/>
      <c r="OIN113" s="139"/>
      <c r="OIO113" s="139"/>
      <c r="OIP113" s="139"/>
      <c r="OIQ113" s="139"/>
      <c r="OIR113" s="139"/>
      <c r="OIS113" s="139"/>
      <c r="OIT113" s="139"/>
      <c r="OIU113" s="139"/>
      <c r="OIV113" s="139"/>
      <c r="OIW113" s="139"/>
      <c r="OIX113" s="139"/>
      <c r="OIY113" s="139"/>
      <c r="OIZ113" s="139"/>
      <c r="OJA113" s="139"/>
      <c r="OJB113" s="139"/>
      <c r="OJC113" s="139"/>
      <c r="OJD113" s="139"/>
      <c r="OJE113" s="139"/>
      <c r="OJF113" s="139"/>
      <c r="OJG113" s="139"/>
      <c r="OJH113" s="139"/>
      <c r="OJI113" s="139"/>
      <c r="OJJ113" s="139"/>
      <c r="OJK113" s="139"/>
      <c r="OJL113" s="139"/>
      <c r="OJM113" s="139"/>
      <c r="OJN113" s="139"/>
      <c r="OJO113" s="139"/>
      <c r="OJP113" s="139"/>
      <c r="OJQ113" s="139"/>
      <c r="OJR113" s="139"/>
      <c r="OJS113" s="139"/>
      <c r="OJT113" s="139"/>
      <c r="OJU113" s="139"/>
      <c r="OJV113" s="139"/>
      <c r="OJW113" s="139"/>
      <c r="OJX113" s="139"/>
      <c r="OJY113" s="139"/>
      <c r="OJZ113" s="139"/>
      <c r="OKA113" s="139"/>
      <c r="OKB113" s="139"/>
      <c r="OKC113" s="139"/>
      <c r="OKD113" s="139"/>
      <c r="OKE113" s="139"/>
      <c r="OKF113" s="139"/>
      <c r="OKG113" s="139"/>
      <c r="OKH113" s="139"/>
      <c r="OKI113" s="139"/>
      <c r="OKJ113" s="139"/>
      <c r="OKK113" s="139"/>
      <c r="OKL113" s="139"/>
      <c r="OKM113" s="139"/>
      <c r="OKN113" s="139"/>
      <c r="OKO113" s="139"/>
      <c r="OKP113" s="139"/>
      <c r="OKQ113" s="139"/>
      <c r="OKR113" s="139"/>
      <c r="OKS113" s="139"/>
      <c r="OKT113" s="139"/>
      <c r="OKU113" s="139"/>
      <c r="OKV113" s="139"/>
      <c r="OKW113" s="139"/>
      <c r="OKX113" s="139"/>
      <c r="OKY113" s="139"/>
      <c r="OKZ113" s="139"/>
      <c r="OLA113" s="139"/>
      <c r="OLB113" s="139"/>
      <c r="OLC113" s="139"/>
      <c r="OLD113" s="139"/>
      <c r="OLE113" s="139"/>
      <c r="OLF113" s="139"/>
      <c r="OLG113" s="139"/>
      <c r="OLH113" s="139"/>
      <c r="OLI113" s="139"/>
      <c r="OLJ113" s="139"/>
      <c r="OLK113" s="139"/>
      <c r="OLL113" s="139"/>
      <c r="OLM113" s="139"/>
      <c r="OLN113" s="139"/>
      <c r="OLO113" s="139"/>
      <c r="OLP113" s="139"/>
      <c r="OLQ113" s="139"/>
      <c r="OLR113" s="139"/>
      <c r="OLS113" s="139"/>
      <c r="OLT113" s="139"/>
      <c r="OLU113" s="139"/>
      <c r="OLV113" s="139"/>
      <c r="OLW113" s="139"/>
      <c r="OLX113" s="139"/>
      <c r="OLY113" s="139"/>
      <c r="OLZ113" s="139"/>
      <c r="OMA113" s="139"/>
      <c r="OMB113" s="139"/>
      <c r="OMC113" s="139"/>
      <c r="OMD113" s="139"/>
      <c r="OME113" s="139"/>
      <c r="OMF113" s="139"/>
      <c r="OMG113" s="139"/>
      <c r="OMH113" s="139"/>
      <c r="OMI113" s="139"/>
      <c r="OMJ113" s="139"/>
      <c r="OMK113" s="139"/>
      <c r="OML113" s="139"/>
      <c r="OMM113" s="139"/>
      <c r="OMN113" s="139"/>
      <c r="OMO113" s="139"/>
      <c r="OMP113" s="139"/>
      <c r="OMQ113" s="139"/>
      <c r="OMR113" s="139"/>
      <c r="OMS113" s="139"/>
      <c r="OMT113" s="139"/>
      <c r="OMU113" s="139"/>
      <c r="OMV113" s="139"/>
      <c r="OMW113" s="139"/>
      <c r="OMX113" s="139"/>
      <c r="OMY113" s="139"/>
      <c r="OMZ113" s="139"/>
      <c r="ONA113" s="139"/>
      <c r="ONB113" s="139"/>
      <c r="ONC113" s="139"/>
      <c r="OND113" s="139"/>
      <c r="ONE113" s="139"/>
      <c r="ONF113" s="139"/>
      <c r="ONG113" s="139"/>
      <c r="ONH113" s="139"/>
      <c r="ONI113" s="139"/>
      <c r="ONJ113" s="139"/>
      <c r="ONK113" s="139"/>
      <c r="ONL113" s="139"/>
      <c r="ONM113" s="139"/>
      <c r="ONN113" s="139"/>
      <c r="ONO113" s="139"/>
      <c r="ONP113" s="139"/>
      <c r="ONQ113" s="139"/>
      <c r="ONR113" s="139"/>
      <c r="ONS113" s="139"/>
      <c r="ONT113" s="139"/>
      <c r="ONU113" s="139"/>
      <c r="ONV113" s="139"/>
      <c r="ONW113" s="139"/>
      <c r="ONX113" s="139"/>
      <c r="ONY113" s="139"/>
      <c r="ONZ113" s="139"/>
      <c r="OOA113" s="139"/>
      <c r="OOB113" s="139"/>
      <c r="OOC113" s="139"/>
      <c r="OOD113" s="139"/>
      <c r="OOE113" s="139"/>
      <c r="OOF113" s="139"/>
      <c r="OOG113" s="139"/>
      <c r="OOH113" s="139"/>
      <c r="OOI113" s="139"/>
      <c r="OOJ113" s="139"/>
      <c r="OOK113" s="139"/>
      <c r="OOL113" s="139"/>
      <c r="OOM113" s="139"/>
      <c r="OON113" s="139"/>
      <c r="OOO113" s="139"/>
      <c r="OOP113" s="139"/>
      <c r="OOQ113" s="139"/>
      <c r="OOR113" s="139"/>
      <c r="OOS113" s="139"/>
      <c r="OOT113" s="139"/>
      <c r="OOU113" s="139"/>
      <c r="OOV113" s="139"/>
      <c r="OOW113" s="139"/>
      <c r="OOX113" s="139"/>
      <c r="OOY113" s="139"/>
      <c r="OOZ113" s="139"/>
      <c r="OPA113" s="139"/>
      <c r="OPB113" s="139"/>
      <c r="OPC113" s="139"/>
      <c r="OPD113" s="139"/>
      <c r="OPE113" s="139"/>
      <c r="OPF113" s="139"/>
      <c r="OPG113" s="139"/>
      <c r="OPH113" s="139"/>
      <c r="OPI113" s="139"/>
      <c r="OPJ113" s="139"/>
      <c r="OPK113" s="139"/>
      <c r="OPL113" s="139"/>
      <c r="OPM113" s="139"/>
      <c r="OPN113" s="139"/>
      <c r="OPO113" s="139"/>
      <c r="OPP113" s="139"/>
      <c r="OPQ113" s="139"/>
      <c r="OPR113" s="139"/>
      <c r="OPS113" s="139"/>
      <c r="OPT113" s="139"/>
      <c r="OPU113" s="139"/>
      <c r="OPV113" s="139"/>
      <c r="OPW113" s="139"/>
      <c r="OPX113" s="139"/>
      <c r="OPY113" s="139"/>
      <c r="OPZ113" s="139"/>
      <c r="OQA113" s="139"/>
      <c r="OQB113" s="139"/>
      <c r="OQC113" s="139"/>
      <c r="OQD113" s="139"/>
      <c r="OQE113" s="139"/>
      <c r="OQF113" s="139"/>
      <c r="OQG113" s="139"/>
      <c r="OQH113" s="139"/>
      <c r="OQI113" s="139"/>
      <c r="OQJ113" s="139"/>
      <c r="OQK113" s="139"/>
      <c r="OQL113" s="139"/>
      <c r="OQM113" s="139"/>
      <c r="OQN113" s="139"/>
      <c r="OQO113" s="139"/>
      <c r="OQP113" s="139"/>
      <c r="OQQ113" s="139"/>
      <c r="OQR113" s="139"/>
      <c r="OQS113" s="139"/>
      <c r="OQT113" s="139"/>
      <c r="OQU113" s="139"/>
      <c r="OQV113" s="139"/>
      <c r="OQW113" s="139"/>
      <c r="OQX113" s="139"/>
      <c r="OQY113" s="139"/>
      <c r="OQZ113" s="139"/>
      <c r="ORA113" s="139"/>
      <c r="ORB113" s="139"/>
      <c r="ORC113" s="139"/>
      <c r="ORD113" s="139"/>
      <c r="ORE113" s="139"/>
      <c r="ORF113" s="139"/>
      <c r="ORG113" s="139"/>
      <c r="ORH113" s="139"/>
      <c r="ORI113" s="139"/>
      <c r="ORJ113" s="139"/>
      <c r="ORK113" s="139"/>
      <c r="ORL113" s="139"/>
      <c r="ORM113" s="139"/>
      <c r="ORN113" s="139"/>
      <c r="ORO113" s="139"/>
      <c r="ORP113" s="139"/>
      <c r="ORQ113" s="139"/>
      <c r="ORR113" s="139"/>
      <c r="ORS113" s="139"/>
      <c r="ORT113" s="139"/>
      <c r="ORU113" s="139"/>
      <c r="ORV113" s="139"/>
      <c r="ORW113" s="139"/>
      <c r="ORX113" s="139"/>
      <c r="ORY113" s="139"/>
      <c r="ORZ113" s="139"/>
      <c r="OSA113" s="139"/>
      <c r="OSB113" s="139"/>
      <c r="OSC113" s="139"/>
      <c r="OSD113" s="139"/>
      <c r="OSE113" s="139"/>
      <c r="OSF113" s="139"/>
      <c r="OSG113" s="139"/>
      <c r="OSH113" s="139"/>
      <c r="OSI113" s="139"/>
      <c r="OSJ113" s="139"/>
      <c r="OSK113" s="139"/>
      <c r="OSL113" s="139"/>
      <c r="OSM113" s="139"/>
      <c r="OSN113" s="139"/>
      <c r="OSO113" s="139"/>
      <c r="OSP113" s="139"/>
      <c r="OSQ113" s="139"/>
      <c r="OSR113" s="139"/>
      <c r="OSS113" s="139"/>
      <c r="OST113" s="139"/>
      <c r="OSU113" s="139"/>
      <c r="OSV113" s="139"/>
      <c r="OSW113" s="139"/>
      <c r="OSX113" s="139"/>
      <c r="OSY113" s="139"/>
      <c r="OSZ113" s="139"/>
      <c r="OTA113" s="139"/>
      <c r="OTB113" s="139"/>
      <c r="OTC113" s="139"/>
      <c r="OTD113" s="139"/>
      <c r="OTE113" s="139"/>
      <c r="OTF113" s="139"/>
      <c r="OTG113" s="139"/>
      <c r="OTH113" s="139"/>
      <c r="OTI113" s="139"/>
      <c r="OTJ113" s="139"/>
      <c r="OTK113" s="139"/>
      <c r="OTL113" s="139"/>
      <c r="OTM113" s="139"/>
      <c r="OTN113" s="139"/>
      <c r="OTO113" s="139"/>
      <c r="OTP113" s="139"/>
      <c r="OTQ113" s="139"/>
      <c r="OTR113" s="139"/>
      <c r="OTS113" s="139"/>
      <c r="OTT113" s="139"/>
      <c r="OTU113" s="139"/>
      <c r="OTV113" s="139"/>
      <c r="OTW113" s="139"/>
      <c r="OTX113" s="139"/>
      <c r="OTY113" s="139"/>
      <c r="OTZ113" s="139"/>
      <c r="OUA113" s="139"/>
      <c r="OUB113" s="139"/>
      <c r="OUC113" s="139"/>
      <c r="OUD113" s="139"/>
      <c r="OUE113" s="139"/>
      <c r="OUF113" s="139"/>
      <c r="OUG113" s="139"/>
      <c r="OUH113" s="139"/>
      <c r="OUI113" s="139"/>
      <c r="OUJ113" s="139"/>
      <c r="OUK113" s="139"/>
      <c r="OUL113" s="139"/>
      <c r="OUM113" s="139"/>
      <c r="OUN113" s="139"/>
      <c r="OUO113" s="139"/>
      <c r="OUP113" s="139"/>
      <c r="OUQ113" s="139"/>
      <c r="OUR113" s="139"/>
      <c r="OUS113" s="139"/>
      <c r="OUT113" s="139"/>
      <c r="OUU113" s="139"/>
      <c r="OUV113" s="139"/>
      <c r="OUW113" s="139"/>
      <c r="OUX113" s="139"/>
      <c r="OUY113" s="139"/>
      <c r="OUZ113" s="139"/>
      <c r="OVA113" s="139"/>
      <c r="OVB113" s="139"/>
      <c r="OVC113" s="139"/>
      <c r="OVD113" s="139"/>
      <c r="OVE113" s="139"/>
      <c r="OVF113" s="139"/>
      <c r="OVG113" s="139"/>
      <c r="OVH113" s="139"/>
      <c r="OVI113" s="139"/>
      <c r="OVJ113" s="139"/>
      <c r="OVK113" s="139"/>
      <c r="OVL113" s="139"/>
      <c r="OVM113" s="139"/>
      <c r="OVN113" s="139"/>
      <c r="OVO113" s="139"/>
      <c r="OVP113" s="139"/>
      <c r="OVQ113" s="139"/>
      <c r="OVR113" s="139"/>
      <c r="OVS113" s="139"/>
      <c r="OVT113" s="139"/>
      <c r="OVU113" s="139"/>
      <c r="OVV113" s="139"/>
      <c r="OVW113" s="139"/>
      <c r="OVX113" s="139"/>
      <c r="OVY113" s="139"/>
      <c r="OVZ113" s="139"/>
      <c r="OWA113" s="139"/>
      <c r="OWB113" s="139"/>
      <c r="OWC113" s="139"/>
      <c r="OWD113" s="139"/>
      <c r="OWE113" s="139"/>
      <c r="OWF113" s="139"/>
      <c r="OWG113" s="139"/>
      <c r="OWH113" s="139"/>
      <c r="OWI113" s="139"/>
      <c r="OWJ113" s="139"/>
      <c r="OWK113" s="139"/>
      <c r="OWL113" s="139"/>
      <c r="OWM113" s="139"/>
      <c r="OWN113" s="139"/>
      <c r="OWO113" s="139"/>
      <c r="OWP113" s="139"/>
      <c r="OWQ113" s="139"/>
      <c r="OWR113" s="139"/>
      <c r="OWS113" s="139"/>
      <c r="OWT113" s="139"/>
      <c r="OWU113" s="139"/>
      <c r="OWV113" s="139"/>
      <c r="OWW113" s="139"/>
      <c r="OWX113" s="139"/>
      <c r="OWY113" s="139"/>
      <c r="OWZ113" s="139"/>
      <c r="OXA113" s="139"/>
      <c r="OXB113" s="139"/>
      <c r="OXC113" s="139"/>
      <c r="OXD113" s="139"/>
      <c r="OXE113" s="139"/>
      <c r="OXF113" s="139"/>
      <c r="OXG113" s="139"/>
      <c r="OXH113" s="139"/>
      <c r="OXI113" s="139"/>
      <c r="OXJ113" s="139"/>
      <c r="OXK113" s="139"/>
      <c r="OXL113" s="139"/>
      <c r="OXM113" s="139"/>
      <c r="OXN113" s="139"/>
      <c r="OXO113" s="139"/>
      <c r="OXP113" s="139"/>
      <c r="OXQ113" s="139"/>
      <c r="OXR113" s="139"/>
      <c r="OXS113" s="139"/>
      <c r="OXT113" s="139"/>
      <c r="OXU113" s="139"/>
      <c r="OXV113" s="139"/>
      <c r="OXW113" s="139"/>
      <c r="OXX113" s="139"/>
      <c r="OXY113" s="139"/>
      <c r="OXZ113" s="139"/>
      <c r="OYA113" s="139"/>
      <c r="OYB113" s="139"/>
      <c r="OYC113" s="139"/>
      <c r="OYD113" s="139"/>
      <c r="OYE113" s="139"/>
      <c r="OYF113" s="139"/>
      <c r="OYG113" s="139"/>
      <c r="OYH113" s="139"/>
      <c r="OYI113" s="139"/>
      <c r="OYJ113" s="139"/>
      <c r="OYK113" s="139"/>
      <c r="OYL113" s="139"/>
      <c r="OYM113" s="139"/>
      <c r="OYN113" s="139"/>
      <c r="OYO113" s="139"/>
      <c r="OYP113" s="139"/>
      <c r="OYQ113" s="139"/>
      <c r="OYR113" s="139"/>
      <c r="OYS113" s="139"/>
      <c r="OYT113" s="139"/>
      <c r="OYU113" s="139"/>
      <c r="OYV113" s="139"/>
      <c r="OYW113" s="139"/>
      <c r="OYX113" s="139"/>
      <c r="OYY113" s="139"/>
      <c r="OYZ113" s="139"/>
      <c r="OZA113" s="139"/>
      <c r="OZB113" s="139"/>
      <c r="OZC113" s="139"/>
      <c r="OZD113" s="139"/>
      <c r="OZE113" s="139"/>
      <c r="OZF113" s="139"/>
      <c r="OZG113" s="139"/>
      <c r="OZH113" s="139"/>
      <c r="OZI113" s="139"/>
      <c r="OZJ113" s="139"/>
      <c r="OZK113" s="139"/>
      <c r="OZL113" s="139"/>
      <c r="OZM113" s="139"/>
      <c r="OZN113" s="139"/>
      <c r="OZO113" s="139"/>
      <c r="OZP113" s="139"/>
      <c r="OZQ113" s="139"/>
      <c r="OZR113" s="139"/>
      <c r="OZS113" s="139"/>
      <c r="OZT113" s="139"/>
      <c r="OZU113" s="139"/>
      <c r="OZV113" s="139"/>
      <c r="OZW113" s="139"/>
      <c r="OZX113" s="139"/>
      <c r="OZY113" s="139"/>
      <c r="OZZ113" s="139"/>
      <c r="PAA113" s="139"/>
      <c r="PAB113" s="139"/>
      <c r="PAC113" s="139"/>
      <c r="PAD113" s="139"/>
      <c r="PAE113" s="139"/>
      <c r="PAF113" s="139"/>
      <c r="PAG113" s="139"/>
      <c r="PAH113" s="139"/>
      <c r="PAI113" s="139"/>
      <c r="PAJ113" s="139"/>
      <c r="PAK113" s="139"/>
      <c r="PAL113" s="139"/>
      <c r="PAM113" s="139"/>
      <c r="PAN113" s="139"/>
      <c r="PAO113" s="139"/>
      <c r="PAP113" s="139"/>
      <c r="PAQ113" s="139"/>
      <c r="PAR113" s="139"/>
      <c r="PAS113" s="139"/>
      <c r="PAT113" s="139"/>
      <c r="PAU113" s="139"/>
      <c r="PAV113" s="139"/>
      <c r="PAW113" s="139"/>
      <c r="PAX113" s="139"/>
      <c r="PAY113" s="139"/>
      <c r="PAZ113" s="139"/>
      <c r="PBA113" s="139"/>
      <c r="PBB113" s="139"/>
      <c r="PBC113" s="139"/>
      <c r="PBD113" s="139"/>
      <c r="PBE113" s="139"/>
      <c r="PBF113" s="139"/>
      <c r="PBG113" s="139"/>
      <c r="PBH113" s="139"/>
      <c r="PBI113" s="139"/>
      <c r="PBJ113" s="139"/>
      <c r="PBK113" s="139"/>
      <c r="PBL113" s="139"/>
      <c r="PBM113" s="139"/>
      <c r="PBN113" s="139"/>
      <c r="PBO113" s="139"/>
      <c r="PBP113" s="139"/>
      <c r="PBQ113" s="139"/>
      <c r="PBR113" s="139"/>
      <c r="PBS113" s="139"/>
      <c r="PBT113" s="139"/>
      <c r="PBU113" s="139"/>
      <c r="PBV113" s="139"/>
      <c r="PBW113" s="139"/>
      <c r="PBX113" s="139"/>
      <c r="PBY113" s="139"/>
      <c r="PBZ113" s="139"/>
      <c r="PCA113" s="139"/>
      <c r="PCB113" s="139"/>
      <c r="PCC113" s="139"/>
      <c r="PCD113" s="139"/>
      <c r="PCE113" s="139"/>
      <c r="PCF113" s="139"/>
      <c r="PCG113" s="139"/>
      <c r="PCH113" s="139"/>
      <c r="PCI113" s="139"/>
      <c r="PCJ113" s="139"/>
      <c r="PCK113" s="139"/>
      <c r="PCL113" s="139"/>
      <c r="PCM113" s="139"/>
      <c r="PCN113" s="139"/>
      <c r="PCO113" s="139"/>
      <c r="PCP113" s="139"/>
      <c r="PCQ113" s="139"/>
      <c r="PCR113" s="139"/>
      <c r="PCS113" s="139"/>
      <c r="PCT113" s="139"/>
      <c r="PCU113" s="139"/>
      <c r="PCV113" s="139"/>
      <c r="PCW113" s="139"/>
      <c r="PCX113" s="139"/>
      <c r="PCY113" s="139"/>
      <c r="PCZ113" s="139"/>
      <c r="PDA113" s="139"/>
      <c r="PDB113" s="139"/>
      <c r="PDC113" s="139"/>
      <c r="PDD113" s="139"/>
      <c r="PDE113" s="139"/>
      <c r="PDF113" s="139"/>
      <c r="PDG113" s="139"/>
      <c r="PDH113" s="139"/>
      <c r="PDI113" s="139"/>
      <c r="PDJ113" s="139"/>
      <c r="PDK113" s="139"/>
      <c r="PDL113" s="139"/>
      <c r="PDM113" s="139"/>
      <c r="PDN113" s="139"/>
      <c r="PDO113" s="139"/>
      <c r="PDP113" s="139"/>
      <c r="PDQ113" s="139"/>
      <c r="PDR113" s="139"/>
      <c r="PDS113" s="139"/>
      <c r="PDT113" s="139"/>
      <c r="PDU113" s="139"/>
      <c r="PDV113" s="139"/>
      <c r="PDW113" s="139"/>
      <c r="PDX113" s="139"/>
      <c r="PDY113" s="139"/>
      <c r="PDZ113" s="139"/>
      <c r="PEA113" s="139"/>
      <c r="PEB113" s="139"/>
      <c r="PEC113" s="139"/>
      <c r="PED113" s="139"/>
      <c r="PEE113" s="139"/>
      <c r="PEF113" s="139"/>
      <c r="PEG113" s="139"/>
      <c r="PEH113" s="139"/>
      <c r="PEI113" s="139"/>
      <c r="PEJ113" s="139"/>
      <c r="PEK113" s="139"/>
      <c r="PEL113" s="139"/>
      <c r="PEM113" s="139"/>
      <c r="PEN113" s="139"/>
      <c r="PEO113" s="139"/>
      <c r="PEP113" s="139"/>
      <c r="PEQ113" s="139"/>
      <c r="PER113" s="139"/>
      <c r="PES113" s="139"/>
      <c r="PET113" s="139"/>
      <c r="PEU113" s="139"/>
      <c r="PEV113" s="139"/>
      <c r="PEW113" s="139"/>
      <c r="PEX113" s="139"/>
      <c r="PEY113" s="139"/>
      <c r="PEZ113" s="139"/>
      <c r="PFA113" s="139"/>
      <c r="PFB113" s="139"/>
      <c r="PFC113" s="139"/>
      <c r="PFD113" s="139"/>
      <c r="PFE113" s="139"/>
      <c r="PFF113" s="139"/>
      <c r="PFG113" s="139"/>
      <c r="PFH113" s="139"/>
      <c r="PFI113" s="139"/>
      <c r="PFJ113" s="139"/>
      <c r="PFK113" s="139"/>
      <c r="PFL113" s="139"/>
      <c r="PFM113" s="139"/>
      <c r="PFN113" s="139"/>
      <c r="PFO113" s="139"/>
      <c r="PFP113" s="139"/>
      <c r="PFQ113" s="139"/>
      <c r="PFR113" s="139"/>
      <c r="PFS113" s="139"/>
      <c r="PFT113" s="139"/>
      <c r="PFU113" s="139"/>
      <c r="PFV113" s="139"/>
      <c r="PFW113" s="139"/>
      <c r="PFX113" s="139"/>
      <c r="PFY113" s="139"/>
      <c r="PFZ113" s="139"/>
      <c r="PGA113" s="139"/>
      <c r="PGB113" s="139"/>
      <c r="PGC113" s="139"/>
      <c r="PGD113" s="139"/>
      <c r="PGE113" s="139"/>
      <c r="PGF113" s="139"/>
      <c r="PGG113" s="139"/>
      <c r="PGH113" s="139"/>
      <c r="PGI113" s="139"/>
      <c r="PGJ113" s="139"/>
      <c r="PGK113" s="139"/>
      <c r="PGL113" s="139"/>
      <c r="PGM113" s="139"/>
      <c r="PGN113" s="139"/>
      <c r="PGO113" s="139"/>
      <c r="PGP113" s="139"/>
      <c r="PGQ113" s="139"/>
      <c r="PGR113" s="139"/>
      <c r="PGS113" s="139"/>
      <c r="PGT113" s="139"/>
      <c r="PGU113" s="139"/>
      <c r="PGV113" s="139"/>
      <c r="PGW113" s="139"/>
      <c r="PGX113" s="139"/>
      <c r="PGY113" s="139"/>
      <c r="PGZ113" s="139"/>
      <c r="PHA113" s="139"/>
      <c r="PHB113" s="139"/>
      <c r="PHC113" s="139"/>
      <c r="PHD113" s="139"/>
      <c r="PHE113" s="139"/>
      <c r="PHF113" s="139"/>
      <c r="PHG113" s="139"/>
      <c r="PHH113" s="139"/>
      <c r="PHI113" s="139"/>
      <c r="PHJ113" s="139"/>
      <c r="PHK113" s="139"/>
      <c r="PHL113" s="139"/>
      <c r="PHM113" s="139"/>
      <c r="PHN113" s="139"/>
      <c r="PHO113" s="139"/>
      <c r="PHP113" s="139"/>
      <c r="PHQ113" s="139"/>
      <c r="PHR113" s="139"/>
      <c r="PHS113" s="139"/>
      <c r="PHT113" s="139"/>
      <c r="PHU113" s="139"/>
      <c r="PHV113" s="139"/>
      <c r="PHW113" s="139"/>
      <c r="PHX113" s="139"/>
      <c r="PHY113" s="139"/>
      <c r="PHZ113" s="139"/>
      <c r="PIA113" s="139"/>
      <c r="PIB113" s="139"/>
      <c r="PIC113" s="139"/>
      <c r="PID113" s="139"/>
      <c r="PIE113" s="139"/>
      <c r="PIF113" s="139"/>
      <c r="PIG113" s="139"/>
      <c r="PIH113" s="139"/>
      <c r="PII113" s="139"/>
      <c r="PIJ113" s="139"/>
      <c r="PIK113" s="139"/>
      <c r="PIL113" s="139"/>
      <c r="PIM113" s="139"/>
      <c r="PIN113" s="139"/>
      <c r="PIO113" s="139"/>
      <c r="PIP113" s="139"/>
      <c r="PIQ113" s="139"/>
      <c r="PIR113" s="139"/>
      <c r="PIS113" s="139"/>
      <c r="PIT113" s="139"/>
      <c r="PIU113" s="139"/>
      <c r="PIV113" s="139"/>
      <c r="PIW113" s="139"/>
      <c r="PIX113" s="139"/>
      <c r="PIY113" s="139"/>
      <c r="PIZ113" s="139"/>
      <c r="PJA113" s="139"/>
      <c r="PJB113" s="139"/>
      <c r="PJC113" s="139"/>
      <c r="PJD113" s="139"/>
      <c r="PJE113" s="139"/>
      <c r="PJF113" s="139"/>
      <c r="PJG113" s="139"/>
      <c r="PJH113" s="139"/>
      <c r="PJI113" s="139"/>
      <c r="PJJ113" s="139"/>
      <c r="PJK113" s="139"/>
      <c r="PJL113" s="139"/>
      <c r="PJM113" s="139"/>
      <c r="PJN113" s="139"/>
      <c r="PJO113" s="139"/>
      <c r="PJP113" s="139"/>
      <c r="PJQ113" s="139"/>
      <c r="PJR113" s="139"/>
      <c r="PJS113" s="139"/>
      <c r="PJT113" s="139"/>
      <c r="PJU113" s="139"/>
      <c r="PJV113" s="139"/>
      <c r="PJW113" s="139"/>
      <c r="PJX113" s="139"/>
      <c r="PJY113" s="139"/>
      <c r="PJZ113" s="139"/>
      <c r="PKA113" s="139"/>
      <c r="PKB113" s="139"/>
      <c r="PKC113" s="139"/>
      <c r="PKD113" s="139"/>
      <c r="PKE113" s="139"/>
      <c r="PKF113" s="139"/>
      <c r="PKG113" s="139"/>
      <c r="PKH113" s="139"/>
      <c r="PKI113" s="139"/>
      <c r="PKJ113" s="139"/>
      <c r="PKK113" s="139"/>
      <c r="PKL113" s="139"/>
      <c r="PKM113" s="139"/>
      <c r="PKN113" s="139"/>
      <c r="PKO113" s="139"/>
      <c r="PKP113" s="139"/>
      <c r="PKQ113" s="139"/>
      <c r="PKR113" s="139"/>
      <c r="PKS113" s="139"/>
      <c r="PKT113" s="139"/>
      <c r="PKU113" s="139"/>
      <c r="PKV113" s="139"/>
      <c r="PKW113" s="139"/>
      <c r="PKX113" s="139"/>
      <c r="PKY113" s="139"/>
      <c r="PKZ113" s="139"/>
      <c r="PLA113" s="139"/>
      <c r="PLB113" s="139"/>
      <c r="PLC113" s="139"/>
      <c r="PLD113" s="139"/>
      <c r="PLE113" s="139"/>
      <c r="PLF113" s="139"/>
      <c r="PLG113" s="139"/>
      <c r="PLH113" s="139"/>
      <c r="PLI113" s="139"/>
      <c r="PLJ113" s="139"/>
      <c r="PLK113" s="139"/>
      <c r="PLL113" s="139"/>
      <c r="PLM113" s="139"/>
      <c r="PLN113" s="139"/>
      <c r="PLO113" s="139"/>
      <c r="PLP113" s="139"/>
      <c r="PLQ113" s="139"/>
      <c r="PLR113" s="139"/>
      <c r="PLS113" s="139"/>
      <c r="PLT113" s="139"/>
      <c r="PLU113" s="139"/>
      <c r="PLV113" s="139"/>
      <c r="PLW113" s="139"/>
      <c r="PLX113" s="139"/>
      <c r="PLY113" s="139"/>
      <c r="PLZ113" s="139"/>
      <c r="PMA113" s="139"/>
      <c r="PMB113" s="139"/>
      <c r="PMC113" s="139"/>
      <c r="PMD113" s="139"/>
      <c r="PME113" s="139"/>
      <c r="PMF113" s="139"/>
      <c r="PMG113" s="139"/>
      <c r="PMH113" s="139"/>
      <c r="PMI113" s="139"/>
      <c r="PMJ113" s="139"/>
      <c r="PMK113" s="139"/>
      <c r="PML113" s="139"/>
      <c r="PMM113" s="139"/>
      <c r="PMN113" s="139"/>
      <c r="PMO113" s="139"/>
      <c r="PMP113" s="139"/>
      <c r="PMQ113" s="139"/>
      <c r="PMR113" s="139"/>
      <c r="PMS113" s="139"/>
      <c r="PMT113" s="139"/>
      <c r="PMU113" s="139"/>
      <c r="PMV113" s="139"/>
      <c r="PMW113" s="139"/>
      <c r="PMX113" s="139"/>
      <c r="PMY113" s="139"/>
      <c r="PMZ113" s="139"/>
      <c r="PNA113" s="139"/>
      <c r="PNB113" s="139"/>
      <c r="PNC113" s="139"/>
      <c r="PND113" s="139"/>
      <c r="PNE113" s="139"/>
      <c r="PNF113" s="139"/>
      <c r="PNG113" s="139"/>
      <c r="PNH113" s="139"/>
      <c r="PNI113" s="139"/>
      <c r="PNJ113" s="139"/>
      <c r="PNK113" s="139"/>
      <c r="PNL113" s="139"/>
      <c r="PNM113" s="139"/>
      <c r="PNN113" s="139"/>
      <c r="PNO113" s="139"/>
      <c r="PNP113" s="139"/>
      <c r="PNQ113" s="139"/>
      <c r="PNR113" s="139"/>
      <c r="PNS113" s="139"/>
      <c r="PNT113" s="139"/>
      <c r="PNU113" s="139"/>
      <c r="PNV113" s="139"/>
      <c r="PNW113" s="139"/>
      <c r="PNX113" s="139"/>
      <c r="PNY113" s="139"/>
      <c r="PNZ113" s="139"/>
      <c r="POA113" s="139"/>
      <c r="POB113" s="139"/>
      <c r="POC113" s="139"/>
      <c r="POD113" s="139"/>
      <c r="POE113" s="139"/>
      <c r="POF113" s="139"/>
      <c r="POG113" s="139"/>
      <c r="POH113" s="139"/>
      <c r="POI113" s="139"/>
      <c r="POJ113" s="139"/>
      <c r="POK113" s="139"/>
      <c r="POL113" s="139"/>
      <c r="POM113" s="139"/>
      <c r="PON113" s="139"/>
      <c r="POO113" s="139"/>
      <c r="POP113" s="139"/>
      <c r="POQ113" s="139"/>
      <c r="POR113" s="139"/>
      <c r="POS113" s="139"/>
      <c r="POT113" s="139"/>
      <c r="POU113" s="139"/>
      <c r="POV113" s="139"/>
      <c r="POW113" s="139"/>
      <c r="POX113" s="139"/>
      <c r="POY113" s="139"/>
      <c r="POZ113" s="139"/>
      <c r="PPA113" s="139"/>
      <c r="PPB113" s="139"/>
      <c r="PPC113" s="139"/>
      <c r="PPD113" s="139"/>
      <c r="PPE113" s="139"/>
      <c r="PPF113" s="139"/>
      <c r="PPG113" s="139"/>
      <c r="PPH113" s="139"/>
      <c r="PPI113" s="139"/>
      <c r="PPJ113" s="139"/>
      <c r="PPK113" s="139"/>
      <c r="PPL113" s="139"/>
      <c r="PPM113" s="139"/>
      <c r="PPN113" s="139"/>
      <c r="PPO113" s="139"/>
      <c r="PPP113" s="139"/>
      <c r="PPQ113" s="139"/>
      <c r="PPR113" s="139"/>
      <c r="PPS113" s="139"/>
      <c r="PPT113" s="139"/>
      <c r="PPU113" s="139"/>
      <c r="PPV113" s="139"/>
      <c r="PPW113" s="139"/>
      <c r="PPX113" s="139"/>
      <c r="PPY113" s="139"/>
      <c r="PPZ113" s="139"/>
      <c r="PQA113" s="139"/>
      <c r="PQB113" s="139"/>
      <c r="PQC113" s="139"/>
      <c r="PQD113" s="139"/>
      <c r="PQE113" s="139"/>
      <c r="PQF113" s="139"/>
      <c r="PQG113" s="139"/>
      <c r="PQH113" s="139"/>
      <c r="PQI113" s="139"/>
      <c r="PQJ113" s="139"/>
      <c r="PQK113" s="139"/>
      <c r="PQL113" s="139"/>
      <c r="PQM113" s="139"/>
      <c r="PQN113" s="139"/>
      <c r="PQO113" s="139"/>
      <c r="PQP113" s="139"/>
      <c r="PQQ113" s="139"/>
      <c r="PQR113" s="139"/>
      <c r="PQS113" s="139"/>
      <c r="PQT113" s="139"/>
      <c r="PQU113" s="139"/>
      <c r="PQV113" s="139"/>
      <c r="PQW113" s="139"/>
      <c r="PQX113" s="139"/>
      <c r="PQY113" s="139"/>
      <c r="PQZ113" s="139"/>
      <c r="PRA113" s="139"/>
      <c r="PRB113" s="139"/>
      <c r="PRC113" s="139"/>
      <c r="PRD113" s="139"/>
      <c r="PRE113" s="139"/>
      <c r="PRF113" s="139"/>
      <c r="PRG113" s="139"/>
      <c r="PRH113" s="139"/>
      <c r="PRI113" s="139"/>
      <c r="PRJ113" s="139"/>
      <c r="PRK113" s="139"/>
      <c r="PRL113" s="139"/>
      <c r="PRM113" s="139"/>
      <c r="PRN113" s="139"/>
      <c r="PRO113" s="139"/>
      <c r="PRP113" s="139"/>
      <c r="PRQ113" s="139"/>
      <c r="PRR113" s="139"/>
      <c r="PRS113" s="139"/>
      <c r="PRT113" s="139"/>
      <c r="PRU113" s="139"/>
      <c r="PRV113" s="139"/>
      <c r="PRW113" s="139"/>
      <c r="PRX113" s="139"/>
      <c r="PRY113" s="139"/>
      <c r="PRZ113" s="139"/>
      <c r="PSA113" s="139"/>
      <c r="PSB113" s="139"/>
      <c r="PSC113" s="139"/>
      <c r="PSD113" s="139"/>
      <c r="PSE113" s="139"/>
      <c r="PSF113" s="139"/>
      <c r="PSG113" s="139"/>
      <c r="PSH113" s="139"/>
      <c r="PSI113" s="139"/>
      <c r="PSJ113" s="139"/>
      <c r="PSK113" s="139"/>
      <c r="PSL113" s="139"/>
      <c r="PSM113" s="139"/>
      <c r="PSN113" s="139"/>
      <c r="PSO113" s="139"/>
      <c r="PSP113" s="139"/>
      <c r="PSQ113" s="139"/>
      <c r="PSR113" s="139"/>
      <c r="PSS113" s="139"/>
      <c r="PST113" s="139"/>
      <c r="PSU113" s="139"/>
      <c r="PSV113" s="139"/>
      <c r="PSW113" s="139"/>
      <c r="PSX113" s="139"/>
      <c r="PSY113" s="139"/>
      <c r="PSZ113" s="139"/>
      <c r="PTA113" s="139"/>
      <c r="PTB113" s="139"/>
      <c r="PTC113" s="139"/>
      <c r="PTD113" s="139"/>
      <c r="PTE113" s="139"/>
      <c r="PTF113" s="139"/>
      <c r="PTG113" s="139"/>
      <c r="PTH113" s="139"/>
      <c r="PTI113" s="139"/>
      <c r="PTJ113" s="139"/>
      <c r="PTK113" s="139"/>
      <c r="PTL113" s="139"/>
      <c r="PTM113" s="139"/>
      <c r="PTN113" s="139"/>
      <c r="PTO113" s="139"/>
      <c r="PTP113" s="139"/>
      <c r="PTQ113" s="139"/>
      <c r="PTR113" s="139"/>
      <c r="PTS113" s="139"/>
      <c r="PTT113" s="139"/>
      <c r="PTU113" s="139"/>
      <c r="PTV113" s="139"/>
      <c r="PTW113" s="139"/>
      <c r="PTX113" s="139"/>
      <c r="PTY113" s="139"/>
      <c r="PTZ113" s="139"/>
      <c r="PUA113" s="139"/>
      <c r="PUB113" s="139"/>
      <c r="PUC113" s="139"/>
      <c r="PUD113" s="139"/>
      <c r="PUE113" s="139"/>
      <c r="PUF113" s="139"/>
      <c r="PUG113" s="139"/>
      <c r="PUH113" s="139"/>
      <c r="PUI113" s="139"/>
      <c r="PUJ113" s="139"/>
      <c r="PUK113" s="139"/>
      <c r="PUL113" s="139"/>
      <c r="PUM113" s="139"/>
      <c r="PUN113" s="139"/>
      <c r="PUO113" s="139"/>
      <c r="PUP113" s="139"/>
      <c r="PUQ113" s="139"/>
      <c r="PUR113" s="139"/>
      <c r="PUS113" s="139"/>
      <c r="PUT113" s="139"/>
      <c r="PUU113" s="139"/>
      <c r="PUV113" s="139"/>
      <c r="PUW113" s="139"/>
      <c r="PUX113" s="139"/>
      <c r="PUY113" s="139"/>
      <c r="PUZ113" s="139"/>
      <c r="PVA113" s="139"/>
      <c r="PVB113" s="139"/>
      <c r="PVC113" s="139"/>
      <c r="PVD113" s="139"/>
      <c r="PVE113" s="139"/>
      <c r="PVF113" s="139"/>
      <c r="PVG113" s="139"/>
      <c r="PVH113" s="139"/>
      <c r="PVI113" s="139"/>
      <c r="PVJ113" s="139"/>
      <c r="PVK113" s="139"/>
      <c r="PVL113" s="139"/>
      <c r="PVM113" s="139"/>
      <c r="PVN113" s="139"/>
      <c r="PVO113" s="139"/>
      <c r="PVP113" s="139"/>
      <c r="PVQ113" s="139"/>
      <c r="PVR113" s="139"/>
      <c r="PVS113" s="139"/>
      <c r="PVT113" s="139"/>
      <c r="PVU113" s="139"/>
      <c r="PVV113" s="139"/>
      <c r="PVW113" s="139"/>
      <c r="PVX113" s="139"/>
      <c r="PVY113" s="139"/>
      <c r="PVZ113" s="139"/>
      <c r="PWA113" s="139"/>
      <c r="PWB113" s="139"/>
      <c r="PWC113" s="139"/>
      <c r="PWD113" s="139"/>
      <c r="PWE113" s="139"/>
      <c r="PWF113" s="139"/>
      <c r="PWG113" s="139"/>
      <c r="PWH113" s="139"/>
      <c r="PWI113" s="139"/>
      <c r="PWJ113" s="139"/>
      <c r="PWK113" s="139"/>
      <c r="PWL113" s="139"/>
      <c r="PWM113" s="139"/>
      <c r="PWN113" s="139"/>
      <c r="PWO113" s="139"/>
      <c r="PWP113" s="139"/>
      <c r="PWQ113" s="139"/>
      <c r="PWR113" s="139"/>
      <c r="PWS113" s="139"/>
      <c r="PWT113" s="139"/>
      <c r="PWU113" s="139"/>
      <c r="PWV113" s="139"/>
      <c r="PWW113" s="139"/>
      <c r="PWX113" s="139"/>
      <c r="PWY113" s="139"/>
      <c r="PWZ113" s="139"/>
      <c r="PXA113" s="139"/>
      <c r="PXB113" s="139"/>
      <c r="PXC113" s="139"/>
      <c r="PXD113" s="139"/>
      <c r="PXE113" s="139"/>
      <c r="PXF113" s="139"/>
      <c r="PXG113" s="139"/>
      <c r="PXH113" s="139"/>
      <c r="PXI113" s="139"/>
      <c r="PXJ113" s="139"/>
      <c r="PXK113" s="139"/>
      <c r="PXL113" s="139"/>
      <c r="PXM113" s="139"/>
      <c r="PXN113" s="139"/>
      <c r="PXO113" s="139"/>
      <c r="PXP113" s="139"/>
      <c r="PXQ113" s="139"/>
      <c r="PXR113" s="139"/>
      <c r="PXS113" s="139"/>
      <c r="PXT113" s="139"/>
      <c r="PXU113" s="139"/>
      <c r="PXV113" s="139"/>
      <c r="PXW113" s="139"/>
      <c r="PXX113" s="139"/>
      <c r="PXY113" s="139"/>
      <c r="PXZ113" s="139"/>
      <c r="PYA113" s="139"/>
      <c r="PYB113" s="139"/>
      <c r="PYC113" s="139"/>
      <c r="PYD113" s="139"/>
      <c r="PYE113" s="139"/>
      <c r="PYF113" s="139"/>
      <c r="PYG113" s="139"/>
      <c r="PYH113" s="139"/>
      <c r="PYI113" s="139"/>
      <c r="PYJ113" s="139"/>
      <c r="PYK113" s="139"/>
      <c r="PYL113" s="139"/>
      <c r="PYM113" s="139"/>
      <c r="PYN113" s="139"/>
      <c r="PYO113" s="139"/>
      <c r="PYP113" s="139"/>
      <c r="PYQ113" s="139"/>
      <c r="PYR113" s="139"/>
      <c r="PYS113" s="139"/>
      <c r="PYT113" s="139"/>
      <c r="PYU113" s="139"/>
      <c r="PYV113" s="139"/>
      <c r="PYW113" s="139"/>
      <c r="PYX113" s="139"/>
      <c r="PYY113" s="139"/>
      <c r="PYZ113" s="139"/>
      <c r="PZA113" s="139"/>
      <c r="PZB113" s="139"/>
      <c r="PZC113" s="139"/>
      <c r="PZD113" s="139"/>
      <c r="PZE113" s="139"/>
      <c r="PZF113" s="139"/>
      <c r="PZG113" s="139"/>
      <c r="PZH113" s="139"/>
      <c r="PZI113" s="139"/>
      <c r="PZJ113" s="139"/>
      <c r="PZK113" s="139"/>
      <c r="PZL113" s="139"/>
      <c r="PZM113" s="139"/>
      <c r="PZN113" s="139"/>
      <c r="PZO113" s="139"/>
      <c r="PZP113" s="139"/>
      <c r="PZQ113" s="139"/>
      <c r="PZR113" s="139"/>
      <c r="PZS113" s="139"/>
      <c r="PZT113" s="139"/>
      <c r="PZU113" s="139"/>
      <c r="PZV113" s="139"/>
      <c r="PZW113" s="139"/>
      <c r="PZX113" s="139"/>
      <c r="PZY113" s="139"/>
      <c r="PZZ113" s="139"/>
      <c r="QAA113" s="139"/>
      <c r="QAB113" s="139"/>
      <c r="QAC113" s="139"/>
      <c r="QAD113" s="139"/>
      <c r="QAE113" s="139"/>
      <c r="QAF113" s="139"/>
      <c r="QAG113" s="139"/>
      <c r="QAH113" s="139"/>
      <c r="QAI113" s="139"/>
      <c r="QAJ113" s="139"/>
      <c r="QAK113" s="139"/>
      <c r="QAL113" s="139"/>
      <c r="QAM113" s="139"/>
      <c r="QAN113" s="139"/>
      <c r="QAO113" s="139"/>
      <c r="QAP113" s="139"/>
      <c r="QAQ113" s="139"/>
      <c r="QAR113" s="139"/>
      <c r="QAS113" s="139"/>
      <c r="QAT113" s="139"/>
      <c r="QAU113" s="139"/>
      <c r="QAV113" s="139"/>
      <c r="QAW113" s="139"/>
      <c r="QAX113" s="139"/>
      <c r="QAY113" s="139"/>
      <c r="QAZ113" s="139"/>
      <c r="QBA113" s="139"/>
      <c r="QBB113" s="139"/>
      <c r="QBC113" s="139"/>
      <c r="QBD113" s="139"/>
      <c r="QBE113" s="139"/>
      <c r="QBF113" s="139"/>
      <c r="QBG113" s="139"/>
      <c r="QBH113" s="139"/>
      <c r="QBI113" s="139"/>
      <c r="QBJ113" s="139"/>
      <c r="QBK113" s="139"/>
      <c r="QBL113" s="139"/>
      <c r="QBM113" s="139"/>
      <c r="QBN113" s="139"/>
      <c r="QBO113" s="139"/>
      <c r="QBP113" s="139"/>
      <c r="QBQ113" s="139"/>
      <c r="QBR113" s="139"/>
      <c r="QBS113" s="139"/>
      <c r="QBT113" s="139"/>
      <c r="QBU113" s="139"/>
      <c r="QBV113" s="139"/>
      <c r="QBW113" s="139"/>
      <c r="QBX113" s="139"/>
      <c r="QBY113" s="139"/>
      <c r="QBZ113" s="139"/>
      <c r="QCA113" s="139"/>
      <c r="QCB113" s="139"/>
      <c r="QCC113" s="139"/>
      <c r="QCD113" s="139"/>
      <c r="QCE113" s="139"/>
      <c r="QCF113" s="139"/>
      <c r="QCG113" s="139"/>
      <c r="QCH113" s="139"/>
      <c r="QCI113" s="139"/>
      <c r="QCJ113" s="139"/>
      <c r="QCK113" s="139"/>
      <c r="QCL113" s="139"/>
      <c r="QCM113" s="139"/>
      <c r="QCN113" s="139"/>
      <c r="QCO113" s="139"/>
      <c r="QCP113" s="139"/>
      <c r="QCQ113" s="139"/>
      <c r="QCR113" s="139"/>
      <c r="QCS113" s="139"/>
      <c r="QCT113" s="139"/>
      <c r="QCU113" s="139"/>
      <c r="QCV113" s="139"/>
      <c r="QCW113" s="139"/>
      <c r="QCX113" s="139"/>
      <c r="QCY113" s="139"/>
      <c r="QCZ113" s="139"/>
      <c r="QDA113" s="139"/>
      <c r="QDB113" s="139"/>
      <c r="QDC113" s="139"/>
      <c r="QDD113" s="139"/>
      <c r="QDE113" s="139"/>
      <c r="QDF113" s="139"/>
      <c r="QDG113" s="139"/>
      <c r="QDH113" s="139"/>
      <c r="QDI113" s="139"/>
      <c r="QDJ113" s="139"/>
      <c r="QDK113" s="139"/>
      <c r="QDL113" s="139"/>
      <c r="QDM113" s="139"/>
      <c r="QDN113" s="139"/>
      <c r="QDO113" s="139"/>
      <c r="QDP113" s="139"/>
      <c r="QDQ113" s="139"/>
      <c r="QDR113" s="139"/>
      <c r="QDS113" s="139"/>
      <c r="QDT113" s="139"/>
      <c r="QDU113" s="139"/>
      <c r="QDV113" s="139"/>
      <c r="QDW113" s="139"/>
      <c r="QDX113" s="139"/>
      <c r="QDY113" s="139"/>
      <c r="QDZ113" s="139"/>
      <c r="QEA113" s="139"/>
      <c r="QEB113" s="139"/>
      <c r="QEC113" s="139"/>
      <c r="QED113" s="139"/>
      <c r="QEE113" s="139"/>
      <c r="QEF113" s="139"/>
      <c r="QEG113" s="139"/>
      <c r="QEH113" s="139"/>
      <c r="QEI113" s="139"/>
      <c r="QEJ113" s="139"/>
      <c r="QEK113" s="139"/>
      <c r="QEL113" s="139"/>
      <c r="QEM113" s="139"/>
      <c r="QEN113" s="139"/>
      <c r="QEO113" s="139"/>
      <c r="QEP113" s="139"/>
      <c r="QEQ113" s="139"/>
      <c r="QER113" s="139"/>
      <c r="QES113" s="139"/>
      <c r="QET113" s="139"/>
      <c r="QEU113" s="139"/>
      <c r="QEV113" s="139"/>
      <c r="QEW113" s="139"/>
      <c r="QEX113" s="139"/>
      <c r="QEY113" s="139"/>
      <c r="QEZ113" s="139"/>
      <c r="QFA113" s="139"/>
      <c r="QFB113" s="139"/>
      <c r="QFC113" s="139"/>
      <c r="QFD113" s="139"/>
      <c r="QFE113" s="139"/>
      <c r="QFF113" s="139"/>
      <c r="QFG113" s="139"/>
      <c r="QFH113" s="139"/>
      <c r="QFI113" s="139"/>
      <c r="QFJ113" s="139"/>
      <c r="QFK113" s="139"/>
      <c r="QFL113" s="139"/>
      <c r="QFM113" s="139"/>
      <c r="QFN113" s="139"/>
      <c r="QFO113" s="139"/>
      <c r="QFP113" s="139"/>
      <c r="QFQ113" s="139"/>
      <c r="QFR113" s="139"/>
      <c r="QFS113" s="139"/>
      <c r="QFT113" s="139"/>
      <c r="QFU113" s="139"/>
      <c r="QFV113" s="139"/>
      <c r="QFW113" s="139"/>
      <c r="QFX113" s="139"/>
      <c r="QFY113" s="139"/>
      <c r="QFZ113" s="139"/>
      <c r="QGA113" s="139"/>
      <c r="QGB113" s="139"/>
      <c r="QGC113" s="139"/>
      <c r="QGD113" s="139"/>
      <c r="QGE113" s="139"/>
      <c r="QGF113" s="139"/>
      <c r="QGG113" s="139"/>
      <c r="QGH113" s="139"/>
      <c r="QGI113" s="139"/>
      <c r="QGJ113" s="139"/>
      <c r="QGK113" s="139"/>
      <c r="QGL113" s="139"/>
      <c r="QGM113" s="139"/>
      <c r="QGN113" s="139"/>
      <c r="QGO113" s="139"/>
      <c r="QGP113" s="139"/>
      <c r="QGQ113" s="139"/>
      <c r="QGR113" s="139"/>
      <c r="QGS113" s="139"/>
      <c r="QGT113" s="139"/>
      <c r="QGU113" s="139"/>
      <c r="QGV113" s="139"/>
      <c r="QGW113" s="139"/>
      <c r="QGX113" s="139"/>
      <c r="QGY113" s="139"/>
      <c r="QGZ113" s="139"/>
      <c r="QHA113" s="139"/>
      <c r="QHB113" s="139"/>
      <c r="QHC113" s="139"/>
      <c r="QHD113" s="139"/>
      <c r="QHE113" s="139"/>
      <c r="QHF113" s="139"/>
      <c r="QHG113" s="139"/>
      <c r="QHH113" s="139"/>
      <c r="QHI113" s="139"/>
      <c r="QHJ113" s="139"/>
      <c r="QHK113" s="139"/>
      <c r="QHL113" s="139"/>
      <c r="QHM113" s="139"/>
      <c r="QHN113" s="139"/>
      <c r="QHO113" s="139"/>
      <c r="QHP113" s="139"/>
      <c r="QHQ113" s="139"/>
      <c r="QHR113" s="139"/>
      <c r="QHS113" s="139"/>
      <c r="QHT113" s="139"/>
      <c r="QHU113" s="139"/>
      <c r="QHV113" s="139"/>
      <c r="QHW113" s="139"/>
      <c r="QHX113" s="139"/>
      <c r="QHY113" s="139"/>
      <c r="QHZ113" s="139"/>
      <c r="QIA113" s="139"/>
      <c r="QIB113" s="139"/>
      <c r="QIC113" s="139"/>
      <c r="QID113" s="139"/>
      <c r="QIE113" s="139"/>
      <c r="QIF113" s="139"/>
      <c r="QIG113" s="139"/>
      <c r="QIH113" s="139"/>
      <c r="QII113" s="139"/>
      <c r="QIJ113" s="139"/>
      <c r="QIK113" s="139"/>
      <c r="QIL113" s="139"/>
      <c r="QIM113" s="139"/>
      <c r="QIN113" s="139"/>
      <c r="QIO113" s="139"/>
      <c r="QIP113" s="139"/>
      <c r="QIQ113" s="139"/>
      <c r="QIR113" s="139"/>
      <c r="QIS113" s="139"/>
      <c r="QIT113" s="139"/>
      <c r="QIU113" s="139"/>
      <c r="QIV113" s="139"/>
      <c r="QIW113" s="139"/>
      <c r="QIX113" s="139"/>
      <c r="QIY113" s="139"/>
      <c r="QIZ113" s="139"/>
      <c r="QJA113" s="139"/>
      <c r="QJB113" s="139"/>
      <c r="QJC113" s="139"/>
      <c r="QJD113" s="139"/>
      <c r="QJE113" s="139"/>
      <c r="QJF113" s="139"/>
      <c r="QJG113" s="139"/>
      <c r="QJH113" s="139"/>
      <c r="QJI113" s="139"/>
      <c r="QJJ113" s="139"/>
      <c r="QJK113" s="139"/>
      <c r="QJL113" s="139"/>
      <c r="QJM113" s="139"/>
      <c r="QJN113" s="139"/>
      <c r="QJO113" s="139"/>
      <c r="QJP113" s="139"/>
      <c r="QJQ113" s="139"/>
      <c r="QJR113" s="139"/>
      <c r="QJS113" s="139"/>
      <c r="QJT113" s="139"/>
      <c r="QJU113" s="139"/>
      <c r="QJV113" s="139"/>
      <c r="QJW113" s="139"/>
      <c r="QJX113" s="139"/>
      <c r="QJY113" s="139"/>
      <c r="QJZ113" s="139"/>
      <c r="QKA113" s="139"/>
      <c r="QKB113" s="139"/>
      <c r="QKC113" s="139"/>
      <c r="QKD113" s="139"/>
      <c r="QKE113" s="139"/>
      <c r="QKF113" s="139"/>
      <c r="QKG113" s="139"/>
      <c r="QKH113" s="139"/>
      <c r="QKI113" s="139"/>
      <c r="QKJ113" s="139"/>
      <c r="QKK113" s="139"/>
      <c r="QKL113" s="139"/>
      <c r="QKM113" s="139"/>
      <c r="QKN113" s="139"/>
      <c r="QKO113" s="139"/>
      <c r="QKP113" s="139"/>
      <c r="QKQ113" s="139"/>
      <c r="QKR113" s="139"/>
      <c r="QKS113" s="139"/>
      <c r="QKT113" s="139"/>
      <c r="QKU113" s="139"/>
      <c r="QKV113" s="139"/>
      <c r="QKW113" s="139"/>
      <c r="QKX113" s="139"/>
      <c r="QKY113" s="139"/>
      <c r="QKZ113" s="139"/>
      <c r="QLA113" s="139"/>
      <c r="QLB113" s="139"/>
      <c r="QLC113" s="139"/>
      <c r="QLD113" s="139"/>
      <c r="QLE113" s="139"/>
      <c r="QLF113" s="139"/>
      <c r="QLG113" s="139"/>
      <c r="QLH113" s="139"/>
      <c r="QLI113" s="139"/>
      <c r="QLJ113" s="139"/>
      <c r="QLK113" s="139"/>
      <c r="QLL113" s="139"/>
      <c r="QLM113" s="139"/>
      <c r="QLN113" s="139"/>
      <c r="QLO113" s="139"/>
      <c r="QLP113" s="139"/>
      <c r="QLQ113" s="139"/>
      <c r="QLR113" s="139"/>
      <c r="QLS113" s="139"/>
      <c r="QLT113" s="139"/>
      <c r="QLU113" s="139"/>
      <c r="QLV113" s="139"/>
      <c r="QLW113" s="139"/>
      <c r="QLX113" s="139"/>
      <c r="QLY113" s="139"/>
      <c r="QLZ113" s="139"/>
      <c r="QMA113" s="139"/>
      <c r="QMB113" s="139"/>
      <c r="QMC113" s="139"/>
      <c r="QMD113" s="139"/>
      <c r="QME113" s="139"/>
      <c r="QMF113" s="139"/>
      <c r="QMG113" s="139"/>
      <c r="QMH113" s="139"/>
      <c r="QMI113" s="139"/>
      <c r="QMJ113" s="139"/>
      <c r="QMK113" s="139"/>
      <c r="QML113" s="139"/>
      <c r="QMM113" s="139"/>
      <c r="QMN113" s="139"/>
      <c r="QMO113" s="139"/>
      <c r="QMP113" s="139"/>
      <c r="QMQ113" s="139"/>
      <c r="QMR113" s="139"/>
      <c r="QMS113" s="139"/>
      <c r="QMT113" s="139"/>
      <c r="QMU113" s="139"/>
      <c r="QMV113" s="139"/>
      <c r="QMW113" s="139"/>
      <c r="QMX113" s="139"/>
      <c r="QMY113" s="139"/>
      <c r="QMZ113" s="139"/>
      <c r="QNA113" s="139"/>
      <c r="QNB113" s="139"/>
      <c r="QNC113" s="139"/>
      <c r="QND113" s="139"/>
      <c r="QNE113" s="139"/>
      <c r="QNF113" s="139"/>
      <c r="QNG113" s="139"/>
      <c r="QNH113" s="139"/>
      <c r="QNI113" s="139"/>
      <c r="QNJ113" s="139"/>
      <c r="QNK113" s="139"/>
      <c r="QNL113" s="139"/>
      <c r="QNM113" s="139"/>
      <c r="QNN113" s="139"/>
      <c r="QNO113" s="139"/>
      <c r="QNP113" s="139"/>
      <c r="QNQ113" s="139"/>
      <c r="QNR113" s="139"/>
      <c r="QNS113" s="139"/>
      <c r="QNT113" s="139"/>
      <c r="QNU113" s="139"/>
      <c r="QNV113" s="139"/>
      <c r="QNW113" s="139"/>
      <c r="QNX113" s="139"/>
      <c r="QNY113" s="139"/>
      <c r="QNZ113" s="139"/>
      <c r="QOA113" s="139"/>
      <c r="QOB113" s="139"/>
      <c r="QOC113" s="139"/>
      <c r="QOD113" s="139"/>
      <c r="QOE113" s="139"/>
      <c r="QOF113" s="139"/>
      <c r="QOG113" s="139"/>
      <c r="QOH113" s="139"/>
      <c r="QOI113" s="139"/>
      <c r="QOJ113" s="139"/>
      <c r="QOK113" s="139"/>
      <c r="QOL113" s="139"/>
      <c r="QOM113" s="139"/>
      <c r="QON113" s="139"/>
      <c r="QOO113" s="139"/>
      <c r="QOP113" s="139"/>
      <c r="QOQ113" s="139"/>
      <c r="QOR113" s="139"/>
      <c r="QOS113" s="139"/>
      <c r="QOT113" s="139"/>
      <c r="QOU113" s="139"/>
      <c r="QOV113" s="139"/>
      <c r="QOW113" s="139"/>
      <c r="QOX113" s="139"/>
      <c r="QOY113" s="139"/>
      <c r="QOZ113" s="139"/>
      <c r="QPA113" s="139"/>
      <c r="QPB113" s="139"/>
      <c r="QPC113" s="139"/>
      <c r="QPD113" s="139"/>
      <c r="QPE113" s="139"/>
      <c r="QPF113" s="139"/>
      <c r="QPG113" s="139"/>
      <c r="QPH113" s="139"/>
      <c r="QPI113" s="139"/>
      <c r="QPJ113" s="139"/>
      <c r="QPK113" s="139"/>
      <c r="QPL113" s="139"/>
      <c r="QPM113" s="139"/>
      <c r="QPN113" s="139"/>
      <c r="QPO113" s="139"/>
      <c r="QPP113" s="139"/>
      <c r="QPQ113" s="139"/>
      <c r="QPR113" s="139"/>
      <c r="QPS113" s="139"/>
      <c r="QPT113" s="139"/>
      <c r="QPU113" s="139"/>
      <c r="QPV113" s="139"/>
      <c r="QPW113" s="139"/>
      <c r="QPX113" s="139"/>
      <c r="QPY113" s="139"/>
      <c r="QPZ113" s="139"/>
      <c r="QQA113" s="139"/>
      <c r="QQB113" s="139"/>
      <c r="QQC113" s="139"/>
      <c r="QQD113" s="139"/>
      <c r="QQE113" s="139"/>
      <c r="QQF113" s="139"/>
      <c r="QQG113" s="139"/>
      <c r="QQH113" s="139"/>
      <c r="QQI113" s="139"/>
      <c r="QQJ113" s="139"/>
      <c r="QQK113" s="139"/>
      <c r="QQL113" s="139"/>
      <c r="QQM113" s="139"/>
      <c r="QQN113" s="139"/>
      <c r="QQO113" s="139"/>
      <c r="QQP113" s="139"/>
      <c r="QQQ113" s="139"/>
      <c r="QQR113" s="139"/>
      <c r="QQS113" s="139"/>
      <c r="QQT113" s="139"/>
      <c r="QQU113" s="139"/>
      <c r="QQV113" s="139"/>
      <c r="QQW113" s="139"/>
      <c r="QQX113" s="139"/>
      <c r="QQY113" s="139"/>
      <c r="QQZ113" s="139"/>
      <c r="QRA113" s="139"/>
      <c r="QRB113" s="139"/>
      <c r="QRC113" s="139"/>
      <c r="QRD113" s="139"/>
      <c r="QRE113" s="139"/>
      <c r="QRF113" s="139"/>
      <c r="QRG113" s="139"/>
      <c r="QRH113" s="139"/>
      <c r="QRI113" s="139"/>
      <c r="QRJ113" s="139"/>
      <c r="QRK113" s="139"/>
      <c r="QRL113" s="139"/>
      <c r="QRM113" s="139"/>
      <c r="QRN113" s="139"/>
      <c r="QRO113" s="139"/>
      <c r="QRP113" s="139"/>
      <c r="QRQ113" s="139"/>
      <c r="QRR113" s="139"/>
      <c r="QRS113" s="139"/>
      <c r="QRT113" s="139"/>
      <c r="QRU113" s="139"/>
      <c r="QRV113" s="139"/>
      <c r="QRW113" s="139"/>
      <c r="QRX113" s="139"/>
      <c r="QRY113" s="139"/>
      <c r="QRZ113" s="139"/>
      <c r="QSA113" s="139"/>
      <c r="QSB113" s="139"/>
      <c r="QSC113" s="139"/>
      <c r="QSD113" s="139"/>
      <c r="QSE113" s="139"/>
      <c r="QSF113" s="139"/>
      <c r="QSG113" s="139"/>
      <c r="QSH113" s="139"/>
      <c r="QSI113" s="139"/>
      <c r="QSJ113" s="139"/>
      <c r="QSK113" s="139"/>
      <c r="QSL113" s="139"/>
      <c r="QSM113" s="139"/>
      <c r="QSN113" s="139"/>
      <c r="QSO113" s="139"/>
      <c r="QSP113" s="139"/>
      <c r="QSQ113" s="139"/>
      <c r="QSR113" s="139"/>
      <c r="QSS113" s="139"/>
      <c r="QST113" s="139"/>
      <c r="QSU113" s="139"/>
      <c r="QSV113" s="139"/>
      <c r="QSW113" s="139"/>
      <c r="QSX113" s="139"/>
      <c r="QSY113" s="139"/>
      <c r="QSZ113" s="139"/>
      <c r="QTA113" s="139"/>
      <c r="QTB113" s="139"/>
      <c r="QTC113" s="139"/>
      <c r="QTD113" s="139"/>
      <c r="QTE113" s="139"/>
      <c r="QTF113" s="139"/>
      <c r="QTG113" s="139"/>
      <c r="QTH113" s="139"/>
      <c r="QTI113" s="139"/>
      <c r="QTJ113" s="139"/>
      <c r="QTK113" s="139"/>
      <c r="QTL113" s="139"/>
      <c r="QTM113" s="139"/>
      <c r="QTN113" s="139"/>
      <c r="QTO113" s="139"/>
      <c r="QTP113" s="139"/>
      <c r="QTQ113" s="139"/>
      <c r="QTR113" s="139"/>
      <c r="QTS113" s="139"/>
      <c r="QTT113" s="139"/>
      <c r="QTU113" s="139"/>
      <c r="QTV113" s="139"/>
      <c r="QTW113" s="139"/>
      <c r="QTX113" s="139"/>
      <c r="QTY113" s="139"/>
      <c r="QTZ113" s="139"/>
      <c r="QUA113" s="139"/>
      <c r="QUB113" s="139"/>
      <c r="QUC113" s="139"/>
      <c r="QUD113" s="139"/>
      <c r="QUE113" s="139"/>
      <c r="QUF113" s="139"/>
      <c r="QUG113" s="139"/>
      <c r="QUH113" s="139"/>
      <c r="QUI113" s="139"/>
      <c r="QUJ113" s="139"/>
      <c r="QUK113" s="139"/>
      <c r="QUL113" s="139"/>
      <c r="QUM113" s="139"/>
      <c r="QUN113" s="139"/>
      <c r="QUO113" s="139"/>
      <c r="QUP113" s="139"/>
      <c r="QUQ113" s="139"/>
      <c r="QUR113" s="139"/>
      <c r="QUS113" s="139"/>
      <c r="QUT113" s="139"/>
      <c r="QUU113" s="139"/>
      <c r="QUV113" s="139"/>
      <c r="QUW113" s="139"/>
      <c r="QUX113" s="139"/>
      <c r="QUY113" s="139"/>
      <c r="QUZ113" s="139"/>
      <c r="QVA113" s="139"/>
      <c r="QVB113" s="139"/>
      <c r="QVC113" s="139"/>
      <c r="QVD113" s="139"/>
      <c r="QVE113" s="139"/>
      <c r="QVF113" s="139"/>
      <c r="QVG113" s="139"/>
      <c r="QVH113" s="139"/>
      <c r="QVI113" s="139"/>
      <c r="QVJ113" s="139"/>
      <c r="QVK113" s="139"/>
      <c r="QVL113" s="139"/>
      <c r="QVM113" s="139"/>
      <c r="QVN113" s="139"/>
      <c r="QVO113" s="139"/>
      <c r="QVP113" s="139"/>
      <c r="QVQ113" s="139"/>
      <c r="QVR113" s="139"/>
      <c r="QVS113" s="139"/>
      <c r="QVT113" s="139"/>
      <c r="QVU113" s="139"/>
      <c r="QVV113" s="139"/>
      <c r="QVW113" s="139"/>
      <c r="QVX113" s="139"/>
      <c r="QVY113" s="139"/>
      <c r="QVZ113" s="139"/>
      <c r="QWA113" s="139"/>
      <c r="QWB113" s="139"/>
      <c r="QWC113" s="139"/>
      <c r="QWD113" s="139"/>
      <c r="QWE113" s="139"/>
      <c r="QWF113" s="139"/>
      <c r="QWG113" s="139"/>
      <c r="QWH113" s="139"/>
      <c r="QWI113" s="139"/>
      <c r="QWJ113" s="139"/>
      <c r="QWK113" s="139"/>
      <c r="QWL113" s="139"/>
      <c r="QWM113" s="139"/>
      <c r="QWN113" s="139"/>
      <c r="QWO113" s="139"/>
      <c r="QWP113" s="139"/>
      <c r="QWQ113" s="139"/>
      <c r="QWR113" s="139"/>
      <c r="QWS113" s="139"/>
      <c r="QWT113" s="139"/>
      <c r="QWU113" s="139"/>
      <c r="QWV113" s="139"/>
      <c r="QWW113" s="139"/>
      <c r="QWX113" s="139"/>
      <c r="QWY113" s="139"/>
      <c r="QWZ113" s="139"/>
      <c r="QXA113" s="139"/>
      <c r="QXB113" s="139"/>
      <c r="QXC113" s="139"/>
      <c r="QXD113" s="139"/>
      <c r="QXE113" s="139"/>
      <c r="QXF113" s="139"/>
      <c r="QXG113" s="139"/>
      <c r="QXH113" s="139"/>
      <c r="QXI113" s="139"/>
      <c r="QXJ113" s="139"/>
      <c r="QXK113" s="139"/>
      <c r="QXL113" s="139"/>
      <c r="QXM113" s="139"/>
      <c r="QXN113" s="139"/>
      <c r="QXO113" s="139"/>
      <c r="QXP113" s="139"/>
      <c r="QXQ113" s="139"/>
      <c r="QXR113" s="139"/>
      <c r="QXS113" s="139"/>
      <c r="QXT113" s="139"/>
      <c r="QXU113" s="139"/>
      <c r="QXV113" s="139"/>
      <c r="QXW113" s="139"/>
      <c r="QXX113" s="139"/>
      <c r="QXY113" s="139"/>
      <c r="QXZ113" s="139"/>
      <c r="QYA113" s="139"/>
      <c r="QYB113" s="139"/>
      <c r="QYC113" s="139"/>
      <c r="QYD113" s="139"/>
      <c r="QYE113" s="139"/>
      <c r="QYF113" s="139"/>
      <c r="QYG113" s="139"/>
      <c r="QYH113" s="139"/>
      <c r="QYI113" s="139"/>
      <c r="QYJ113" s="139"/>
      <c r="QYK113" s="139"/>
      <c r="QYL113" s="139"/>
      <c r="QYM113" s="139"/>
      <c r="QYN113" s="139"/>
      <c r="QYO113" s="139"/>
      <c r="QYP113" s="139"/>
      <c r="QYQ113" s="139"/>
      <c r="QYR113" s="139"/>
      <c r="QYS113" s="139"/>
      <c r="QYT113" s="139"/>
      <c r="QYU113" s="139"/>
      <c r="QYV113" s="139"/>
      <c r="QYW113" s="139"/>
      <c r="QYX113" s="139"/>
      <c r="QYY113" s="139"/>
      <c r="QYZ113" s="139"/>
      <c r="QZA113" s="139"/>
      <c r="QZB113" s="139"/>
      <c r="QZC113" s="139"/>
      <c r="QZD113" s="139"/>
      <c r="QZE113" s="139"/>
      <c r="QZF113" s="139"/>
      <c r="QZG113" s="139"/>
      <c r="QZH113" s="139"/>
      <c r="QZI113" s="139"/>
      <c r="QZJ113" s="139"/>
      <c r="QZK113" s="139"/>
      <c r="QZL113" s="139"/>
      <c r="QZM113" s="139"/>
      <c r="QZN113" s="139"/>
      <c r="QZO113" s="139"/>
      <c r="QZP113" s="139"/>
      <c r="QZQ113" s="139"/>
      <c r="QZR113" s="139"/>
      <c r="QZS113" s="139"/>
      <c r="QZT113" s="139"/>
      <c r="QZU113" s="139"/>
      <c r="QZV113" s="139"/>
      <c r="QZW113" s="139"/>
      <c r="QZX113" s="139"/>
      <c r="QZY113" s="139"/>
      <c r="QZZ113" s="139"/>
      <c r="RAA113" s="139"/>
      <c r="RAB113" s="139"/>
      <c r="RAC113" s="139"/>
      <c r="RAD113" s="139"/>
      <c r="RAE113" s="139"/>
      <c r="RAF113" s="139"/>
      <c r="RAG113" s="139"/>
      <c r="RAH113" s="139"/>
      <c r="RAI113" s="139"/>
      <c r="RAJ113" s="139"/>
      <c r="RAK113" s="139"/>
      <c r="RAL113" s="139"/>
      <c r="RAM113" s="139"/>
      <c r="RAN113" s="139"/>
      <c r="RAO113" s="139"/>
      <c r="RAP113" s="139"/>
      <c r="RAQ113" s="139"/>
      <c r="RAR113" s="139"/>
      <c r="RAS113" s="139"/>
      <c r="RAT113" s="139"/>
      <c r="RAU113" s="139"/>
      <c r="RAV113" s="139"/>
      <c r="RAW113" s="139"/>
      <c r="RAX113" s="139"/>
      <c r="RAY113" s="139"/>
      <c r="RAZ113" s="139"/>
      <c r="RBA113" s="139"/>
      <c r="RBB113" s="139"/>
      <c r="RBC113" s="139"/>
      <c r="RBD113" s="139"/>
      <c r="RBE113" s="139"/>
      <c r="RBF113" s="139"/>
      <c r="RBG113" s="139"/>
      <c r="RBH113" s="139"/>
      <c r="RBI113" s="139"/>
      <c r="RBJ113" s="139"/>
      <c r="RBK113" s="139"/>
      <c r="RBL113" s="139"/>
      <c r="RBM113" s="139"/>
      <c r="RBN113" s="139"/>
      <c r="RBO113" s="139"/>
      <c r="RBP113" s="139"/>
      <c r="RBQ113" s="139"/>
      <c r="RBR113" s="139"/>
      <c r="RBS113" s="139"/>
      <c r="RBT113" s="139"/>
      <c r="RBU113" s="139"/>
      <c r="RBV113" s="139"/>
      <c r="RBW113" s="139"/>
      <c r="RBX113" s="139"/>
      <c r="RBY113" s="139"/>
      <c r="RBZ113" s="139"/>
      <c r="RCA113" s="139"/>
      <c r="RCB113" s="139"/>
      <c r="RCC113" s="139"/>
      <c r="RCD113" s="139"/>
      <c r="RCE113" s="139"/>
      <c r="RCF113" s="139"/>
      <c r="RCG113" s="139"/>
      <c r="RCH113" s="139"/>
      <c r="RCI113" s="139"/>
      <c r="RCJ113" s="139"/>
      <c r="RCK113" s="139"/>
      <c r="RCL113" s="139"/>
      <c r="RCM113" s="139"/>
      <c r="RCN113" s="139"/>
      <c r="RCO113" s="139"/>
      <c r="RCP113" s="139"/>
      <c r="RCQ113" s="139"/>
      <c r="RCR113" s="139"/>
      <c r="RCS113" s="139"/>
      <c r="RCT113" s="139"/>
      <c r="RCU113" s="139"/>
      <c r="RCV113" s="139"/>
      <c r="RCW113" s="139"/>
      <c r="RCX113" s="139"/>
      <c r="RCY113" s="139"/>
      <c r="RCZ113" s="139"/>
      <c r="RDA113" s="139"/>
      <c r="RDB113" s="139"/>
      <c r="RDC113" s="139"/>
      <c r="RDD113" s="139"/>
      <c r="RDE113" s="139"/>
      <c r="RDF113" s="139"/>
      <c r="RDG113" s="139"/>
      <c r="RDH113" s="139"/>
      <c r="RDI113" s="139"/>
      <c r="RDJ113" s="139"/>
      <c r="RDK113" s="139"/>
      <c r="RDL113" s="139"/>
      <c r="RDM113" s="139"/>
      <c r="RDN113" s="139"/>
      <c r="RDO113" s="139"/>
      <c r="RDP113" s="139"/>
      <c r="RDQ113" s="139"/>
      <c r="RDR113" s="139"/>
      <c r="RDS113" s="139"/>
      <c r="RDT113" s="139"/>
      <c r="RDU113" s="139"/>
      <c r="RDV113" s="139"/>
      <c r="RDW113" s="139"/>
      <c r="RDX113" s="139"/>
      <c r="RDY113" s="139"/>
      <c r="RDZ113" s="139"/>
      <c r="REA113" s="139"/>
      <c r="REB113" s="139"/>
      <c r="REC113" s="139"/>
      <c r="RED113" s="139"/>
      <c r="REE113" s="139"/>
      <c r="REF113" s="139"/>
      <c r="REG113" s="139"/>
      <c r="REH113" s="139"/>
      <c r="REI113" s="139"/>
      <c r="REJ113" s="139"/>
      <c r="REK113" s="139"/>
      <c r="REL113" s="139"/>
      <c r="REM113" s="139"/>
      <c r="REN113" s="139"/>
      <c r="REO113" s="139"/>
      <c r="REP113" s="139"/>
      <c r="REQ113" s="139"/>
      <c r="RER113" s="139"/>
      <c r="RES113" s="139"/>
      <c r="RET113" s="139"/>
      <c r="REU113" s="139"/>
      <c r="REV113" s="139"/>
      <c r="REW113" s="139"/>
      <c r="REX113" s="139"/>
      <c r="REY113" s="139"/>
      <c r="REZ113" s="139"/>
      <c r="RFA113" s="139"/>
      <c r="RFB113" s="139"/>
      <c r="RFC113" s="139"/>
      <c r="RFD113" s="139"/>
      <c r="RFE113" s="139"/>
      <c r="RFF113" s="139"/>
      <c r="RFG113" s="139"/>
      <c r="RFH113" s="139"/>
      <c r="RFI113" s="139"/>
      <c r="RFJ113" s="139"/>
      <c r="RFK113" s="139"/>
      <c r="RFL113" s="139"/>
      <c r="RFM113" s="139"/>
      <c r="RFN113" s="139"/>
      <c r="RFO113" s="139"/>
      <c r="RFP113" s="139"/>
      <c r="RFQ113" s="139"/>
      <c r="RFR113" s="139"/>
      <c r="RFS113" s="139"/>
      <c r="RFT113" s="139"/>
      <c r="RFU113" s="139"/>
      <c r="RFV113" s="139"/>
      <c r="RFW113" s="139"/>
      <c r="RFX113" s="139"/>
      <c r="RFY113" s="139"/>
      <c r="RFZ113" s="139"/>
      <c r="RGA113" s="139"/>
      <c r="RGB113" s="139"/>
      <c r="RGC113" s="139"/>
      <c r="RGD113" s="139"/>
      <c r="RGE113" s="139"/>
      <c r="RGF113" s="139"/>
      <c r="RGG113" s="139"/>
      <c r="RGH113" s="139"/>
      <c r="RGI113" s="139"/>
      <c r="RGJ113" s="139"/>
      <c r="RGK113" s="139"/>
      <c r="RGL113" s="139"/>
      <c r="RGM113" s="139"/>
      <c r="RGN113" s="139"/>
      <c r="RGO113" s="139"/>
      <c r="RGP113" s="139"/>
      <c r="RGQ113" s="139"/>
      <c r="RGR113" s="139"/>
      <c r="RGS113" s="139"/>
      <c r="RGT113" s="139"/>
      <c r="RGU113" s="139"/>
      <c r="RGV113" s="139"/>
      <c r="RGW113" s="139"/>
      <c r="RGX113" s="139"/>
      <c r="RGY113" s="139"/>
      <c r="RGZ113" s="139"/>
      <c r="RHA113" s="139"/>
      <c r="RHB113" s="139"/>
      <c r="RHC113" s="139"/>
      <c r="RHD113" s="139"/>
      <c r="RHE113" s="139"/>
      <c r="RHF113" s="139"/>
      <c r="RHG113" s="139"/>
      <c r="RHH113" s="139"/>
      <c r="RHI113" s="139"/>
      <c r="RHJ113" s="139"/>
      <c r="RHK113" s="139"/>
      <c r="RHL113" s="139"/>
      <c r="RHM113" s="139"/>
      <c r="RHN113" s="139"/>
      <c r="RHO113" s="139"/>
      <c r="RHP113" s="139"/>
      <c r="RHQ113" s="139"/>
      <c r="RHR113" s="139"/>
      <c r="RHS113" s="139"/>
      <c r="RHT113" s="139"/>
      <c r="RHU113" s="139"/>
      <c r="RHV113" s="139"/>
      <c r="RHW113" s="139"/>
      <c r="RHX113" s="139"/>
      <c r="RHY113" s="139"/>
      <c r="RHZ113" s="139"/>
      <c r="RIA113" s="139"/>
      <c r="RIB113" s="139"/>
      <c r="RIC113" s="139"/>
      <c r="RID113" s="139"/>
      <c r="RIE113" s="139"/>
      <c r="RIF113" s="139"/>
      <c r="RIG113" s="139"/>
      <c r="RIH113" s="139"/>
      <c r="RII113" s="139"/>
      <c r="RIJ113" s="139"/>
      <c r="RIK113" s="139"/>
      <c r="RIL113" s="139"/>
      <c r="RIM113" s="139"/>
      <c r="RIN113" s="139"/>
      <c r="RIO113" s="139"/>
      <c r="RIP113" s="139"/>
      <c r="RIQ113" s="139"/>
      <c r="RIR113" s="139"/>
      <c r="RIS113" s="139"/>
      <c r="RIT113" s="139"/>
      <c r="RIU113" s="139"/>
      <c r="RIV113" s="139"/>
      <c r="RIW113" s="139"/>
      <c r="RIX113" s="139"/>
      <c r="RIY113" s="139"/>
      <c r="RIZ113" s="139"/>
      <c r="RJA113" s="139"/>
      <c r="RJB113" s="139"/>
      <c r="RJC113" s="139"/>
      <c r="RJD113" s="139"/>
      <c r="RJE113" s="139"/>
      <c r="RJF113" s="139"/>
      <c r="RJG113" s="139"/>
      <c r="RJH113" s="139"/>
      <c r="RJI113" s="139"/>
      <c r="RJJ113" s="139"/>
      <c r="RJK113" s="139"/>
      <c r="RJL113" s="139"/>
      <c r="RJM113" s="139"/>
      <c r="RJN113" s="139"/>
      <c r="RJO113" s="139"/>
      <c r="RJP113" s="139"/>
      <c r="RJQ113" s="139"/>
      <c r="RJR113" s="139"/>
      <c r="RJS113" s="139"/>
      <c r="RJT113" s="139"/>
      <c r="RJU113" s="139"/>
      <c r="RJV113" s="139"/>
      <c r="RJW113" s="139"/>
      <c r="RJX113" s="139"/>
      <c r="RJY113" s="139"/>
      <c r="RJZ113" s="139"/>
      <c r="RKA113" s="139"/>
      <c r="RKB113" s="139"/>
      <c r="RKC113" s="139"/>
      <c r="RKD113" s="139"/>
      <c r="RKE113" s="139"/>
      <c r="RKF113" s="139"/>
      <c r="RKG113" s="139"/>
      <c r="RKH113" s="139"/>
      <c r="RKI113" s="139"/>
      <c r="RKJ113" s="139"/>
      <c r="RKK113" s="139"/>
      <c r="RKL113" s="139"/>
      <c r="RKM113" s="139"/>
      <c r="RKN113" s="139"/>
      <c r="RKO113" s="139"/>
      <c r="RKP113" s="139"/>
      <c r="RKQ113" s="139"/>
      <c r="RKR113" s="139"/>
      <c r="RKS113" s="139"/>
      <c r="RKT113" s="139"/>
      <c r="RKU113" s="139"/>
      <c r="RKV113" s="139"/>
      <c r="RKW113" s="139"/>
      <c r="RKX113" s="139"/>
      <c r="RKY113" s="139"/>
      <c r="RKZ113" s="139"/>
      <c r="RLA113" s="139"/>
      <c r="RLB113" s="139"/>
      <c r="RLC113" s="139"/>
      <c r="RLD113" s="139"/>
      <c r="RLE113" s="139"/>
      <c r="RLF113" s="139"/>
      <c r="RLG113" s="139"/>
      <c r="RLH113" s="139"/>
      <c r="RLI113" s="139"/>
      <c r="RLJ113" s="139"/>
      <c r="RLK113" s="139"/>
      <c r="RLL113" s="139"/>
      <c r="RLM113" s="139"/>
      <c r="RLN113" s="139"/>
      <c r="RLO113" s="139"/>
      <c r="RLP113" s="139"/>
      <c r="RLQ113" s="139"/>
      <c r="RLR113" s="139"/>
      <c r="RLS113" s="139"/>
      <c r="RLT113" s="139"/>
      <c r="RLU113" s="139"/>
      <c r="RLV113" s="139"/>
      <c r="RLW113" s="139"/>
      <c r="RLX113" s="139"/>
      <c r="RLY113" s="139"/>
      <c r="RLZ113" s="139"/>
      <c r="RMA113" s="139"/>
      <c r="RMB113" s="139"/>
      <c r="RMC113" s="139"/>
      <c r="RMD113" s="139"/>
      <c r="RME113" s="139"/>
      <c r="RMF113" s="139"/>
      <c r="RMG113" s="139"/>
      <c r="RMH113" s="139"/>
      <c r="RMI113" s="139"/>
      <c r="RMJ113" s="139"/>
      <c r="RMK113" s="139"/>
      <c r="RML113" s="139"/>
      <c r="RMM113" s="139"/>
      <c r="RMN113" s="139"/>
      <c r="RMO113" s="139"/>
      <c r="RMP113" s="139"/>
      <c r="RMQ113" s="139"/>
      <c r="RMR113" s="139"/>
      <c r="RMS113" s="139"/>
      <c r="RMT113" s="139"/>
      <c r="RMU113" s="139"/>
      <c r="RMV113" s="139"/>
      <c r="RMW113" s="139"/>
      <c r="RMX113" s="139"/>
      <c r="RMY113" s="139"/>
      <c r="RMZ113" s="139"/>
      <c r="RNA113" s="139"/>
      <c r="RNB113" s="139"/>
      <c r="RNC113" s="139"/>
      <c r="RND113" s="139"/>
      <c r="RNE113" s="139"/>
      <c r="RNF113" s="139"/>
      <c r="RNG113" s="139"/>
      <c r="RNH113" s="139"/>
      <c r="RNI113" s="139"/>
      <c r="RNJ113" s="139"/>
      <c r="RNK113" s="139"/>
      <c r="RNL113" s="139"/>
      <c r="RNM113" s="139"/>
      <c r="RNN113" s="139"/>
      <c r="RNO113" s="139"/>
      <c r="RNP113" s="139"/>
      <c r="RNQ113" s="139"/>
      <c r="RNR113" s="139"/>
      <c r="RNS113" s="139"/>
      <c r="RNT113" s="139"/>
      <c r="RNU113" s="139"/>
      <c r="RNV113" s="139"/>
      <c r="RNW113" s="139"/>
      <c r="RNX113" s="139"/>
      <c r="RNY113" s="139"/>
      <c r="RNZ113" s="139"/>
      <c r="ROA113" s="139"/>
      <c r="ROB113" s="139"/>
      <c r="ROC113" s="139"/>
      <c r="ROD113" s="139"/>
      <c r="ROE113" s="139"/>
      <c r="ROF113" s="139"/>
      <c r="ROG113" s="139"/>
      <c r="ROH113" s="139"/>
      <c r="ROI113" s="139"/>
      <c r="ROJ113" s="139"/>
      <c r="ROK113" s="139"/>
      <c r="ROL113" s="139"/>
      <c r="ROM113" s="139"/>
      <c r="RON113" s="139"/>
      <c r="ROO113" s="139"/>
      <c r="ROP113" s="139"/>
      <c r="ROQ113" s="139"/>
      <c r="ROR113" s="139"/>
      <c r="ROS113" s="139"/>
      <c r="ROT113" s="139"/>
      <c r="ROU113" s="139"/>
      <c r="ROV113" s="139"/>
      <c r="ROW113" s="139"/>
      <c r="ROX113" s="139"/>
      <c r="ROY113" s="139"/>
      <c r="ROZ113" s="139"/>
      <c r="RPA113" s="139"/>
      <c r="RPB113" s="139"/>
      <c r="RPC113" s="139"/>
      <c r="RPD113" s="139"/>
      <c r="RPE113" s="139"/>
      <c r="RPF113" s="139"/>
      <c r="RPG113" s="139"/>
      <c r="RPH113" s="139"/>
      <c r="RPI113" s="139"/>
      <c r="RPJ113" s="139"/>
      <c r="RPK113" s="139"/>
      <c r="RPL113" s="139"/>
      <c r="RPM113" s="139"/>
      <c r="RPN113" s="139"/>
      <c r="RPO113" s="139"/>
      <c r="RPP113" s="139"/>
      <c r="RPQ113" s="139"/>
      <c r="RPR113" s="139"/>
      <c r="RPS113" s="139"/>
      <c r="RPT113" s="139"/>
      <c r="RPU113" s="139"/>
      <c r="RPV113" s="139"/>
      <c r="RPW113" s="139"/>
      <c r="RPX113" s="139"/>
      <c r="RPY113" s="139"/>
      <c r="RPZ113" s="139"/>
      <c r="RQA113" s="139"/>
      <c r="RQB113" s="139"/>
      <c r="RQC113" s="139"/>
      <c r="RQD113" s="139"/>
      <c r="RQE113" s="139"/>
      <c r="RQF113" s="139"/>
      <c r="RQG113" s="139"/>
      <c r="RQH113" s="139"/>
      <c r="RQI113" s="139"/>
      <c r="RQJ113" s="139"/>
      <c r="RQK113" s="139"/>
      <c r="RQL113" s="139"/>
      <c r="RQM113" s="139"/>
      <c r="RQN113" s="139"/>
      <c r="RQO113" s="139"/>
      <c r="RQP113" s="139"/>
      <c r="RQQ113" s="139"/>
      <c r="RQR113" s="139"/>
      <c r="RQS113" s="139"/>
      <c r="RQT113" s="139"/>
      <c r="RQU113" s="139"/>
      <c r="RQV113" s="139"/>
      <c r="RQW113" s="139"/>
      <c r="RQX113" s="139"/>
      <c r="RQY113" s="139"/>
      <c r="RQZ113" s="139"/>
      <c r="RRA113" s="139"/>
      <c r="RRB113" s="139"/>
      <c r="RRC113" s="139"/>
      <c r="RRD113" s="139"/>
      <c r="RRE113" s="139"/>
      <c r="RRF113" s="139"/>
      <c r="RRG113" s="139"/>
      <c r="RRH113" s="139"/>
      <c r="RRI113" s="139"/>
      <c r="RRJ113" s="139"/>
      <c r="RRK113" s="139"/>
      <c r="RRL113" s="139"/>
      <c r="RRM113" s="139"/>
      <c r="RRN113" s="139"/>
      <c r="RRO113" s="139"/>
      <c r="RRP113" s="139"/>
      <c r="RRQ113" s="139"/>
      <c r="RRR113" s="139"/>
      <c r="RRS113" s="139"/>
      <c r="RRT113" s="139"/>
      <c r="RRU113" s="139"/>
      <c r="RRV113" s="139"/>
      <c r="RRW113" s="139"/>
      <c r="RRX113" s="139"/>
      <c r="RRY113" s="139"/>
      <c r="RRZ113" s="139"/>
      <c r="RSA113" s="139"/>
      <c r="RSB113" s="139"/>
      <c r="RSC113" s="139"/>
      <c r="RSD113" s="139"/>
      <c r="RSE113" s="139"/>
      <c r="RSF113" s="139"/>
      <c r="RSG113" s="139"/>
      <c r="RSH113" s="139"/>
      <c r="RSI113" s="139"/>
      <c r="RSJ113" s="139"/>
      <c r="RSK113" s="139"/>
      <c r="RSL113" s="139"/>
      <c r="RSM113" s="139"/>
      <c r="RSN113" s="139"/>
      <c r="RSO113" s="139"/>
      <c r="RSP113" s="139"/>
      <c r="RSQ113" s="139"/>
      <c r="RSR113" s="139"/>
      <c r="RSS113" s="139"/>
      <c r="RST113" s="139"/>
      <c r="RSU113" s="139"/>
      <c r="RSV113" s="139"/>
      <c r="RSW113" s="139"/>
      <c r="RSX113" s="139"/>
      <c r="RSY113" s="139"/>
      <c r="RSZ113" s="139"/>
      <c r="RTA113" s="139"/>
      <c r="RTB113" s="139"/>
      <c r="RTC113" s="139"/>
      <c r="RTD113" s="139"/>
      <c r="RTE113" s="139"/>
      <c r="RTF113" s="139"/>
      <c r="RTG113" s="139"/>
      <c r="RTH113" s="139"/>
      <c r="RTI113" s="139"/>
      <c r="RTJ113" s="139"/>
      <c r="RTK113" s="139"/>
      <c r="RTL113" s="139"/>
      <c r="RTM113" s="139"/>
      <c r="RTN113" s="139"/>
      <c r="RTO113" s="139"/>
      <c r="RTP113" s="139"/>
      <c r="RTQ113" s="139"/>
      <c r="RTR113" s="139"/>
      <c r="RTS113" s="139"/>
      <c r="RTT113" s="139"/>
      <c r="RTU113" s="139"/>
      <c r="RTV113" s="139"/>
      <c r="RTW113" s="139"/>
      <c r="RTX113" s="139"/>
      <c r="RTY113" s="139"/>
      <c r="RTZ113" s="139"/>
      <c r="RUA113" s="139"/>
      <c r="RUB113" s="139"/>
      <c r="RUC113" s="139"/>
      <c r="RUD113" s="139"/>
      <c r="RUE113" s="139"/>
      <c r="RUF113" s="139"/>
      <c r="RUG113" s="139"/>
      <c r="RUH113" s="139"/>
      <c r="RUI113" s="139"/>
      <c r="RUJ113" s="139"/>
      <c r="RUK113" s="139"/>
      <c r="RUL113" s="139"/>
      <c r="RUM113" s="139"/>
      <c r="RUN113" s="139"/>
      <c r="RUO113" s="139"/>
      <c r="RUP113" s="139"/>
      <c r="RUQ113" s="139"/>
      <c r="RUR113" s="139"/>
      <c r="RUS113" s="139"/>
      <c r="RUT113" s="139"/>
      <c r="RUU113" s="139"/>
      <c r="RUV113" s="139"/>
      <c r="RUW113" s="139"/>
      <c r="RUX113" s="139"/>
      <c r="RUY113" s="139"/>
      <c r="RUZ113" s="139"/>
      <c r="RVA113" s="139"/>
      <c r="RVB113" s="139"/>
      <c r="RVC113" s="139"/>
      <c r="RVD113" s="139"/>
      <c r="RVE113" s="139"/>
      <c r="RVF113" s="139"/>
      <c r="RVG113" s="139"/>
      <c r="RVH113" s="139"/>
      <c r="RVI113" s="139"/>
      <c r="RVJ113" s="139"/>
      <c r="RVK113" s="139"/>
      <c r="RVL113" s="139"/>
      <c r="RVM113" s="139"/>
      <c r="RVN113" s="139"/>
      <c r="RVO113" s="139"/>
      <c r="RVP113" s="139"/>
      <c r="RVQ113" s="139"/>
      <c r="RVR113" s="139"/>
      <c r="RVS113" s="139"/>
      <c r="RVT113" s="139"/>
      <c r="RVU113" s="139"/>
      <c r="RVV113" s="139"/>
      <c r="RVW113" s="139"/>
      <c r="RVX113" s="139"/>
      <c r="RVY113" s="139"/>
      <c r="RVZ113" s="139"/>
      <c r="RWA113" s="139"/>
      <c r="RWB113" s="139"/>
      <c r="RWC113" s="139"/>
      <c r="RWD113" s="139"/>
      <c r="RWE113" s="139"/>
      <c r="RWF113" s="139"/>
      <c r="RWG113" s="139"/>
      <c r="RWH113" s="139"/>
      <c r="RWI113" s="139"/>
      <c r="RWJ113" s="139"/>
      <c r="RWK113" s="139"/>
      <c r="RWL113" s="139"/>
      <c r="RWM113" s="139"/>
      <c r="RWN113" s="139"/>
      <c r="RWO113" s="139"/>
      <c r="RWP113" s="139"/>
      <c r="RWQ113" s="139"/>
      <c r="RWR113" s="139"/>
      <c r="RWS113" s="139"/>
      <c r="RWT113" s="139"/>
      <c r="RWU113" s="139"/>
      <c r="RWV113" s="139"/>
      <c r="RWW113" s="139"/>
      <c r="RWX113" s="139"/>
      <c r="RWY113" s="139"/>
      <c r="RWZ113" s="139"/>
      <c r="RXA113" s="139"/>
      <c r="RXB113" s="139"/>
      <c r="RXC113" s="139"/>
      <c r="RXD113" s="139"/>
      <c r="RXE113" s="139"/>
      <c r="RXF113" s="139"/>
      <c r="RXG113" s="139"/>
      <c r="RXH113" s="139"/>
      <c r="RXI113" s="139"/>
      <c r="RXJ113" s="139"/>
      <c r="RXK113" s="139"/>
      <c r="RXL113" s="139"/>
      <c r="RXM113" s="139"/>
      <c r="RXN113" s="139"/>
      <c r="RXO113" s="139"/>
      <c r="RXP113" s="139"/>
      <c r="RXQ113" s="139"/>
      <c r="RXR113" s="139"/>
      <c r="RXS113" s="139"/>
      <c r="RXT113" s="139"/>
      <c r="RXU113" s="139"/>
      <c r="RXV113" s="139"/>
      <c r="RXW113" s="139"/>
      <c r="RXX113" s="139"/>
      <c r="RXY113" s="139"/>
      <c r="RXZ113" s="139"/>
      <c r="RYA113" s="139"/>
      <c r="RYB113" s="139"/>
      <c r="RYC113" s="139"/>
      <c r="RYD113" s="139"/>
      <c r="RYE113" s="139"/>
      <c r="RYF113" s="139"/>
      <c r="RYG113" s="139"/>
      <c r="RYH113" s="139"/>
      <c r="RYI113" s="139"/>
      <c r="RYJ113" s="139"/>
      <c r="RYK113" s="139"/>
      <c r="RYL113" s="139"/>
      <c r="RYM113" s="139"/>
      <c r="RYN113" s="139"/>
      <c r="RYO113" s="139"/>
      <c r="RYP113" s="139"/>
      <c r="RYQ113" s="139"/>
      <c r="RYR113" s="139"/>
      <c r="RYS113" s="139"/>
      <c r="RYT113" s="139"/>
      <c r="RYU113" s="139"/>
      <c r="RYV113" s="139"/>
      <c r="RYW113" s="139"/>
      <c r="RYX113" s="139"/>
      <c r="RYY113" s="139"/>
      <c r="RYZ113" s="139"/>
      <c r="RZA113" s="139"/>
      <c r="RZB113" s="139"/>
      <c r="RZC113" s="139"/>
      <c r="RZD113" s="139"/>
      <c r="RZE113" s="139"/>
      <c r="RZF113" s="139"/>
      <c r="RZG113" s="139"/>
      <c r="RZH113" s="139"/>
      <c r="RZI113" s="139"/>
      <c r="RZJ113" s="139"/>
      <c r="RZK113" s="139"/>
      <c r="RZL113" s="139"/>
      <c r="RZM113" s="139"/>
      <c r="RZN113" s="139"/>
      <c r="RZO113" s="139"/>
      <c r="RZP113" s="139"/>
      <c r="RZQ113" s="139"/>
      <c r="RZR113" s="139"/>
      <c r="RZS113" s="139"/>
      <c r="RZT113" s="139"/>
      <c r="RZU113" s="139"/>
      <c r="RZV113" s="139"/>
      <c r="RZW113" s="139"/>
      <c r="RZX113" s="139"/>
      <c r="RZY113" s="139"/>
      <c r="RZZ113" s="139"/>
      <c r="SAA113" s="139"/>
      <c r="SAB113" s="139"/>
      <c r="SAC113" s="139"/>
      <c r="SAD113" s="139"/>
      <c r="SAE113" s="139"/>
      <c r="SAF113" s="139"/>
      <c r="SAG113" s="139"/>
      <c r="SAH113" s="139"/>
      <c r="SAI113" s="139"/>
      <c r="SAJ113" s="139"/>
      <c r="SAK113" s="139"/>
      <c r="SAL113" s="139"/>
      <c r="SAM113" s="139"/>
      <c r="SAN113" s="139"/>
      <c r="SAO113" s="139"/>
      <c r="SAP113" s="139"/>
      <c r="SAQ113" s="139"/>
      <c r="SAR113" s="139"/>
      <c r="SAS113" s="139"/>
      <c r="SAT113" s="139"/>
      <c r="SAU113" s="139"/>
      <c r="SAV113" s="139"/>
      <c r="SAW113" s="139"/>
      <c r="SAX113" s="139"/>
      <c r="SAY113" s="139"/>
      <c r="SAZ113" s="139"/>
      <c r="SBA113" s="139"/>
      <c r="SBB113" s="139"/>
      <c r="SBC113" s="139"/>
      <c r="SBD113" s="139"/>
      <c r="SBE113" s="139"/>
      <c r="SBF113" s="139"/>
      <c r="SBG113" s="139"/>
      <c r="SBH113" s="139"/>
      <c r="SBI113" s="139"/>
      <c r="SBJ113" s="139"/>
      <c r="SBK113" s="139"/>
      <c r="SBL113" s="139"/>
      <c r="SBM113" s="139"/>
      <c r="SBN113" s="139"/>
      <c r="SBO113" s="139"/>
      <c r="SBP113" s="139"/>
      <c r="SBQ113" s="139"/>
      <c r="SBR113" s="139"/>
      <c r="SBS113" s="139"/>
      <c r="SBT113" s="139"/>
      <c r="SBU113" s="139"/>
      <c r="SBV113" s="139"/>
      <c r="SBW113" s="139"/>
      <c r="SBX113" s="139"/>
      <c r="SBY113" s="139"/>
      <c r="SBZ113" s="139"/>
      <c r="SCA113" s="139"/>
      <c r="SCB113" s="139"/>
      <c r="SCC113" s="139"/>
      <c r="SCD113" s="139"/>
      <c r="SCE113" s="139"/>
      <c r="SCF113" s="139"/>
      <c r="SCG113" s="139"/>
      <c r="SCH113" s="139"/>
      <c r="SCI113" s="139"/>
      <c r="SCJ113" s="139"/>
      <c r="SCK113" s="139"/>
      <c r="SCL113" s="139"/>
      <c r="SCM113" s="139"/>
      <c r="SCN113" s="139"/>
      <c r="SCO113" s="139"/>
      <c r="SCP113" s="139"/>
      <c r="SCQ113" s="139"/>
      <c r="SCR113" s="139"/>
      <c r="SCS113" s="139"/>
      <c r="SCT113" s="139"/>
      <c r="SCU113" s="139"/>
      <c r="SCV113" s="139"/>
      <c r="SCW113" s="139"/>
      <c r="SCX113" s="139"/>
      <c r="SCY113" s="139"/>
      <c r="SCZ113" s="139"/>
      <c r="SDA113" s="139"/>
      <c r="SDB113" s="139"/>
      <c r="SDC113" s="139"/>
      <c r="SDD113" s="139"/>
      <c r="SDE113" s="139"/>
      <c r="SDF113" s="139"/>
      <c r="SDG113" s="139"/>
      <c r="SDH113" s="139"/>
      <c r="SDI113" s="139"/>
      <c r="SDJ113" s="139"/>
      <c r="SDK113" s="139"/>
      <c r="SDL113" s="139"/>
      <c r="SDM113" s="139"/>
      <c r="SDN113" s="139"/>
      <c r="SDO113" s="139"/>
      <c r="SDP113" s="139"/>
      <c r="SDQ113" s="139"/>
      <c r="SDR113" s="139"/>
      <c r="SDS113" s="139"/>
      <c r="SDT113" s="139"/>
      <c r="SDU113" s="139"/>
      <c r="SDV113" s="139"/>
      <c r="SDW113" s="139"/>
      <c r="SDX113" s="139"/>
      <c r="SDY113" s="139"/>
      <c r="SDZ113" s="139"/>
      <c r="SEA113" s="139"/>
      <c r="SEB113" s="139"/>
      <c r="SEC113" s="139"/>
      <c r="SED113" s="139"/>
      <c r="SEE113" s="139"/>
      <c r="SEF113" s="139"/>
      <c r="SEG113" s="139"/>
      <c r="SEH113" s="139"/>
      <c r="SEI113" s="139"/>
      <c r="SEJ113" s="139"/>
      <c r="SEK113" s="139"/>
      <c r="SEL113" s="139"/>
      <c r="SEM113" s="139"/>
      <c r="SEN113" s="139"/>
      <c r="SEO113" s="139"/>
      <c r="SEP113" s="139"/>
      <c r="SEQ113" s="139"/>
      <c r="SER113" s="139"/>
      <c r="SES113" s="139"/>
      <c r="SET113" s="139"/>
      <c r="SEU113" s="139"/>
      <c r="SEV113" s="139"/>
      <c r="SEW113" s="139"/>
      <c r="SEX113" s="139"/>
      <c r="SEY113" s="139"/>
      <c r="SEZ113" s="139"/>
      <c r="SFA113" s="139"/>
      <c r="SFB113" s="139"/>
      <c r="SFC113" s="139"/>
      <c r="SFD113" s="139"/>
      <c r="SFE113" s="139"/>
      <c r="SFF113" s="139"/>
      <c r="SFG113" s="139"/>
      <c r="SFH113" s="139"/>
      <c r="SFI113" s="139"/>
      <c r="SFJ113" s="139"/>
      <c r="SFK113" s="139"/>
      <c r="SFL113" s="139"/>
      <c r="SFM113" s="139"/>
      <c r="SFN113" s="139"/>
      <c r="SFO113" s="139"/>
      <c r="SFP113" s="139"/>
      <c r="SFQ113" s="139"/>
      <c r="SFR113" s="139"/>
      <c r="SFS113" s="139"/>
      <c r="SFT113" s="139"/>
      <c r="SFU113" s="139"/>
      <c r="SFV113" s="139"/>
      <c r="SFW113" s="139"/>
      <c r="SFX113" s="139"/>
      <c r="SFY113" s="139"/>
      <c r="SFZ113" s="139"/>
      <c r="SGA113" s="139"/>
      <c r="SGB113" s="139"/>
      <c r="SGC113" s="139"/>
      <c r="SGD113" s="139"/>
      <c r="SGE113" s="139"/>
      <c r="SGF113" s="139"/>
      <c r="SGG113" s="139"/>
      <c r="SGH113" s="139"/>
      <c r="SGI113" s="139"/>
      <c r="SGJ113" s="139"/>
      <c r="SGK113" s="139"/>
      <c r="SGL113" s="139"/>
      <c r="SGM113" s="139"/>
      <c r="SGN113" s="139"/>
      <c r="SGO113" s="139"/>
      <c r="SGP113" s="139"/>
      <c r="SGQ113" s="139"/>
      <c r="SGR113" s="139"/>
      <c r="SGS113" s="139"/>
      <c r="SGT113" s="139"/>
      <c r="SGU113" s="139"/>
      <c r="SGV113" s="139"/>
      <c r="SGW113" s="139"/>
      <c r="SGX113" s="139"/>
      <c r="SGY113" s="139"/>
      <c r="SGZ113" s="139"/>
      <c r="SHA113" s="139"/>
      <c r="SHB113" s="139"/>
      <c r="SHC113" s="139"/>
      <c r="SHD113" s="139"/>
      <c r="SHE113" s="139"/>
      <c r="SHF113" s="139"/>
      <c r="SHG113" s="139"/>
      <c r="SHH113" s="139"/>
      <c r="SHI113" s="139"/>
      <c r="SHJ113" s="139"/>
      <c r="SHK113" s="139"/>
      <c r="SHL113" s="139"/>
      <c r="SHM113" s="139"/>
      <c r="SHN113" s="139"/>
      <c r="SHO113" s="139"/>
      <c r="SHP113" s="139"/>
      <c r="SHQ113" s="139"/>
      <c r="SHR113" s="139"/>
      <c r="SHS113" s="139"/>
      <c r="SHT113" s="139"/>
      <c r="SHU113" s="139"/>
      <c r="SHV113" s="139"/>
      <c r="SHW113" s="139"/>
      <c r="SHX113" s="139"/>
      <c r="SHY113" s="139"/>
      <c r="SHZ113" s="139"/>
      <c r="SIA113" s="139"/>
      <c r="SIB113" s="139"/>
      <c r="SIC113" s="139"/>
      <c r="SID113" s="139"/>
      <c r="SIE113" s="139"/>
      <c r="SIF113" s="139"/>
      <c r="SIG113" s="139"/>
      <c r="SIH113" s="139"/>
      <c r="SII113" s="139"/>
      <c r="SIJ113" s="139"/>
      <c r="SIK113" s="139"/>
      <c r="SIL113" s="139"/>
      <c r="SIM113" s="139"/>
      <c r="SIN113" s="139"/>
      <c r="SIO113" s="139"/>
      <c r="SIP113" s="139"/>
      <c r="SIQ113" s="139"/>
      <c r="SIR113" s="139"/>
      <c r="SIS113" s="139"/>
      <c r="SIT113" s="139"/>
      <c r="SIU113" s="139"/>
      <c r="SIV113" s="139"/>
      <c r="SIW113" s="139"/>
      <c r="SIX113" s="139"/>
      <c r="SIY113" s="139"/>
      <c r="SIZ113" s="139"/>
      <c r="SJA113" s="139"/>
      <c r="SJB113" s="139"/>
      <c r="SJC113" s="139"/>
      <c r="SJD113" s="139"/>
      <c r="SJE113" s="139"/>
      <c r="SJF113" s="139"/>
      <c r="SJG113" s="139"/>
      <c r="SJH113" s="139"/>
      <c r="SJI113" s="139"/>
      <c r="SJJ113" s="139"/>
      <c r="SJK113" s="139"/>
      <c r="SJL113" s="139"/>
      <c r="SJM113" s="139"/>
      <c r="SJN113" s="139"/>
      <c r="SJO113" s="139"/>
      <c r="SJP113" s="139"/>
      <c r="SJQ113" s="139"/>
      <c r="SJR113" s="139"/>
      <c r="SJS113" s="139"/>
      <c r="SJT113" s="139"/>
      <c r="SJU113" s="139"/>
      <c r="SJV113" s="139"/>
      <c r="SJW113" s="139"/>
      <c r="SJX113" s="139"/>
      <c r="SJY113" s="139"/>
      <c r="SJZ113" s="139"/>
      <c r="SKA113" s="139"/>
      <c r="SKB113" s="139"/>
      <c r="SKC113" s="139"/>
      <c r="SKD113" s="139"/>
      <c r="SKE113" s="139"/>
      <c r="SKF113" s="139"/>
      <c r="SKG113" s="139"/>
      <c r="SKH113" s="139"/>
      <c r="SKI113" s="139"/>
      <c r="SKJ113" s="139"/>
      <c r="SKK113" s="139"/>
      <c r="SKL113" s="139"/>
      <c r="SKM113" s="139"/>
      <c r="SKN113" s="139"/>
      <c r="SKO113" s="139"/>
      <c r="SKP113" s="139"/>
      <c r="SKQ113" s="139"/>
      <c r="SKR113" s="139"/>
      <c r="SKS113" s="139"/>
      <c r="SKT113" s="139"/>
      <c r="SKU113" s="139"/>
      <c r="SKV113" s="139"/>
      <c r="SKW113" s="139"/>
      <c r="SKX113" s="139"/>
      <c r="SKY113" s="139"/>
      <c r="SKZ113" s="139"/>
      <c r="SLA113" s="139"/>
      <c r="SLB113" s="139"/>
      <c r="SLC113" s="139"/>
      <c r="SLD113" s="139"/>
      <c r="SLE113" s="139"/>
      <c r="SLF113" s="139"/>
      <c r="SLG113" s="139"/>
      <c r="SLH113" s="139"/>
      <c r="SLI113" s="139"/>
      <c r="SLJ113" s="139"/>
      <c r="SLK113" s="139"/>
      <c r="SLL113" s="139"/>
      <c r="SLM113" s="139"/>
      <c r="SLN113" s="139"/>
      <c r="SLO113" s="139"/>
      <c r="SLP113" s="139"/>
      <c r="SLQ113" s="139"/>
      <c r="SLR113" s="139"/>
      <c r="SLS113" s="139"/>
      <c r="SLT113" s="139"/>
      <c r="SLU113" s="139"/>
      <c r="SLV113" s="139"/>
      <c r="SLW113" s="139"/>
      <c r="SLX113" s="139"/>
      <c r="SLY113" s="139"/>
      <c r="SLZ113" s="139"/>
      <c r="SMA113" s="139"/>
      <c r="SMB113" s="139"/>
      <c r="SMC113" s="139"/>
      <c r="SMD113" s="139"/>
      <c r="SME113" s="139"/>
      <c r="SMF113" s="139"/>
      <c r="SMG113" s="139"/>
      <c r="SMH113" s="139"/>
      <c r="SMI113" s="139"/>
      <c r="SMJ113" s="139"/>
      <c r="SMK113" s="139"/>
      <c r="SML113" s="139"/>
      <c r="SMM113" s="139"/>
      <c r="SMN113" s="139"/>
      <c r="SMO113" s="139"/>
      <c r="SMP113" s="139"/>
      <c r="SMQ113" s="139"/>
      <c r="SMR113" s="139"/>
      <c r="SMS113" s="139"/>
      <c r="SMT113" s="139"/>
      <c r="SMU113" s="139"/>
      <c r="SMV113" s="139"/>
      <c r="SMW113" s="139"/>
      <c r="SMX113" s="139"/>
      <c r="SMY113" s="139"/>
      <c r="SMZ113" s="139"/>
      <c r="SNA113" s="139"/>
      <c r="SNB113" s="139"/>
      <c r="SNC113" s="139"/>
      <c r="SND113" s="139"/>
      <c r="SNE113" s="139"/>
      <c r="SNF113" s="139"/>
      <c r="SNG113" s="139"/>
      <c r="SNH113" s="139"/>
      <c r="SNI113" s="139"/>
      <c r="SNJ113" s="139"/>
      <c r="SNK113" s="139"/>
      <c r="SNL113" s="139"/>
      <c r="SNM113" s="139"/>
      <c r="SNN113" s="139"/>
      <c r="SNO113" s="139"/>
      <c r="SNP113" s="139"/>
      <c r="SNQ113" s="139"/>
      <c r="SNR113" s="139"/>
      <c r="SNS113" s="139"/>
      <c r="SNT113" s="139"/>
      <c r="SNU113" s="139"/>
      <c r="SNV113" s="139"/>
      <c r="SNW113" s="139"/>
      <c r="SNX113" s="139"/>
      <c r="SNY113" s="139"/>
      <c r="SNZ113" s="139"/>
      <c r="SOA113" s="139"/>
      <c r="SOB113" s="139"/>
      <c r="SOC113" s="139"/>
      <c r="SOD113" s="139"/>
      <c r="SOE113" s="139"/>
      <c r="SOF113" s="139"/>
      <c r="SOG113" s="139"/>
      <c r="SOH113" s="139"/>
      <c r="SOI113" s="139"/>
      <c r="SOJ113" s="139"/>
      <c r="SOK113" s="139"/>
      <c r="SOL113" s="139"/>
      <c r="SOM113" s="139"/>
      <c r="SON113" s="139"/>
      <c r="SOO113" s="139"/>
      <c r="SOP113" s="139"/>
      <c r="SOQ113" s="139"/>
      <c r="SOR113" s="139"/>
      <c r="SOS113" s="139"/>
      <c r="SOT113" s="139"/>
      <c r="SOU113" s="139"/>
      <c r="SOV113" s="139"/>
      <c r="SOW113" s="139"/>
      <c r="SOX113" s="139"/>
      <c r="SOY113" s="139"/>
      <c r="SOZ113" s="139"/>
      <c r="SPA113" s="139"/>
      <c r="SPB113" s="139"/>
      <c r="SPC113" s="139"/>
      <c r="SPD113" s="139"/>
      <c r="SPE113" s="139"/>
      <c r="SPF113" s="139"/>
      <c r="SPG113" s="139"/>
      <c r="SPH113" s="139"/>
      <c r="SPI113" s="139"/>
      <c r="SPJ113" s="139"/>
      <c r="SPK113" s="139"/>
      <c r="SPL113" s="139"/>
      <c r="SPM113" s="139"/>
      <c r="SPN113" s="139"/>
      <c r="SPO113" s="139"/>
      <c r="SPP113" s="139"/>
      <c r="SPQ113" s="139"/>
      <c r="SPR113" s="139"/>
      <c r="SPS113" s="139"/>
      <c r="SPT113" s="139"/>
      <c r="SPU113" s="139"/>
      <c r="SPV113" s="139"/>
      <c r="SPW113" s="139"/>
      <c r="SPX113" s="139"/>
      <c r="SPY113" s="139"/>
      <c r="SPZ113" s="139"/>
      <c r="SQA113" s="139"/>
      <c r="SQB113" s="139"/>
      <c r="SQC113" s="139"/>
      <c r="SQD113" s="139"/>
      <c r="SQE113" s="139"/>
      <c r="SQF113" s="139"/>
      <c r="SQG113" s="139"/>
      <c r="SQH113" s="139"/>
      <c r="SQI113" s="139"/>
      <c r="SQJ113" s="139"/>
      <c r="SQK113" s="139"/>
      <c r="SQL113" s="139"/>
      <c r="SQM113" s="139"/>
      <c r="SQN113" s="139"/>
      <c r="SQO113" s="139"/>
      <c r="SQP113" s="139"/>
      <c r="SQQ113" s="139"/>
      <c r="SQR113" s="139"/>
      <c r="SQS113" s="139"/>
      <c r="SQT113" s="139"/>
      <c r="SQU113" s="139"/>
      <c r="SQV113" s="139"/>
      <c r="SQW113" s="139"/>
      <c r="SQX113" s="139"/>
      <c r="SQY113" s="139"/>
      <c r="SQZ113" s="139"/>
      <c r="SRA113" s="139"/>
      <c r="SRB113" s="139"/>
      <c r="SRC113" s="139"/>
      <c r="SRD113" s="139"/>
      <c r="SRE113" s="139"/>
      <c r="SRF113" s="139"/>
      <c r="SRG113" s="139"/>
      <c r="SRH113" s="139"/>
      <c r="SRI113" s="139"/>
      <c r="SRJ113" s="139"/>
      <c r="SRK113" s="139"/>
      <c r="SRL113" s="139"/>
      <c r="SRM113" s="139"/>
      <c r="SRN113" s="139"/>
      <c r="SRO113" s="139"/>
      <c r="SRP113" s="139"/>
      <c r="SRQ113" s="139"/>
      <c r="SRR113" s="139"/>
      <c r="SRS113" s="139"/>
      <c r="SRT113" s="139"/>
      <c r="SRU113" s="139"/>
      <c r="SRV113" s="139"/>
      <c r="SRW113" s="139"/>
      <c r="SRX113" s="139"/>
      <c r="SRY113" s="139"/>
      <c r="SRZ113" s="139"/>
      <c r="SSA113" s="139"/>
      <c r="SSB113" s="139"/>
      <c r="SSC113" s="139"/>
      <c r="SSD113" s="139"/>
      <c r="SSE113" s="139"/>
      <c r="SSF113" s="139"/>
      <c r="SSG113" s="139"/>
      <c r="SSH113" s="139"/>
      <c r="SSI113" s="139"/>
      <c r="SSJ113" s="139"/>
      <c r="SSK113" s="139"/>
      <c r="SSL113" s="139"/>
      <c r="SSM113" s="139"/>
      <c r="SSN113" s="139"/>
      <c r="SSO113" s="139"/>
      <c r="SSP113" s="139"/>
      <c r="SSQ113" s="139"/>
      <c r="SSR113" s="139"/>
      <c r="SSS113" s="139"/>
      <c r="SST113" s="139"/>
      <c r="SSU113" s="139"/>
      <c r="SSV113" s="139"/>
      <c r="SSW113" s="139"/>
      <c r="SSX113" s="139"/>
      <c r="SSY113" s="139"/>
      <c r="SSZ113" s="139"/>
      <c r="STA113" s="139"/>
      <c r="STB113" s="139"/>
      <c r="STC113" s="139"/>
      <c r="STD113" s="139"/>
      <c r="STE113" s="139"/>
      <c r="STF113" s="139"/>
      <c r="STG113" s="139"/>
      <c r="STH113" s="139"/>
      <c r="STI113" s="139"/>
      <c r="STJ113" s="139"/>
      <c r="STK113" s="139"/>
      <c r="STL113" s="139"/>
      <c r="STM113" s="139"/>
      <c r="STN113" s="139"/>
      <c r="STO113" s="139"/>
      <c r="STP113" s="139"/>
      <c r="STQ113" s="139"/>
      <c r="STR113" s="139"/>
      <c r="STS113" s="139"/>
      <c r="STT113" s="139"/>
      <c r="STU113" s="139"/>
      <c r="STV113" s="139"/>
      <c r="STW113" s="139"/>
      <c r="STX113" s="139"/>
      <c r="STY113" s="139"/>
      <c r="STZ113" s="139"/>
      <c r="SUA113" s="139"/>
      <c r="SUB113" s="139"/>
      <c r="SUC113" s="139"/>
      <c r="SUD113" s="139"/>
      <c r="SUE113" s="139"/>
      <c r="SUF113" s="139"/>
      <c r="SUG113" s="139"/>
      <c r="SUH113" s="139"/>
      <c r="SUI113" s="139"/>
      <c r="SUJ113" s="139"/>
      <c r="SUK113" s="139"/>
      <c r="SUL113" s="139"/>
      <c r="SUM113" s="139"/>
      <c r="SUN113" s="139"/>
      <c r="SUO113" s="139"/>
      <c r="SUP113" s="139"/>
      <c r="SUQ113" s="139"/>
      <c r="SUR113" s="139"/>
      <c r="SUS113" s="139"/>
      <c r="SUT113" s="139"/>
      <c r="SUU113" s="139"/>
      <c r="SUV113" s="139"/>
      <c r="SUW113" s="139"/>
      <c r="SUX113" s="139"/>
      <c r="SUY113" s="139"/>
      <c r="SUZ113" s="139"/>
      <c r="SVA113" s="139"/>
      <c r="SVB113" s="139"/>
      <c r="SVC113" s="139"/>
      <c r="SVD113" s="139"/>
      <c r="SVE113" s="139"/>
      <c r="SVF113" s="139"/>
      <c r="SVG113" s="139"/>
      <c r="SVH113" s="139"/>
      <c r="SVI113" s="139"/>
      <c r="SVJ113" s="139"/>
      <c r="SVK113" s="139"/>
      <c r="SVL113" s="139"/>
      <c r="SVM113" s="139"/>
      <c r="SVN113" s="139"/>
      <c r="SVO113" s="139"/>
      <c r="SVP113" s="139"/>
      <c r="SVQ113" s="139"/>
      <c r="SVR113" s="139"/>
      <c r="SVS113" s="139"/>
      <c r="SVT113" s="139"/>
      <c r="SVU113" s="139"/>
      <c r="SVV113" s="139"/>
      <c r="SVW113" s="139"/>
      <c r="SVX113" s="139"/>
      <c r="SVY113" s="139"/>
      <c r="SVZ113" s="139"/>
      <c r="SWA113" s="139"/>
      <c r="SWB113" s="139"/>
      <c r="SWC113" s="139"/>
      <c r="SWD113" s="139"/>
      <c r="SWE113" s="139"/>
      <c r="SWF113" s="139"/>
      <c r="SWG113" s="139"/>
      <c r="SWH113" s="139"/>
      <c r="SWI113" s="139"/>
      <c r="SWJ113" s="139"/>
      <c r="SWK113" s="139"/>
      <c r="SWL113" s="139"/>
      <c r="SWM113" s="139"/>
      <c r="SWN113" s="139"/>
      <c r="SWO113" s="139"/>
      <c r="SWP113" s="139"/>
      <c r="SWQ113" s="139"/>
      <c r="SWR113" s="139"/>
      <c r="SWS113" s="139"/>
      <c r="SWT113" s="139"/>
      <c r="SWU113" s="139"/>
      <c r="SWV113" s="139"/>
      <c r="SWW113" s="139"/>
      <c r="SWX113" s="139"/>
      <c r="SWY113" s="139"/>
      <c r="SWZ113" s="139"/>
      <c r="SXA113" s="139"/>
      <c r="SXB113" s="139"/>
      <c r="SXC113" s="139"/>
      <c r="SXD113" s="139"/>
      <c r="SXE113" s="139"/>
      <c r="SXF113" s="139"/>
      <c r="SXG113" s="139"/>
      <c r="SXH113" s="139"/>
      <c r="SXI113" s="139"/>
      <c r="SXJ113" s="139"/>
      <c r="SXK113" s="139"/>
      <c r="SXL113" s="139"/>
      <c r="SXM113" s="139"/>
      <c r="SXN113" s="139"/>
      <c r="SXO113" s="139"/>
      <c r="SXP113" s="139"/>
      <c r="SXQ113" s="139"/>
      <c r="SXR113" s="139"/>
      <c r="SXS113" s="139"/>
      <c r="SXT113" s="139"/>
      <c r="SXU113" s="139"/>
      <c r="SXV113" s="139"/>
      <c r="SXW113" s="139"/>
      <c r="SXX113" s="139"/>
      <c r="SXY113" s="139"/>
      <c r="SXZ113" s="139"/>
      <c r="SYA113" s="139"/>
      <c r="SYB113" s="139"/>
      <c r="SYC113" s="139"/>
      <c r="SYD113" s="139"/>
      <c r="SYE113" s="139"/>
      <c r="SYF113" s="139"/>
      <c r="SYG113" s="139"/>
      <c r="SYH113" s="139"/>
      <c r="SYI113" s="139"/>
      <c r="SYJ113" s="139"/>
      <c r="SYK113" s="139"/>
      <c r="SYL113" s="139"/>
      <c r="SYM113" s="139"/>
      <c r="SYN113" s="139"/>
      <c r="SYO113" s="139"/>
      <c r="SYP113" s="139"/>
      <c r="SYQ113" s="139"/>
      <c r="SYR113" s="139"/>
      <c r="SYS113" s="139"/>
      <c r="SYT113" s="139"/>
      <c r="SYU113" s="139"/>
      <c r="SYV113" s="139"/>
      <c r="SYW113" s="139"/>
      <c r="SYX113" s="139"/>
      <c r="SYY113" s="139"/>
      <c r="SYZ113" s="139"/>
      <c r="SZA113" s="139"/>
      <c r="SZB113" s="139"/>
      <c r="SZC113" s="139"/>
      <c r="SZD113" s="139"/>
      <c r="SZE113" s="139"/>
      <c r="SZF113" s="139"/>
      <c r="SZG113" s="139"/>
      <c r="SZH113" s="139"/>
      <c r="SZI113" s="139"/>
      <c r="SZJ113" s="139"/>
      <c r="SZK113" s="139"/>
      <c r="SZL113" s="139"/>
      <c r="SZM113" s="139"/>
      <c r="SZN113" s="139"/>
      <c r="SZO113" s="139"/>
      <c r="SZP113" s="139"/>
      <c r="SZQ113" s="139"/>
      <c r="SZR113" s="139"/>
      <c r="SZS113" s="139"/>
      <c r="SZT113" s="139"/>
      <c r="SZU113" s="139"/>
      <c r="SZV113" s="139"/>
      <c r="SZW113" s="139"/>
      <c r="SZX113" s="139"/>
      <c r="SZY113" s="139"/>
      <c r="SZZ113" s="139"/>
      <c r="TAA113" s="139"/>
      <c r="TAB113" s="139"/>
      <c r="TAC113" s="139"/>
      <c r="TAD113" s="139"/>
      <c r="TAE113" s="139"/>
      <c r="TAF113" s="139"/>
      <c r="TAG113" s="139"/>
      <c r="TAH113" s="139"/>
      <c r="TAI113" s="139"/>
      <c r="TAJ113" s="139"/>
      <c r="TAK113" s="139"/>
      <c r="TAL113" s="139"/>
      <c r="TAM113" s="139"/>
      <c r="TAN113" s="139"/>
      <c r="TAO113" s="139"/>
      <c r="TAP113" s="139"/>
      <c r="TAQ113" s="139"/>
      <c r="TAR113" s="139"/>
      <c r="TAS113" s="139"/>
      <c r="TAT113" s="139"/>
      <c r="TAU113" s="139"/>
      <c r="TAV113" s="139"/>
      <c r="TAW113" s="139"/>
      <c r="TAX113" s="139"/>
      <c r="TAY113" s="139"/>
      <c r="TAZ113" s="139"/>
      <c r="TBA113" s="139"/>
      <c r="TBB113" s="139"/>
      <c r="TBC113" s="139"/>
      <c r="TBD113" s="139"/>
      <c r="TBE113" s="139"/>
      <c r="TBF113" s="139"/>
      <c r="TBG113" s="139"/>
      <c r="TBH113" s="139"/>
      <c r="TBI113" s="139"/>
      <c r="TBJ113" s="139"/>
      <c r="TBK113" s="139"/>
      <c r="TBL113" s="139"/>
      <c r="TBM113" s="139"/>
      <c r="TBN113" s="139"/>
      <c r="TBO113" s="139"/>
      <c r="TBP113" s="139"/>
      <c r="TBQ113" s="139"/>
      <c r="TBR113" s="139"/>
      <c r="TBS113" s="139"/>
      <c r="TBT113" s="139"/>
      <c r="TBU113" s="139"/>
      <c r="TBV113" s="139"/>
      <c r="TBW113" s="139"/>
      <c r="TBX113" s="139"/>
      <c r="TBY113" s="139"/>
      <c r="TBZ113" s="139"/>
      <c r="TCA113" s="139"/>
      <c r="TCB113" s="139"/>
      <c r="TCC113" s="139"/>
      <c r="TCD113" s="139"/>
      <c r="TCE113" s="139"/>
      <c r="TCF113" s="139"/>
      <c r="TCG113" s="139"/>
      <c r="TCH113" s="139"/>
      <c r="TCI113" s="139"/>
      <c r="TCJ113" s="139"/>
      <c r="TCK113" s="139"/>
      <c r="TCL113" s="139"/>
      <c r="TCM113" s="139"/>
      <c r="TCN113" s="139"/>
      <c r="TCO113" s="139"/>
      <c r="TCP113" s="139"/>
      <c r="TCQ113" s="139"/>
      <c r="TCR113" s="139"/>
      <c r="TCS113" s="139"/>
      <c r="TCT113" s="139"/>
      <c r="TCU113" s="139"/>
      <c r="TCV113" s="139"/>
      <c r="TCW113" s="139"/>
      <c r="TCX113" s="139"/>
      <c r="TCY113" s="139"/>
      <c r="TCZ113" s="139"/>
      <c r="TDA113" s="139"/>
      <c r="TDB113" s="139"/>
      <c r="TDC113" s="139"/>
      <c r="TDD113" s="139"/>
      <c r="TDE113" s="139"/>
      <c r="TDF113" s="139"/>
      <c r="TDG113" s="139"/>
      <c r="TDH113" s="139"/>
      <c r="TDI113" s="139"/>
      <c r="TDJ113" s="139"/>
      <c r="TDK113" s="139"/>
      <c r="TDL113" s="139"/>
      <c r="TDM113" s="139"/>
      <c r="TDN113" s="139"/>
      <c r="TDO113" s="139"/>
      <c r="TDP113" s="139"/>
      <c r="TDQ113" s="139"/>
      <c r="TDR113" s="139"/>
      <c r="TDS113" s="139"/>
      <c r="TDT113" s="139"/>
      <c r="TDU113" s="139"/>
      <c r="TDV113" s="139"/>
      <c r="TDW113" s="139"/>
      <c r="TDX113" s="139"/>
      <c r="TDY113" s="139"/>
      <c r="TDZ113" s="139"/>
      <c r="TEA113" s="139"/>
      <c r="TEB113" s="139"/>
      <c r="TEC113" s="139"/>
      <c r="TED113" s="139"/>
      <c r="TEE113" s="139"/>
      <c r="TEF113" s="139"/>
      <c r="TEG113" s="139"/>
      <c r="TEH113" s="139"/>
      <c r="TEI113" s="139"/>
      <c r="TEJ113" s="139"/>
      <c r="TEK113" s="139"/>
      <c r="TEL113" s="139"/>
      <c r="TEM113" s="139"/>
      <c r="TEN113" s="139"/>
      <c r="TEO113" s="139"/>
      <c r="TEP113" s="139"/>
      <c r="TEQ113" s="139"/>
      <c r="TER113" s="139"/>
      <c r="TES113" s="139"/>
      <c r="TET113" s="139"/>
      <c r="TEU113" s="139"/>
      <c r="TEV113" s="139"/>
      <c r="TEW113" s="139"/>
      <c r="TEX113" s="139"/>
      <c r="TEY113" s="139"/>
      <c r="TEZ113" s="139"/>
      <c r="TFA113" s="139"/>
      <c r="TFB113" s="139"/>
      <c r="TFC113" s="139"/>
      <c r="TFD113" s="139"/>
      <c r="TFE113" s="139"/>
      <c r="TFF113" s="139"/>
      <c r="TFG113" s="139"/>
      <c r="TFH113" s="139"/>
      <c r="TFI113" s="139"/>
      <c r="TFJ113" s="139"/>
      <c r="TFK113" s="139"/>
      <c r="TFL113" s="139"/>
      <c r="TFM113" s="139"/>
      <c r="TFN113" s="139"/>
      <c r="TFO113" s="139"/>
      <c r="TFP113" s="139"/>
      <c r="TFQ113" s="139"/>
      <c r="TFR113" s="139"/>
      <c r="TFS113" s="139"/>
      <c r="TFT113" s="139"/>
      <c r="TFU113" s="139"/>
      <c r="TFV113" s="139"/>
      <c r="TFW113" s="139"/>
      <c r="TFX113" s="139"/>
      <c r="TFY113" s="139"/>
      <c r="TFZ113" s="139"/>
      <c r="TGA113" s="139"/>
      <c r="TGB113" s="139"/>
      <c r="TGC113" s="139"/>
      <c r="TGD113" s="139"/>
      <c r="TGE113" s="139"/>
      <c r="TGF113" s="139"/>
      <c r="TGG113" s="139"/>
      <c r="TGH113" s="139"/>
      <c r="TGI113" s="139"/>
      <c r="TGJ113" s="139"/>
      <c r="TGK113" s="139"/>
      <c r="TGL113" s="139"/>
      <c r="TGM113" s="139"/>
      <c r="TGN113" s="139"/>
      <c r="TGO113" s="139"/>
      <c r="TGP113" s="139"/>
      <c r="TGQ113" s="139"/>
      <c r="TGR113" s="139"/>
      <c r="TGS113" s="139"/>
      <c r="TGT113" s="139"/>
      <c r="TGU113" s="139"/>
      <c r="TGV113" s="139"/>
      <c r="TGW113" s="139"/>
      <c r="TGX113" s="139"/>
      <c r="TGY113" s="139"/>
      <c r="TGZ113" s="139"/>
      <c r="THA113" s="139"/>
      <c r="THB113" s="139"/>
      <c r="THC113" s="139"/>
      <c r="THD113" s="139"/>
      <c r="THE113" s="139"/>
      <c r="THF113" s="139"/>
      <c r="THG113" s="139"/>
      <c r="THH113" s="139"/>
      <c r="THI113" s="139"/>
      <c r="THJ113" s="139"/>
      <c r="THK113" s="139"/>
      <c r="THL113" s="139"/>
      <c r="THM113" s="139"/>
      <c r="THN113" s="139"/>
      <c r="THO113" s="139"/>
      <c r="THP113" s="139"/>
      <c r="THQ113" s="139"/>
      <c r="THR113" s="139"/>
      <c r="THS113" s="139"/>
      <c r="THT113" s="139"/>
      <c r="THU113" s="139"/>
      <c r="THV113" s="139"/>
      <c r="THW113" s="139"/>
      <c r="THX113" s="139"/>
      <c r="THY113" s="139"/>
      <c r="THZ113" s="139"/>
      <c r="TIA113" s="139"/>
      <c r="TIB113" s="139"/>
      <c r="TIC113" s="139"/>
      <c r="TID113" s="139"/>
      <c r="TIE113" s="139"/>
      <c r="TIF113" s="139"/>
      <c r="TIG113" s="139"/>
      <c r="TIH113" s="139"/>
      <c r="TII113" s="139"/>
      <c r="TIJ113" s="139"/>
      <c r="TIK113" s="139"/>
      <c r="TIL113" s="139"/>
      <c r="TIM113" s="139"/>
      <c r="TIN113" s="139"/>
      <c r="TIO113" s="139"/>
      <c r="TIP113" s="139"/>
      <c r="TIQ113" s="139"/>
      <c r="TIR113" s="139"/>
      <c r="TIS113" s="139"/>
      <c r="TIT113" s="139"/>
      <c r="TIU113" s="139"/>
      <c r="TIV113" s="139"/>
      <c r="TIW113" s="139"/>
      <c r="TIX113" s="139"/>
      <c r="TIY113" s="139"/>
      <c r="TIZ113" s="139"/>
      <c r="TJA113" s="139"/>
      <c r="TJB113" s="139"/>
      <c r="TJC113" s="139"/>
      <c r="TJD113" s="139"/>
      <c r="TJE113" s="139"/>
      <c r="TJF113" s="139"/>
      <c r="TJG113" s="139"/>
      <c r="TJH113" s="139"/>
      <c r="TJI113" s="139"/>
      <c r="TJJ113" s="139"/>
      <c r="TJK113" s="139"/>
      <c r="TJL113" s="139"/>
      <c r="TJM113" s="139"/>
      <c r="TJN113" s="139"/>
      <c r="TJO113" s="139"/>
      <c r="TJP113" s="139"/>
      <c r="TJQ113" s="139"/>
      <c r="TJR113" s="139"/>
      <c r="TJS113" s="139"/>
      <c r="TJT113" s="139"/>
      <c r="TJU113" s="139"/>
      <c r="TJV113" s="139"/>
      <c r="TJW113" s="139"/>
      <c r="TJX113" s="139"/>
      <c r="TJY113" s="139"/>
      <c r="TJZ113" s="139"/>
      <c r="TKA113" s="139"/>
      <c r="TKB113" s="139"/>
      <c r="TKC113" s="139"/>
      <c r="TKD113" s="139"/>
      <c r="TKE113" s="139"/>
      <c r="TKF113" s="139"/>
      <c r="TKG113" s="139"/>
      <c r="TKH113" s="139"/>
      <c r="TKI113" s="139"/>
      <c r="TKJ113" s="139"/>
      <c r="TKK113" s="139"/>
      <c r="TKL113" s="139"/>
      <c r="TKM113" s="139"/>
      <c r="TKN113" s="139"/>
      <c r="TKO113" s="139"/>
      <c r="TKP113" s="139"/>
      <c r="TKQ113" s="139"/>
      <c r="TKR113" s="139"/>
      <c r="TKS113" s="139"/>
      <c r="TKT113" s="139"/>
      <c r="TKU113" s="139"/>
      <c r="TKV113" s="139"/>
      <c r="TKW113" s="139"/>
      <c r="TKX113" s="139"/>
      <c r="TKY113" s="139"/>
      <c r="TKZ113" s="139"/>
      <c r="TLA113" s="139"/>
      <c r="TLB113" s="139"/>
      <c r="TLC113" s="139"/>
      <c r="TLD113" s="139"/>
      <c r="TLE113" s="139"/>
      <c r="TLF113" s="139"/>
      <c r="TLG113" s="139"/>
      <c r="TLH113" s="139"/>
      <c r="TLI113" s="139"/>
      <c r="TLJ113" s="139"/>
      <c r="TLK113" s="139"/>
      <c r="TLL113" s="139"/>
      <c r="TLM113" s="139"/>
      <c r="TLN113" s="139"/>
      <c r="TLO113" s="139"/>
      <c r="TLP113" s="139"/>
      <c r="TLQ113" s="139"/>
      <c r="TLR113" s="139"/>
      <c r="TLS113" s="139"/>
      <c r="TLT113" s="139"/>
      <c r="TLU113" s="139"/>
      <c r="TLV113" s="139"/>
      <c r="TLW113" s="139"/>
      <c r="TLX113" s="139"/>
      <c r="TLY113" s="139"/>
      <c r="TLZ113" s="139"/>
      <c r="TMA113" s="139"/>
      <c r="TMB113" s="139"/>
      <c r="TMC113" s="139"/>
      <c r="TMD113" s="139"/>
      <c r="TME113" s="139"/>
      <c r="TMF113" s="139"/>
      <c r="TMG113" s="139"/>
      <c r="TMH113" s="139"/>
      <c r="TMI113" s="139"/>
      <c r="TMJ113" s="139"/>
      <c r="TMK113" s="139"/>
      <c r="TML113" s="139"/>
      <c r="TMM113" s="139"/>
      <c r="TMN113" s="139"/>
      <c r="TMO113" s="139"/>
      <c r="TMP113" s="139"/>
      <c r="TMQ113" s="139"/>
      <c r="TMR113" s="139"/>
      <c r="TMS113" s="139"/>
      <c r="TMT113" s="139"/>
      <c r="TMU113" s="139"/>
      <c r="TMV113" s="139"/>
      <c r="TMW113" s="139"/>
      <c r="TMX113" s="139"/>
      <c r="TMY113" s="139"/>
      <c r="TMZ113" s="139"/>
      <c r="TNA113" s="139"/>
      <c r="TNB113" s="139"/>
      <c r="TNC113" s="139"/>
      <c r="TND113" s="139"/>
      <c r="TNE113" s="139"/>
      <c r="TNF113" s="139"/>
      <c r="TNG113" s="139"/>
      <c r="TNH113" s="139"/>
      <c r="TNI113" s="139"/>
      <c r="TNJ113" s="139"/>
      <c r="TNK113" s="139"/>
      <c r="TNL113" s="139"/>
      <c r="TNM113" s="139"/>
      <c r="TNN113" s="139"/>
      <c r="TNO113" s="139"/>
      <c r="TNP113" s="139"/>
      <c r="TNQ113" s="139"/>
      <c r="TNR113" s="139"/>
      <c r="TNS113" s="139"/>
      <c r="TNT113" s="139"/>
      <c r="TNU113" s="139"/>
      <c r="TNV113" s="139"/>
      <c r="TNW113" s="139"/>
      <c r="TNX113" s="139"/>
      <c r="TNY113" s="139"/>
      <c r="TNZ113" s="139"/>
      <c r="TOA113" s="139"/>
      <c r="TOB113" s="139"/>
      <c r="TOC113" s="139"/>
      <c r="TOD113" s="139"/>
      <c r="TOE113" s="139"/>
      <c r="TOF113" s="139"/>
      <c r="TOG113" s="139"/>
      <c r="TOH113" s="139"/>
      <c r="TOI113" s="139"/>
      <c r="TOJ113" s="139"/>
      <c r="TOK113" s="139"/>
      <c r="TOL113" s="139"/>
      <c r="TOM113" s="139"/>
      <c r="TON113" s="139"/>
      <c r="TOO113" s="139"/>
      <c r="TOP113" s="139"/>
      <c r="TOQ113" s="139"/>
      <c r="TOR113" s="139"/>
      <c r="TOS113" s="139"/>
      <c r="TOT113" s="139"/>
      <c r="TOU113" s="139"/>
      <c r="TOV113" s="139"/>
      <c r="TOW113" s="139"/>
      <c r="TOX113" s="139"/>
      <c r="TOY113" s="139"/>
      <c r="TOZ113" s="139"/>
      <c r="TPA113" s="139"/>
      <c r="TPB113" s="139"/>
      <c r="TPC113" s="139"/>
      <c r="TPD113" s="139"/>
      <c r="TPE113" s="139"/>
      <c r="TPF113" s="139"/>
      <c r="TPG113" s="139"/>
      <c r="TPH113" s="139"/>
      <c r="TPI113" s="139"/>
      <c r="TPJ113" s="139"/>
      <c r="TPK113" s="139"/>
      <c r="TPL113" s="139"/>
      <c r="TPM113" s="139"/>
      <c r="TPN113" s="139"/>
      <c r="TPO113" s="139"/>
      <c r="TPP113" s="139"/>
      <c r="TPQ113" s="139"/>
      <c r="TPR113" s="139"/>
      <c r="TPS113" s="139"/>
      <c r="TPT113" s="139"/>
      <c r="TPU113" s="139"/>
      <c r="TPV113" s="139"/>
      <c r="TPW113" s="139"/>
      <c r="TPX113" s="139"/>
      <c r="TPY113" s="139"/>
      <c r="TPZ113" s="139"/>
      <c r="TQA113" s="139"/>
      <c r="TQB113" s="139"/>
      <c r="TQC113" s="139"/>
      <c r="TQD113" s="139"/>
      <c r="TQE113" s="139"/>
      <c r="TQF113" s="139"/>
      <c r="TQG113" s="139"/>
      <c r="TQH113" s="139"/>
      <c r="TQI113" s="139"/>
      <c r="TQJ113" s="139"/>
      <c r="TQK113" s="139"/>
      <c r="TQL113" s="139"/>
      <c r="TQM113" s="139"/>
      <c r="TQN113" s="139"/>
      <c r="TQO113" s="139"/>
      <c r="TQP113" s="139"/>
      <c r="TQQ113" s="139"/>
      <c r="TQR113" s="139"/>
      <c r="TQS113" s="139"/>
      <c r="TQT113" s="139"/>
      <c r="TQU113" s="139"/>
      <c r="TQV113" s="139"/>
      <c r="TQW113" s="139"/>
      <c r="TQX113" s="139"/>
      <c r="TQY113" s="139"/>
      <c r="TQZ113" s="139"/>
      <c r="TRA113" s="139"/>
      <c r="TRB113" s="139"/>
      <c r="TRC113" s="139"/>
      <c r="TRD113" s="139"/>
      <c r="TRE113" s="139"/>
      <c r="TRF113" s="139"/>
      <c r="TRG113" s="139"/>
      <c r="TRH113" s="139"/>
      <c r="TRI113" s="139"/>
      <c r="TRJ113" s="139"/>
      <c r="TRK113" s="139"/>
      <c r="TRL113" s="139"/>
      <c r="TRM113" s="139"/>
      <c r="TRN113" s="139"/>
      <c r="TRO113" s="139"/>
      <c r="TRP113" s="139"/>
      <c r="TRQ113" s="139"/>
      <c r="TRR113" s="139"/>
      <c r="TRS113" s="139"/>
      <c r="TRT113" s="139"/>
      <c r="TRU113" s="139"/>
      <c r="TRV113" s="139"/>
      <c r="TRW113" s="139"/>
      <c r="TRX113" s="139"/>
      <c r="TRY113" s="139"/>
      <c r="TRZ113" s="139"/>
      <c r="TSA113" s="139"/>
      <c r="TSB113" s="139"/>
      <c r="TSC113" s="139"/>
      <c r="TSD113" s="139"/>
      <c r="TSE113" s="139"/>
      <c r="TSF113" s="139"/>
      <c r="TSG113" s="139"/>
      <c r="TSH113" s="139"/>
      <c r="TSI113" s="139"/>
      <c r="TSJ113" s="139"/>
      <c r="TSK113" s="139"/>
      <c r="TSL113" s="139"/>
      <c r="TSM113" s="139"/>
      <c r="TSN113" s="139"/>
      <c r="TSO113" s="139"/>
      <c r="TSP113" s="139"/>
      <c r="TSQ113" s="139"/>
      <c r="TSR113" s="139"/>
      <c r="TSS113" s="139"/>
      <c r="TST113" s="139"/>
      <c r="TSU113" s="139"/>
      <c r="TSV113" s="139"/>
      <c r="TSW113" s="139"/>
      <c r="TSX113" s="139"/>
      <c r="TSY113" s="139"/>
      <c r="TSZ113" s="139"/>
      <c r="TTA113" s="139"/>
      <c r="TTB113" s="139"/>
      <c r="TTC113" s="139"/>
      <c r="TTD113" s="139"/>
      <c r="TTE113" s="139"/>
      <c r="TTF113" s="139"/>
      <c r="TTG113" s="139"/>
      <c r="TTH113" s="139"/>
      <c r="TTI113" s="139"/>
      <c r="TTJ113" s="139"/>
      <c r="TTK113" s="139"/>
      <c r="TTL113" s="139"/>
      <c r="TTM113" s="139"/>
      <c r="TTN113" s="139"/>
      <c r="TTO113" s="139"/>
      <c r="TTP113" s="139"/>
      <c r="TTQ113" s="139"/>
      <c r="TTR113" s="139"/>
      <c r="TTS113" s="139"/>
      <c r="TTT113" s="139"/>
      <c r="TTU113" s="139"/>
      <c r="TTV113" s="139"/>
      <c r="TTW113" s="139"/>
      <c r="TTX113" s="139"/>
      <c r="TTY113" s="139"/>
      <c r="TTZ113" s="139"/>
      <c r="TUA113" s="139"/>
      <c r="TUB113" s="139"/>
      <c r="TUC113" s="139"/>
      <c r="TUD113" s="139"/>
      <c r="TUE113" s="139"/>
      <c r="TUF113" s="139"/>
      <c r="TUG113" s="139"/>
      <c r="TUH113" s="139"/>
      <c r="TUI113" s="139"/>
      <c r="TUJ113" s="139"/>
      <c r="TUK113" s="139"/>
      <c r="TUL113" s="139"/>
      <c r="TUM113" s="139"/>
      <c r="TUN113" s="139"/>
      <c r="TUO113" s="139"/>
      <c r="TUP113" s="139"/>
      <c r="TUQ113" s="139"/>
      <c r="TUR113" s="139"/>
      <c r="TUS113" s="139"/>
      <c r="TUT113" s="139"/>
      <c r="TUU113" s="139"/>
      <c r="TUV113" s="139"/>
      <c r="TUW113" s="139"/>
      <c r="TUX113" s="139"/>
      <c r="TUY113" s="139"/>
      <c r="TUZ113" s="139"/>
      <c r="TVA113" s="139"/>
      <c r="TVB113" s="139"/>
      <c r="TVC113" s="139"/>
      <c r="TVD113" s="139"/>
      <c r="TVE113" s="139"/>
      <c r="TVF113" s="139"/>
      <c r="TVG113" s="139"/>
      <c r="TVH113" s="139"/>
      <c r="TVI113" s="139"/>
      <c r="TVJ113" s="139"/>
      <c r="TVK113" s="139"/>
      <c r="TVL113" s="139"/>
      <c r="TVM113" s="139"/>
      <c r="TVN113" s="139"/>
      <c r="TVO113" s="139"/>
      <c r="TVP113" s="139"/>
      <c r="TVQ113" s="139"/>
      <c r="TVR113" s="139"/>
      <c r="TVS113" s="139"/>
      <c r="TVT113" s="139"/>
      <c r="TVU113" s="139"/>
      <c r="TVV113" s="139"/>
      <c r="TVW113" s="139"/>
      <c r="TVX113" s="139"/>
      <c r="TVY113" s="139"/>
      <c r="TVZ113" s="139"/>
      <c r="TWA113" s="139"/>
      <c r="TWB113" s="139"/>
      <c r="TWC113" s="139"/>
      <c r="TWD113" s="139"/>
      <c r="TWE113" s="139"/>
      <c r="TWF113" s="139"/>
      <c r="TWG113" s="139"/>
      <c r="TWH113" s="139"/>
      <c r="TWI113" s="139"/>
      <c r="TWJ113" s="139"/>
      <c r="TWK113" s="139"/>
      <c r="TWL113" s="139"/>
      <c r="TWM113" s="139"/>
      <c r="TWN113" s="139"/>
      <c r="TWO113" s="139"/>
      <c r="TWP113" s="139"/>
      <c r="TWQ113" s="139"/>
      <c r="TWR113" s="139"/>
      <c r="TWS113" s="139"/>
      <c r="TWT113" s="139"/>
      <c r="TWU113" s="139"/>
      <c r="TWV113" s="139"/>
      <c r="TWW113" s="139"/>
      <c r="TWX113" s="139"/>
      <c r="TWY113" s="139"/>
      <c r="TWZ113" s="139"/>
      <c r="TXA113" s="139"/>
      <c r="TXB113" s="139"/>
      <c r="TXC113" s="139"/>
      <c r="TXD113" s="139"/>
      <c r="TXE113" s="139"/>
      <c r="TXF113" s="139"/>
      <c r="TXG113" s="139"/>
      <c r="TXH113" s="139"/>
      <c r="TXI113" s="139"/>
      <c r="TXJ113" s="139"/>
      <c r="TXK113" s="139"/>
      <c r="TXL113" s="139"/>
      <c r="TXM113" s="139"/>
      <c r="TXN113" s="139"/>
      <c r="TXO113" s="139"/>
      <c r="TXP113" s="139"/>
      <c r="TXQ113" s="139"/>
      <c r="TXR113" s="139"/>
      <c r="TXS113" s="139"/>
      <c r="TXT113" s="139"/>
      <c r="TXU113" s="139"/>
      <c r="TXV113" s="139"/>
      <c r="TXW113" s="139"/>
      <c r="TXX113" s="139"/>
      <c r="TXY113" s="139"/>
      <c r="TXZ113" s="139"/>
      <c r="TYA113" s="139"/>
      <c r="TYB113" s="139"/>
      <c r="TYC113" s="139"/>
      <c r="TYD113" s="139"/>
      <c r="TYE113" s="139"/>
      <c r="TYF113" s="139"/>
      <c r="TYG113" s="139"/>
      <c r="TYH113" s="139"/>
      <c r="TYI113" s="139"/>
      <c r="TYJ113" s="139"/>
      <c r="TYK113" s="139"/>
      <c r="TYL113" s="139"/>
      <c r="TYM113" s="139"/>
      <c r="TYN113" s="139"/>
      <c r="TYO113" s="139"/>
      <c r="TYP113" s="139"/>
      <c r="TYQ113" s="139"/>
      <c r="TYR113" s="139"/>
      <c r="TYS113" s="139"/>
      <c r="TYT113" s="139"/>
      <c r="TYU113" s="139"/>
      <c r="TYV113" s="139"/>
      <c r="TYW113" s="139"/>
      <c r="TYX113" s="139"/>
      <c r="TYY113" s="139"/>
      <c r="TYZ113" s="139"/>
      <c r="TZA113" s="139"/>
      <c r="TZB113" s="139"/>
      <c r="TZC113" s="139"/>
      <c r="TZD113" s="139"/>
      <c r="TZE113" s="139"/>
      <c r="TZF113" s="139"/>
      <c r="TZG113" s="139"/>
      <c r="TZH113" s="139"/>
      <c r="TZI113" s="139"/>
      <c r="TZJ113" s="139"/>
      <c r="TZK113" s="139"/>
      <c r="TZL113" s="139"/>
      <c r="TZM113" s="139"/>
      <c r="TZN113" s="139"/>
      <c r="TZO113" s="139"/>
      <c r="TZP113" s="139"/>
      <c r="TZQ113" s="139"/>
      <c r="TZR113" s="139"/>
      <c r="TZS113" s="139"/>
      <c r="TZT113" s="139"/>
      <c r="TZU113" s="139"/>
      <c r="TZV113" s="139"/>
      <c r="TZW113" s="139"/>
      <c r="TZX113" s="139"/>
      <c r="TZY113" s="139"/>
      <c r="TZZ113" s="139"/>
      <c r="UAA113" s="139"/>
      <c r="UAB113" s="139"/>
      <c r="UAC113" s="139"/>
      <c r="UAD113" s="139"/>
      <c r="UAE113" s="139"/>
      <c r="UAF113" s="139"/>
      <c r="UAG113" s="139"/>
      <c r="UAH113" s="139"/>
      <c r="UAI113" s="139"/>
      <c r="UAJ113" s="139"/>
      <c r="UAK113" s="139"/>
      <c r="UAL113" s="139"/>
      <c r="UAM113" s="139"/>
      <c r="UAN113" s="139"/>
      <c r="UAO113" s="139"/>
      <c r="UAP113" s="139"/>
      <c r="UAQ113" s="139"/>
      <c r="UAR113" s="139"/>
      <c r="UAS113" s="139"/>
      <c r="UAT113" s="139"/>
      <c r="UAU113" s="139"/>
      <c r="UAV113" s="139"/>
      <c r="UAW113" s="139"/>
      <c r="UAX113" s="139"/>
      <c r="UAY113" s="139"/>
      <c r="UAZ113" s="139"/>
      <c r="UBA113" s="139"/>
      <c r="UBB113" s="139"/>
      <c r="UBC113" s="139"/>
      <c r="UBD113" s="139"/>
      <c r="UBE113" s="139"/>
      <c r="UBF113" s="139"/>
      <c r="UBG113" s="139"/>
      <c r="UBH113" s="139"/>
      <c r="UBI113" s="139"/>
      <c r="UBJ113" s="139"/>
      <c r="UBK113" s="139"/>
      <c r="UBL113" s="139"/>
      <c r="UBM113" s="139"/>
      <c r="UBN113" s="139"/>
      <c r="UBO113" s="139"/>
      <c r="UBP113" s="139"/>
      <c r="UBQ113" s="139"/>
      <c r="UBR113" s="139"/>
      <c r="UBS113" s="139"/>
      <c r="UBT113" s="139"/>
      <c r="UBU113" s="139"/>
      <c r="UBV113" s="139"/>
      <c r="UBW113" s="139"/>
      <c r="UBX113" s="139"/>
      <c r="UBY113" s="139"/>
      <c r="UBZ113" s="139"/>
      <c r="UCA113" s="139"/>
      <c r="UCB113" s="139"/>
      <c r="UCC113" s="139"/>
      <c r="UCD113" s="139"/>
      <c r="UCE113" s="139"/>
      <c r="UCF113" s="139"/>
      <c r="UCG113" s="139"/>
      <c r="UCH113" s="139"/>
      <c r="UCI113" s="139"/>
      <c r="UCJ113" s="139"/>
      <c r="UCK113" s="139"/>
      <c r="UCL113" s="139"/>
      <c r="UCM113" s="139"/>
      <c r="UCN113" s="139"/>
      <c r="UCO113" s="139"/>
      <c r="UCP113" s="139"/>
      <c r="UCQ113" s="139"/>
      <c r="UCR113" s="139"/>
      <c r="UCS113" s="139"/>
      <c r="UCT113" s="139"/>
      <c r="UCU113" s="139"/>
      <c r="UCV113" s="139"/>
      <c r="UCW113" s="139"/>
      <c r="UCX113" s="139"/>
      <c r="UCY113" s="139"/>
      <c r="UCZ113" s="139"/>
      <c r="UDA113" s="139"/>
      <c r="UDB113" s="139"/>
      <c r="UDC113" s="139"/>
      <c r="UDD113" s="139"/>
      <c r="UDE113" s="139"/>
      <c r="UDF113" s="139"/>
      <c r="UDG113" s="139"/>
      <c r="UDH113" s="139"/>
      <c r="UDI113" s="139"/>
      <c r="UDJ113" s="139"/>
      <c r="UDK113" s="139"/>
      <c r="UDL113" s="139"/>
      <c r="UDM113" s="139"/>
      <c r="UDN113" s="139"/>
      <c r="UDO113" s="139"/>
      <c r="UDP113" s="139"/>
      <c r="UDQ113" s="139"/>
      <c r="UDR113" s="139"/>
      <c r="UDS113" s="139"/>
      <c r="UDT113" s="139"/>
      <c r="UDU113" s="139"/>
      <c r="UDV113" s="139"/>
      <c r="UDW113" s="139"/>
      <c r="UDX113" s="139"/>
      <c r="UDY113" s="139"/>
      <c r="UDZ113" s="139"/>
      <c r="UEA113" s="139"/>
      <c r="UEB113" s="139"/>
      <c r="UEC113" s="139"/>
      <c r="UED113" s="139"/>
      <c r="UEE113" s="139"/>
      <c r="UEF113" s="139"/>
      <c r="UEG113" s="139"/>
      <c r="UEH113" s="139"/>
      <c r="UEI113" s="139"/>
      <c r="UEJ113" s="139"/>
      <c r="UEK113" s="139"/>
      <c r="UEL113" s="139"/>
      <c r="UEM113" s="139"/>
      <c r="UEN113" s="139"/>
      <c r="UEO113" s="139"/>
      <c r="UEP113" s="139"/>
      <c r="UEQ113" s="139"/>
      <c r="UER113" s="139"/>
      <c r="UES113" s="139"/>
      <c r="UET113" s="139"/>
      <c r="UEU113" s="139"/>
      <c r="UEV113" s="139"/>
      <c r="UEW113" s="139"/>
      <c r="UEX113" s="139"/>
      <c r="UEY113" s="139"/>
      <c r="UEZ113" s="139"/>
      <c r="UFA113" s="139"/>
      <c r="UFB113" s="139"/>
      <c r="UFC113" s="139"/>
      <c r="UFD113" s="139"/>
      <c r="UFE113" s="139"/>
      <c r="UFF113" s="139"/>
      <c r="UFG113" s="139"/>
      <c r="UFH113" s="139"/>
      <c r="UFI113" s="139"/>
      <c r="UFJ113" s="139"/>
      <c r="UFK113" s="139"/>
      <c r="UFL113" s="139"/>
      <c r="UFM113" s="139"/>
      <c r="UFN113" s="139"/>
      <c r="UFO113" s="139"/>
      <c r="UFP113" s="139"/>
      <c r="UFQ113" s="139"/>
      <c r="UFR113" s="139"/>
      <c r="UFS113" s="139"/>
      <c r="UFT113" s="139"/>
      <c r="UFU113" s="139"/>
      <c r="UFV113" s="139"/>
      <c r="UFW113" s="139"/>
      <c r="UFX113" s="139"/>
      <c r="UFY113" s="139"/>
      <c r="UFZ113" s="139"/>
      <c r="UGA113" s="139"/>
      <c r="UGB113" s="139"/>
      <c r="UGC113" s="139"/>
      <c r="UGD113" s="139"/>
      <c r="UGE113" s="139"/>
      <c r="UGF113" s="139"/>
      <c r="UGG113" s="139"/>
      <c r="UGH113" s="139"/>
      <c r="UGI113" s="139"/>
      <c r="UGJ113" s="139"/>
      <c r="UGK113" s="139"/>
      <c r="UGL113" s="139"/>
      <c r="UGM113" s="139"/>
      <c r="UGN113" s="139"/>
      <c r="UGO113" s="139"/>
      <c r="UGP113" s="139"/>
      <c r="UGQ113" s="139"/>
      <c r="UGR113" s="139"/>
      <c r="UGS113" s="139"/>
      <c r="UGT113" s="139"/>
      <c r="UGU113" s="139"/>
      <c r="UGV113" s="139"/>
      <c r="UGW113" s="139"/>
      <c r="UGX113" s="139"/>
      <c r="UGY113" s="139"/>
      <c r="UGZ113" s="139"/>
      <c r="UHA113" s="139"/>
      <c r="UHB113" s="139"/>
      <c r="UHC113" s="139"/>
      <c r="UHD113" s="139"/>
      <c r="UHE113" s="139"/>
      <c r="UHF113" s="139"/>
      <c r="UHG113" s="139"/>
      <c r="UHH113" s="139"/>
      <c r="UHI113" s="139"/>
      <c r="UHJ113" s="139"/>
      <c r="UHK113" s="139"/>
      <c r="UHL113" s="139"/>
      <c r="UHM113" s="139"/>
      <c r="UHN113" s="139"/>
      <c r="UHO113" s="139"/>
      <c r="UHP113" s="139"/>
      <c r="UHQ113" s="139"/>
      <c r="UHR113" s="139"/>
      <c r="UHS113" s="139"/>
      <c r="UHT113" s="139"/>
      <c r="UHU113" s="139"/>
      <c r="UHV113" s="139"/>
      <c r="UHW113" s="139"/>
      <c r="UHX113" s="139"/>
      <c r="UHY113" s="139"/>
      <c r="UHZ113" s="139"/>
      <c r="UIA113" s="139"/>
      <c r="UIB113" s="139"/>
      <c r="UIC113" s="139"/>
      <c r="UID113" s="139"/>
      <c r="UIE113" s="139"/>
      <c r="UIF113" s="139"/>
      <c r="UIG113" s="139"/>
      <c r="UIH113" s="139"/>
      <c r="UII113" s="139"/>
      <c r="UIJ113" s="139"/>
      <c r="UIK113" s="139"/>
      <c r="UIL113" s="139"/>
      <c r="UIM113" s="139"/>
      <c r="UIN113" s="139"/>
      <c r="UIO113" s="139"/>
      <c r="UIP113" s="139"/>
      <c r="UIQ113" s="139"/>
      <c r="UIR113" s="139"/>
      <c r="UIS113" s="139"/>
      <c r="UIT113" s="139"/>
      <c r="UIU113" s="139"/>
      <c r="UIV113" s="139"/>
      <c r="UIW113" s="139"/>
      <c r="UIX113" s="139"/>
      <c r="UIY113" s="139"/>
      <c r="UIZ113" s="139"/>
      <c r="UJA113" s="139"/>
      <c r="UJB113" s="139"/>
      <c r="UJC113" s="139"/>
      <c r="UJD113" s="139"/>
      <c r="UJE113" s="139"/>
      <c r="UJF113" s="139"/>
      <c r="UJG113" s="139"/>
      <c r="UJH113" s="139"/>
      <c r="UJI113" s="139"/>
      <c r="UJJ113" s="139"/>
      <c r="UJK113" s="139"/>
      <c r="UJL113" s="139"/>
      <c r="UJM113" s="139"/>
      <c r="UJN113" s="139"/>
      <c r="UJO113" s="139"/>
      <c r="UJP113" s="139"/>
      <c r="UJQ113" s="139"/>
      <c r="UJR113" s="139"/>
      <c r="UJS113" s="139"/>
      <c r="UJT113" s="139"/>
      <c r="UJU113" s="139"/>
      <c r="UJV113" s="139"/>
      <c r="UJW113" s="139"/>
      <c r="UJX113" s="139"/>
      <c r="UJY113" s="139"/>
      <c r="UJZ113" s="139"/>
      <c r="UKA113" s="139"/>
      <c r="UKB113" s="139"/>
      <c r="UKC113" s="139"/>
      <c r="UKD113" s="139"/>
      <c r="UKE113" s="139"/>
      <c r="UKF113" s="139"/>
      <c r="UKG113" s="139"/>
      <c r="UKH113" s="139"/>
      <c r="UKI113" s="139"/>
      <c r="UKJ113" s="139"/>
      <c r="UKK113" s="139"/>
      <c r="UKL113" s="139"/>
      <c r="UKM113" s="139"/>
      <c r="UKN113" s="139"/>
      <c r="UKO113" s="139"/>
      <c r="UKP113" s="139"/>
      <c r="UKQ113" s="139"/>
      <c r="UKR113" s="139"/>
      <c r="UKS113" s="139"/>
      <c r="UKT113" s="139"/>
      <c r="UKU113" s="139"/>
      <c r="UKV113" s="139"/>
      <c r="UKW113" s="139"/>
      <c r="UKX113" s="139"/>
      <c r="UKY113" s="139"/>
      <c r="UKZ113" s="139"/>
      <c r="ULA113" s="139"/>
      <c r="ULB113" s="139"/>
      <c r="ULC113" s="139"/>
      <c r="ULD113" s="139"/>
      <c r="ULE113" s="139"/>
      <c r="ULF113" s="139"/>
      <c r="ULG113" s="139"/>
      <c r="ULH113" s="139"/>
      <c r="ULI113" s="139"/>
      <c r="ULJ113" s="139"/>
      <c r="ULK113" s="139"/>
      <c r="ULL113" s="139"/>
      <c r="ULM113" s="139"/>
      <c r="ULN113" s="139"/>
      <c r="ULO113" s="139"/>
      <c r="ULP113" s="139"/>
      <c r="ULQ113" s="139"/>
      <c r="ULR113" s="139"/>
      <c r="ULS113" s="139"/>
      <c r="ULT113" s="139"/>
      <c r="ULU113" s="139"/>
      <c r="ULV113" s="139"/>
      <c r="ULW113" s="139"/>
      <c r="ULX113" s="139"/>
      <c r="ULY113" s="139"/>
      <c r="ULZ113" s="139"/>
      <c r="UMA113" s="139"/>
      <c r="UMB113" s="139"/>
      <c r="UMC113" s="139"/>
      <c r="UMD113" s="139"/>
      <c r="UME113" s="139"/>
      <c r="UMF113" s="139"/>
      <c r="UMG113" s="139"/>
      <c r="UMH113" s="139"/>
      <c r="UMI113" s="139"/>
      <c r="UMJ113" s="139"/>
      <c r="UMK113" s="139"/>
      <c r="UML113" s="139"/>
      <c r="UMM113" s="139"/>
      <c r="UMN113" s="139"/>
      <c r="UMO113" s="139"/>
      <c r="UMP113" s="139"/>
      <c r="UMQ113" s="139"/>
      <c r="UMR113" s="139"/>
      <c r="UMS113" s="139"/>
      <c r="UMT113" s="139"/>
      <c r="UMU113" s="139"/>
      <c r="UMV113" s="139"/>
      <c r="UMW113" s="139"/>
      <c r="UMX113" s="139"/>
      <c r="UMY113" s="139"/>
      <c r="UMZ113" s="139"/>
      <c r="UNA113" s="139"/>
      <c r="UNB113" s="139"/>
      <c r="UNC113" s="139"/>
      <c r="UND113" s="139"/>
      <c r="UNE113" s="139"/>
      <c r="UNF113" s="139"/>
      <c r="UNG113" s="139"/>
      <c r="UNH113" s="139"/>
      <c r="UNI113" s="139"/>
      <c r="UNJ113" s="139"/>
      <c r="UNK113" s="139"/>
      <c r="UNL113" s="139"/>
      <c r="UNM113" s="139"/>
      <c r="UNN113" s="139"/>
      <c r="UNO113" s="139"/>
      <c r="UNP113" s="139"/>
      <c r="UNQ113" s="139"/>
      <c r="UNR113" s="139"/>
      <c r="UNS113" s="139"/>
      <c r="UNT113" s="139"/>
      <c r="UNU113" s="139"/>
      <c r="UNV113" s="139"/>
      <c r="UNW113" s="139"/>
      <c r="UNX113" s="139"/>
      <c r="UNY113" s="139"/>
      <c r="UNZ113" s="139"/>
      <c r="UOA113" s="139"/>
      <c r="UOB113" s="139"/>
      <c r="UOC113" s="139"/>
      <c r="UOD113" s="139"/>
      <c r="UOE113" s="139"/>
      <c r="UOF113" s="139"/>
      <c r="UOG113" s="139"/>
      <c r="UOH113" s="139"/>
      <c r="UOI113" s="139"/>
      <c r="UOJ113" s="139"/>
      <c r="UOK113" s="139"/>
      <c r="UOL113" s="139"/>
      <c r="UOM113" s="139"/>
      <c r="UON113" s="139"/>
      <c r="UOO113" s="139"/>
      <c r="UOP113" s="139"/>
      <c r="UOQ113" s="139"/>
      <c r="UOR113" s="139"/>
      <c r="UOS113" s="139"/>
      <c r="UOT113" s="139"/>
      <c r="UOU113" s="139"/>
      <c r="UOV113" s="139"/>
      <c r="UOW113" s="139"/>
      <c r="UOX113" s="139"/>
      <c r="UOY113" s="139"/>
      <c r="UOZ113" s="139"/>
      <c r="UPA113" s="139"/>
      <c r="UPB113" s="139"/>
      <c r="UPC113" s="139"/>
      <c r="UPD113" s="139"/>
      <c r="UPE113" s="139"/>
      <c r="UPF113" s="139"/>
      <c r="UPG113" s="139"/>
      <c r="UPH113" s="139"/>
      <c r="UPI113" s="139"/>
      <c r="UPJ113" s="139"/>
      <c r="UPK113" s="139"/>
      <c r="UPL113" s="139"/>
      <c r="UPM113" s="139"/>
      <c r="UPN113" s="139"/>
      <c r="UPO113" s="139"/>
      <c r="UPP113" s="139"/>
      <c r="UPQ113" s="139"/>
      <c r="UPR113" s="139"/>
      <c r="UPS113" s="139"/>
      <c r="UPT113" s="139"/>
      <c r="UPU113" s="139"/>
      <c r="UPV113" s="139"/>
      <c r="UPW113" s="139"/>
      <c r="UPX113" s="139"/>
      <c r="UPY113" s="139"/>
      <c r="UPZ113" s="139"/>
      <c r="UQA113" s="139"/>
      <c r="UQB113" s="139"/>
      <c r="UQC113" s="139"/>
      <c r="UQD113" s="139"/>
      <c r="UQE113" s="139"/>
      <c r="UQF113" s="139"/>
      <c r="UQG113" s="139"/>
      <c r="UQH113" s="139"/>
      <c r="UQI113" s="139"/>
      <c r="UQJ113" s="139"/>
      <c r="UQK113" s="139"/>
      <c r="UQL113" s="139"/>
      <c r="UQM113" s="139"/>
      <c r="UQN113" s="139"/>
      <c r="UQO113" s="139"/>
      <c r="UQP113" s="139"/>
      <c r="UQQ113" s="139"/>
      <c r="UQR113" s="139"/>
      <c r="UQS113" s="139"/>
      <c r="UQT113" s="139"/>
      <c r="UQU113" s="139"/>
      <c r="UQV113" s="139"/>
      <c r="UQW113" s="139"/>
      <c r="UQX113" s="139"/>
      <c r="UQY113" s="139"/>
      <c r="UQZ113" s="139"/>
      <c r="URA113" s="139"/>
      <c r="URB113" s="139"/>
      <c r="URC113" s="139"/>
      <c r="URD113" s="139"/>
      <c r="URE113" s="139"/>
      <c r="URF113" s="139"/>
      <c r="URG113" s="139"/>
      <c r="URH113" s="139"/>
      <c r="URI113" s="139"/>
      <c r="URJ113" s="139"/>
      <c r="URK113" s="139"/>
      <c r="URL113" s="139"/>
      <c r="URM113" s="139"/>
      <c r="URN113" s="139"/>
      <c r="URO113" s="139"/>
      <c r="URP113" s="139"/>
      <c r="URQ113" s="139"/>
      <c r="URR113" s="139"/>
      <c r="URS113" s="139"/>
      <c r="URT113" s="139"/>
      <c r="URU113" s="139"/>
      <c r="URV113" s="139"/>
      <c r="URW113" s="139"/>
      <c r="URX113" s="139"/>
      <c r="URY113" s="139"/>
      <c r="URZ113" s="139"/>
      <c r="USA113" s="139"/>
      <c r="USB113" s="139"/>
      <c r="USC113" s="139"/>
      <c r="USD113" s="139"/>
      <c r="USE113" s="139"/>
      <c r="USF113" s="139"/>
      <c r="USG113" s="139"/>
      <c r="USH113" s="139"/>
      <c r="USI113" s="139"/>
      <c r="USJ113" s="139"/>
      <c r="USK113" s="139"/>
      <c r="USL113" s="139"/>
      <c r="USM113" s="139"/>
      <c r="USN113" s="139"/>
      <c r="USO113" s="139"/>
      <c r="USP113" s="139"/>
      <c r="USQ113" s="139"/>
      <c r="USR113" s="139"/>
      <c r="USS113" s="139"/>
      <c r="UST113" s="139"/>
      <c r="USU113" s="139"/>
      <c r="USV113" s="139"/>
      <c r="USW113" s="139"/>
      <c r="USX113" s="139"/>
      <c r="USY113" s="139"/>
      <c r="USZ113" s="139"/>
      <c r="UTA113" s="139"/>
      <c r="UTB113" s="139"/>
      <c r="UTC113" s="139"/>
      <c r="UTD113" s="139"/>
      <c r="UTE113" s="139"/>
      <c r="UTF113" s="139"/>
      <c r="UTG113" s="139"/>
      <c r="UTH113" s="139"/>
      <c r="UTI113" s="139"/>
      <c r="UTJ113" s="139"/>
      <c r="UTK113" s="139"/>
      <c r="UTL113" s="139"/>
      <c r="UTM113" s="139"/>
      <c r="UTN113" s="139"/>
      <c r="UTO113" s="139"/>
      <c r="UTP113" s="139"/>
      <c r="UTQ113" s="139"/>
      <c r="UTR113" s="139"/>
      <c r="UTS113" s="139"/>
      <c r="UTT113" s="139"/>
      <c r="UTU113" s="139"/>
      <c r="UTV113" s="139"/>
      <c r="UTW113" s="139"/>
      <c r="UTX113" s="139"/>
      <c r="UTY113" s="139"/>
      <c r="UTZ113" s="139"/>
      <c r="UUA113" s="139"/>
      <c r="UUB113" s="139"/>
      <c r="UUC113" s="139"/>
      <c r="UUD113" s="139"/>
      <c r="UUE113" s="139"/>
      <c r="UUF113" s="139"/>
      <c r="UUG113" s="139"/>
      <c r="UUH113" s="139"/>
      <c r="UUI113" s="139"/>
      <c r="UUJ113" s="139"/>
      <c r="UUK113" s="139"/>
      <c r="UUL113" s="139"/>
      <c r="UUM113" s="139"/>
      <c r="UUN113" s="139"/>
      <c r="UUO113" s="139"/>
      <c r="UUP113" s="139"/>
      <c r="UUQ113" s="139"/>
      <c r="UUR113" s="139"/>
      <c r="UUS113" s="139"/>
      <c r="UUT113" s="139"/>
      <c r="UUU113" s="139"/>
      <c r="UUV113" s="139"/>
      <c r="UUW113" s="139"/>
      <c r="UUX113" s="139"/>
      <c r="UUY113" s="139"/>
      <c r="UUZ113" s="139"/>
      <c r="UVA113" s="139"/>
      <c r="UVB113" s="139"/>
      <c r="UVC113" s="139"/>
      <c r="UVD113" s="139"/>
      <c r="UVE113" s="139"/>
      <c r="UVF113" s="139"/>
      <c r="UVG113" s="139"/>
      <c r="UVH113" s="139"/>
      <c r="UVI113" s="139"/>
      <c r="UVJ113" s="139"/>
      <c r="UVK113" s="139"/>
      <c r="UVL113" s="139"/>
      <c r="UVM113" s="139"/>
      <c r="UVN113" s="139"/>
      <c r="UVO113" s="139"/>
      <c r="UVP113" s="139"/>
      <c r="UVQ113" s="139"/>
      <c r="UVR113" s="139"/>
      <c r="UVS113" s="139"/>
      <c r="UVT113" s="139"/>
      <c r="UVU113" s="139"/>
      <c r="UVV113" s="139"/>
      <c r="UVW113" s="139"/>
      <c r="UVX113" s="139"/>
      <c r="UVY113" s="139"/>
      <c r="UVZ113" s="139"/>
      <c r="UWA113" s="139"/>
      <c r="UWB113" s="139"/>
      <c r="UWC113" s="139"/>
      <c r="UWD113" s="139"/>
      <c r="UWE113" s="139"/>
      <c r="UWF113" s="139"/>
      <c r="UWG113" s="139"/>
      <c r="UWH113" s="139"/>
      <c r="UWI113" s="139"/>
      <c r="UWJ113" s="139"/>
      <c r="UWK113" s="139"/>
      <c r="UWL113" s="139"/>
      <c r="UWM113" s="139"/>
      <c r="UWN113" s="139"/>
      <c r="UWO113" s="139"/>
      <c r="UWP113" s="139"/>
      <c r="UWQ113" s="139"/>
      <c r="UWR113" s="139"/>
      <c r="UWS113" s="139"/>
      <c r="UWT113" s="139"/>
      <c r="UWU113" s="139"/>
      <c r="UWV113" s="139"/>
      <c r="UWW113" s="139"/>
      <c r="UWX113" s="139"/>
      <c r="UWY113" s="139"/>
      <c r="UWZ113" s="139"/>
      <c r="UXA113" s="139"/>
      <c r="UXB113" s="139"/>
      <c r="UXC113" s="139"/>
      <c r="UXD113" s="139"/>
      <c r="UXE113" s="139"/>
      <c r="UXF113" s="139"/>
      <c r="UXG113" s="139"/>
      <c r="UXH113" s="139"/>
      <c r="UXI113" s="139"/>
      <c r="UXJ113" s="139"/>
      <c r="UXK113" s="139"/>
      <c r="UXL113" s="139"/>
      <c r="UXM113" s="139"/>
      <c r="UXN113" s="139"/>
      <c r="UXO113" s="139"/>
      <c r="UXP113" s="139"/>
      <c r="UXQ113" s="139"/>
      <c r="UXR113" s="139"/>
      <c r="UXS113" s="139"/>
      <c r="UXT113" s="139"/>
      <c r="UXU113" s="139"/>
      <c r="UXV113" s="139"/>
      <c r="UXW113" s="139"/>
      <c r="UXX113" s="139"/>
      <c r="UXY113" s="139"/>
      <c r="UXZ113" s="139"/>
      <c r="UYA113" s="139"/>
      <c r="UYB113" s="139"/>
      <c r="UYC113" s="139"/>
      <c r="UYD113" s="139"/>
      <c r="UYE113" s="139"/>
      <c r="UYF113" s="139"/>
      <c r="UYG113" s="139"/>
      <c r="UYH113" s="139"/>
      <c r="UYI113" s="139"/>
      <c r="UYJ113" s="139"/>
      <c r="UYK113" s="139"/>
      <c r="UYL113" s="139"/>
      <c r="UYM113" s="139"/>
      <c r="UYN113" s="139"/>
      <c r="UYO113" s="139"/>
      <c r="UYP113" s="139"/>
      <c r="UYQ113" s="139"/>
      <c r="UYR113" s="139"/>
      <c r="UYS113" s="139"/>
      <c r="UYT113" s="139"/>
      <c r="UYU113" s="139"/>
      <c r="UYV113" s="139"/>
      <c r="UYW113" s="139"/>
      <c r="UYX113" s="139"/>
      <c r="UYY113" s="139"/>
      <c r="UYZ113" s="139"/>
      <c r="UZA113" s="139"/>
      <c r="UZB113" s="139"/>
      <c r="UZC113" s="139"/>
      <c r="UZD113" s="139"/>
      <c r="UZE113" s="139"/>
      <c r="UZF113" s="139"/>
      <c r="UZG113" s="139"/>
      <c r="UZH113" s="139"/>
      <c r="UZI113" s="139"/>
      <c r="UZJ113" s="139"/>
      <c r="UZK113" s="139"/>
      <c r="UZL113" s="139"/>
      <c r="UZM113" s="139"/>
      <c r="UZN113" s="139"/>
      <c r="UZO113" s="139"/>
      <c r="UZP113" s="139"/>
      <c r="UZQ113" s="139"/>
      <c r="UZR113" s="139"/>
      <c r="UZS113" s="139"/>
      <c r="UZT113" s="139"/>
      <c r="UZU113" s="139"/>
      <c r="UZV113" s="139"/>
      <c r="UZW113" s="139"/>
      <c r="UZX113" s="139"/>
      <c r="UZY113" s="139"/>
      <c r="UZZ113" s="139"/>
      <c r="VAA113" s="139"/>
      <c r="VAB113" s="139"/>
      <c r="VAC113" s="139"/>
      <c r="VAD113" s="139"/>
      <c r="VAE113" s="139"/>
      <c r="VAF113" s="139"/>
      <c r="VAG113" s="139"/>
      <c r="VAH113" s="139"/>
      <c r="VAI113" s="139"/>
      <c r="VAJ113" s="139"/>
      <c r="VAK113" s="139"/>
      <c r="VAL113" s="139"/>
      <c r="VAM113" s="139"/>
      <c r="VAN113" s="139"/>
      <c r="VAO113" s="139"/>
      <c r="VAP113" s="139"/>
      <c r="VAQ113" s="139"/>
      <c r="VAR113" s="139"/>
      <c r="VAS113" s="139"/>
      <c r="VAT113" s="139"/>
      <c r="VAU113" s="139"/>
      <c r="VAV113" s="139"/>
      <c r="VAW113" s="139"/>
      <c r="VAX113" s="139"/>
      <c r="VAY113" s="139"/>
      <c r="VAZ113" s="139"/>
      <c r="VBA113" s="139"/>
      <c r="VBB113" s="139"/>
      <c r="VBC113" s="139"/>
      <c r="VBD113" s="139"/>
      <c r="VBE113" s="139"/>
      <c r="VBF113" s="139"/>
      <c r="VBG113" s="139"/>
      <c r="VBH113" s="139"/>
      <c r="VBI113" s="139"/>
      <c r="VBJ113" s="139"/>
      <c r="VBK113" s="139"/>
      <c r="VBL113" s="139"/>
      <c r="VBM113" s="139"/>
      <c r="VBN113" s="139"/>
      <c r="VBO113" s="139"/>
      <c r="VBP113" s="139"/>
      <c r="VBQ113" s="139"/>
      <c r="VBR113" s="139"/>
      <c r="VBS113" s="139"/>
      <c r="VBT113" s="139"/>
      <c r="VBU113" s="139"/>
      <c r="VBV113" s="139"/>
      <c r="VBW113" s="139"/>
      <c r="VBX113" s="139"/>
      <c r="VBY113" s="139"/>
      <c r="VBZ113" s="139"/>
      <c r="VCA113" s="139"/>
      <c r="VCB113" s="139"/>
      <c r="VCC113" s="139"/>
      <c r="VCD113" s="139"/>
      <c r="VCE113" s="139"/>
      <c r="VCF113" s="139"/>
      <c r="VCG113" s="139"/>
      <c r="VCH113" s="139"/>
      <c r="VCI113" s="139"/>
      <c r="VCJ113" s="139"/>
      <c r="VCK113" s="139"/>
      <c r="VCL113" s="139"/>
      <c r="VCM113" s="139"/>
      <c r="VCN113" s="139"/>
      <c r="VCO113" s="139"/>
      <c r="VCP113" s="139"/>
      <c r="VCQ113" s="139"/>
      <c r="VCR113" s="139"/>
      <c r="VCS113" s="139"/>
      <c r="VCT113" s="139"/>
      <c r="VCU113" s="139"/>
      <c r="VCV113" s="139"/>
      <c r="VCW113" s="139"/>
      <c r="VCX113" s="139"/>
      <c r="VCY113" s="139"/>
      <c r="VCZ113" s="139"/>
      <c r="VDA113" s="139"/>
      <c r="VDB113" s="139"/>
      <c r="VDC113" s="139"/>
      <c r="VDD113" s="139"/>
      <c r="VDE113" s="139"/>
      <c r="VDF113" s="139"/>
      <c r="VDG113" s="139"/>
      <c r="VDH113" s="139"/>
      <c r="VDI113" s="139"/>
      <c r="VDJ113" s="139"/>
      <c r="VDK113" s="139"/>
      <c r="VDL113" s="139"/>
      <c r="VDM113" s="139"/>
      <c r="VDN113" s="139"/>
      <c r="VDO113" s="139"/>
      <c r="VDP113" s="139"/>
      <c r="VDQ113" s="139"/>
      <c r="VDR113" s="139"/>
      <c r="VDS113" s="139"/>
      <c r="VDT113" s="139"/>
      <c r="VDU113" s="139"/>
      <c r="VDV113" s="139"/>
      <c r="VDW113" s="139"/>
      <c r="VDX113" s="139"/>
      <c r="VDY113" s="139"/>
      <c r="VDZ113" s="139"/>
      <c r="VEA113" s="139"/>
      <c r="VEB113" s="139"/>
      <c r="VEC113" s="139"/>
      <c r="VED113" s="139"/>
      <c r="VEE113" s="139"/>
      <c r="VEF113" s="139"/>
      <c r="VEG113" s="139"/>
      <c r="VEH113" s="139"/>
      <c r="VEI113" s="139"/>
      <c r="VEJ113" s="139"/>
      <c r="VEK113" s="139"/>
      <c r="VEL113" s="139"/>
      <c r="VEM113" s="139"/>
      <c r="VEN113" s="139"/>
      <c r="VEO113" s="139"/>
      <c r="VEP113" s="139"/>
      <c r="VEQ113" s="139"/>
      <c r="VER113" s="139"/>
      <c r="VES113" s="139"/>
      <c r="VET113" s="139"/>
      <c r="VEU113" s="139"/>
      <c r="VEV113" s="139"/>
      <c r="VEW113" s="139"/>
      <c r="VEX113" s="139"/>
      <c r="VEY113" s="139"/>
      <c r="VEZ113" s="139"/>
      <c r="VFA113" s="139"/>
      <c r="VFB113" s="139"/>
      <c r="VFC113" s="139"/>
      <c r="VFD113" s="139"/>
      <c r="VFE113" s="139"/>
      <c r="VFF113" s="139"/>
      <c r="VFG113" s="139"/>
      <c r="VFH113" s="139"/>
      <c r="VFI113" s="139"/>
      <c r="VFJ113" s="139"/>
      <c r="VFK113" s="139"/>
      <c r="VFL113" s="139"/>
      <c r="VFM113" s="139"/>
      <c r="VFN113" s="139"/>
      <c r="VFO113" s="139"/>
      <c r="VFP113" s="139"/>
      <c r="VFQ113" s="139"/>
      <c r="VFR113" s="139"/>
      <c r="VFS113" s="139"/>
      <c r="VFT113" s="139"/>
      <c r="VFU113" s="139"/>
      <c r="VFV113" s="139"/>
      <c r="VFW113" s="139"/>
      <c r="VFX113" s="139"/>
      <c r="VFY113" s="139"/>
      <c r="VFZ113" s="139"/>
      <c r="VGA113" s="139"/>
      <c r="VGB113" s="139"/>
      <c r="VGC113" s="139"/>
      <c r="VGD113" s="139"/>
      <c r="VGE113" s="139"/>
      <c r="VGF113" s="139"/>
      <c r="VGG113" s="139"/>
      <c r="VGH113" s="139"/>
      <c r="VGI113" s="139"/>
      <c r="VGJ113" s="139"/>
      <c r="VGK113" s="139"/>
      <c r="VGL113" s="139"/>
      <c r="VGM113" s="139"/>
      <c r="VGN113" s="139"/>
      <c r="VGO113" s="139"/>
      <c r="VGP113" s="139"/>
      <c r="VGQ113" s="139"/>
      <c r="VGR113" s="139"/>
      <c r="VGS113" s="139"/>
      <c r="VGT113" s="139"/>
      <c r="VGU113" s="139"/>
      <c r="VGV113" s="139"/>
      <c r="VGW113" s="139"/>
      <c r="VGX113" s="139"/>
      <c r="VGY113" s="139"/>
      <c r="VGZ113" s="139"/>
      <c r="VHA113" s="139"/>
      <c r="VHB113" s="139"/>
      <c r="VHC113" s="139"/>
      <c r="VHD113" s="139"/>
      <c r="VHE113" s="139"/>
      <c r="VHF113" s="139"/>
      <c r="VHG113" s="139"/>
      <c r="VHH113" s="139"/>
      <c r="VHI113" s="139"/>
      <c r="VHJ113" s="139"/>
      <c r="VHK113" s="139"/>
      <c r="VHL113" s="139"/>
      <c r="VHM113" s="139"/>
      <c r="VHN113" s="139"/>
      <c r="VHO113" s="139"/>
      <c r="VHP113" s="139"/>
      <c r="VHQ113" s="139"/>
      <c r="VHR113" s="139"/>
      <c r="VHS113" s="139"/>
      <c r="VHT113" s="139"/>
      <c r="VHU113" s="139"/>
      <c r="VHV113" s="139"/>
      <c r="VHW113" s="139"/>
      <c r="VHX113" s="139"/>
      <c r="VHY113" s="139"/>
      <c r="VHZ113" s="139"/>
      <c r="VIA113" s="139"/>
      <c r="VIB113" s="139"/>
      <c r="VIC113" s="139"/>
      <c r="VID113" s="139"/>
      <c r="VIE113" s="139"/>
      <c r="VIF113" s="139"/>
      <c r="VIG113" s="139"/>
      <c r="VIH113" s="139"/>
      <c r="VII113" s="139"/>
      <c r="VIJ113" s="139"/>
      <c r="VIK113" s="139"/>
      <c r="VIL113" s="139"/>
      <c r="VIM113" s="139"/>
      <c r="VIN113" s="139"/>
      <c r="VIO113" s="139"/>
      <c r="VIP113" s="139"/>
      <c r="VIQ113" s="139"/>
      <c r="VIR113" s="139"/>
      <c r="VIS113" s="139"/>
      <c r="VIT113" s="139"/>
      <c r="VIU113" s="139"/>
      <c r="VIV113" s="139"/>
      <c r="VIW113" s="139"/>
      <c r="VIX113" s="139"/>
      <c r="VIY113" s="139"/>
      <c r="VIZ113" s="139"/>
      <c r="VJA113" s="139"/>
      <c r="VJB113" s="139"/>
      <c r="VJC113" s="139"/>
      <c r="VJD113" s="139"/>
      <c r="VJE113" s="139"/>
      <c r="VJF113" s="139"/>
      <c r="VJG113" s="139"/>
      <c r="VJH113" s="139"/>
      <c r="VJI113" s="139"/>
      <c r="VJJ113" s="139"/>
      <c r="VJK113" s="139"/>
      <c r="VJL113" s="139"/>
      <c r="VJM113" s="139"/>
      <c r="VJN113" s="139"/>
      <c r="VJO113" s="139"/>
      <c r="VJP113" s="139"/>
      <c r="VJQ113" s="139"/>
      <c r="VJR113" s="139"/>
      <c r="VJS113" s="139"/>
      <c r="VJT113" s="139"/>
      <c r="VJU113" s="139"/>
      <c r="VJV113" s="139"/>
      <c r="VJW113" s="139"/>
      <c r="VJX113" s="139"/>
      <c r="VJY113" s="139"/>
      <c r="VJZ113" s="139"/>
      <c r="VKA113" s="139"/>
      <c r="VKB113" s="139"/>
      <c r="VKC113" s="139"/>
      <c r="VKD113" s="139"/>
      <c r="VKE113" s="139"/>
      <c r="VKF113" s="139"/>
      <c r="VKG113" s="139"/>
      <c r="VKH113" s="139"/>
      <c r="VKI113" s="139"/>
      <c r="VKJ113" s="139"/>
      <c r="VKK113" s="139"/>
      <c r="VKL113" s="139"/>
      <c r="VKM113" s="139"/>
      <c r="VKN113" s="139"/>
      <c r="VKO113" s="139"/>
      <c r="VKP113" s="139"/>
      <c r="VKQ113" s="139"/>
      <c r="VKR113" s="139"/>
      <c r="VKS113" s="139"/>
      <c r="VKT113" s="139"/>
      <c r="VKU113" s="139"/>
      <c r="VKV113" s="139"/>
      <c r="VKW113" s="139"/>
      <c r="VKX113" s="139"/>
      <c r="VKY113" s="139"/>
      <c r="VKZ113" s="139"/>
      <c r="VLA113" s="139"/>
      <c r="VLB113" s="139"/>
      <c r="VLC113" s="139"/>
      <c r="VLD113" s="139"/>
      <c r="VLE113" s="139"/>
      <c r="VLF113" s="139"/>
      <c r="VLG113" s="139"/>
      <c r="VLH113" s="139"/>
      <c r="VLI113" s="139"/>
      <c r="VLJ113" s="139"/>
      <c r="VLK113" s="139"/>
      <c r="VLL113" s="139"/>
      <c r="VLM113" s="139"/>
      <c r="VLN113" s="139"/>
      <c r="VLO113" s="139"/>
      <c r="VLP113" s="139"/>
      <c r="VLQ113" s="139"/>
      <c r="VLR113" s="139"/>
      <c r="VLS113" s="139"/>
      <c r="VLT113" s="139"/>
      <c r="VLU113" s="139"/>
      <c r="VLV113" s="139"/>
      <c r="VLW113" s="139"/>
      <c r="VLX113" s="139"/>
      <c r="VLY113" s="139"/>
      <c r="VLZ113" s="139"/>
      <c r="VMA113" s="139"/>
      <c r="VMB113" s="139"/>
      <c r="VMC113" s="139"/>
      <c r="VMD113" s="139"/>
      <c r="VME113" s="139"/>
      <c r="VMF113" s="139"/>
      <c r="VMG113" s="139"/>
      <c r="VMH113" s="139"/>
      <c r="VMI113" s="139"/>
      <c r="VMJ113" s="139"/>
      <c r="VMK113" s="139"/>
      <c r="VML113" s="139"/>
      <c r="VMM113" s="139"/>
      <c r="VMN113" s="139"/>
      <c r="VMO113" s="139"/>
      <c r="VMP113" s="139"/>
      <c r="VMQ113" s="139"/>
      <c r="VMR113" s="139"/>
      <c r="VMS113" s="139"/>
      <c r="VMT113" s="139"/>
      <c r="VMU113" s="139"/>
      <c r="VMV113" s="139"/>
      <c r="VMW113" s="139"/>
      <c r="VMX113" s="139"/>
      <c r="VMY113" s="139"/>
      <c r="VMZ113" s="139"/>
      <c r="VNA113" s="139"/>
      <c r="VNB113" s="139"/>
      <c r="VNC113" s="139"/>
      <c r="VND113" s="139"/>
      <c r="VNE113" s="139"/>
      <c r="VNF113" s="139"/>
      <c r="VNG113" s="139"/>
      <c r="VNH113" s="139"/>
      <c r="VNI113" s="139"/>
      <c r="VNJ113" s="139"/>
      <c r="VNK113" s="139"/>
      <c r="VNL113" s="139"/>
      <c r="VNM113" s="139"/>
      <c r="VNN113" s="139"/>
      <c r="VNO113" s="139"/>
      <c r="VNP113" s="139"/>
      <c r="VNQ113" s="139"/>
      <c r="VNR113" s="139"/>
      <c r="VNS113" s="139"/>
      <c r="VNT113" s="139"/>
      <c r="VNU113" s="139"/>
      <c r="VNV113" s="139"/>
      <c r="VNW113" s="139"/>
      <c r="VNX113" s="139"/>
      <c r="VNY113" s="139"/>
      <c r="VNZ113" s="139"/>
      <c r="VOA113" s="139"/>
      <c r="VOB113" s="139"/>
      <c r="VOC113" s="139"/>
      <c r="VOD113" s="139"/>
      <c r="VOE113" s="139"/>
      <c r="VOF113" s="139"/>
      <c r="VOG113" s="139"/>
      <c r="VOH113" s="139"/>
      <c r="VOI113" s="139"/>
      <c r="VOJ113" s="139"/>
      <c r="VOK113" s="139"/>
      <c r="VOL113" s="139"/>
      <c r="VOM113" s="139"/>
      <c r="VON113" s="139"/>
      <c r="VOO113" s="139"/>
      <c r="VOP113" s="139"/>
      <c r="VOQ113" s="139"/>
      <c r="VOR113" s="139"/>
      <c r="VOS113" s="139"/>
      <c r="VOT113" s="139"/>
      <c r="VOU113" s="139"/>
      <c r="VOV113" s="139"/>
      <c r="VOW113" s="139"/>
      <c r="VOX113" s="139"/>
      <c r="VOY113" s="139"/>
      <c r="VOZ113" s="139"/>
      <c r="VPA113" s="139"/>
      <c r="VPB113" s="139"/>
      <c r="VPC113" s="139"/>
      <c r="VPD113" s="139"/>
      <c r="VPE113" s="139"/>
      <c r="VPF113" s="139"/>
      <c r="VPG113" s="139"/>
      <c r="VPH113" s="139"/>
      <c r="VPI113" s="139"/>
      <c r="VPJ113" s="139"/>
      <c r="VPK113" s="139"/>
      <c r="VPL113" s="139"/>
      <c r="VPM113" s="139"/>
      <c r="VPN113" s="139"/>
      <c r="VPO113" s="139"/>
      <c r="VPP113" s="139"/>
      <c r="VPQ113" s="139"/>
      <c r="VPR113" s="139"/>
      <c r="VPS113" s="139"/>
      <c r="VPT113" s="139"/>
      <c r="VPU113" s="139"/>
      <c r="VPV113" s="139"/>
      <c r="VPW113" s="139"/>
      <c r="VPX113" s="139"/>
      <c r="VPY113" s="139"/>
      <c r="VPZ113" s="139"/>
      <c r="VQA113" s="139"/>
      <c r="VQB113" s="139"/>
      <c r="VQC113" s="139"/>
      <c r="VQD113" s="139"/>
      <c r="VQE113" s="139"/>
      <c r="VQF113" s="139"/>
      <c r="VQG113" s="139"/>
      <c r="VQH113" s="139"/>
      <c r="VQI113" s="139"/>
      <c r="VQJ113" s="139"/>
      <c r="VQK113" s="139"/>
      <c r="VQL113" s="139"/>
      <c r="VQM113" s="139"/>
      <c r="VQN113" s="139"/>
      <c r="VQO113" s="139"/>
      <c r="VQP113" s="139"/>
      <c r="VQQ113" s="139"/>
      <c r="VQR113" s="139"/>
      <c r="VQS113" s="139"/>
      <c r="VQT113" s="139"/>
      <c r="VQU113" s="139"/>
      <c r="VQV113" s="139"/>
      <c r="VQW113" s="139"/>
      <c r="VQX113" s="139"/>
      <c r="VQY113" s="139"/>
      <c r="VQZ113" s="139"/>
      <c r="VRA113" s="139"/>
      <c r="VRB113" s="139"/>
      <c r="VRC113" s="139"/>
      <c r="VRD113" s="139"/>
      <c r="VRE113" s="139"/>
      <c r="VRF113" s="139"/>
      <c r="VRG113" s="139"/>
      <c r="VRH113" s="139"/>
      <c r="VRI113" s="139"/>
      <c r="VRJ113" s="139"/>
      <c r="VRK113" s="139"/>
      <c r="VRL113" s="139"/>
      <c r="VRM113" s="139"/>
      <c r="VRN113" s="139"/>
      <c r="VRO113" s="139"/>
      <c r="VRP113" s="139"/>
      <c r="VRQ113" s="139"/>
      <c r="VRR113" s="139"/>
      <c r="VRS113" s="139"/>
      <c r="VRT113" s="139"/>
      <c r="VRU113" s="139"/>
      <c r="VRV113" s="139"/>
      <c r="VRW113" s="139"/>
      <c r="VRX113" s="139"/>
      <c r="VRY113" s="139"/>
      <c r="VRZ113" s="139"/>
      <c r="VSA113" s="139"/>
      <c r="VSB113" s="139"/>
      <c r="VSC113" s="139"/>
      <c r="VSD113" s="139"/>
      <c r="VSE113" s="139"/>
      <c r="VSF113" s="139"/>
      <c r="VSG113" s="139"/>
      <c r="VSH113" s="139"/>
      <c r="VSI113" s="139"/>
      <c r="VSJ113" s="139"/>
      <c r="VSK113" s="139"/>
      <c r="VSL113" s="139"/>
      <c r="VSM113" s="139"/>
      <c r="VSN113" s="139"/>
      <c r="VSO113" s="139"/>
      <c r="VSP113" s="139"/>
      <c r="VSQ113" s="139"/>
      <c r="VSR113" s="139"/>
      <c r="VSS113" s="139"/>
      <c r="VST113" s="139"/>
      <c r="VSU113" s="139"/>
      <c r="VSV113" s="139"/>
      <c r="VSW113" s="139"/>
      <c r="VSX113" s="139"/>
      <c r="VSY113" s="139"/>
      <c r="VSZ113" s="139"/>
      <c r="VTA113" s="139"/>
      <c r="VTB113" s="139"/>
      <c r="VTC113" s="139"/>
      <c r="VTD113" s="139"/>
      <c r="VTE113" s="139"/>
      <c r="VTF113" s="139"/>
      <c r="VTG113" s="139"/>
      <c r="VTH113" s="139"/>
      <c r="VTI113" s="139"/>
      <c r="VTJ113" s="139"/>
      <c r="VTK113" s="139"/>
      <c r="VTL113" s="139"/>
      <c r="VTM113" s="139"/>
      <c r="VTN113" s="139"/>
      <c r="VTO113" s="139"/>
      <c r="VTP113" s="139"/>
      <c r="VTQ113" s="139"/>
      <c r="VTR113" s="139"/>
      <c r="VTS113" s="139"/>
      <c r="VTT113" s="139"/>
      <c r="VTU113" s="139"/>
      <c r="VTV113" s="139"/>
      <c r="VTW113" s="139"/>
      <c r="VTX113" s="139"/>
      <c r="VTY113" s="139"/>
      <c r="VTZ113" s="139"/>
      <c r="VUA113" s="139"/>
      <c r="VUB113" s="139"/>
      <c r="VUC113" s="139"/>
      <c r="VUD113" s="139"/>
      <c r="VUE113" s="139"/>
      <c r="VUF113" s="139"/>
      <c r="VUG113" s="139"/>
      <c r="VUH113" s="139"/>
      <c r="VUI113" s="139"/>
      <c r="VUJ113" s="139"/>
      <c r="VUK113" s="139"/>
      <c r="VUL113" s="139"/>
      <c r="VUM113" s="139"/>
      <c r="VUN113" s="139"/>
      <c r="VUO113" s="139"/>
      <c r="VUP113" s="139"/>
      <c r="VUQ113" s="139"/>
      <c r="VUR113" s="139"/>
      <c r="VUS113" s="139"/>
      <c r="VUT113" s="139"/>
      <c r="VUU113" s="139"/>
      <c r="VUV113" s="139"/>
      <c r="VUW113" s="139"/>
      <c r="VUX113" s="139"/>
      <c r="VUY113" s="139"/>
      <c r="VUZ113" s="139"/>
      <c r="VVA113" s="139"/>
      <c r="VVB113" s="139"/>
      <c r="VVC113" s="139"/>
      <c r="VVD113" s="139"/>
      <c r="VVE113" s="139"/>
      <c r="VVF113" s="139"/>
      <c r="VVG113" s="139"/>
      <c r="VVH113" s="139"/>
      <c r="VVI113" s="139"/>
      <c r="VVJ113" s="139"/>
      <c r="VVK113" s="139"/>
      <c r="VVL113" s="139"/>
      <c r="VVM113" s="139"/>
      <c r="VVN113" s="139"/>
      <c r="VVO113" s="139"/>
      <c r="VVP113" s="139"/>
      <c r="VVQ113" s="139"/>
      <c r="VVR113" s="139"/>
      <c r="VVS113" s="139"/>
      <c r="VVT113" s="139"/>
      <c r="VVU113" s="139"/>
      <c r="VVV113" s="139"/>
      <c r="VVW113" s="139"/>
      <c r="VVX113" s="139"/>
      <c r="VVY113" s="139"/>
      <c r="VVZ113" s="139"/>
      <c r="VWA113" s="139"/>
      <c r="VWB113" s="139"/>
      <c r="VWC113" s="139"/>
      <c r="VWD113" s="139"/>
      <c r="VWE113" s="139"/>
      <c r="VWF113" s="139"/>
      <c r="VWG113" s="139"/>
      <c r="VWH113" s="139"/>
      <c r="VWI113" s="139"/>
      <c r="VWJ113" s="139"/>
      <c r="VWK113" s="139"/>
      <c r="VWL113" s="139"/>
      <c r="VWM113" s="139"/>
      <c r="VWN113" s="139"/>
      <c r="VWO113" s="139"/>
      <c r="VWP113" s="139"/>
      <c r="VWQ113" s="139"/>
      <c r="VWR113" s="139"/>
      <c r="VWS113" s="139"/>
      <c r="VWT113" s="139"/>
      <c r="VWU113" s="139"/>
      <c r="VWV113" s="139"/>
      <c r="VWW113" s="139"/>
      <c r="VWX113" s="139"/>
      <c r="VWY113" s="139"/>
      <c r="VWZ113" s="139"/>
      <c r="VXA113" s="139"/>
      <c r="VXB113" s="139"/>
      <c r="VXC113" s="139"/>
      <c r="VXD113" s="139"/>
      <c r="VXE113" s="139"/>
      <c r="VXF113" s="139"/>
      <c r="VXG113" s="139"/>
      <c r="VXH113" s="139"/>
      <c r="VXI113" s="139"/>
      <c r="VXJ113" s="139"/>
      <c r="VXK113" s="139"/>
      <c r="VXL113" s="139"/>
      <c r="VXM113" s="139"/>
      <c r="VXN113" s="139"/>
      <c r="VXO113" s="139"/>
      <c r="VXP113" s="139"/>
      <c r="VXQ113" s="139"/>
      <c r="VXR113" s="139"/>
      <c r="VXS113" s="139"/>
      <c r="VXT113" s="139"/>
      <c r="VXU113" s="139"/>
      <c r="VXV113" s="139"/>
      <c r="VXW113" s="139"/>
      <c r="VXX113" s="139"/>
      <c r="VXY113" s="139"/>
      <c r="VXZ113" s="139"/>
      <c r="VYA113" s="139"/>
      <c r="VYB113" s="139"/>
      <c r="VYC113" s="139"/>
      <c r="VYD113" s="139"/>
      <c r="VYE113" s="139"/>
      <c r="VYF113" s="139"/>
      <c r="VYG113" s="139"/>
      <c r="VYH113" s="139"/>
      <c r="VYI113" s="139"/>
      <c r="VYJ113" s="139"/>
      <c r="VYK113" s="139"/>
      <c r="VYL113" s="139"/>
      <c r="VYM113" s="139"/>
      <c r="VYN113" s="139"/>
      <c r="VYO113" s="139"/>
      <c r="VYP113" s="139"/>
      <c r="VYQ113" s="139"/>
      <c r="VYR113" s="139"/>
      <c r="VYS113" s="139"/>
      <c r="VYT113" s="139"/>
      <c r="VYU113" s="139"/>
      <c r="VYV113" s="139"/>
      <c r="VYW113" s="139"/>
      <c r="VYX113" s="139"/>
      <c r="VYY113" s="139"/>
      <c r="VYZ113" s="139"/>
      <c r="VZA113" s="139"/>
      <c r="VZB113" s="139"/>
      <c r="VZC113" s="139"/>
      <c r="VZD113" s="139"/>
      <c r="VZE113" s="139"/>
      <c r="VZF113" s="139"/>
      <c r="VZG113" s="139"/>
      <c r="VZH113" s="139"/>
      <c r="VZI113" s="139"/>
      <c r="VZJ113" s="139"/>
      <c r="VZK113" s="139"/>
      <c r="VZL113" s="139"/>
      <c r="VZM113" s="139"/>
      <c r="VZN113" s="139"/>
      <c r="VZO113" s="139"/>
      <c r="VZP113" s="139"/>
      <c r="VZQ113" s="139"/>
      <c r="VZR113" s="139"/>
      <c r="VZS113" s="139"/>
      <c r="VZT113" s="139"/>
      <c r="VZU113" s="139"/>
      <c r="VZV113" s="139"/>
      <c r="VZW113" s="139"/>
      <c r="VZX113" s="139"/>
      <c r="VZY113" s="139"/>
      <c r="VZZ113" s="139"/>
      <c r="WAA113" s="139"/>
      <c r="WAB113" s="139"/>
      <c r="WAC113" s="139"/>
      <c r="WAD113" s="139"/>
      <c r="WAE113" s="139"/>
      <c r="WAF113" s="139"/>
      <c r="WAG113" s="139"/>
      <c r="WAH113" s="139"/>
      <c r="WAI113" s="139"/>
      <c r="WAJ113" s="139"/>
      <c r="WAK113" s="139"/>
      <c r="WAL113" s="139"/>
      <c r="WAM113" s="139"/>
      <c r="WAN113" s="139"/>
      <c r="WAO113" s="139"/>
      <c r="WAP113" s="139"/>
      <c r="WAQ113" s="139"/>
      <c r="WAR113" s="139"/>
      <c r="WAS113" s="139"/>
      <c r="WAT113" s="139"/>
      <c r="WAU113" s="139"/>
      <c r="WAV113" s="139"/>
      <c r="WAW113" s="139"/>
      <c r="WAX113" s="139"/>
      <c r="WAY113" s="139"/>
      <c r="WAZ113" s="139"/>
      <c r="WBA113" s="139"/>
      <c r="WBB113" s="139"/>
      <c r="WBC113" s="139"/>
      <c r="WBD113" s="139"/>
      <c r="WBE113" s="139"/>
      <c r="WBF113" s="139"/>
      <c r="WBG113" s="139"/>
      <c r="WBH113" s="139"/>
      <c r="WBI113" s="139"/>
      <c r="WBJ113" s="139"/>
      <c r="WBK113" s="139"/>
      <c r="WBL113" s="139"/>
      <c r="WBM113" s="139"/>
      <c r="WBN113" s="139"/>
      <c r="WBO113" s="139"/>
      <c r="WBP113" s="139"/>
      <c r="WBQ113" s="139"/>
      <c r="WBR113" s="139"/>
      <c r="WBS113" s="139"/>
      <c r="WBT113" s="139"/>
      <c r="WBU113" s="139"/>
      <c r="WBV113" s="139"/>
      <c r="WBW113" s="139"/>
      <c r="WBX113" s="139"/>
      <c r="WBY113" s="139"/>
      <c r="WBZ113" s="139"/>
      <c r="WCA113" s="139"/>
      <c r="WCB113" s="139"/>
      <c r="WCC113" s="139"/>
      <c r="WCD113" s="139"/>
      <c r="WCE113" s="139"/>
      <c r="WCF113" s="139"/>
      <c r="WCG113" s="139"/>
      <c r="WCH113" s="139"/>
      <c r="WCI113" s="139"/>
      <c r="WCJ113" s="139"/>
      <c r="WCK113" s="139"/>
      <c r="WCL113" s="139"/>
      <c r="WCM113" s="139"/>
      <c r="WCN113" s="139"/>
      <c r="WCO113" s="139"/>
      <c r="WCP113" s="139"/>
      <c r="WCQ113" s="139"/>
      <c r="WCR113" s="139"/>
      <c r="WCS113" s="139"/>
      <c r="WCT113" s="139"/>
      <c r="WCU113" s="139"/>
      <c r="WCV113" s="139"/>
      <c r="WCW113" s="139"/>
      <c r="WCX113" s="139"/>
      <c r="WCY113" s="139"/>
      <c r="WCZ113" s="139"/>
      <c r="WDA113" s="139"/>
      <c r="WDB113" s="139"/>
      <c r="WDC113" s="139"/>
      <c r="WDD113" s="139"/>
      <c r="WDE113" s="139"/>
      <c r="WDF113" s="139"/>
      <c r="WDG113" s="139"/>
      <c r="WDH113" s="139"/>
      <c r="WDI113" s="139"/>
      <c r="WDJ113" s="139"/>
      <c r="WDK113" s="139"/>
      <c r="WDL113" s="139"/>
      <c r="WDM113" s="139"/>
      <c r="WDN113" s="139"/>
      <c r="WDO113" s="139"/>
      <c r="WDP113" s="139"/>
      <c r="WDQ113" s="139"/>
      <c r="WDR113" s="139"/>
      <c r="WDS113" s="139"/>
      <c r="WDT113" s="139"/>
      <c r="WDU113" s="139"/>
      <c r="WDV113" s="139"/>
      <c r="WDW113" s="139"/>
      <c r="WDX113" s="139"/>
      <c r="WDY113" s="139"/>
      <c r="WDZ113" s="139"/>
      <c r="WEA113" s="139"/>
      <c r="WEB113" s="139"/>
      <c r="WEC113" s="139"/>
      <c r="WED113" s="139"/>
      <c r="WEE113" s="139"/>
      <c r="WEF113" s="139"/>
      <c r="WEG113" s="139"/>
      <c r="WEH113" s="139"/>
      <c r="WEI113" s="139"/>
      <c r="WEJ113" s="139"/>
      <c r="WEK113" s="139"/>
      <c r="WEL113" s="139"/>
      <c r="WEM113" s="139"/>
      <c r="WEN113" s="139"/>
      <c r="WEO113" s="139"/>
      <c r="WEP113" s="139"/>
      <c r="WEQ113" s="139"/>
      <c r="WER113" s="139"/>
      <c r="WES113" s="139"/>
      <c r="WET113" s="139"/>
      <c r="WEU113" s="139"/>
      <c r="WEV113" s="139"/>
      <c r="WEW113" s="139"/>
      <c r="WEX113" s="139"/>
      <c r="WEY113" s="139"/>
      <c r="WEZ113" s="139"/>
      <c r="WFA113" s="139"/>
      <c r="WFB113" s="139"/>
      <c r="WFC113" s="139"/>
      <c r="WFD113" s="139"/>
      <c r="WFE113" s="139"/>
      <c r="WFF113" s="139"/>
      <c r="WFG113" s="139"/>
      <c r="WFH113" s="139"/>
      <c r="WFI113" s="139"/>
      <c r="WFJ113" s="139"/>
      <c r="WFK113" s="139"/>
      <c r="WFL113" s="139"/>
      <c r="WFM113" s="139"/>
      <c r="WFN113" s="139"/>
      <c r="WFO113" s="139"/>
      <c r="WFP113" s="139"/>
      <c r="WFQ113" s="139"/>
      <c r="WFR113" s="139"/>
      <c r="WFS113" s="139"/>
      <c r="WFT113" s="139"/>
      <c r="WFU113" s="139"/>
      <c r="WFV113" s="139"/>
      <c r="WFW113" s="139"/>
      <c r="WFX113" s="139"/>
      <c r="WFY113" s="139"/>
      <c r="WFZ113" s="139"/>
      <c r="WGA113" s="139"/>
      <c r="WGB113" s="139"/>
      <c r="WGC113" s="139"/>
      <c r="WGD113" s="139"/>
      <c r="WGE113" s="139"/>
      <c r="WGF113" s="139"/>
      <c r="WGG113" s="139"/>
      <c r="WGH113" s="139"/>
      <c r="WGI113" s="139"/>
      <c r="WGJ113" s="139"/>
      <c r="WGK113" s="139"/>
      <c r="WGL113" s="139"/>
      <c r="WGM113" s="139"/>
      <c r="WGN113" s="139"/>
      <c r="WGO113" s="139"/>
      <c r="WGP113" s="139"/>
      <c r="WGQ113" s="139"/>
      <c r="WGR113" s="139"/>
      <c r="WGS113" s="139"/>
      <c r="WGT113" s="139"/>
      <c r="WGU113" s="139"/>
      <c r="WGV113" s="139"/>
      <c r="WGW113" s="139"/>
      <c r="WGX113" s="139"/>
      <c r="WGY113" s="139"/>
      <c r="WGZ113" s="139"/>
      <c r="WHA113" s="139"/>
      <c r="WHB113" s="139"/>
      <c r="WHC113" s="139"/>
      <c r="WHD113" s="139"/>
      <c r="WHE113" s="139"/>
      <c r="WHF113" s="139"/>
      <c r="WHG113" s="139"/>
      <c r="WHH113" s="139"/>
      <c r="WHI113" s="139"/>
      <c r="WHJ113" s="139"/>
      <c r="WHK113" s="139"/>
      <c r="WHL113" s="139"/>
      <c r="WHM113" s="139"/>
      <c r="WHN113" s="139"/>
      <c r="WHO113" s="139"/>
      <c r="WHP113" s="139"/>
      <c r="WHQ113" s="139"/>
      <c r="WHR113" s="139"/>
      <c r="WHS113" s="139"/>
      <c r="WHT113" s="139"/>
      <c r="WHU113" s="139"/>
      <c r="WHV113" s="139"/>
      <c r="WHW113" s="139"/>
      <c r="WHX113" s="139"/>
      <c r="WHY113" s="139"/>
      <c r="WHZ113" s="139"/>
      <c r="WIA113" s="139"/>
      <c r="WIB113" s="139"/>
      <c r="WIC113" s="139"/>
      <c r="WID113" s="139"/>
      <c r="WIE113" s="139"/>
      <c r="WIF113" s="139"/>
      <c r="WIG113" s="139"/>
      <c r="WIH113" s="139"/>
      <c r="WII113" s="139"/>
      <c r="WIJ113" s="139"/>
      <c r="WIK113" s="139"/>
      <c r="WIL113" s="139"/>
      <c r="WIM113" s="139"/>
      <c r="WIN113" s="139"/>
      <c r="WIO113" s="139"/>
      <c r="WIP113" s="139"/>
      <c r="WIQ113" s="139"/>
      <c r="WIR113" s="139"/>
      <c r="WIS113" s="139"/>
      <c r="WIT113" s="139"/>
      <c r="WIU113" s="139"/>
      <c r="WIV113" s="139"/>
      <c r="WIW113" s="139"/>
      <c r="WIX113" s="139"/>
      <c r="WIY113" s="139"/>
      <c r="WIZ113" s="139"/>
      <c r="WJA113" s="139"/>
      <c r="WJB113" s="139"/>
      <c r="WJC113" s="139"/>
      <c r="WJD113" s="139"/>
      <c r="WJE113" s="139"/>
      <c r="WJF113" s="139"/>
      <c r="WJG113" s="139"/>
      <c r="WJH113" s="139"/>
      <c r="WJI113" s="139"/>
      <c r="WJJ113" s="139"/>
      <c r="WJK113" s="139"/>
      <c r="WJL113" s="139"/>
      <c r="WJM113" s="139"/>
      <c r="WJN113" s="139"/>
      <c r="WJO113" s="139"/>
      <c r="WJP113" s="139"/>
      <c r="WJQ113" s="139"/>
      <c r="WJR113" s="139"/>
      <c r="WJS113" s="139"/>
      <c r="WJT113" s="139"/>
      <c r="WJU113" s="139"/>
      <c r="WJV113" s="139"/>
      <c r="WJW113" s="139"/>
      <c r="WJX113" s="139"/>
      <c r="WJY113" s="139"/>
      <c r="WJZ113" s="139"/>
      <c r="WKA113" s="139"/>
      <c r="WKB113" s="139"/>
      <c r="WKC113" s="139"/>
      <c r="WKD113" s="139"/>
      <c r="WKE113" s="139"/>
      <c r="WKF113" s="139"/>
      <c r="WKG113" s="139"/>
      <c r="WKH113" s="139"/>
      <c r="WKI113" s="139"/>
      <c r="WKJ113" s="139"/>
      <c r="WKK113" s="139"/>
      <c r="WKL113" s="139"/>
      <c r="WKM113" s="139"/>
      <c r="WKN113" s="139"/>
      <c r="WKO113" s="139"/>
      <c r="WKP113" s="139"/>
      <c r="WKQ113" s="139"/>
      <c r="WKR113" s="139"/>
      <c r="WKS113" s="139"/>
      <c r="WKT113" s="139"/>
      <c r="WKU113" s="139"/>
      <c r="WKV113" s="139"/>
      <c r="WKW113" s="139"/>
      <c r="WKX113" s="139"/>
      <c r="WKY113" s="139"/>
      <c r="WKZ113" s="139"/>
      <c r="WLA113" s="139"/>
      <c r="WLB113" s="139"/>
      <c r="WLC113" s="139"/>
      <c r="WLD113" s="139"/>
      <c r="WLE113" s="139"/>
      <c r="WLF113" s="139"/>
      <c r="WLG113" s="139"/>
      <c r="WLH113" s="139"/>
      <c r="WLI113" s="139"/>
      <c r="WLJ113" s="139"/>
      <c r="WLK113" s="139"/>
      <c r="WLL113" s="139"/>
      <c r="WLM113" s="139"/>
      <c r="WLN113" s="139"/>
      <c r="WLO113" s="139"/>
      <c r="WLP113" s="139"/>
      <c r="WLQ113" s="139"/>
      <c r="WLR113" s="139"/>
      <c r="WLS113" s="139"/>
      <c r="WLT113" s="139"/>
      <c r="WLU113" s="139"/>
      <c r="WLV113" s="139"/>
      <c r="WLW113" s="139"/>
      <c r="WLX113" s="139"/>
      <c r="WLY113" s="139"/>
      <c r="WLZ113" s="139"/>
      <c r="WMA113" s="139"/>
      <c r="WMB113" s="139"/>
      <c r="WMC113" s="139"/>
      <c r="WMD113" s="139"/>
      <c r="WME113" s="139"/>
      <c r="WMF113" s="139"/>
      <c r="WMG113" s="139"/>
      <c r="WMH113" s="139"/>
      <c r="WMI113" s="139"/>
      <c r="WMJ113" s="139"/>
      <c r="WMK113" s="139"/>
      <c r="WML113" s="139"/>
      <c r="WMM113" s="139"/>
      <c r="WMN113" s="139"/>
      <c r="WMO113" s="139"/>
      <c r="WMP113" s="139"/>
      <c r="WMQ113" s="139"/>
      <c r="WMR113" s="139"/>
      <c r="WMS113" s="139"/>
      <c r="WMT113" s="139"/>
      <c r="WMU113" s="139"/>
      <c r="WMV113" s="139"/>
      <c r="WMW113" s="139"/>
      <c r="WMX113" s="139"/>
      <c r="WMY113" s="139"/>
      <c r="WMZ113" s="139"/>
      <c r="WNA113" s="139"/>
      <c r="WNB113" s="139"/>
      <c r="WNC113" s="139"/>
      <c r="WND113" s="139"/>
      <c r="WNE113" s="139"/>
      <c r="WNF113" s="139"/>
      <c r="WNG113" s="139"/>
      <c r="WNH113" s="139"/>
      <c r="WNI113" s="139"/>
      <c r="WNJ113" s="139"/>
      <c r="WNK113" s="139"/>
      <c r="WNL113" s="139"/>
      <c r="WNM113" s="139"/>
      <c r="WNN113" s="139"/>
      <c r="WNO113" s="139"/>
      <c r="WNP113" s="139"/>
      <c r="WNQ113" s="139"/>
      <c r="WNR113" s="139"/>
      <c r="WNS113" s="139"/>
      <c r="WNT113" s="139"/>
      <c r="WNU113" s="139"/>
      <c r="WNV113" s="139"/>
      <c r="WNW113" s="139"/>
      <c r="WNX113" s="139"/>
      <c r="WNY113" s="139"/>
      <c r="WNZ113" s="139"/>
      <c r="WOA113" s="139"/>
      <c r="WOB113" s="139"/>
      <c r="WOC113" s="139"/>
      <c r="WOD113" s="139"/>
      <c r="WOE113" s="139"/>
      <c r="WOF113" s="139"/>
      <c r="WOG113" s="139"/>
      <c r="WOH113" s="139"/>
      <c r="WOI113" s="139"/>
      <c r="WOJ113" s="139"/>
      <c r="WOK113" s="139"/>
      <c r="WOL113" s="139"/>
      <c r="WOM113" s="139"/>
      <c r="WON113" s="139"/>
      <c r="WOO113" s="139"/>
      <c r="WOP113" s="139"/>
      <c r="WOQ113" s="139"/>
      <c r="WOR113" s="139"/>
      <c r="WOS113" s="139"/>
      <c r="WOT113" s="139"/>
      <c r="WOU113" s="139"/>
      <c r="WOV113" s="139"/>
      <c r="WOW113" s="139"/>
      <c r="WOX113" s="139"/>
      <c r="WOY113" s="139"/>
      <c r="WOZ113" s="139"/>
      <c r="WPA113" s="139"/>
      <c r="WPB113" s="139"/>
      <c r="WPC113" s="139"/>
      <c r="WPD113" s="139"/>
      <c r="WPE113" s="139"/>
      <c r="WPF113" s="139"/>
      <c r="WPG113" s="139"/>
      <c r="WPH113" s="139"/>
      <c r="WPI113" s="139"/>
      <c r="WPJ113" s="139"/>
      <c r="WPK113" s="139"/>
      <c r="WPL113" s="139"/>
      <c r="WPM113" s="139"/>
      <c r="WPN113" s="139"/>
      <c r="WPO113" s="139"/>
      <c r="WPP113" s="139"/>
      <c r="WPQ113" s="139"/>
      <c r="WPR113" s="139"/>
      <c r="WPS113" s="139"/>
      <c r="WPT113" s="139"/>
      <c r="WPU113" s="139"/>
      <c r="WPV113" s="139"/>
      <c r="WPW113" s="139"/>
      <c r="WPX113" s="139"/>
      <c r="WPY113" s="139"/>
      <c r="WPZ113" s="139"/>
      <c r="WQA113" s="139"/>
      <c r="WQB113" s="139"/>
      <c r="WQC113" s="139"/>
      <c r="WQD113" s="139"/>
      <c r="WQE113" s="139"/>
      <c r="WQF113" s="139"/>
      <c r="WQG113" s="139"/>
      <c r="WQH113" s="139"/>
      <c r="WQI113" s="139"/>
      <c r="WQJ113" s="139"/>
      <c r="WQK113" s="139"/>
      <c r="WQL113" s="139"/>
      <c r="WQM113" s="139"/>
      <c r="WQN113" s="139"/>
      <c r="WQO113" s="139"/>
      <c r="WQP113" s="139"/>
      <c r="WQQ113" s="139"/>
      <c r="WQR113" s="139"/>
      <c r="WQS113" s="139"/>
      <c r="WQT113" s="139"/>
      <c r="WQU113" s="139"/>
      <c r="WQV113" s="139"/>
      <c r="WQW113" s="139"/>
      <c r="WQX113" s="139"/>
      <c r="WQY113" s="139"/>
      <c r="WQZ113" s="139"/>
      <c r="WRA113" s="139"/>
      <c r="WRB113" s="139"/>
      <c r="WRC113" s="139"/>
      <c r="WRD113" s="139"/>
      <c r="WRE113" s="139"/>
      <c r="WRF113" s="139"/>
      <c r="WRG113" s="139"/>
      <c r="WRH113" s="139"/>
      <c r="WRI113" s="139"/>
      <c r="WRJ113" s="139"/>
      <c r="WRK113" s="139"/>
      <c r="WRL113" s="139"/>
      <c r="WRM113" s="139"/>
      <c r="WRN113" s="139"/>
      <c r="WRO113" s="139"/>
      <c r="WRP113" s="139"/>
      <c r="WRQ113" s="139"/>
      <c r="WRR113" s="139"/>
      <c r="WRS113" s="139"/>
      <c r="WRT113" s="139"/>
      <c r="WRU113" s="139"/>
      <c r="WRV113" s="139"/>
      <c r="WRW113" s="139"/>
      <c r="WRX113" s="139"/>
      <c r="WRY113" s="139"/>
      <c r="WRZ113" s="139"/>
      <c r="WSA113" s="139"/>
      <c r="WSB113" s="139"/>
      <c r="WSC113" s="139"/>
      <c r="WSD113" s="139"/>
      <c r="WSE113" s="139"/>
      <c r="WSF113" s="139"/>
      <c r="WSG113" s="139"/>
      <c r="WSH113" s="139"/>
      <c r="WSI113" s="139"/>
      <c r="WSJ113" s="139"/>
      <c r="WSK113" s="139"/>
      <c r="WSL113" s="139"/>
      <c r="WSM113" s="139"/>
      <c r="WSN113" s="139"/>
      <c r="WSO113" s="139"/>
      <c r="WSP113" s="139"/>
      <c r="WSQ113" s="139"/>
      <c r="WSR113" s="139"/>
      <c r="WSS113" s="139"/>
      <c r="WST113" s="139"/>
      <c r="WSU113" s="139"/>
      <c r="WSV113" s="139"/>
      <c r="WSW113" s="139"/>
      <c r="WSX113" s="139"/>
      <c r="WSY113" s="139"/>
      <c r="WSZ113" s="139"/>
      <c r="WTA113" s="139"/>
      <c r="WTB113" s="139"/>
      <c r="WTC113" s="139"/>
      <c r="WTD113" s="139"/>
      <c r="WTE113" s="139"/>
      <c r="WTF113" s="139"/>
      <c r="WTG113" s="139"/>
      <c r="WTH113" s="139"/>
      <c r="WTI113" s="139"/>
      <c r="WTJ113" s="139"/>
      <c r="WTK113" s="139"/>
      <c r="WTL113" s="139"/>
      <c r="WTM113" s="139"/>
      <c r="WTN113" s="139"/>
      <c r="WTO113" s="139"/>
      <c r="WTP113" s="139"/>
      <c r="WTQ113" s="139"/>
      <c r="WTR113" s="139"/>
      <c r="WTS113" s="139"/>
      <c r="WTT113" s="139"/>
      <c r="WTU113" s="139"/>
      <c r="WTV113" s="139"/>
      <c r="WTW113" s="139"/>
      <c r="WTX113" s="139"/>
      <c r="WTY113" s="139"/>
      <c r="WTZ113" s="139"/>
      <c r="WUA113" s="139"/>
      <c r="WUB113" s="139"/>
      <c r="WUC113" s="139"/>
      <c r="WUD113" s="139"/>
      <c r="WUE113" s="139"/>
      <c r="WUF113" s="139"/>
      <c r="WUG113" s="139"/>
      <c r="WUH113" s="139"/>
      <c r="WUI113" s="139"/>
      <c r="WUJ113" s="139"/>
      <c r="WUK113" s="139"/>
      <c r="WUL113" s="139"/>
      <c r="WUM113" s="139"/>
      <c r="WUN113" s="139"/>
      <c r="WUO113" s="139"/>
      <c r="WUP113" s="139"/>
      <c r="WUQ113" s="139"/>
      <c r="WUR113" s="139"/>
      <c r="WUS113" s="139"/>
      <c r="WUT113" s="139"/>
      <c r="WUU113" s="139"/>
      <c r="WUV113" s="139"/>
      <c r="WUW113" s="139"/>
      <c r="WUX113" s="139"/>
      <c r="WUY113" s="139"/>
      <c r="WUZ113" s="139"/>
      <c r="WVA113" s="139"/>
      <c r="WVB113" s="139"/>
      <c r="WVC113" s="139"/>
      <c r="WVD113" s="139"/>
      <c r="WVE113" s="139"/>
      <c r="WVF113" s="139"/>
      <c r="WVG113" s="139"/>
      <c r="WVH113" s="139"/>
      <c r="WVI113" s="139"/>
      <c r="WVJ113" s="139"/>
      <c r="WVK113" s="139"/>
      <c r="WVL113" s="139"/>
      <c r="WVM113" s="139"/>
      <c r="WVN113" s="139"/>
      <c r="WVO113" s="139"/>
      <c r="WVP113" s="139"/>
      <c r="WVQ113" s="139"/>
      <c r="WVR113" s="139"/>
      <c r="WVS113" s="139"/>
      <c r="WVT113" s="139"/>
      <c r="WVU113" s="139"/>
      <c r="WVV113" s="139"/>
      <c r="WVW113" s="139"/>
    </row>
    <row r="114" spans="1:16143" s="140" customFormat="1" x14ac:dyDescent="0.2">
      <c r="A114" s="139"/>
      <c r="B114" s="635" t="s">
        <v>361</v>
      </c>
      <c r="C114" s="338" t="str">
        <f t="shared" ref="C114:N114" si="32">+IF(C9&lt;&gt;0,"Ok","")</f>
        <v>Ok</v>
      </c>
      <c r="D114" s="338" t="str">
        <f t="shared" si="32"/>
        <v>Ok</v>
      </c>
      <c r="E114" s="338" t="str">
        <f t="shared" si="32"/>
        <v>Ok</v>
      </c>
      <c r="F114" s="338" t="str">
        <f t="shared" si="32"/>
        <v>Ok</v>
      </c>
      <c r="G114" s="338" t="str">
        <f t="shared" si="32"/>
        <v>Ok</v>
      </c>
      <c r="H114" s="338" t="str">
        <f t="shared" si="32"/>
        <v>Ok</v>
      </c>
      <c r="I114" s="338" t="str">
        <f t="shared" si="32"/>
        <v>Ok</v>
      </c>
      <c r="J114" s="338" t="str">
        <f t="shared" si="32"/>
        <v>Ok</v>
      </c>
      <c r="K114" s="338" t="str">
        <f t="shared" si="32"/>
        <v/>
      </c>
      <c r="L114" s="338" t="str">
        <f t="shared" si="32"/>
        <v/>
      </c>
      <c r="M114" s="338" t="str">
        <f t="shared" si="32"/>
        <v/>
      </c>
      <c r="N114" s="338" t="str">
        <f t="shared" si="32"/>
        <v/>
      </c>
      <c r="Q114" s="171"/>
      <c r="R114" s="171"/>
      <c r="S114" s="139"/>
      <c r="T114" s="139"/>
      <c r="U114" s="139"/>
      <c r="V114" s="139"/>
      <c r="W114" s="139"/>
      <c r="X114" s="139"/>
      <c r="Y114" s="139"/>
      <c r="Z114" s="139"/>
      <c r="AA114" s="139"/>
      <c r="AB114" s="139"/>
      <c r="AC114" s="139"/>
      <c r="AD114" s="139"/>
      <c r="AE114" s="139"/>
      <c r="AF114" s="139"/>
      <c r="AG114" s="139"/>
      <c r="AH114" s="139"/>
      <c r="AI114" s="139"/>
      <c r="AJ114" s="139"/>
      <c r="AK114" s="139"/>
      <c r="AL114" s="139"/>
      <c r="AM114" s="139"/>
      <c r="AN114" s="139"/>
      <c r="AO114" s="139"/>
      <c r="AP114" s="139"/>
      <c r="AQ114" s="139"/>
      <c r="AR114" s="139"/>
      <c r="AS114" s="139"/>
      <c r="AT114" s="139"/>
      <c r="AU114" s="139"/>
      <c r="AV114" s="139"/>
      <c r="AW114" s="139"/>
      <c r="AX114" s="139"/>
      <c r="AY114" s="139"/>
      <c r="AZ114" s="139"/>
      <c r="BA114" s="139"/>
      <c r="BB114" s="139"/>
      <c r="BC114" s="139"/>
      <c r="BD114" s="139"/>
      <c r="BE114" s="139"/>
      <c r="BF114" s="139"/>
      <c r="BG114" s="139"/>
      <c r="BH114" s="139"/>
      <c r="BI114" s="139"/>
      <c r="BJ114" s="139"/>
      <c r="BK114" s="139"/>
      <c r="BL114" s="139"/>
      <c r="BM114" s="139"/>
      <c r="BN114" s="139"/>
      <c r="BO114" s="139"/>
      <c r="BP114" s="139"/>
      <c r="BQ114" s="139"/>
      <c r="BR114" s="139"/>
      <c r="BS114" s="139"/>
      <c r="BT114" s="139"/>
      <c r="BU114" s="139"/>
      <c r="BV114" s="139"/>
      <c r="BW114" s="139"/>
      <c r="BX114" s="139"/>
      <c r="BY114" s="139"/>
      <c r="BZ114" s="139"/>
      <c r="CA114" s="139"/>
      <c r="CB114" s="139"/>
      <c r="CC114" s="139"/>
      <c r="CD114" s="139"/>
      <c r="CE114" s="139"/>
      <c r="CF114" s="139"/>
      <c r="CG114" s="139"/>
      <c r="CH114" s="139"/>
      <c r="CI114" s="139"/>
      <c r="CJ114" s="139"/>
      <c r="CK114" s="139"/>
      <c r="CL114" s="139"/>
      <c r="CM114" s="139"/>
      <c r="CN114" s="139"/>
      <c r="CO114" s="139"/>
      <c r="CP114" s="139"/>
      <c r="CQ114" s="139"/>
      <c r="CR114" s="139"/>
      <c r="CS114" s="139"/>
      <c r="CT114" s="139"/>
      <c r="CU114" s="139"/>
      <c r="CV114" s="139"/>
      <c r="CW114" s="139"/>
      <c r="CX114" s="139"/>
      <c r="CY114" s="139"/>
      <c r="CZ114" s="139"/>
      <c r="DA114" s="139"/>
      <c r="DB114" s="139"/>
      <c r="DC114" s="139"/>
      <c r="DD114" s="139"/>
      <c r="DE114" s="139"/>
      <c r="DF114" s="139"/>
      <c r="DG114" s="139"/>
      <c r="DH114" s="139"/>
      <c r="DI114" s="139"/>
      <c r="DJ114" s="139"/>
      <c r="DK114" s="139"/>
      <c r="DL114" s="139"/>
      <c r="DM114" s="139"/>
      <c r="DN114" s="139"/>
      <c r="DO114" s="139"/>
      <c r="DP114" s="139"/>
      <c r="DQ114" s="139"/>
      <c r="DR114" s="139"/>
      <c r="DS114" s="139"/>
      <c r="DT114" s="139"/>
      <c r="DU114" s="139"/>
      <c r="DV114" s="139"/>
      <c r="DW114" s="139"/>
      <c r="DX114" s="139"/>
      <c r="DY114" s="139"/>
      <c r="DZ114" s="139"/>
      <c r="EA114" s="139"/>
      <c r="EB114" s="139"/>
      <c r="EC114" s="139"/>
      <c r="ED114" s="139"/>
      <c r="EE114" s="139"/>
      <c r="EF114" s="139"/>
      <c r="EG114" s="139"/>
      <c r="EH114" s="139"/>
      <c r="EI114" s="139"/>
      <c r="EJ114" s="139"/>
      <c r="EK114" s="139"/>
      <c r="EL114" s="139"/>
      <c r="EM114" s="139"/>
      <c r="EN114" s="139"/>
      <c r="EO114" s="139"/>
      <c r="EP114" s="139"/>
      <c r="EQ114" s="139"/>
      <c r="ER114" s="139"/>
      <c r="ES114" s="139"/>
      <c r="ET114" s="139"/>
      <c r="EU114" s="139"/>
      <c r="EV114" s="139"/>
      <c r="EW114" s="139"/>
      <c r="EX114" s="139"/>
      <c r="EY114" s="139"/>
      <c r="EZ114" s="139"/>
      <c r="FA114" s="139"/>
      <c r="FB114" s="139"/>
      <c r="FC114" s="139"/>
      <c r="FD114" s="139"/>
      <c r="FE114" s="139"/>
      <c r="FF114" s="139"/>
      <c r="FG114" s="139"/>
      <c r="FH114" s="139"/>
      <c r="FI114" s="139"/>
      <c r="FJ114" s="139"/>
      <c r="FK114" s="139"/>
      <c r="FL114" s="139"/>
      <c r="FM114" s="139"/>
      <c r="FN114" s="139"/>
      <c r="FO114" s="139"/>
      <c r="FP114" s="139"/>
      <c r="FQ114" s="139"/>
      <c r="FR114" s="139"/>
      <c r="FS114" s="139"/>
      <c r="FT114" s="139"/>
      <c r="FU114" s="139"/>
      <c r="FV114" s="139"/>
      <c r="FW114" s="139"/>
      <c r="FX114" s="139"/>
      <c r="FY114" s="139"/>
      <c r="FZ114" s="139"/>
      <c r="GA114" s="139"/>
      <c r="GB114" s="139"/>
      <c r="GC114" s="139"/>
      <c r="GD114" s="139"/>
      <c r="GE114" s="139"/>
      <c r="GF114" s="139"/>
      <c r="GG114" s="139"/>
      <c r="GH114" s="139"/>
      <c r="GI114" s="139"/>
      <c r="GJ114" s="139"/>
      <c r="GK114" s="139"/>
      <c r="GL114" s="139"/>
      <c r="GM114" s="139"/>
      <c r="GN114" s="139"/>
      <c r="GO114" s="139"/>
      <c r="GP114" s="139"/>
      <c r="GQ114" s="139"/>
      <c r="GR114" s="139"/>
      <c r="GS114" s="139"/>
      <c r="GT114" s="139"/>
      <c r="GU114" s="139"/>
      <c r="GV114" s="139"/>
      <c r="GW114" s="139"/>
      <c r="GX114" s="139"/>
      <c r="GY114" s="139"/>
      <c r="GZ114" s="139"/>
      <c r="HA114" s="139"/>
      <c r="HB114" s="139"/>
      <c r="HC114" s="139"/>
      <c r="HD114" s="139"/>
      <c r="HE114" s="139"/>
      <c r="HF114" s="139"/>
      <c r="HG114" s="139"/>
      <c r="HH114" s="139"/>
      <c r="HI114" s="139"/>
      <c r="HJ114" s="139"/>
      <c r="HK114" s="139"/>
      <c r="HL114" s="139"/>
      <c r="HM114" s="139"/>
      <c r="HN114" s="139"/>
      <c r="HO114" s="139"/>
      <c r="HP114" s="139"/>
      <c r="HQ114" s="139"/>
      <c r="HR114" s="139"/>
      <c r="HS114" s="139"/>
      <c r="HT114" s="139"/>
      <c r="HU114" s="139"/>
      <c r="HV114" s="139"/>
      <c r="HW114" s="139"/>
      <c r="HX114" s="139"/>
      <c r="HY114" s="139"/>
      <c r="HZ114" s="139"/>
      <c r="IA114" s="139"/>
      <c r="IB114" s="139"/>
      <c r="IC114" s="139"/>
      <c r="ID114" s="139"/>
      <c r="IE114" s="139"/>
      <c r="IF114" s="139"/>
      <c r="IG114" s="139"/>
      <c r="IH114" s="139"/>
      <c r="II114" s="139"/>
      <c r="IJ114" s="139"/>
      <c r="IK114" s="139"/>
      <c r="IL114" s="139"/>
      <c r="IM114" s="139"/>
      <c r="IN114" s="139"/>
      <c r="IO114" s="139"/>
      <c r="IP114" s="139"/>
      <c r="IQ114" s="139"/>
      <c r="IR114" s="139"/>
      <c r="IS114" s="139"/>
      <c r="IT114" s="139"/>
      <c r="IU114" s="139"/>
      <c r="IV114" s="139"/>
      <c r="IW114" s="139"/>
      <c r="IX114" s="139"/>
      <c r="IY114" s="139"/>
      <c r="IZ114" s="139"/>
      <c r="JA114" s="139"/>
      <c r="JB114" s="139"/>
      <c r="JC114" s="139"/>
      <c r="JD114" s="139"/>
      <c r="JE114" s="139"/>
      <c r="JF114" s="139"/>
      <c r="JG114" s="139"/>
      <c r="JH114" s="139"/>
      <c r="JI114" s="139"/>
      <c r="JJ114" s="139"/>
      <c r="JK114" s="139"/>
      <c r="JL114" s="139"/>
      <c r="JM114" s="139"/>
      <c r="JN114" s="139"/>
      <c r="JO114" s="139"/>
      <c r="JP114" s="139"/>
      <c r="JQ114" s="139"/>
      <c r="JR114" s="139"/>
      <c r="JS114" s="139"/>
      <c r="JT114" s="139"/>
      <c r="JU114" s="139"/>
      <c r="JV114" s="139"/>
      <c r="JW114" s="139"/>
      <c r="JX114" s="139"/>
      <c r="JY114" s="139"/>
      <c r="JZ114" s="139"/>
      <c r="KA114" s="139"/>
      <c r="KB114" s="139"/>
      <c r="KC114" s="139"/>
      <c r="KD114" s="139"/>
      <c r="KE114" s="139"/>
      <c r="KF114" s="139"/>
      <c r="KG114" s="139"/>
      <c r="KH114" s="139"/>
      <c r="KI114" s="139"/>
      <c r="KJ114" s="139"/>
      <c r="KK114" s="139"/>
      <c r="KL114" s="139"/>
      <c r="KM114" s="139"/>
      <c r="KN114" s="139"/>
      <c r="KO114" s="139"/>
      <c r="KP114" s="139"/>
      <c r="KQ114" s="139"/>
      <c r="KR114" s="139"/>
      <c r="KS114" s="139"/>
      <c r="KT114" s="139"/>
      <c r="KU114" s="139"/>
      <c r="KV114" s="139"/>
      <c r="KW114" s="139"/>
      <c r="KX114" s="139"/>
      <c r="KY114" s="139"/>
      <c r="KZ114" s="139"/>
      <c r="LA114" s="139"/>
      <c r="LB114" s="139"/>
      <c r="LC114" s="139"/>
      <c r="LD114" s="139"/>
      <c r="LE114" s="139"/>
      <c r="LF114" s="139"/>
      <c r="LG114" s="139"/>
      <c r="LH114" s="139"/>
      <c r="LI114" s="139"/>
      <c r="LJ114" s="139"/>
      <c r="LK114" s="139"/>
      <c r="LL114" s="139"/>
      <c r="LM114" s="139"/>
      <c r="LN114" s="139"/>
      <c r="LO114" s="139"/>
      <c r="LP114" s="139"/>
      <c r="LQ114" s="139"/>
      <c r="LR114" s="139"/>
      <c r="LS114" s="139"/>
      <c r="LT114" s="139"/>
      <c r="LU114" s="139"/>
      <c r="LV114" s="139"/>
      <c r="LW114" s="139"/>
      <c r="LX114" s="139"/>
      <c r="LY114" s="139"/>
      <c r="LZ114" s="139"/>
      <c r="MA114" s="139"/>
      <c r="MB114" s="139"/>
      <c r="MC114" s="139"/>
      <c r="MD114" s="139"/>
      <c r="ME114" s="139"/>
      <c r="MF114" s="139"/>
      <c r="MG114" s="139"/>
      <c r="MH114" s="139"/>
      <c r="MI114" s="139"/>
      <c r="MJ114" s="139"/>
      <c r="MK114" s="139"/>
      <c r="ML114" s="139"/>
      <c r="MM114" s="139"/>
      <c r="MN114" s="139"/>
      <c r="MO114" s="139"/>
      <c r="MP114" s="139"/>
      <c r="MQ114" s="139"/>
      <c r="MR114" s="139"/>
      <c r="MS114" s="139"/>
      <c r="MT114" s="139"/>
      <c r="MU114" s="139"/>
      <c r="MV114" s="139"/>
      <c r="MW114" s="139"/>
      <c r="MX114" s="139"/>
      <c r="MY114" s="139"/>
      <c r="MZ114" s="139"/>
      <c r="NA114" s="139"/>
      <c r="NB114" s="139"/>
      <c r="NC114" s="139"/>
      <c r="ND114" s="139"/>
      <c r="NE114" s="139"/>
      <c r="NF114" s="139"/>
      <c r="NG114" s="139"/>
      <c r="NH114" s="139"/>
      <c r="NI114" s="139"/>
      <c r="NJ114" s="139"/>
      <c r="NK114" s="139"/>
      <c r="NL114" s="139"/>
      <c r="NM114" s="139"/>
      <c r="NN114" s="139"/>
      <c r="NO114" s="139"/>
      <c r="NP114" s="139"/>
      <c r="NQ114" s="139"/>
      <c r="NR114" s="139"/>
      <c r="NS114" s="139"/>
      <c r="NT114" s="139"/>
      <c r="NU114" s="139"/>
      <c r="NV114" s="139"/>
      <c r="NW114" s="139"/>
      <c r="NX114" s="139"/>
      <c r="NY114" s="139"/>
      <c r="NZ114" s="139"/>
      <c r="OA114" s="139"/>
      <c r="OB114" s="139"/>
      <c r="OC114" s="139"/>
      <c r="OD114" s="139"/>
      <c r="OE114" s="139"/>
      <c r="OF114" s="139"/>
      <c r="OG114" s="139"/>
      <c r="OH114" s="139"/>
      <c r="OI114" s="139"/>
      <c r="OJ114" s="139"/>
      <c r="OK114" s="139"/>
      <c r="OL114" s="139"/>
      <c r="OM114" s="139"/>
      <c r="ON114" s="139"/>
      <c r="OO114" s="139"/>
      <c r="OP114" s="139"/>
      <c r="OQ114" s="139"/>
      <c r="OR114" s="139"/>
      <c r="OS114" s="139"/>
      <c r="OT114" s="139"/>
      <c r="OU114" s="139"/>
      <c r="OV114" s="139"/>
      <c r="OW114" s="139"/>
      <c r="OX114" s="139"/>
      <c r="OY114" s="139"/>
      <c r="OZ114" s="139"/>
      <c r="PA114" s="139"/>
      <c r="PB114" s="139"/>
      <c r="PC114" s="139"/>
      <c r="PD114" s="139"/>
      <c r="PE114" s="139"/>
      <c r="PF114" s="139"/>
      <c r="PG114" s="139"/>
      <c r="PH114" s="139"/>
      <c r="PI114" s="139"/>
      <c r="PJ114" s="139"/>
      <c r="PK114" s="139"/>
      <c r="PL114" s="139"/>
      <c r="PM114" s="139"/>
      <c r="PN114" s="139"/>
      <c r="PO114" s="139"/>
      <c r="PP114" s="139"/>
      <c r="PQ114" s="139"/>
      <c r="PR114" s="139"/>
      <c r="PS114" s="139"/>
      <c r="PT114" s="139"/>
      <c r="PU114" s="139"/>
      <c r="PV114" s="139"/>
      <c r="PW114" s="139"/>
      <c r="PX114" s="139"/>
      <c r="PY114" s="139"/>
      <c r="PZ114" s="139"/>
      <c r="QA114" s="139"/>
      <c r="QB114" s="139"/>
      <c r="QC114" s="139"/>
      <c r="QD114" s="139"/>
      <c r="QE114" s="139"/>
      <c r="QF114" s="139"/>
      <c r="QG114" s="139"/>
      <c r="QH114" s="139"/>
      <c r="QI114" s="139"/>
      <c r="QJ114" s="139"/>
      <c r="QK114" s="139"/>
      <c r="QL114" s="139"/>
      <c r="QM114" s="139"/>
      <c r="QN114" s="139"/>
      <c r="QO114" s="139"/>
      <c r="QP114" s="139"/>
      <c r="QQ114" s="139"/>
      <c r="QR114" s="139"/>
      <c r="QS114" s="139"/>
      <c r="QT114" s="139"/>
      <c r="QU114" s="139"/>
      <c r="QV114" s="139"/>
      <c r="QW114" s="139"/>
      <c r="QX114" s="139"/>
      <c r="QY114" s="139"/>
      <c r="QZ114" s="139"/>
      <c r="RA114" s="139"/>
      <c r="RB114" s="139"/>
      <c r="RC114" s="139"/>
      <c r="RD114" s="139"/>
      <c r="RE114" s="139"/>
      <c r="RF114" s="139"/>
      <c r="RG114" s="139"/>
      <c r="RH114" s="139"/>
      <c r="RI114" s="139"/>
      <c r="RJ114" s="139"/>
      <c r="RK114" s="139"/>
      <c r="RL114" s="139"/>
      <c r="RM114" s="139"/>
      <c r="RN114" s="139"/>
      <c r="RO114" s="139"/>
      <c r="RP114" s="139"/>
      <c r="RQ114" s="139"/>
      <c r="RR114" s="139"/>
      <c r="RS114" s="139"/>
      <c r="RT114" s="139"/>
      <c r="RU114" s="139"/>
      <c r="RV114" s="139"/>
      <c r="RW114" s="139"/>
      <c r="RX114" s="139"/>
      <c r="RY114" s="139"/>
      <c r="RZ114" s="139"/>
      <c r="SA114" s="139"/>
      <c r="SB114" s="139"/>
      <c r="SC114" s="139"/>
      <c r="SD114" s="139"/>
      <c r="SE114" s="139"/>
      <c r="SF114" s="139"/>
      <c r="SG114" s="139"/>
      <c r="SH114" s="139"/>
      <c r="SI114" s="139"/>
      <c r="SJ114" s="139"/>
      <c r="SK114" s="139"/>
      <c r="SL114" s="139"/>
      <c r="SM114" s="139"/>
      <c r="SN114" s="139"/>
      <c r="SO114" s="139"/>
      <c r="SP114" s="139"/>
      <c r="SQ114" s="139"/>
      <c r="SR114" s="139"/>
      <c r="SS114" s="139"/>
      <c r="ST114" s="139"/>
      <c r="SU114" s="139"/>
      <c r="SV114" s="139"/>
      <c r="SW114" s="139"/>
      <c r="SX114" s="139"/>
      <c r="SY114" s="139"/>
      <c r="SZ114" s="139"/>
      <c r="TA114" s="139"/>
      <c r="TB114" s="139"/>
      <c r="TC114" s="139"/>
      <c r="TD114" s="139"/>
      <c r="TE114" s="139"/>
      <c r="TF114" s="139"/>
      <c r="TG114" s="139"/>
      <c r="TH114" s="139"/>
      <c r="TI114" s="139"/>
      <c r="TJ114" s="139"/>
      <c r="TK114" s="139"/>
      <c r="TL114" s="139"/>
      <c r="TM114" s="139"/>
      <c r="TN114" s="139"/>
      <c r="TO114" s="139"/>
      <c r="TP114" s="139"/>
      <c r="TQ114" s="139"/>
      <c r="TR114" s="139"/>
      <c r="TS114" s="139"/>
      <c r="TT114" s="139"/>
      <c r="TU114" s="139"/>
      <c r="TV114" s="139"/>
      <c r="TW114" s="139"/>
      <c r="TX114" s="139"/>
      <c r="TY114" s="139"/>
      <c r="TZ114" s="139"/>
      <c r="UA114" s="139"/>
      <c r="UB114" s="139"/>
      <c r="UC114" s="139"/>
      <c r="UD114" s="139"/>
      <c r="UE114" s="139"/>
      <c r="UF114" s="139"/>
      <c r="UG114" s="139"/>
      <c r="UH114" s="139"/>
      <c r="UI114" s="139"/>
      <c r="UJ114" s="139"/>
      <c r="UK114" s="139"/>
      <c r="UL114" s="139"/>
      <c r="UM114" s="139"/>
      <c r="UN114" s="139"/>
      <c r="UO114" s="139"/>
      <c r="UP114" s="139"/>
      <c r="UQ114" s="139"/>
      <c r="UR114" s="139"/>
      <c r="US114" s="139"/>
      <c r="UT114" s="139"/>
      <c r="UU114" s="139"/>
      <c r="UV114" s="139"/>
      <c r="UW114" s="139"/>
      <c r="UX114" s="139"/>
      <c r="UY114" s="139"/>
      <c r="UZ114" s="139"/>
      <c r="VA114" s="139"/>
      <c r="VB114" s="139"/>
      <c r="VC114" s="139"/>
      <c r="VD114" s="139"/>
      <c r="VE114" s="139"/>
      <c r="VF114" s="139"/>
      <c r="VG114" s="139"/>
      <c r="VH114" s="139"/>
      <c r="VI114" s="139"/>
      <c r="VJ114" s="139"/>
      <c r="VK114" s="139"/>
      <c r="VL114" s="139"/>
      <c r="VM114" s="139"/>
      <c r="VN114" s="139"/>
      <c r="VO114" s="139"/>
      <c r="VP114" s="139"/>
      <c r="VQ114" s="139"/>
      <c r="VR114" s="139"/>
      <c r="VS114" s="139"/>
      <c r="VT114" s="139"/>
      <c r="VU114" s="139"/>
      <c r="VV114" s="139"/>
      <c r="VW114" s="139"/>
      <c r="VX114" s="139"/>
      <c r="VY114" s="139"/>
      <c r="VZ114" s="139"/>
      <c r="WA114" s="139"/>
      <c r="WB114" s="139"/>
      <c r="WC114" s="139"/>
      <c r="WD114" s="139"/>
      <c r="WE114" s="139"/>
      <c r="WF114" s="139"/>
      <c r="WG114" s="139"/>
      <c r="WH114" s="139"/>
      <c r="WI114" s="139"/>
      <c r="WJ114" s="139"/>
      <c r="WK114" s="139"/>
      <c r="WL114" s="139"/>
      <c r="WM114" s="139"/>
      <c r="WN114" s="139"/>
      <c r="WO114" s="139"/>
      <c r="WP114" s="139"/>
      <c r="WQ114" s="139"/>
      <c r="WR114" s="139"/>
      <c r="WS114" s="139"/>
      <c r="WT114" s="139"/>
      <c r="WU114" s="139"/>
      <c r="WV114" s="139"/>
      <c r="WW114" s="139"/>
      <c r="WX114" s="139"/>
      <c r="WY114" s="139"/>
      <c r="WZ114" s="139"/>
      <c r="XA114" s="139"/>
      <c r="XB114" s="139"/>
      <c r="XC114" s="139"/>
      <c r="XD114" s="139"/>
      <c r="XE114" s="139"/>
      <c r="XF114" s="139"/>
      <c r="XG114" s="139"/>
      <c r="XH114" s="139"/>
      <c r="XI114" s="139"/>
      <c r="XJ114" s="139"/>
      <c r="XK114" s="139"/>
      <c r="XL114" s="139"/>
      <c r="XM114" s="139"/>
      <c r="XN114" s="139"/>
      <c r="XO114" s="139"/>
      <c r="XP114" s="139"/>
      <c r="XQ114" s="139"/>
      <c r="XR114" s="139"/>
      <c r="XS114" s="139"/>
      <c r="XT114" s="139"/>
      <c r="XU114" s="139"/>
      <c r="XV114" s="139"/>
      <c r="XW114" s="139"/>
      <c r="XX114" s="139"/>
      <c r="XY114" s="139"/>
      <c r="XZ114" s="139"/>
      <c r="YA114" s="139"/>
      <c r="YB114" s="139"/>
      <c r="YC114" s="139"/>
      <c r="YD114" s="139"/>
      <c r="YE114" s="139"/>
      <c r="YF114" s="139"/>
      <c r="YG114" s="139"/>
      <c r="YH114" s="139"/>
      <c r="YI114" s="139"/>
      <c r="YJ114" s="139"/>
      <c r="YK114" s="139"/>
      <c r="YL114" s="139"/>
      <c r="YM114" s="139"/>
      <c r="YN114" s="139"/>
      <c r="YO114" s="139"/>
      <c r="YP114" s="139"/>
      <c r="YQ114" s="139"/>
      <c r="YR114" s="139"/>
      <c r="YS114" s="139"/>
      <c r="YT114" s="139"/>
      <c r="YU114" s="139"/>
      <c r="YV114" s="139"/>
      <c r="YW114" s="139"/>
      <c r="YX114" s="139"/>
      <c r="YY114" s="139"/>
      <c r="YZ114" s="139"/>
      <c r="ZA114" s="139"/>
      <c r="ZB114" s="139"/>
      <c r="ZC114" s="139"/>
      <c r="ZD114" s="139"/>
      <c r="ZE114" s="139"/>
      <c r="ZF114" s="139"/>
      <c r="ZG114" s="139"/>
      <c r="ZH114" s="139"/>
      <c r="ZI114" s="139"/>
      <c r="ZJ114" s="139"/>
      <c r="ZK114" s="139"/>
      <c r="ZL114" s="139"/>
      <c r="ZM114" s="139"/>
      <c r="ZN114" s="139"/>
      <c r="ZO114" s="139"/>
      <c r="ZP114" s="139"/>
      <c r="ZQ114" s="139"/>
      <c r="ZR114" s="139"/>
      <c r="ZS114" s="139"/>
      <c r="ZT114" s="139"/>
      <c r="ZU114" s="139"/>
      <c r="ZV114" s="139"/>
      <c r="ZW114" s="139"/>
      <c r="ZX114" s="139"/>
      <c r="ZY114" s="139"/>
      <c r="ZZ114" s="139"/>
      <c r="AAA114" s="139"/>
      <c r="AAB114" s="139"/>
      <c r="AAC114" s="139"/>
      <c r="AAD114" s="139"/>
      <c r="AAE114" s="139"/>
      <c r="AAF114" s="139"/>
      <c r="AAG114" s="139"/>
      <c r="AAH114" s="139"/>
      <c r="AAI114" s="139"/>
      <c r="AAJ114" s="139"/>
      <c r="AAK114" s="139"/>
      <c r="AAL114" s="139"/>
      <c r="AAM114" s="139"/>
      <c r="AAN114" s="139"/>
      <c r="AAO114" s="139"/>
      <c r="AAP114" s="139"/>
      <c r="AAQ114" s="139"/>
      <c r="AAR114" s="139"/>
      <c r="AAS114" s="139"/>
      <c r="AAT114" s="139"/>
      <c r="AAU114" s="139"/>
      <c r="AAV114" s="139"/>
      <c r="AAW114" s="139"/>
      <c r="AAX114" s="139"/>
      <c r="AAY114" s="139"/>
      <c r="AAZ114" s="139"/>
      <c r="ABA114" s="139"/>
      <c r="ABB114" s="139"/>
      <c r="ABC114" s="139"/>
      <c r="ABD114" s="139"/>
      <c r="ABE114" s="139"/>
      <c r="ABF114" s="139"/>
      <c r="ABG114" s="139"/>
      <c r="ABH114" s="139"/>
      <c r="ABI114" s="139"/>
      <c r="ABJ114" s="139"/>
      <c r="ABK114" s="139"/>
      <c r="ABL114" s="139"/>
      <c r="ABM114" s="139"/>
      <c r="ABN114" s="139"/>
      <c r="ABO114" s="139"/>
      <c r="ABP114" s="139"/>
      <c r="ABQ114" s="139"/>
      <c r="ABR114" s="139"/>
      <c r="ABS114" s="139"/>
      <c r="ABT114" s="139"/>
      <c r="ABU114" s="139"/>
      <c r="ABV114" s="139"/>
      <c r="ABW114" s="139"/>
      <c r="ABX114" s="139"/>
      <c r="ABY114" s="139"/>
      <c r="ABZ114" s="139"/>
      <c r="ACA114" s="139"/>
      <c r="ACB114" s="139"/>
      <c r="ACC114" s="139"/>
      <c r="ACD114" s="139"/>
      <c r="ACE114" s="139"/>
      <c r="ACF114" s="139"/>
      <c r="ACG114" s="139"/>
      <c r="ACH114" s="139"/>
      <c r="ACI114" s="139"/>
      <c r="ACJ114" s="139"/>
      <c r="ACK114" s="139"/>
      <c r="ACL114" s="139"/>
      <c r="ACM114" s="139"/>
      <c r="ACN114" s="139"/>
      <c r="ACO114" s="139"/>
      <c r="ACP114" s="139"/>
      <c r="ACQ114" s="139"/>
      <c r="ACR114" s="139"/>
      <c r="ACS114" s="139"/>
      <c r="ACT114" s="139"/>
      <c r="ACU114" s="139"/>
      <c r="ACV114" s="139"/>
      <c r="ACW114" s="139"/>
      <c r="ACX114" s="139"/>
      <c r="ACY114" s="139"/>
      <c r="ACZ114" s="139"/>
      <c r="ADA114" s="139"/>
      <c r="ADB114" s="139"/>
      <c r="ADC114" s="139"/>
      <c r="ADD114" s="139"/>
      <c r="ADE114" s="139"/>
      <c r="ADF114" s="139"/>
      <c r="ADG114" s="139"/>
      <c r="ADH114" s="139"/>
      <c r="ADI114" s="139"/>
      <c r="ADJ114" s="139"/>
      <c r="ADK114" s="139"/>
      <c r="ADL114" s="139"/>
      <c r="ADM114" s="139"/>
      <c r="ADN114" s="139"/>
      <c r="ADO114" s="139"/>
      <c r="ADP114" s="139"/>
      <c r="ADQ114" s="139"/>
      <c r="ADR114" s="139"/>
      <c r="ADS114" s="139"/>
      <c r="ADT114" s="139"/>
      <c r="ADU114" s="139"/>
      <c r="ADV114" s="139"/>
      <c r="ADW114" s="139"/>
      <c r="ADX114" s="139"/>
      <c r="ADY114" s="139"/>
      <c r="ADZ114" s="139"/>
      <c r="AEA114" s="139"/>
      <c r="AEB114" s="139"/>
      <c r="AEC114" s="139"/>
      <c r="AED114" s="139"/>
      <c r="AEE114" s="139"/>
      <c r="AEF114" s="139"/>
      <c r="AEG114" s="139"/>
      <c r="AEH114" s="139"/>
      <c r="AEI114" s="139"/>
      <c r="AEJ114" s="139"/>
      <c r="AEK114" s="139"/>
      <c r="AEL114" s="139"/>
      <c r="AEM114" s="139"/>
      <c r="AEN114" s="139"/>
      <c r="AEO114" s="139"/>
      <c r="AEP114" s="139"/>
      <c r="AEQ114" s="139"/>
      <c r="AER114" s="139"/>
      <c r="AES114" s="139"/>
      <c r="AET114" s="139"/>
      <c r="AEU114" s="139"/>
      <c r="AEV114" s="139"/>
      <c r="AEW114" s="139"/>
      <c r="AEX114" s="139"/>
      <c r="AEY114" s="139"/>
      <c r="AEZ114" s="139"/>
      <c r="AFA114" s="139"/>
      <c r="AFB114" s="139"/>
      <c r="AFC114" s="139"/>
      <c r="AFD114" s="139"/>
      <c r="AFE114" s="139"/>
      <c r="AFF114" s="139"/>
      <c r="AFG114" s="139"/>
      <c r="AFH114" s="139"/>
      <c r="AFI114" s="139"/>
      <c r="AFJ114" s="139"/>
      <c r="AFK114" s="139"/>
      <c r="AFL114" s="139"/>
      <c r="AFM114" s="139"/>
      <c r="AFN114" s="139"/>
      <c r="AFO114" s="139"/>
      <c r="AFP114" s="139"/>
      <c r="AFQ114" s="139"/>
      <c r="AFR114" s="139"/>
      <c r="AFS114" s="139"/>
      <c r="AFT114" s="139"/>
      <c r="AFU114" s="139"/>
      <c r="AFV114" s="139"/>
      <c r="AFW114" s="139"/>
      <c r="AFX114" s="139"/>
      <c r="AFY114" s="139"/>
      <c r="AFZ114" s="139"/>
      <c r="AGA114" s="139"/>
      <c r="AGB114" s="139"/>
      <c r="AGC114" s="139"/>
      <c r="AGD114" s="139"/>
      <c r="AGE114" s="139"/>
      <c r="AGF114" s="139"/>
      <c r="AGG114" s="139"/>
      <c r="AGH114" s="139"/>
      <c r="AGI114" s="139"/>
      <c r="AGJ114" s="139"/>
      <c r="AGK114" s="139"/>
      <c r="AGL114" s="139"/>
      <c r="AGM114" s="139"/>
      <c r="AGN114" s="139"/>
      <c r="AGO114" s="139"/>
      <c r="AGP114" s="139"/>
      <c r="AGQ114" s="139"/>
      <c r="AGR114" s="139"/>
      <c r="AGS114" s="139"/>
      <c r="AGT114" s="139"/>
      <c r="AGU114" s="139"/>
      <c r="AGV114" s="139"/>
      <c r="AGW114" s="139"/>
      <c r="AGX114" s="139"/>
      <c r="AGY114" s="139"/>
      <c r="AGZ114" s="139"/>
      <c r="AHA114" s="139"/>
      <c r="AHB114" s="139"/>
      <c r="AHC114" s="139"/>
      <c r="AHD114" s="139"/>
      <c r="AHE114" s="139"/>
      <c r="AHF114" s="139"/>
      <c r="AHG114" s="139"/>
      <c r="AHH114" s="139"/>
      <c r="AHI114" s="139"/>
      <c r="AHJ114" s="139"/>
      <c r="AHK114" s="139"/>
      <c r="AHL114" s="139"/>
      <c r="AHM114" s="139"/>
      <c r="AHN114" s="139"/>
      <c r="AHO114" s="139"/>
      <c r="AHP114" s="139"/>
      <c r="AHQ114" s="139"/>
      <c r="AHR114" s="139"/>
      <c r="AHS114" s="139"/>
      <c r="AHT114" s="139"/>
      <c r="AHU114" s="139"/>
      <c r="AHV114" s="139"/>
      <c r="AHW114" s="139"/>
      <c r="AHX114" s="139"/>
      <c r="AHY114" s="139"/>
      <c r="AHZ114" s="139"/>
      <c r="AIA114" s="139"/>
      <c r="AIB114" s="139"/>
      <c r="AIC114" s="139"/>
      <c r="AID114" s="139"/>
      <c r="AIE114" s="139"/>
      <c r="AIF114" s="139"/>
      <c r="AIG114" s="139"/>
      <c r="AIH114" s="139"/>
      <c r="AII114" s="139"/>
      <c r="AIJ114" s="139"/>
      <c r="AIK114" s="139"/>
      <c r="AIL114" s="139"/>
      <c r="AIM114" s="139"/>
      <c r="AIN114" s="139"/>
      <c r="AIO114" s="139"/>
      <c r="AIP114" s="139"/>
      <c r="AIQ114" s="139"/>
      <c r="AIR114" s="139"/>
      <c r="AIS114" s="139"/>
      <c r="AIT114" s="139"/>
      <c r="AIU114" s="139"/>
      <c r="AIV114" s="139"/>
      <c r="AIW114" s="139"/>
      <c r="AIX114" s="139"/>
      <c r="AIY114" s="139"/>
      <c r="AIZ114" s="139"/>
      <c r="AJA114" s="139"/>
      <c r="AJB114" s="139"/>
      <c r="AJC114" s="139"/>
      <c r="AJD114" s="139"/>
      <c r="AJE114" s="139"/>
      <c r="AJF114" s="139"/>
      <c r="AJG114" s="139"/>
      <c r="AJH114" s="139"/>
      <c r="AJI114" s="139"/>
      <c r="AJJ114" s="139"/>
      <c r="AJK114" s="139"/>
      <c r="AJL114" s="139"/>
      <c r="AJM114" s="139"/>
      <c r="AJN114" s="139"/>
      <c r="AJO114" s="139"/>
      <c r="AJP114" s="139"/>
      <c r="AJQ114" s="139"/>
      <c r="AJR114" s="139"/>
      <c r="AJS114" s="139"/>
      <c r="AJT114" s="139"/>
      <c r="AJU114" s="139"/>
      <c r="AJV114" s="139"/>
      <c r="AJW114" s="139"/>
      <c r="AJX114" s="139"/>
      <c r="AJY114" s="139"/>
      <c r="AJZ114" s="139"/>
      <c r="AKA114" s="139"/>
      <c r="AKB114" s="139"/>
      <c r="AKC114" s="139"/>
      <c r="AKD114" s="139"/>
      <c r="AKE114" s="139"/>
      <c r="AKF114" s="139"/>
      <c r="AKG114" s="139"/>
      <c r="AKH114" s="139"/>
      <c r="AKI114" s="139"/>
      <c r="AKJ114" s="139"/>
      <c r="AKK114" s="139"/>
      <c r="AKL114" s="139"/>
      <c r="AKM114" s="139"/>
      <c r="AKN114" s="139"/>
      <c r="AKO114" s="139"/>
      <c r="AKP114" s="139"/>
      <c r="AKQ114" s="139"/>
      <c r="AKR114" s="139"/>
      <c r="AKS114" s="139"/>
      <c r="AKT114" s="139"/>
      <c r="AKU114" s="139"/>
      <c r="AKV114" s="139"/>
      <c r="AKW114" s="139"/>
      <c r="AKX114" s="139"/>
      <c r="AKY114" s="139"/>
      <c r="AKZ114" s="139"/>
      <c r="ALA114" s="139"/>
      <c r="ALB114" s="139"/>
      <c r="ALC114" s="139"/>
      <c r="ALD114" s="139"/>
      <c r="ALE114" s="139"/>
      <c r="ALF114" s="139"/>
      <c r="ALG114" s="139"/>
      <c r="ALH114" s="139"/>
      <c r="ALI114" s="139"/>
      <c r="ALJ114" s="139"/>
      <c r="ALK114" s="139"/>
      <c r="ALL114" s="139"/>
      <c r="ALM114" s="139"/>
      <c r="ALN114" s="139"/>
      <c r="ALO114" s="139"/>
      <c r="ALP114" s="139"/>
      <c r="ALQ114" s="139"/>
      <c r="ALR114" s="139"/>
      <c r="ALS114" s="139"/>
      <c r="ALT114" s="139"/>
      <c r="ALU114" s="139"/>
      <c r="ALV114" s="139"/>
      <c r="ALW114" s="139"/>
      <c r="ALX114" s="139"/>
      <c r="ALY114" s="139"/>
      <c r="ALZ114" s="139"/>
      <c r="AMA114" s="139"/>
      <c r="AMB114" s="139"/>
      <c r="AMC114" s="139"/>
      <c r="AMD114" s="139"/>
      <c r="AME114" s="139"/>
      <c r="AMF114" s="139"/>
      <c r="AMG114" s="139"/>
      <c r="AMH114" s="139"/>
      <c r="AMI114" s="139"/>
      <c r="AMJ114" s="139"/>
      <c r="AMK114" s="139"/>
      <c r="AML114" s="139"/>
      <c r="AMM114" s="139"/>
      <c r="AMN114" s="139"/>
      <c r="AMO114" s="139"/>
      <c r="AMP114" s="139"/>
      <c r="AMQ114" s="139"/>
      <c r="AMR114" s="139"/>
      <c r="AMS114" s="139"/>
      <c r="AMT114" s="139"/>
      <c r="AMU114" s="139"/>
      <c r="AMV114" s="139"/>
      <c r="AMW114" s="139"/>
      <c r="AMX114" s="139"/>
      <c r="AMY114" s="139"/>
      <c r="AMZ114" s="139"/>
      <c r="ANA114" s="139"/>
      <c r="ANB114" s="139"/>
      <c r="ANC114" s="139"/>
      <c r="AND114" s="139"/>
      <c r="ANE114" s="139"/>
      <c r="ANF114" s="139"/>
      <c r="ANG114" s="139"/>
      <c r="ANH114" s="139"/>
      <c r="ANI114" s="139"/>
      <c r="ANJ114" s="139"/>
      <c r="ANK114" s="139"/>
      <c r="ANL114" s="139"/>
      <c r="ANM114" s="139"/>
      <c r="ANN114" s="139"/>
      <c r="ANO114" s="139"/>
      <c r="ANP114" s="139"/>
      <c r="ANQ114" s="139"/>
      <c r="ANR114" s="139"/>
      <c r="ANS114" s="139"/>
      <c r="ANT114" s="139"/>
      <c r="ANU114" s="139"/>
      <c r="ANV114" s="139"/>
      <c r="ANW114" s="139"/>
      <c r="ANX114" s="139"/>
      <c r="ANY114" s="139"/>
      <c r="ANZ114" s="139"/>
      <c r="AOA114" s="139"/>
      <c r="AOB114" s="139"/>
      <c r="AOC114" s="139"/>
      <c r="AOD114" s="139"/>
      <c r="AOE114" s="139"/>
      <c r="AOF114" s="139"/>
      <c r="AOG114" s="139"/>
      <c r="AOH114" s="139"/>
      <c r="AOI114" s="139"/>
      <c r="AOJ114" s="139"/>
      <c r="AOK114" s="139"/>
      <c r="AOL114" s="139"/>
      <c r="AOM114" s="139"/>
      <c r="AON114" s="139"/>
      <c r="AOO114" s="139"/>
      <c r="AOP114" s="139"/>
      <c r="AOQ114" s="139"/>
      <c r="AOR114" s="139"/>
      <c r="AOS114" s="139"/>
      <c r="AOT114" s="139"/>
      <c r="AOU114" s="139"/>
      <c r="AOV114" s="139"/>
      <c r="AOW114" s="139"/>
      <c r="AOX114" s="139"/>
      <c r="AOY114" s="139"/>
      <c r="AOZ114" s="139"/>
      <c r="APA114" s="139"/>
      <c r="APB114" s="139"/>
      <c r="APC114" s="139"/>
      <c r="APD114" s="139"/>
      <c r="APE114" s="139"/>
      <c r="APF114" s="139"/>
      <c r="APG114" s="139"/>
      <c r="APH114" s="139"/>
      <c r="API114" s="139"/>
      <c r="APJ114" s="139"/>
      <c r="APK114" s="139"/>
      <c r="APL114" s="139"/>
      <c r="APM114" s="139"/>
      <c r="APN114" s="139"/>
      <c r="APO114" s="139"/>
      <c r="APP114" s="139"/>
      <c r="APQ114" s="139"/>
      <c r="APR114" s="139"/>
      <c r="APS114" s="139"/>
      <c r="APT114" s="139"/>
      <c r="APU114" s="139"/>
      <c r="APV114" s="139"/>
      <c r="APW114" s="139"/>
      <c r="APX114" s="139"/>
      <c r="APY114" s="139"/>
      <c r="APZ114" s="139"/>
      <c r="AQA114" s="139"/>
      <c r="AQB114" s="139"/>
      <c r="AQC114" s="139"/>
      <c r="AQD114" s="139"/>
      <c r="AQE114" s="139"/>
      <c r="AQF114" s="139"/>
      <c r="AQG114" s="139"/>
      <c r="AQH114" s="139"/>
      <c r="AQI114" s="139"/>
      <c r="AQJ114" s="139"/>
      <c r="AQK114" s="139"/>
      <c r="AQL114" s="139"/>
      <c r="AQM114" s="139"/>
      <c r="AQN114" s="139"/>
      <c r="AQO114" s="139"/>
      <c r="AQP114" s="139"/>
      <c r="AQQ114" s="139"/>
      <c r="AQR114" s="139"/>
      <c r="AQS114" s="139"/>
      <c r="AQT114" s="139"/>
      <c r="AQU114" s="139"/>
      <c r="AQV114" s="139"/>
      <c r="AQW114" s="139"/>
      <c r="AQX114" s="139"/>
      <c r="AQY114" s="139"/>
      <c r="AQZ114" s="139"/>
      <c r="ARA114" s="139"/>
      <c r="ARB114" s="139"/>
      <c r="ARC114" s="139"/>
      <c r="ARD114" s="139"/>
      <c r="ARE114" s="139"/>
      <c r="ARF114" s="139"/>
      <c r="ARG114" s="139"/>
      <c r="ARH114" s="139"/>
      <c r="ARI114" s="139"/>
      <c r="ARJ114" s="139"/>
      <c r="ARK114" s="139"/>
      <c r="ARL114" s="139"/>
      <c r="ARM114" s="139"/>
      <c r="ARN114" s="139"/>
      <c r="ARO114" s="139"/>
      <c r="ARP114" s="139"/>
      <c r="ARQ114" s="139"/>
      <c r="ARR114" s="139"/>
      <c r="ARS114" s="139"/>
      <c r="ART114" s="139"/>
      <c r="ARU114" s="139"/>
      <c r="ARV114" s="139"/>
      <c r="ARW114" s="139"/>
      <c r="ARX114" s="139"/>
      <c r="ARY114" s="139"/>
      <c r="ARZ114" s="139"/>
      <c r="ASA114" s="139"/>
      <c r="ASB114" s="139"/>
      <c r="ASC114" s="139"/>
      <c r="ASD114" s="139"/>
      <c r="ASE114" s="139"/>
      <c r="ASF114" s="139"/>
      <c r="ASG114" s="139"/>
      <c r="ASH114" s="139"/>
      <c r="ASI114" s="139"/>
      <c r="ASJ114" s="139"/>
      <c r="ASK114" s="139"/>
      <c r="ASL114" s="139"/>
      <c r="ASM114" s="139"/>
      <c r="ASN114" s="139"/>
      <c r="ASO114" s="139"/>
      <c r="ASP114" s="139"/>
      <c r="ASQ114" s="139"/>
      <c r="ASR114" s="139"/>
      <c r="ASS114" s="139"/>
      <c r="AST114" s="139"/>
      <c r="ASU114" s="139"/>
      <c r="ASV114" s="139"/>
      <c r="ASW114" s="139"/>
      <c r="ASX114" s="139"/>
      <c r="ASY114" s="139"/>
      <c r="ASZ114" s="139"/>
      <c r="ATA114" s="139"/>
      <c r="ATB114" s="139"/>
      <c r="ATC114" s="139"/>
      <c r="ATD114" s="139"/>
      <c r="ATE114" s="139"/>
      <c r="ATF114" s="139"/>
      <c r="ATG114" s="139"/>
      <c r="ATH114" s="139"/>
      <c r="ATI114" s="139"/>
      <c r="ATJ114" s="139"/>
      <c r="ATK114" s="139"/>
      <c r="ATL114" s="139"/>
      <c r="ATM114" s="139"/>
      <c r="ATN114" s="139"/>
      <c r="ATO114" s="139"/>
      <c r="ATP114" s="139"/>
      <c r="ATQ114" s="139"/>
      <c r="ATR114" s="139"/>
      <c r="ATS114" s="139"/>
      <c r="ATT114" s="139"/>
      <c r="ATU114" s="139"/>
      <c r="ATV114" s="139"/>
      <c r="ATW114" s="139"/>
      <c r="ATX114" s="139"/>
      <c r="ATY114" s="139"/>
      <c r="ATZ114" s="139"/>
      <c r="AUA114" s="139"/>
      <c r="AUB114" s="139"/>
      <c r="AUC114" s="139"/>
      <c r="AUD114" s="139"/>
      <c r="AUE114" s="139"/>
      <c r="AUF114" s="139"/>
      <c r="AUG114" s="139"/>
      <c r="AUH114" s="139"/>
      <c r="AUI114" s="139"/>
      <c r="AUJ114" s="139"/>
      <c r="AUK114" s="139"/>
      <c r="AUL114" s="139"/>
      <c r="AUM114" s="139"/>
      <c r="AUN114" s="139"/>
      <c r="AUO114" s="139"/>
      <c r="AUP114" s="139"/>
      <c r="AUQ114" s="139"/>
      <c r="AUR114" s="139"/>
      <c r="AUS114" s="139"/>
      <c r="AUT114" s="139"/>
      <c r="AUU114" s="139"/>
      <c r="AUV114" s="139"/>
      <c r="AUW114" s="139"/>
      <c r="AUX114" s="139"/>
      <c r="AUY114" s="139"/>
      <c r="AUZ114" s="139"/>
      <c r="AVA114" s="139"/>
      <c r="AVB114" s="139"/>
      <c r="AVC114" s="139"/>
      <c r="AVD114" s="139"/>
      <c r="AVE114" s="139"/>
      <c r="AVF114" s="139"/>
      <c r="AVG114" s="139"/>
      <c r="AVH114" s="139"/>
      <c r="AVI114" s="139"/>
      <c r="AVJ114" s="139"/>
      <c r="AVK114" s="139"/>
      <c r="AVL114" s="139"/>
      <c r="AVM114" s="139"/>
      <c r="AVN114" s="139"/>
      <c r="AVO114" s="139"/>
      <c r="AVP114" s="139"/>
      <c r="AVQ114" s="139"/>
      <c r="AVR114" s="139"/>
      <c r="AVS114" s="139"/>
      <c r="AVT114" s="139"/>
      <c r="AVU114" s="139"/>
      <c r="AVV114" s="139"/>
      <c r="AVW114" s="139"/>
      <c r="AVX114" s="139"/>
      <c r="AVY114" s="139"/>
      <c r="AVZ114" s="139"/>
      <c r="AWA114" s="139"/>
      <c r="AWB114" s="139"/>
      <c r="AWC114" s="139"/>
      <c r="AWD114" s="139"/>
      <c r="AWE114" s="139"/>
      <c r="AWF114" s="139"/>
      <c r="AWG114" s="139"/>
      <c r="AWH114" s="139"/>
      <c r="AWI114" s="139"/>
      <c r="AWJ114" s="139"/>
      <c r="AWK114" s="139"/>
      <c r="AWL114" s="139"/>
      <c r="AWM114" s="139"/>
      <c r="AWN114" s="139"/>
      <c r="AWO114" s="139"/>
      <c r="AWP114" s="139"/>
      <c r="AWQ114" s="139"/>
      <c r="AWR114" s="139"/>
      <c r="AWS114" s="139"/>
      <c r="AWT114" s="139"/>
      <c r="AWU114" s="139"/>
      <c r="AWV114" s="139"/>
      <c r="AWW114" s="139"/>
      <c r="AWX114" s="139"/>
      <c r="AWY114" s="139"/>
      <c r="AWZ114" s="139"/>
      <c r="AXA114" s="139"/>
      <c r="AXB114" s="139"/>
      <c r="AXC114" s="139"/>
      <c r="AXD114" s="139"/>
      <c r="AXE114" s="139"/>
      <c r="AXF114" s="139"/>
      <c r="AXG114" s="139"/>
      <c r="AXH114" s="139"/>
      <c r="AXI114" s="139"/>
      <c r="AXJ114" s="139"/>
      <c r="AXK114" s="139"/>
      <c r="AXL114" s="139"/>
      <c r="AXM114" s="139"/>
      <c r="AXN114" s="139"/>
      <c r="AXO114" s="139"/>
      <c r="AXP114" s="139"/>
      <c r="AXQ114" s="139"/>
      <c r="AXR114" s="139"/>
      <c r="AXS114" s="139"/>
      <c r="AXT114" s="139"/>
      <c r="AXU114" s="139"/>
      <c r="AXV114" s="139"/>
      <c r="AXW114" s="139"/>
      <c r="AXX114" s="139"/>
      <c r="AXY114" s="139"/>
      <c r="AXZ114" s="139"/>
      <c r="AYA114" s="139"/>
      <c r="AYB114" s="139"/>
      <c r="AYC114" s="139"/>
      <c r="AYD114" s="139"/>
      <c r="AYE114" s="139"/>
      <c r="AYF114" s="139"/>
      <c r="AYG114" s="139"/>
      <c r="AYH114" s="139"/>
      <c r="AYI114" s="139"/>
      <c r="AYJ114" s="139"/>
      <c r="AYK114" s="139"/>
      <c r="AYL114" s="139"/>
      <c r="AYM114" s="139"/>
      <c r="AYN114" s="139"/>
      <c r="AYO114" s="139"/>
      <c r="AYP114" s="139"/>
      <c r="AYQ114" s="139"/>
      <c r="AYR114" s="139"/>
      <c r="AYS114" s="139"/>
      <c r="AYT114" s="139"/>
      <c r="AYU114" s="139"/>
      <c r="AYV114" s="139"/>
      <c r="AYW114" s="139"/>
      <c r="AYX114" s="139"/>
      <c r="AYY114" s="139"/>
      <c r="AYZ114" s="139"/>
      <c r="AZA114" s="139"/>
      <c r="AZB114" s="139"/>
      <c r="AZC114" s="139"/>
      <c r="AZD114" s="139"/>
      <c r="AZE114" s="139"/>
      <c r="AZF114" s="139"/>
      <c r="AZG114" s="139"/>
      <c r="AZH114" s="139"/>
      <c r="AZI114" s="139"/>
      <c r="AZJ114" s="139"/>
      <c r="AZK114" s="139"/>
      <c r="AZL114" s="139"/>
      <c r="AZM114" s="139"/>
      <c r="AZN114" s="139"/>
      <c r="AZO114" s="139"/>
      <c r="AZP114" s="139"/>
      <c r="AZQ114" s="139"/>
      <c r="AZR114" s="139"/>
      <c r="AZS114" s="139"/>
      <c r="AZT114" s="139"/>
      <c r="AZU114" s="139"/>
      <c r="AZV114" s="139"/>
      <c r="AZW114" s="139"/>
      <c r="AZX114" s="139"/>
      <c r="AZY114" s="139"/>
      <c r="AZZ114" s="139"/>
      <c r="BAA114" s="139"/>
      <c r="BAB114" s="139"/>
      <c r="BAC114" s="139"/>
      <c r="BAD114" s="139"/>
      <c r="BAE114" s="139"/>
      <c r="BAF114" s="139"/>
      <c r="BAG114" s="139"/>
      <c r="BAH114" s="139"/>
      <c r="BAI114" s="139"/>
      <c r="BAJ114" s="139"/>
      <c r="BAK114" s="139"/>
      <c r="BAL114" s="139"/>
      <c r="BAM114" s="139"/>
      <c r="BAN114" s="139"/>
      <c r="BAO114" s="139"/>
      <c r="BAP114" s="139"/>
      <c r="BAQ114" s="139"/>
      <c r="BAR114" s="139"/>
      <c r="BAS114" s="139"/>
      <c r="BAT114" s="139"/>
      <c r="BAU114" s="139"/>
      <c r="BAV114" s="139"/>
      <c r="BAW114" s="139"/>
      <c r="BAX114" s="139"/>
      <c r="BAY114" s="139"/>
      <c r="BAZ114" s="139"/>
      <c r="BBA114" s="139"/>
      <c r="BBB114" s="139"/>
      <c r="BBC114" s="139"/>
      <c r="BBD114" s="139"/>
      <c r="BBE114" s="139"/>
      <c r="BBF114" s="139"/>
      <c r="BBG114" s="139"/>
      <c r="BBH114" s="139"/>
      <c r="BBI114" s="139"/>
      <c r="BBJ114" s="139"/>
      <c r="BBK114" s="139"/>
      <c r="BBL114" s="139"/>
      <c r="BBM114" s="139"/>
      <c r="BBN114" s="139"/>
      <c r="BBO114" s="139"/>
      <c r="BBP114" s="139"/>
      <c r="BBQ114" s="139"/>
      <c r="BBR114" s="139"/>
      <c r="BBS114" s="139"/>
      <c r="BBT114" s="139"/>
      <c r="BBU114" s="139"/>
      <c r="BBV114" s="139"/>
      <c r="BBW114" s="139"/>
      <c r="BBX114" s="139"/>
      <c r="BBY114" s="139"/>
      <c r="BBZ114" s="139"/>
      <c r="BCA114" s="139"/>
      <c r="BCB114" s="139"/>
      <c r="BCC114" s="139"/>
      <c r="BCD114" s="139"/>
      <c r="BCE114" s="139"/>
      <c r="BCF114" s="139"/>
      <c r="BCG114" s="139"/>
      <c r="BCH114" s="139"/>
      <c r="BCI114" s="139"/>
      <c r="BCJ114" s="139"/>
      <c r="BCK114" s="139"/>
      <c r="BCL114" s="139"/>
      <c r="BCM114" s="139"/>
      <c r="BCN114" s="139"/>
      <c r="BCO114" s="139"/>
      <c r="BCP114" s="139"/>
      <c r="BCQ114" s="139"/>
      <c r="BCR114" s="139"/>
      <c r="BCS114" s="139"/>
      <c r="BCT114" s="139"/>
      <c r="BCU114" s="139"/>
      <c r="BCV114" s="139"/>
      <c r="BCW114" s="139"/>
      <c r="BCX114" s="139"/>
      <c r="BCY114" s="139"/>
      <c r="BCZ114" s="139"/>
      <c r="BDA114" s="139"/>
      <c r="BDB114" s="139"/>
      <c r="BDC114" s="139"/>
      <c r="BDD114" s="139"/>
      <c r="BDE114" s="139"/>
      <c r="BDF114" s="139"/>
      <c r="BDG114" s="139"/>
      <c r="BDH114" s="139"/>
      <c r="BDI114" s="139"/>
      <c r="BDJ114" s="139"/>
      <c r="BDK114" s="139"/>
      <c r="BDL114" s="139"/>
      <c r="BDM114" s="139"/>
      <c r="BDN114" s="139"/>
      <c r="BDO114" s="139"/>
      <c r="BDP114" s="139"/>
      <c r="BDQ114" s="139"/>
      <c r="BDR114" s="139"/>
      <c r="BDS114" s="139"/>
      <c r="BDT114" s="139"/>
      <c r="BDU114" s="139"/>
      <c r="BDV114" s="139"/>
      <c r="BDW114" s="139"/>
      <c r="BDX114" s="139"/>
      <c r="BDY114" s="139"/>
      <c r="BDZ114" s="139"/>
      <c r="BEA114" s="139"/>
      <c r="BEB114" s="139"/>
      <c r="BEC114" s="139"/>
      <c r="BED114" s="139"/>
      <c r="BEE114" s="139"/>
      <c r="BEF114" s="139"/>
      <c r="BEG114" s="139"/>
      <c r="BEH114" s="139"/>
      <c r="BEI114" s="139"/>
      <c r="BEJ114" s="139"/>
      <c r="BEK114" s="139"/>
      <c r="BEL114" s="139"/>
      <c r="BEM114" s="139"/>
      <c r="BEN114" s="139"/>
      <c r="BEO114" s="139"/>
      <c r="BEP114" s="139"/>
      <c r="BEQ114" s="139"/>
      <c r="BER114" s="139"/>
      <c r="BES114" s="139"/>
      <c r="BET114" s="139"/>
      <c r="BEU114" s="139"/>
      <c r="BEV114" s="139"/>
      <c r="BEW114" s="139"/>
      <c r="BEX114" s="139"/>
      <c r="BEY114" s="139"/>
      <c r="BEZ114" s="139"/>
      <c r="BFA114" s="139"/>
      <c r="BFB114" s="139"/>
      <c r="BFC114" s="139"/>
      <c r="BFD114" s="139"/>
      <c r="BFE114" s="139"/>
      <c r="BFF114" s="139"/>
      <c r="BFG114" s="139"/>
      <c r="BFH114" s="139"/>
      <c r="BFI114" s="139"/>
      <c r="BFJ114" s="139"/>
      <c r="BFK114" s="139"/>
      <c r="BFL114" s="139"/>
      <c r="BFM114" s="139"/>
      <c r="BFN114" s="139"/>
      <c r="BFO114" s="139"/>
      <c r="BFP114" s="139"/>
      <c r="BFQ114" s="139"/>
      <c r="BFR114" s="139"/>
      <c r="BFS114" s="139"/>
      <c r="BFT114" s="139"/>
      <c r="BFU114" s="139"/>
      <c r="BFV114" s="139"/>
      <c r="BFW114" s="139"/>
      <c r="BFX114" s="139"/>
      <c r="BFY114" s="139"/>
      <c r="BFZ114" s="139"/>
      <c r="BGA114" s="139"/>
      <c r="BGB114" s="139"/>
      <c r="BGC114" s="139"/>
      <c r="BGD114" s="139"/>
      <c r="BGE114" s="139"/>
      <c r="BGF114" s="139"/>
      <c r="BGG114" s="139"/>
      <c r="BGH114" s="139"/>
      <c r="BGI114" s="139"/>
      <c r="BGJ114" s="139"/>
      <c r="BGK114" s="139"/>
      <c r="BGL114" s="139"/>
      <c r="BGM114" s="139"/>
      <c r="BGN114" s="139"/>
      <c r="BGO114" s="139"/>
      <c r="BGP114" s="139"/>
      <c r="BGQ114" s="139"/>
      <c r="BGR114" s="139"/>
      <c r="BGS114" s="139"/>
      <c r="BGT114" s="139"/>
      <c r="BGU114" s="139"/>
      <c r="BGV114" s="139"/>
      <c r="BGW114" s="139"/>
      <c r="BGX114" s="139"/>
      <c r="BGY114" s="139"/>
      <c r="BGZ114" s="139"/>
      <c r="BHA114" s="139"/>
      <c r="BHB114" s="139"/>
      <c r="BHC114" s="139"/>
      <c r="BHD114" s="139"/>
      <c r="BHE114" s="139"/>
      <c r="BHF114" s="139"/>
      <c r="BHG114" s="139"/>
      <c r="BHH114" s="139"/>
      <c r="BHI114" s="139"/>
      <c r="BHJ114" s="139"/>
      <c r="BHK114" s="139"/>
      <c r="BHL114" s="139"/>
      <c r="BHM114" s="139"/>
      <c r="BHN114" s="139"/>
      <c r="BHO114" s="139"/>
      <c r="BHP114" s="139"/>
      <c r="BHQ114" s="139"/>
      <c r="BHR114" s="139"/>
      <c r="BHS114" s="139"/>
      <c r="BHT114" s="139"/>
      <c r="BHU114" s="139"/>
      <c r="BHV114" s="139"/>
      <c r="BHW114" s="139"/>
      <c r="BHX114" s="139"/>
      <c r="BHY114" s="139"/>
      <c r="BHZ114" s="139"/>
      <c r="BIA114" s="139"/>
      <c r="BIB114" s="139"/>
      <c r="BIC114" s="139"/>
      <c r="BID114" s="139"/>
      <c r="BIE114" s="139"/>
      <c r="BIF114" s="139"/>
      <c r="BIG114" s="139"/>
      <c r="BIH114" s="139"/>
      <c r="BII114" s="139"/>
      <c r="BIJ114" s="139"/>
      <c r="BIK114" s="139"/>
      <c r="BIL114" s="139"/>
      <c r="BIM114" s="139"/>
      <c r="BIN114" s="139"/>
      <c r="BIO114" s="139"/>
      <c r="BIP114" s="139"/>
      <c r="BIQ114" s="139"/>
      <c r="BIR114" s="139"/>
      <c r="BIS114" s="139"/>
      <c r="BIT114" s="139"/>
      <c r="BIU114" s="139"/>
      <c r="BIV114" s="139"/>
      <c r="BIW114" s="139"/>
      <c r="BIX114" s="139"/>
      <c r="BIY114" s="139"/>
      <c r="BIZ114" s="139"/>
      <c r="BJA114" s="139"/>
      <c r="BJB114" s="139"/>
      <c r="BJC114" s="139"/>
      <c r="BJD114" s="139"/>
      <c r="BJE114" s="139"/>
      <c r="BJF114" s="139"/>
      <c r="BJG114" s="139"/>
      <c r="BJH114" s="139"/>
      <c r="BJI114" s="139"/>
      <c r="BJJ114" s="139"/>
      <c r="BJK114" s="139"/>
      <c r="BJL114" s="139"/>
      <c r="BJM114" s="139"/>
      <c r="BJN114" s="139"/>
      <c r="BJO114" s="139"/>
      <c r="BJP114" s="139"/>
      <c r="BJQ114" s="139"/>
      <c r="BJR114" s="139"/>
      <c r="BJS114" s="139"/>
      <c r="BJT114" s="139"/>
      <c r="BJU114" s="139"/>
      <c r="BJV114" s="139"/>
      <c r="BJW114" s="139"/>
      <c r="BJX114" s="139"/>
      <c r="BJY114" s="139"/>
      <c r="BJZ114" s="139"/>
      <c r="BKA114" s="139"/>
      <c r="BKB114" s="139"/>
      <c r="BKC114" s="139"/>
      <c r="BKD114" s="139"/>
      <c r="BKE114" s="139"/>
      <c r="BKF114" s="139"/>
      <c r="BKG114" s="139"/>
      <c r="BKH114" s="139"/>
      <c r="BKI114" s="139"/>
      <c r="BKJ114" s="139"/>
      <c r="BKK114" s="139"/>
      <c r="BKL114" s="139"/>
      <c r="BKM114" s="139"/>
      <c r="BKN114" s="139"/>
      <c r="BKO114" s="139"/>
      <c r="BKP114" s="139"/>
      <c r="BKQ114" s="139"/>
      <c r="BKR114" s="139"/>
      <c r="BKS114" s="139"/>
      <c r="BKT114" s="139"/>
      <c r="BKU114" s="139"/>
      <c r="BKV114" s="139"/>
      <c r="BKW114" s="139"/>
      <c r="BKX114" s="139"/>
      <c r="BKY114" s="139"/>
      <c r="BKZ114" s="139"/>
      <c r="BLA114" s="139"/>
      <c r="BLB114" s="139"/>
      <c r="BLC114" s="139"/>
      <c r="BLD114" s="139"/>
      <c r="BLE114" s="139"/>
      <c r="BLF114" s="139"/>
      <c r="BLG114" s="139"/>
      <c r="BLH114" s="139"/>
      <c r="BLI114" s="139"/>
      <c r="BLJ114" s="139"/>
      <c r="BLK114" s="139"/>
      <c r="BLL114" s="139"/>
      <c r="BLM114" s="139"/>
      <c r="BLN114" s="139"/>
      <c r="BLO114" s="139"/>
      <c r="BLP114" s="139"/>
      <c r="BLQ114" s="139"/>
      <c r="BLR114" s="139"/>
      <c r="BLS114" s="139"/>
      <c r="BLT114" s="139"/>
      <c r="BLU114" s="139"/>
      <c r="BLV114" s="139"/>
      <c r="BLW114" s="139"/>
      <c r="BLX114" s="139"/>
      <c r="BLY114" s="139"/>
      <c r="BLZ114" s="139"/>
      <c r="BMA114" s="139"/>
      <c r="BMB114" s="139"/>
      <c r="BMC114" s="139"/>
      <c r="BMD114" s="139"/>
      <c r="BME114" s="139"/>
      <c r="BMF114" s="139"/>
      <c r="BMG114" s="139"/>
      <c r="BMH114" s="139"/>
      <c r="BMI114" s="139"/>
      <c r="BMJ114" s="139"/>
      <c r="BMK114" s="139"/>
      <c r="BML114" s="139"/>
      <c r="BMM114" s="139"/>
      <c r="BMN114" s="139"/>
      <c r="BMO114" s="139"/>
      <c r="BMP114" s="139"/>
      <c r="BMQ114" s="139"/>
      <c r="BMR114" s="139"/>
      <c r="BMS114" s="139"/>
      <c r="BMT114" s="139"/>
      <c r="BMU114" s="139"/>
      <c r="BMV114" s="139"/>
      <c r="BMW114" s="139"/>
      <c r="BMX114" s="139"/>
      <c r="BMY114" s="139"/>
      <c r="BMZ114" s="139"/>
      <c r="BNA114" s="139"/>
      <c r="BNB114" s="139"/>
      <c r="BNC114" s="139"/>
      <c r="BND114" s="139"/>
      <c r="BNE114" s="139"/>
      <c r="BNF114" s="139"/>
      <c r="BNG114" s="139"/>
      <c r="BNH114" s="139"/>
      <c r="BNI114" s="139"/>
      <c r="BNJ114" s="139"/>
      <c r="BNK114" s="139"/>
      <c r="BNL114" s="139"/>
      <c r="BNM114" s="139"/>
      <c r="BNN114" s="139"/>
      <c r="BNO114" s="139"/>
      <c r="BNP114" s="139"/>
      <c r="BNQ114" s="139"/>
      <c r="BNR114" s="139"/>
      <c r="BNS114" s="139"/>
      <c r="BNT114" s="139"/>
      <c r="BNU114" s="139"/>
      <c r="BNV114" s="139"/>
      <c r="BNW114" s="139"/>
      <c r="BNX114" s="139"/>
      <c r="BNY114" s="139"/>
      <c r="BNZ114" s="139"/>
      <c r="BOA114" s="139"/>
      <c r="BOB114" s="139"/>
      <c r="BOC114" s="139"/>
      <c r="BOD114" s="139"/>
      <c r="BOE114" s="139"/>
      <c r="BOF114" s="139"/>
      <c r="BOG114" s="139"/>
      <c r="BOH114" s="139"/>
      <c r="BOI114" s="139"/>
      <c r="BOJ114" s="139"/>
      <c r="BOK114" s="139"/>
      <c r="BOL114" s="139"/>
      <c r="BOM114" s="139"/>
      <c r="BON114" s="139"/>
      <c r="BOO114" s="139"/>
      <c r="BOP114" s="139"/>
      <c r="BOQ114" s="139"/>
      <c r="BOR114" s="139"/>
      <c r="BOS114" s="139"/>
      <c r="BOT114" s="139"/>
      <c r="BOU114" s="139"/>
      <c r="BOV114" s="139"/>
      <c r="BOW114" s="139"/>
      <c r="BOX114" s="139"/>
      <c r="BOY114" s="139"/>
      <c r="BOZ114" s="139"/>
      <c r="BPA114" s="139"/>
      <c r="BPB114" s="139"/>
      <c r="BPC114" s="139"/>
      <c r="BPD114" s="139"/>
      <c r="BPE114" s="139"/>
      <c r="BPF114" s="139"/>
      <c r="BPG114" s="139"/>
      <c r="BPH114" s="139"/>
      <c r="BPI114" s="139"/>
      <c r="BPJ114" s="139"/>
      <c r="BPK114" s="139"/>
      <c r="BPL114" s="139"/>
      <c r="BPM114" s="139"/>
      <c r="BPN114" s="139"/>
      <c r="BPO114" s="139"/>
      <c r="BPP114" s="139"/>
      <c r="BPQ114" s="139"/>
      <c r="BPR114" s="139"/>
      <c r="BPS114" s="139"/>
      <c r="BPT114" s="139"/>
      <c r="BPU114" s="139"/>
      <c r="BPV114" s="139"/>
      <c r="BPW114" s="139"/>
      <c r="BPX114" s="139"/>
      <c r="BPY114" s="139"/>
      <c r="BPZ114" s="139"/>
      <c r="BQA114" s="139"/>
      <c r="BQB114" s="139"/>
      <c r="BQC114" s="139"/>
      <c r="BQD114" s="139"/>
      <c r="BQE114" s="139"/>
      <c r="BQF114" s="139"/>
      <c r="BQG114" s="139"/>
      <c r="BQH114" s="139"/>
      <c r="BQI114" s="139"/>
      <c r="BQJ114" s="139"/>
      <c r="BQK114" s="139"/>
      <c r="BQL114" s="139"/>
      <c r="BQM114" s="139"/>
      <c r="BQN114" s="139"/>
      <c r="BQO114" s="139"/>
      <c r="BQP114" s="139"/>
      <c r="BQQ114" s="139"/>
      <c r="BQR114" s="139"/>
      <c r="BQS114" s="139"/>
      <c r="BQT114" s="139"/>
      <c r="BQU114" s="139"/>
      <c r="BQV114" s="139"/>
      <c r="BQW114" s="139"/>
      <c r="BQX114" s="139"/>
      <c r="BQY114" s="139"/>
      <c r="BQZ114" s="139"/>
      <c r="BRA114" s="139"/>
      <c r="BRB114" s="139"/>
      <c r="BRC114" s="139"/>
      <c r="BRD114" s="139"/>
      <c r="BRE114" s="139"/>
      <c r="BRF114" s="139"/>
      <c r="BRG114" s="139"/>
      <c r="BRH114" s="139"/>
      <c r="BRI114" s="139"/>
      <c r="BRJ114" s="139"/>
      <c r="BRK114" s="139"/>
      <c r="BRL114" s="139"/>
      <c r="BRM114" s="139"/>
      <c r="BRN114" s="139"/>
      <c r="BRO114" s="139"/>
      <c r="BRP114" s="139"/>
      <c r="BRQ114" s="139"/>
      <c r="BRR114" s="139"/>
      <c r="BRS114" s="139"/>
      <c r="BRT114" s="139"/>
      <c r="BRU114" s="139"/>
      <c r="BRV114" s="139"/>
      <c r="BRW114" s="139"/>
      <c r="BRX114" s="139"/>
      <c r="BRY114" s="139"/>
      <c r="BRZ114" s="139"/>
      <c r="BSA114" s="139"/>
      <c r="BSB114" s="139"/>
      <c r="BSC114" s="139"/>
      <c r="BSD114" s="139"/>
      <c r="BSE114" s="139"/>
      <c r="BSF114" s="139"/>
      <c r="BSG114" s="139"/>
      <c r="BSH114" s="139"/>
      <c r="BSI114" s="139"/>
      <c r="BSJ114" s="139"/>
      <c r="BSK114" s="139"/>
      <c r="BSL114" s="139"/>
      <c r="BSM114" s="139"/>
      <c r="BSN114" s="139"/>
      <c r="BSO114" s="139"/>
      <c r="BSP114" s="139"/>
      <c r="BSQ114" s="139"/>
      <c r="BSR114" s="139"/>
      <c r="BSS114" s="139"/>
      <c r="BST114" s="139"/>
      <c r="BSU114" s="139"/>
      <c r="BSV114" s="139"/>
      <c r="BSW114" s="139"/>
      <c r="BSX114" s="139"/>
      <c r="BSY114" s="139"/>
      <c r="BSZ114" s="139"/>
      <c r="BTA114" s="139"/>
      <c r="BTB114" s="139"/>
      <c r="BTC114" s="139"/>
      <c r="BTD114" s="139"/>
      <c r="BTE114" s="139"/>
      <c r="BTF114" s="139"/>
      <c r="BTG114" s="139"/>
      <c r="BTH114" s="139"/>
      <c r="BTI114" s="139"/>
      <c r="BTJ114" s="139"/>
      <c r="BTK114" s="139"/>
      <c r="BTL114" s="139"/>
      <c r="BTM114" s="139"/>
      <c r="BTN114" s="139"/>
      <c r="BTO114" s="139"/>
      <c r="BTP114" s="139"/>
      <c r="BTQ114" s="139"/>
      <c r="BTR114" s="139"/>
      <c r="BTS114" s="139"/>
      <c r="BTT114" s="139"/>
      <c r="BTU114" s="139"/>
      <c r="BTV114" s="139"/>
      <c r="BTW114" s="139"/>
      <c r="BTX114" s="139"/>
      <c r="BTY114" s="139"/>
      <c r="BTZ114" s="139"/>
      <c r="BUA114" s="139"/>
      <c r="BUB114" s="139"/>
      <c r="BUC114" s="139"/>
      <c r="BUD114" s="139"/>
      <c r="BUE114" s="139"/>
      <c r="BUF114" s="139"/>
      <c r="BUG114" s="139"/>
      <c r="BUH114" s="139"/>
      <c r="BUI114" s="139"/>
      <c r="BUJ114" s="139"/>
      <c r="BUK114" s="139"/>
      <c r="BUL114" s="139"/>
      <c r="BUM114" s="139"/>
      <c r="BUN114" s="139"/>
      <c r="BUO114" s="139"/>
      <c r="BUP114" s="139"/>
      <c r="BUQ114" s="139"/>
      <c r="BUR114" s="139"/>
      <c r="BUS114" s="139"/>
      <c r="BUT114" s="139"/>
      <c r="BUU114" s="139"/>
      <c r="BUV114" s="139"/>
      <c r="BUW114" s="139"/>
      <c r="BUX114" s="139"/>
      <c r="BUY114" s="139"/>
      <c r="BUZ114" s="139"/>
      <c r="BVA114" s="139"/>
      <c r="BVB114" s="139"/>
      <c r="BVC114" s="139"/>
      <c r="BVD114" s="139"/>
      <c r="BVE114" s="139"/>
      <c r="BVF114" s="139"/>
      <c r="BVG114" s="139"/>
      <c r="BVH114" s="139"/>
      <c r="BVI114" s="139"/>
      <c r="BVJ114" s="139"/>
      <c r="BVK114" s="139"/>
      <c r="BVL114" s="139"/>
      <c r="BVM114" s="139"/>
      <c r="BVN114" s="139"/>
      <c r="BVO114" s="139"/>
      <c r="BVP114" s="139"/>
      <c r="BVQ114" s="139"/>
      <c r="BVR114" s="139"/>
      <c r="BVS114" s="139"/>
      <c r="BVT114" s="139"/>
      <c r="BVU114" s="139"/>
      <c r="BVV114" s="139"/>
      <c r="BVW114" s="139"/>
      <c r="BVX114" s="139"/>
      <c r="BVY114" s="139"/>
      <c r="BVZ114" s="139"/>
      <c r="BWA114" s="139"/>
      <c r="BWB114" s="139"/>
      <c r="BWC114" s="139"/>
      <c r="BWD114" s="139"/>
      <c r="BWE114" s="139"/>
      <c r="BWF114" s="139"/>
      <c r="BWG114" s="139"/>
      <c r="BWH114" s="139"/>
      <c r="BWI114" s="139"/>
      <c r="BWJ114" s="139"/>
      <c r="BWK114" s="139"/>
      <c r="BWL114" s="139"/>
      <c r="BWM114" s="139"/>
      <c r="BWN114" s="139"/>
      <c r="BWO114" s="139"/>
      <c r="BWP114" s="139"/>
      <c r="BWQ114" s="139"/>
      <c r="BWR114" s="139"/>
      <c r="BWS114" s="139"/>
      <c r="BWT114" s="139"/>
      <c r="BWU114" s="139"/>
      <c r="BWV114" s="139"/>
      <c r="BWW114" s="139"/>
      <c r="BWX114" s="139"/>
      <c r="BWY114" s="139"/>
      <c r="BWZ114" s="139"/>
      <c r="BXA114" s="139"/>
      <c r="BXB114" s="139"/>
      <c r="BXC114" s="139"/>
      <c r="BXD114" s="139"/>
      <c r="BXE114" s="139"/>
      <c r="BXF114" s="139"/>
      <c r="BXG114" s="139"/>
      <c r="BXH114" s="139"/>
      <c r="BXI114" s="139"/>
      <c r="BXJ114" s="139"/>
      <c r="BXK114" s="139"/>
      <c r="BXL114" s="139"/>
      <c r="BXM114" s="139"/>
      <c r="BXN114" s="139"/>
      <c r="BXO114" s="139"/>
      <c r="BXP114" s="139"/>
      <c r="BXQ114" s="139"/>
      <c r="BXR114" s="139"/>
      <c r="BXS114" s="139"/>
      <c r="BXT114" s="139"/>
      <c r="BXU114" s="139"/>
      <c r="BXV114" s="139"/>
      <c r="BXW114" s="139"/>
      <c r="BXX114" s="139"/>
      <c r="BXY114" s="139"/>
      <c r="BXZ114" s="139"/>
      <c r="BYA114" s="139"/>
      <c r="BYB114" s="139"/>
      <c r="BYC114" s="139"/>
      <c r="BYD114" s="139"/>
      <c r="BYE114" s="139"/>
      <c r="BYF114" s="139"/>
      <c r="BYG114" s="139"/>
      <c r="BYH114" s="139"/>
      <c r="BYI114" s="139"/>
      <c r="BYJ114" s="139"/>
      <c r="BYK114" s="139"/>
      <c r="BYL114" s="139"/>
      <c r="BYM114" s="139"/>
      <c r="BYN114" s="139"/>
      <c r="BYO114" s="139"/>
      <c r="BYP114" s="139"/>
      <c r="BYQ114" s="139"/>
      <c r="BYR114" s="139"/>
      <c r="BYS114" s="139"/>
      <c r="BYT114" s="139"/>
      <c r="BYU114" s="139"/>
      <c r="BYV114" s="139"/>
      <c r="BYW114" s="139"/>
      <c r="BYX114" s="139"/>
      <c r="BYY114" s="139"/>
      <c r="BYZ114" s="139"/>
      <c r="BZA114" s="139"/>
      <c r="BZB114" s="139"/>
      <c r="BZC114" s="139"/>
      <c r="BZD114" s="139"/>
      <c r="BZE114" s="139"/>
      <c r="BZF114" s="139"/>
      <c r="BZG114" s="139"/>
      <c r="BZH114" s="139"/>
      <c r="BZI114" s="139"/>
      <c r="BZJ114" s="139"/>
      <c r="BZK114" s="139"/>
      <c r="BZL114" s="139"/>
      <c r="BZM114" s="139"/>
      <c r="BZN114" s="139"/>
      <c r="BZO114" s="139"/>
      <c r="BZP114" s="139"/>
      <c r="BZQ114" s="139"/>
      <c r="BZR114" s="139"/>
      <c r="BZS114" s="139"/>
      <c r="BZT114" s="139"/>
      <c r="BZU114" s="139"/>
      <c r="BZV114" s="139"/>
      <c r="BZW114" s="139"/>
      <c r="BZX114" s="139"/>
      <c r="BZY114" s="139"/>
      <c r="BZZ114" s="139"/>
      <c r="CAA114" s="139"/>
      <c r="CAB114" s="139"/>
      <c r="CAC114" s="139"/>
      <c r="CAD114" s="139"/>
      <c r="CAE114" s="139"/>
      <c r="CAF114" s="139"/>
      <c r="CAG114" s="139"/>
      <c r="CAH114" s="139"/>
      <c r="CAI114" s="139"/>
      <c r="CAJ114" s="139"/>
      <c r="CAK114" s="139"/>
      <c r="CAL114" s="139"/>
      <c r="CAM114" s="139"/>
      <c r="CAN114" s="139"/>
      <c r="CAO114" s="139"/>
      <c r="CAP114" s="139"/>
      <c r="CAQ114" s="139"/>
      <c r="CAR114" s="139"/>
      <c r="CAS114" s="139"/>
      <c r="CAT114" s="139"/>
      <c r="CAU114" s="139"/>
      <c r="CAV114" s="139"/>
      <c r="CAW114" s="139"/>
      <c r="CAX114" s="139"/>
      <c r="CAY114" s="139"/>
      <c r="CAZ114" s="139"/>
      <c r="CBA114" s="139"/>
      <c r="CBB114" s="139"/>
      <c r="CBC114" s="139"/>
      <c r="CBD114" s="139"/>
      <c r="CBE114" s="139"/>
      <c r="CBF114" s="139"/>
      <c r="CBG114" s="139"/>
      <c r="CBH114" s="139"/>
      <c r="CBI114" s="139"/>
      <c r="CBJ114" s="139"/>
      <c r="CBK114" s="139"/>
      <c r="CBL114" s="139"/>
      <c r="CBM114" s="139"/>
      <c r="CBN114" s="139"/>
      <c r="CBO114" s="139"/>
      <c r="CBP114" s="139"/>
      <c r="CBQ114" s="139"/>
      <c r="CBR114" s="139"/>
      <c r="CBS114" s="139"/>
      <c r="CBT114" s="139"/>
      <c r="CBU114" s="139"/>
      <c r="CBV114" s="139"/>
      <c r="CBW114" s="139"/>
      <c r="CBX114" s="139"/>
      <c r="CBY114" s="139"/>
      <c r="CBZ114" s="139"/>
      <c r="CCA114" s="139"/>
      <c r="CCB114" s="139"/>
      <c r="CCC114" s="139"/>
      <c r="CCD114" s="139"/>
      <c r="CCE114" s="139"/>
      <c r="CCF114" s="139"/>
      <c r="CCG114" s="139"/>
      <c r="CCH114" s="139"/>
      <c r="CCI114" s="139"/>
      <c r="CCJ114" s="139"/>
      <c r="CCK114" s="139"/>
      <c r="CCL114" s="139"/>
      <c r="CCM114" s="139"/>
      <c r="CCN114" s="139"/>
      <c r="CCO114" s="139"/>
      <c r="CCP114" s="139"/>
      <c r="CCQ114" s="139"/>
      <c r="CCR114" s="139"/>
      <c r="CCS114" s="139"/>
      <c r="CCT114" s="139"/>
      <c r="CCU114" s="139"/>
      <c r="CCV114" s="139"/>
      <c r="CCW114" s="139"/>
      <c r="CCX114" s="139"/>
      <c r="CCY114" s="139"/>
      <c r="CCZ114" s="139"/>
      <c r="CDA114" s="139"/>
      <c r="CDB114" s="139"/>
      <c r="CDC114" s="139"/>
      <c r="CDD114" s="139"/>
      <c r="CDE114" s="139"/>
      <c r="CDF114" s="139"/>
      <c r="CDG114" s="139"/>
      <c r="CDH114" s="139"/>
      <c r="CDI114" s="139"/>
      <c r="CDJ114" s="139"/>
      <c r="CDK114" s="139"/>
      <c r="CDL114" s="139"/>
      <c r="CDM114" s="139"/>
      <c r="CDN114" s="139"/>
      <c r="CDO114" s="139"/>
      <c r="CDP114" s="139"/>
      <c r="CDQ114" s="139"/>
      <c r="CDR114" s="139"/>
      <c r="CDS114" s="139"/>
      <c r="CDT114" s="139"/>
      <c r="CDU114" s="139"/>
      <c r="CDV114" s="139"/>
      <c r="CDW114" s="139"/>
      <c r="CDX114" s="139"/>
      <c r="CDY114" s="139"/>
      <c r="CDZ114" s="139"/>
      <c r="CEA114" s="139"/>
      <c r="CEB114" s="139"/>
      <c r="CEC114" s="139"/>
      <c r="CED114" s="139"/>
      <c r="CEE114" s="139"/>
      <c r="CEF114" s="139"/>
      <c r="CEG114" s="139"/>
      <c r="CEH114" s="139"/>
      <c r="CEI114" s="139"/>
      <c r="CEJ114" s="139"/>
      <c r="CEK114" s="139"/>
      <c r="CEL114" s="139"/>
      <c r="CEM114" s="139"/>
      <c r="CEN114" s="139"/>
      <c r="CEO114" s="139"/>
      <c r="CEP114" s="139"/>
      <c r="CEQ114" s="139"/>
      <c r="CER114" s="139"/>
      <c r="CES114" s="139"/>
      <c r="CET114" s="139"/>
      <c r="CEU114" s="139"/>
      <c r="CEV114" s="139"/>
      <c r="CEW114" s="139"/>
      <c r="CEX114" s="139"/>
      <c r="CEY114" s="139"/>
      <c r="CEZ114" s="139"/>
      <c r="CFA114" s="139"/>
      <c r="CFB114" s="139"/>
      <c r="CFC114" s="139"/>
      <c r="CFD114" s="139"/>
      <c r="CFE114" s="139"/>
      <c r="CFF114" s="139"/>
      <c r="CFG114" s="139"/>
      <c r="CFH114" s="139"/>
      <c r="CFI114" s="139"/>
      <c r="CFJ114" s="139"/>
      <c r="CFK114" s="139"/>
      <c r="CFL114" s="139"/>
      <c r="CFM114" s="139"/>
      <c r="CFN114" s="139"/>
      <c r="CFO114" s="139"/>
      <c r="CFP114" s="139"/>
      <c r="CFQ114" s="139"/>
      <c r="CFR114" s="139"/>
      <c r="CFS114" s="139"/>
      <c r="CFT114" s="139"/>
      <c r="CFU114" s="139"/>
      <c r="CFV114" s="139"/>
      <c r="CFW114" s="139"/>
      <c r="CFX114" s="139"/>
      <c r="CFY114" s="139"/>
      <c r="CFZ114" s="139"/>
      <c r="CGA114" s="139"/>
      <c r="CGB114" s="139"/>
      <c r="CGC114" s="139"/>
      <c r="CGD114" s="139"/>
      <c r="CGE114" s="139"/>
      <c r="CGF114" s="139"/>
      <c r="CGG114" s="139"/>
      <c r="CGH114" s="139"/>
      <c r="CGI114" s="139"/>
      <c r="CGJ114" s="139"/>
      <c r="CGK114" s="139"/>
      <c r="CGL114" s="139"/>
      <c r="CGM114" s="139"/>
      <c r="CGN114" s="139"/>
      <c r="CGO114" s="139"/>
      <c r="CGP114" s="139"/>
      <c r="CGQ114" s="139"/>
      <c r="CGR114" s="139"/>
      <c r="CGS114" s="139"/>
      <c r="CGT114" s="139"/>
      <c r="CGU114" s="139"/>
      <c r="CGV114" s="139"/>
      <c r="CGW114" s="139"/>
      <c r="CGX114" s="139"/>
      <c r="CGY114" s="139"/>
      <c r="CGZ114" s="139"/>
      <c r="CHA114" s="139"/>
      <c r="CHB114" s="139"/>
      <c r="CHC114" s="139"/>
      <c r="CHD114" s="139"/>
      <c r="CHE114" s="139"/>
      <c r="CHF114" s="139"/>
      <c r="CHG114" s="139"/>
      <c r="CHH114" s="139"/>
      <c r="CHI114" s="139"/>
      <c r="CHJ114" s="139"/>
      <c r="CHK114" s="139"/>
      <c r="CHL114" s="139"/>
      <c r="CHM114" s="139"/>
      <c r="CHN114" s="139"/>
      <c r="CHO114" s="139"/>
      <c r="CHP114" s="139"/>
      <c r="CHQ114" s="139"/>
      <c r="CHR114" s="139"/>
      <c r="CHS114" s="139"/>
      <c r="CHT114" s="139"/>
      <c r="CHU114" s="139"/>
      <c r="CHV114" s="139"/>
      <c r="CHW114" s="139"/>
      <c r="CHX114" s="139"/>
      <c r="CHY114" s="139"/>
      <c r="CHZ114" s="139"/>
      <c r="CIA114" s="139"/>
      <c r="CIB114" s="139"/>
      <c r="CIC114" s="139"/>
      <c r="CID114" s="139"/>
      <c r="CIE114" s="139"/>
      <c r="CIF114" s="139"/>
      <c r="CIG114" s="139"/>
      <c r="CIH114" s="139"/>
      <c r="CII114" s="139"/>
      <c r="CIJ114" s="139"/>
      <c r="CIK114" s="139"/>
      <c r="CIL114" s="139"/>
      <c r="CIM114" s="139"/>
      <c r="CIN114" s="139"/>
      <c r="CIO114" s="139"/>
      <c r="CIP114" s="139"/>
      <c r="CIQ114" s="139"/>
      <c r="CIR114" s="139"/>
      <c r="CIS114" s="139"/>
      <c r="CIT114" s="139"/>
      <c r="CIU114" s="139"/>
      <c r="CIV114" s="139"/>
      <c r="CIW114" s="139"/>
      <c r="CIX114" s="139"/>
      <c r="CIY114" s="139"/>
      <c r="CIZ114" s="139"/>
      <c r="CJA114" s="139"/>
      <c r="CJB114" s="139"/>
      <c r="CJC114" s="139"/>
      <c r="CJD114" s="139"/>
      <c r="CJE114" s="139"/>
      <c r="CJF114" s="139"/>
      <c r="CJG114" s="139"/>
      <c r="CJH114" s="139"/>
      <c r="CJI114" s="139"/>
      <c r="CJJ114" s="139"/>
      <c r="CJK114" s="139"/>
      <c r="CJL114" s="139"/>
      <c r="CJM114" s="139"/>
      <c r="CJN114" s="139"/>
      <c r="CJO114" s="139"/>
      <c r="CJP114" s="139"/>
      <c r="CJQ114" s="139"/>
      <c r="CJR114" s="139"/>
      <c r="CJS114" s="139"/>
      <c r="CJT114" s="139"/>
      <c r="CJU114" s="139"/>
      <c r="CJV114" s="139"/>
      <c r="CJW114" s="139"/>
      <c r="CJX114" s="139"/>
      <c r="CJY114" s="139"/>
      <c r="CJZ114" s="139"/>
      <c r="CKA114" s="139"/>
      <c r="CKB114" s="139"/>
      <c r="CKC114" s="139"/>
      <c r="CKD114" s="139"/>
      <c r="CKE114" s="139"/>
      <c r="CKF114" s="139"/>
      <c r="CKG114" s="139"/>
      <c r="CKH114" s="139"/>
      <c r="CKI114" s="139"/>
      <c r="CKJ114" s="139"/>
      <c r="CKK114" s="139"/>
      <c r="CKL114" s="139"/>
      <c r="CKM114" s="139"/>
      <c r="CKN114" s="139"/>
      <c r="CKO114" s="139"/>
      <c r="CKP114" s="139"/>
      <c r="CKQ114" s="139"/>
      <c r="CKR114" s="139"/>
      <c r="CKS114" s="139"/>
      <c r="CKT114" s="139"/>
      <c r="CKU114" s="139"/>
      <c r="CKV114" s="139"/>
      <c r="CKW114" s="139"/>
      <c r="CKX114" s="139"/>
      <c r="CKY114" s="139"/>
      <c r="CKZ114" s="139"/>
      <c r="CLA114" s="139"/>
      <c r="CLB114" s="139"/>
      <c r="CLC114" s="139"/>
      <c r="CLD114" s="139"/>
      <c r="CLE114" s="139"/>
      <c r="CLF114" s="139"/>
      <c r="CLG114" s="139"/>
      <c r="CLH114" s="139"/>
      <c r="CLI114" s="139"/>
      <c r="CLJ114" s="139"/>
      <c r="CLK114" s="139"/>
      <c r="CLL114" s="139"/>
      <c r="CLM114" s="139"/>
      <c r="CLN114" s="139"/>
      <c r="CLO114" s="139"/>
      <c r="CLP114" s="139"/>
      <c r="CLQ114" s="139"/>
      <c r="CLR114" s="139"/>
      <c r="CLS114" s="139"/>
      <c r="CLT114" s="139"/>
      <c r="CLU114" s="139"/>
      <c r="CLV114" s="139"/>
      <c r="CLW114" s="139"/>
      <c r="CLX114" s="139"/>
      <c r="CLY114" s="139"/>
      <c r="CLZ114" s="139"/>
      <c r="CMA114" s="139"/>
      <c r="CMB114" s="139"/>
      <c r="CMC114" s="139"/>
      <c r="CMD114" s="139"/>
      <c r="CME114" s="139"/>
      <c r="CMF114" s="139"/>
      <c r="CMG114" s="139"/>
      <c r="CMH114" s="139"/>
      <c r="CMI114" s="139"/>
      <c r="CMJ114" s="139"/>
      <c r="CMK114" s="139"/>
      <c r="CML114" s="139"/>
      <c r="CMM114" s="139"/>
      <c r="CMN114" s="139"/>
      <c r="CMO114" s="139"/>
      <c r="CMP114" s="139"/>
      <c r="CMQ114" s="139"/>
      <c r="CMR114" s="139"/>
      <c r="CMS114" s="139"/>
      <c r="CMT114" s="139"/>
      <c r="CMU114" s="139"/>
      <c r="CMV114" s="139"/>
      <c r="CMW114" s="139"/>
      <c r="CMX114" s="139"/>
      <c r="CMY114" s="139"/>
      <c r="CMZ114" s="139"/>
      <c r="CNA114" s="139"/>
      <c r="CNB114" s="139"/>
      <c r="CNC114" s="139"/>
      <c r="CND114" s="139"/>
      <c r="CNE114" s="139"/>
      <c r="CNF114" s="139"/>
      <c r="CNG114" s="139"/>
      <c r="CNH114" s="139"/>
      <c r="CNI114" s="139"/>
      <c r="CNJ114" s="139"/>
      <c r="CNK114" s="139"/>
      <c r="CNL114" s="139"/>
      <c r="CNM114" s="139"/>
      <c r="CNN114" s="139"/>
      <c r="CNO114" s="139"/>
      <c r="CNP114" s="139"/>
      <c r="CNQ114" s="139"/>
      <c r="CNR114" s="139"/>
      <c r="CNS114" s="139"/>
      <c r="CNT114" s="139"/>
      <c r="CNU114" s="139"/>
      <c r="CNV114" s="139"/>
      <c r="CNW114" s="139"/>
      <c r="CNX114" s="139"/>
      <c r="CNY114" s="139"/>
      <c r="CNZ114" s="139"/>
      <c r="COA114" s="139"/>
      <c r="COB114" s="139"/>
      <c r="COC114" s="139"/>
      <c r="COD114" s="139"/>
      <c r="COE114" s="139"/>
      <c r="COF114" s="139"/>
      <c r="COG114" s="139"/>
      <c r="COH114" s="139"/>
      <c r="COI114" s="139"/>
      <c r="COJ114" s="139"/>
      <c r="COK114" s="139"/>
      <c r="COL114" s="139"/>
      <c r="COM114" s="139"/>
      <c r="CON114" s="139"/>
      <c r="COO114" s="139"/>
      <c r="COP114" s="139"/>
      <c r="COQ114" s="139"/>
      <c r="COR114" s="139"/>
      <c r="COS114" s="139"/>
      <c r="COT114" s="139"/>
      <c r="COU114" s="139"/>
      <c r="COV114" s="139"/>
      <c r="COW114" s="139"/>
      <c r="COX114" s="139"/>
      <c r="COY114" s="139"/>
      <c r="COZ114" s="139"/>
      <c r="CPA114" s="139"/>
      <c r="CPB114" s="139"/>
      <c r="CPC114" s="139"/>
      <c r="CPD114" s="139"/>
      <c r="CPE114" s="139"/>
      <c r="CPF114" s="139"/>
      <c r="CPG114" s="139"/>
      <c r="CPH114" s="139"/>
      <c r="CPI114" s="139"/>
      <c r="CPJ114" s="139"/>
      <c r="CPK114" s="139"/>
      <c r="CPL114" s="139"/>
      <c r="CPM114" s="139"/>
      <c r="CPN114" s="139"/>
      <c r="CPO114" s="139"/>
      <c r="CPP114" s="139"/>
      <c r="CPQ114" s="139"/>
      <c r="CPR114" s="139"/>
      <c r="CPS114" s="139"/>
      <c r="CPT114" s="139"/>
      <c r="CPU114" s="139"/>
      <c r="CPV114" s="139"/>
      <c r="CPW114" s="139"/>
      <c r="CPX114" s="139"/>
      <c r="CPY114" s="139"/>
      <c r="CPZ114" s="139"/>
      <c r="CQA114" s="139"/>
      <c r="CQB114" s="139"/>
      <c r="CQC114" s="139"/>
      <c r="CQD114" s="139"/>
      <c r="CQE114" s="139"/>
      <c r="CQF114" s="139"/>
      <c r="CQG114" s="139"/>
      <c r="CQH114" s="139"/>
      <c r="CQI114" s="139"/>
      <c r="CQJ114" s="139"/>
      <c r="CQK114" s="139"/>
      <c r="CQL114" s="139"/>
      <c r="CQM114" s="139"/>
      <c r="CQN114" s="139"/>
      <c r="CQO114" s="139"/>
      <c r="CQP114" s="139"/>
      <c r="CQQ114" s="139"/>
      <c r="CQR114" s="139"/>
      <c r="CQS114" s="139"/>
      <c r="CQT114" s="139"/>
      <c r="CQU114" s="139"/>
      <c r="CQV114" s="139"/>
      <c r="CQW114" s="139"/>
      <c r="CQX114" s="139"/>
      <c r="CQY114" s="139"/>
      <c r="CQZ114" s="139"/>
      <c r="CRA114" s="139"/>
      <c r="CRB114" s="139"/>
      <c r="CRC114" s="139"/>
      <c r="CRD114" s="139"/>
      <c r="CRE114" s="139"/>
      <c r="CRF114" s="139"/>
      <c r="CRG114" s="139"/>
      <c r="CRH114" s="139"/>
      <c r="CRI114" s="139"/>
      <c r="CRJ114" s="139"/>
      <c r="CRK114" s="139"/>
      <c r="CRL114" s="139"/>
      <c r="CRM114" s="139"/>
      <c r="CRN114" s="139"/>
      <c r="CRO114" s="139"/>
      <c r="CRP114" s="139"/>
      <c r="CRQ114" s="139"/>
      <c r="CRR114" s="139"/>
      <c r="CRS114" s="139"/>
      <c r="CRT114" s="139"/>
      <c r="CRU114" s="139"/>
      <c r="CRV114" s="139"/>
      <c r="CRW114" s="139"/>
      <c r="CRX114" s="139"/>
      <c r="CRY114" s="139"/>
      <c r="CRZ114" s="139"/>
      <c r="CSA114" s="139"/>
      <c r="CSB114" s="139"/>
      <c r="CSC114" s="139"/>
      <c r="CSD114" s="139"/>
      <c r="CSE114" s="139"/>
      <c r="CSF114" s="139"/>
      <c r="CSG114" s="139"/>
      <c r="CSH114" s="139"/>
      <c r="CSI114" s="139"/>
      <c r="CSJ114" s="139"/>
      <c r="CSK114" s="139"/>
      <c r="CSL114" s="139"/>
      <c r="CSM114" s="139"/>
      <c r="CSN114" s="139"/>
      <c r="CSO114" s="139"/>
      <c r="CSP114" s="139"/>
      <c r="CSQ114" s="139"/>
      <c r="CSR114" s="139"/>
      <c r="CSS114" s="139"/>
      <c r="CST114" s="139"/>
      <c r="CSU114" s="139"/>
      <c r="CSV114" s="139"/>
      <c r="CSW114" s="139"/>
      <c r="CSX114" s="139"/>
      <c r="CSY114" s="139"/>
      <c r="CSZ114" s="139"/>
      <c r="CTA114" s="139"/>
      <c r="CTB114" s="139"/>
      <c r="CTC114" s="139"/>
      <c r="CTD114" s="139"/>
      <c r="CTE114" s="139"/>
      <c r="CTF114" s="139"/>
      <c r="CTG114" s="139"/>
      <c r="CTH114" s="139"/>
      <c r="CTI114" s="139"/>
      <c r="CTJ114" s="139"/>
      <c r="CTK114" s="139"/>
      <c r="CTL114" s="139"/>
      <c r="CTM114" s="139"/>
      <c r="CTN114" s="139"/>
      <c r="CTO114" s="139"/>
      <c r="CTP114" s="139"/>
      <c r="CTQ114" s="139"/>
      <c r="CTR114" s="139"/>
      <c r="CTS114" s="139"/>
      <c r="CTT114" s="139"/>
      <c r="CTU114" s="139"/>
      <c r="CTV114" s="139"/>
      <c r="CTW114" s="139"/>
      <c r="CTX114" s="139"/>
      <c r="CTY114" s="139"/>
      <c r="CTZ114" s="139"/>
      <c r="CUA114" s="139"/>
      <c r="CUB114" s="139"/>
      <c r="CUC114" s="139"/>
      <c r="CUD114" s="139"/>
      <c r="CUE114" s="139"/>
      <c r="CUF114" s="139"/>
      <c r="CUG114" s="139"/>
      <c r="CUH114" s="139"/>
      <c r="CUI114" s="139"/>
      <c r="CUJ114" s="139"/>
      <c r="CUK114" s="139"/>
      <c r="CUL114" s="139"/>
      <c r="CUM114" s="139"/>
      <c r="CUN114" s="139"/>
      <c r="CUO114" s="139"/>
      <c r="CUP114" s="139"/>
      <c r="CUQ114" s="139"/>
      <c r="CUR114" s="139"/>
      <c r="CUS114" s="139"/>
      <c r="CUT114" s="139"/>
      <c r="CUU114" s="139"/>
      <c r="CUV114" s="139"/>
      <c r="CUW114" s="139"/>
      <c r="CUX114" s="139"/>
      <c r="CUY114" s="139"/>
      <c r="CUZ114" s="139"/>
      <c r="CVA114" s="139"/>
      <c r="CVB114" s="139"/>
      <c r="CVC114" s="139"/>
      <c r="CVD114" s="139"/>
      <c r="CVE114" s="139"/>
      <c r="CVF114" s="139"/>
      <c r="CVG114" s="139"/>
      <c r="CVH114" s="139"/>
      <c r="CVI114" s="139"/>
      <c r="CVJ114" s="139"/>
      <c r="CVK114" s="139"/>
      <c r="CVL114" s="139"/>
      <c r="CVM114" s="139"/>
      <c r="CVN114" s="139"/>
      <c r="CVO114" s="139"/>
      <c r="CVP114" s="139"/>
      <c r="CVQ114" s="139"/>
      <c r="CVR114" s="139"/>
      <c r="CVS114" s="139"/>
      <c r="CVT114" s="139"/>
      <c r="CVU114" s="139"/>
      <c r="CVV114" s="139"/>
      <c r="CVW114" s="139"/>
      <c r="CVX114" s="139"/>
      <c r="CVY114" s="139"/>
      <c r="CVZ114" s="139"/>
      <c r="CWA114" s="139"/>
      <c r="CWB114" s="139"/>
      <c r="CWC114" s="139"/>
      <c r="CWD114" s="139"/>
      <c r="CWE114" s="139"/>
      <c r="CWF114" s="139"/>
      <c r="CWG114" s="139"/>
      <c r="CWH114" s="139"/>
      <c r="CWI114" s="139"/>
      <c r="CWJ114" s="139"/>
      <c r="CWK114" s="139"/>
      <c r="CWL114" s="139"/>
      <c r="CWM114" s="139"/>
      <c r="CWN114" s="139"/>
      <c r="CWO114" s="139"/>
      <c r="CWP114" s="139"/>
      <c r="CWQ114" s="139"/>
      <c r="CWR114" s="139"/>
      <c r="CWS114" s="139"/>
      <c r="CWT114" s="139"/>
      <c r="CWU114" s="139"/>
      <c r="CWV114" s="139"/>
      <c r="CWW114" s="139"/>
      <c r="CWX114" s="139"/>
      <c r="CWY114" s="139"/>
      <c r="CWZ114" s="139"/>
      <c r="CXA114" s="139"/>
      <c r="CXB114" s="139"/>
      <c r="CXC114" s="139"/>
      <c r="CXD114" s="139"/>
      <c r="CXE114" s="139"/>
      <c r="CXF114" s="139"/>
      <c r="CXG114" s="139"/>
      <c r="CXH114" s="139"/>
      <c r="CXI114" s="139"/>
      <c r="CXJ114" s="139"/>
      <c r="CXK114" s="139"/>
      <c r="CXL114" s="139"/>
      <c r="CXM114" s="139"/>
      <c r="CXN114" s="139"/>
      <c r="CXO114" s="139"/>
      <c r="CXP114" s="139"/>
      <c r="CXQ114" s="139"/>
      <c r="CXR114" s="139"/>
      <c r="CXS114" s="139"/>
      <c r="CXT114" s="139"/>
      <c r="CXU114" s="139"/>
      <c r="CXV114" s="139"/>
      <c r="CXW114" s="139"/>
      <c r="CXX114" s="139"/>
      <c r="CXY114" s="139"/>
      <c r="CXZ114" s="139"/>
      <c r="CYA114" s="139"/>
      <c r="CYB114" s="139"/>
      <c r="CYC114" s="139"/>
      <c r="CYD114" s="139"/>
      <c r="CYE114" s="139"/>
      <c r="CYF114" s="139"/>
      <c r="CYG114" s="139"/>
      <c r="CYH114" s="139"/>
      <c r="CYI114" s="139"/>
      <c r="CYJ114" s="139"/>
      <c r="CYK114" s="139"/>
      <c r="CYL114" s="139"/>
      <c r="CYM114" s="139"/>
      <c r="CYN114" s="139"/>
      <c r="CYO114" s="139"/>
      <c r="CYP114" s="139"/>
      <c r="CYQ114" s="139"/>
      <c r="CYR114" s="139"/>
      <c r="CYS114" s="139"/>
      <c r="CYT114" s="139"/>
      <c r="CYU114" s="139"/>
      <c r="CYV114" s="139"/>
      <c r="CYW114" s="139"/>
      <c r="CYX114" s="139"/>
      <c r="CYY114" s="139"/>
      <c r="CYZ114" s="139"/>
      <c r="CZA114" s="139"/>
      <c r="CZB114" s="139"/>
      <c r="CZC114" s="139"/>
      <c r="CZD114" s="139"/>
      <c r="CZE114" s="139"/>
      <c r="CZF114" s="139"/>
      <c r="CZG114" s="139"/>
      <c r="CZH114" s="139"/>
      <c r="CZI114" s="139"/>
      <c r="CZJ114" s="139"/>
      <c r="CZK114" s="139"/>
      <c r="CZL114" s="139"/>
      <c r="CZM114" s="139"/>
      <c r="CZN114" s="139"/>
      <c r="CZO114" s="139"/>
      <c r="CZP114" s="139"/>
      <c r="CZQ114" s="139"/>
      <c r="CZR114" s="139"/>
      <c r="CZS114" s="139"/>
      <c r="CZT114" s="139"/>
      <c r="CZU114" s="139"/>
      <c r="CZV114" s="139"/>
      <c r="CZW114" s="139"/>
      <c r="CZX114" s="139"/>
      <c r="CZY114" s="139"/>
      <c r="CZZ114" s="139"/>
      <c r="DAA114" s="139"/>
      <c r="DAB114" s="139"/>
      <c r="DAC114" s="139"/>
      <c r="DAD114" s="139"/>
      <c r="DAE114" s="139"/>
      <c r="DAF114" s="139"/>
      <c r="DAG114" s="139"/>
      <c r="DAH114" s="139"/>
      <c r="DAI114" s="139"/>
      <c r="DAJ114" s="139"/>
      <c r="DAK114" s="139"/>
      <c r="DAL114" s="139"/>
      <c r="DAM114" s="139"/>
      <c r="DAN114" s="139"/>
      <c r="DAO114" s="139"/>
      <c r="DAP114" s="139"/>
      <c r="DAQ114" s="139"/>
      <c r="DAR114" s="139"/>
      <c r="DAS114" s="139"/>
      <c r="DAT114" s="139"/>
      <c r="DAU114" s="139"/>
      <c r="DAV114" s="139"/>
      <c r="DAW114" s="139"/>
      <c r="DAX114" s="139"/>
      <c r="DAY114" s="139"/>
      <c r="DAZ114" s="139"/>
      <c r="DBA114" s="139"/>
      <c r="DBB114" s="139"/>
      <c r="DBC114" s="139"/>
      <c r="DBD114" s="139"/>
      <c r="DBE114" s="139"/>
      <c r="DBF114" s="139"/>
      <c r="DBG114" s="139"/>
      <c r="DBH114" s="139"/>
      <c r="DBI114" s="139"/>
      <c r="DBJ114" s="139"/>
      <c r="DBK114" s="139"/>
      <c r="DBL114" s="139"/>
      <c r="DBM114" s="139"/>
      <c r="DBN114" s="139"/>
      <c r="DBO114" s="139"/>
      <c r="DBP114" s="139"/>
      <c r="DBQ114" s="139"/>
      <c r="DBR114" s="139"/>
      <c r="DBS114" s="139"/>
      <c r="DBT114" s="139"/>
      <c r="DBU114" s="139"/>
      <c r="DBV114" s="139"/>
      <c r="DBW114" s="139"/>
      <c r="DBX114" s="139"/>
      <c r="DBY114" s="139"/>
      <c r="DBZ114" s="139"/>
      <c r="DCA114" s="139"/>
      <c r="DCB114" s="139"/>
      <c r="DCC114" s="139"/>
      <c r="DCD114" s="139"/>
      <c r="DCE114" s="139"/>
      <c r="DCF114" s="139"/>
      <c r="DCG114" s="139"/>
      <c r="DCH114" s="139"/>
      <c r="DCI114" s="139"/>
      <c r="DCJ114" s="139"/>
      <c r="DCK114" s="139"/>
      <c r="DCL114" s="139"/>
      <c r="DCM114" s="139"/>
      <c r="DCN114" s="139"/>
      <c r="DCO114" s="139"/>
      <c r="DCP114" s="139"/>
      <c r="DCQ114" s="139"/>
      <c r="DCR114" s="139"/>
      <c r="DCS114" s="139"/>
      <c r="DCT114" s="139"/>
      <c r="DCU114" s="139"/>
      <c r="DCV114" s="139"/>
      <c r="DCW114" s="139"/>
      <c r="DCX114" s="139"/>
      <c r="DCY114" s="139"/>
      <c r="DCZ114" s="139"/>
      <c r="DDA114" s="139"/>
      <c r="DDB114" s="139"/>
      <c r="DDC114" s="139"/>
      <c r="DDD114" s="139"/>
      <c r="DDE114" s="139"/>
      <c r="DDF114" s="139"/>
      <c r="DDG114" s="139"/>
      <c r="DDH114" s="139"/>
      <c r="DDI114" s="139"/>
      <c r="DDJ114" s="139"/>
      <c r="DDK114" s="139"/>
      <c r="DDL114" s="139"/>
      <c r="DDM114" s="139"/>
      <c r="DDN114" s="139"/>
      <c r="DDO114" s="139"/>
      <c r="DDP114" s="139"/>
      <c r="DDQ114" s="139"/>
      <c r="DDR114" s="139"/>
      <c r="DDS114" s="139"/>
      <c r="DDT114" s="139"/>
      <c r="DDU114" s="139"/>
      <c r="DDV114" s="139"/>
      <c r="DDW114" s="139"/>
      <c r="DDX114" s="139"/>
      <c r="DDY114" s="139"/>
      <c r="DDZ114" s="139"/>
      <c r="DEA114" s="139"/>
      <c r="DEB114" s="139"/>
      <c r="DEC114" s="139"/>
      <c r="DED114" s="139"/>
      <c r="DEE114" s="139"/>
      <c r="DEF114" s="139"/>
      <c r="DEG114" s="139"/>
      <c r="DEH114" s="139"/>
      <c r="DEI114" s="139"/>
      <c r="DEJ114" s="139"/>
      <c r="DEK114" s="139"/>
      <c r="DEL114" s="139"/>
      <c r="DEM114" s="139"/>
      <c r="DEN114" s="139"/>
      <c r="DEO114" s="139"/>
      <c r="DEP114" s="139"/>
      <c r="DEQ114" s="139"/>
      <c r="DER114" s="139"/>
      <c r="DES114" s="139"/>
      <c r="DET114" s="139"/>
      <c r="DEU114" s="139"/>
      <c r="DEV114" s="139"/>
      <c r="DEW114" s="139"/>
      <c r="DEX114" s="139"/>
      <c r="DEY114" s="139"/>
      <c r="DEZ114" s="139"/>
      <c r="DFA114" s="139"/>
      <c r="DFB114" s="139"/>
      <c r="DFC114" s="139"/>
      <c r="DFD114" s="139"/>
      <c r="DFE114" s="139"/>
      <c r="DFF114" s="139"/>
      <c r="DFG114" s="139"/>
      <c r="DFH114" s="139"/>
      <c r="DFI114" s="139"/>
      <c r="DFJ114" s="139"/>
      <c r="DFK114" s="139"/>
      <c r="DFL114" s="139"/>
      <c r="DFM114" s="139"/>
      <c r="DFN114" s="139"/>
      <c r="DFO114" s="139"/>
      <c r="DFP114" s="139"/>
      <c r="DFQ114" s="139"/>
      <c r="DFR114" s="139"/>
      <c r="DFS114" s="139"/>
      <c r="DFT114" s="139"/>
      <c r="DFU114" s="139"/>
      <c r="DFV114" s="139"/>
      <c r="DFW114" s="139"/>
      <c r="DFX114" s="139"/>
      <c r="DFY114" s="139"/>
      <c r="DFZ114" s="139"/>
      <c r="DGA114" s="139"/>
      <c r="DGB114" s="139"/>
      <c r="DGC114" s="139"/>
      <c r="DGD114" s="139"/>
      <c r="DGE114" s="139"/>
      <c r="DGF114" s="139"/>
      <c r="DGG114" s="139"/>
      <c r="DGH114" s="139"/>
      <c r="DGI114" s="139"/>
      <c r="DGJ114" s="139"/>
      <c r="DGK114" s="139"/>
      <c r="DGL114" s="139"/>
      <c r="DGM114" s="139"/>
      <c r="DGN114" s="139"/>
      <c r="DGO114" s="139"/>
      <c r="DGP114" s="139"/>
      <c r="DGQ114" s="139"/>
      <c r="DGR114" s="139"/>
      <c r="DGS114" s="139"/>
      <c r="DGT114" s="139"/>
      <c r="DGU114" s="139"/>
      <c r="DGV114" s="139"/>
      <c r="DGW114" s="139"/>
      <c r="DGX114" s="139"/>
      <c r="DGY114" s="139"/>
      <c r="DGZ114" s="139"/>
      <c r="DHA114" s="139"/>
      <c r="DHB114" s="139"/>
      <c r="DHC114" s="139"/>
      <c r="DHD114" s="139"/>
      <c r="DHE114" s="139"/>
      <c r="DHF114" s="139"/>
      <c r="DHG114" s="139"/>
      <c r="DHH114" s="139"/>
      <c r="DHI114" s="139"/>
      <c r="DHJ114" s="139"/>
      <c r="DHK114" s="139"/>
      <c r="DHL114" s="139"/>
      <c r="DHM114" s="139"/>
      <c r="DHN114" s="139"/>
      <c r="DHO114" s="139"/>
      <c r="DHP114" s="139"/>
      <c r="DHQ114" s="139"/>
      <c r="DHR114" s="139"/>
      <c r="DHS114" s="139"/>
      <c r="DHT114" s="139"/>
      <c r="DHU114" s="139"/>
      <c r="DHV114" s="139"/>
      <c r="DHW114" s="139"/>
      <c r="DHX114" s="139"/>
      <c r="DHY114" s="139"/>
      <c r="DHZ114" s="139"/>
      <c r="DIA114" s="139"/>
      <c r="DIB114" s="139"/>
      <c r="DIC114" s="139"/>
      <c r="DID114" s="139"/>
      <c r="DIE114" s="139"/>
      <c r="DIF114" s="139"/>
      <c r="DIG114" s="139"/>
      <c r="DIH114" s="139"/>
      <c r="DII114" s="139"/>
      <c r="DIJ114" s="139"/>
      <c r="DIK114" s="139"/>
      <c r="DIL114" s="139"/>
      <c r="DIM114" s="139"/>
      <c r="DIN114" s="139"/>
      <c r="DIO114" s="139"/>
      <c r="DIP114" s="139"/>
      <c r="DIQ114" s="139"/>
      <c r="DIR114" s="139"/>
      <c r="DIS114" s="139"/>
      <c r="DIT114" s="139"/>
      <c r="DIU114" s="139"/>
      <c r="DIV114" s="139"/>
      <c r="DIW114" s="139"/>
      <c r="DIX114" s="139"/>
      <c r="DIY114" s="139"/>
      <c r="DIZ114" s="139"/>
      <c r="DJA114" s="139"/>
      <c r="DJB114" s="139"/>
      <c r="DJC114" s="139"/>
      <c r="DJD114" s="139"/>
      <c r="DJE114" s="139"/>
      <c r="DJF114" s="139"/>
      <c r="DJG114" s="139"/>
      <c r="DJH114" s="139"/>
      <c r="DJI114" s="139"/>
      <c r="DJJ114" s="139"/>
      <c r="DJK114" s="139"/>
      <c r="DJL114" s="139"/>
      <c r="DJM114" s="139"/>
      <c r="DJN114" s="139"/>
      <c r="DJO114" s="139"/>
      <c r="DJP114" s="139"/>
      <c r="DJQ114" s="139"/>
      <c r="DJR114" s="139"/>
      <c r="DJS114" s="139"/>
      <c r="DJT114" s="139"/>
      <c r="DJU114" s="139"/>
      <c r="DJV114" s="139"/>
      <c r="DJW114" s="139"/>
      <c r="DJX114" s="139"/>
      <c r="DJY114" s="139"/>
      <c r="DJZ114" s="139"/>
      <c r="DKA114" s="139"/>
      <c r="DKB114" s="139"/>
      <c r="DKC114" s="139"/>
      <c r="DKD114" s="139"/>
      <c r="DKE114" s="139"/>
      <c r="DKF114" s="139"/>
      <c r="DKG114" s="139"/>
      <c r="DKH114" s="139"/>
      <c r="DKI114" s="139"/>
      <c r="DKJ114" s="139"/>
      <c r="DKK114" s="139"/>
      <c r="DKL114" s="139"/>
      <c r="DKM114" s="139"/>
      <c r="DKN114" s="139"/>
      <c r="DKO114" s="139"/>
      <c r="DKP114" s="139"/>
      <c r="DKQ114" s="139"/>
      <c r="DKR114" s="139"/>
      <c r="DKS114" s="139"/>
      <c r="DKT114" s="139"/>
      <c r="DKU114" s="139"/>
      <c r="DKV114" s="139"/>
      <c r="DKW114" s="139"/>
      <c r="DKX114" s="139"/>
      <c r="DKY114" s="139"/>
      <c r="DKZ114" s="139"/>
      <c r="DLA114" s="139"/>
      <c r="DLB114" s="139"/>
      <c r="DLC114" s="139"/>
      <c r="DLD114" s="139"/>
      <c r="DLE114" s="139"/>
      <c r="DLF114" s="139"/>
      <c r="DLG114" s="139"/>
      <c r="DLH114" s="139"/>
      <c r="DLI114" s="139"/>
      <c r="DLJ114" s="139"/>
      <c r="DLK114" s="139"/>
      <c r="DLL114" s="139"/>
      <c r="DLM114" s="139"/>
      <c r="DLN114" s="139"/>
      <c r="DLO114" s="139"/>
      <c r="DLP114" s="139"/>
      <c r="DLQ114" s="139"/>
      <c r="DLR114" s="139"/>
      <c r="DLS114" s="139"/>
      <c r="DLT114" s="139"/>
      <c r="DLU114" s="139"/>
      <c r="DLV114" s="139"/>
      <c r="DLW114" s="139"/>
      <c r="DLX114" s="139"/>
      <c r="DLY114" s="139"/>
      <c r="DLZ114" s="139"/>
      <c r="DMA114" s="139"/>
      <c r="DMB114" s="139"/>
      <c r="DMC114" s="139"/>
      <c r="DMD114" s="139"/>
      <c r="DME114" s="139"/>
      <c r="DMF114" s="139"/>
      <c r="DMG114" s="139"/>
      <c r="DMH114" s="139"/>
      <c r="DMI114" s="139"/>
      <c r="DMJ114" s="139"/>
      <c r="DMK114" s="139"/>
      <c r="DML114" s="139"/>
      <c r="DMM114" s="139"/>
      <c r="DMN114" s="139"/>
      <c r="DMO114" s="139"/>
      <c r="DMP114" s="139"/>
      <c r="DMQ114" s="139"/>
      <c r="DMR114" s="139"/>
      <c r="DMS114" s="139"/>
      <c r="DMT114" s="139"/>
      <c r="DMU114" s="139"/>
      <c r="DMV114" s="139"/>
      <c r="DMW114" s="139"/>
      <c r="DMX114" s="139"/>
      <c r="DMY114" s="139"/>
      <c r="DMZ114" s="139"/>
      <c r="DNA114" s="139"/>
      <c r="DNB114" s="139"/>
      <c r="DNC114" s="139"/>
      <c r="DND114" s="139"/>
      <c r="DNE114" s="139"/>
      <c r="DNF114" s="139"/>
      <c r="DNG114" s="139"/>
      <c r="DNH114" s="139"/>
      <c r="DNI114" s="139"/>
      <c r="DNJ114" s="139"/>
      <c r="DNK114" s="139"/>
      <c r="DNL114" s="139"/>
      <c r="DNM114" s="139"/>
      <c r="DNN114" s="139"/>
      <c r="DNO114" s="139"/>
      <c r="DNP114" s="139"/>
      <c r="DNQ114" s="139"/>
      <c r="DNR114" s="139"/>
      <c r="DNS114" s="139"/>
      <c r="DNT114" s="139"/>
      <c r="DNU114" s="139"/>
      <c r="DNV114" s="139"/>
      <c r="DNW114" s="139"/>
      <c r="DNX114" s="139"/>
      <c r="DNY114" s="139"/>
      <c r="DNZ114" s="139"/>
      <c r="DOA114" s="139"/>
      <c r="DOB114" s="139"/>
      <c r="DOC114" s="139"/>
      <c r="DOD114" s="139"/>
      <c r="DOE114" s="139"/>
      <c r="DOF114" s="139"/>
      <c r="DOG114" s="139"/>
      <c r="DOH114" s="139"/>
      <c r="DOI114" s="139"/>
      <c r="DOJ114" s="139"/>
      <c r="DOK114" s="139"/>
      <c r="DOL114" s="139"/>
      <c r="DOM114" s="139"/>
      <c r="DON114" s="139"/>
      <c r="DOO114" s="139"/>
      <c r="DOP114" s="139"/>
      <c r="DOQ114" s="139"/>
      <c r="DOR114" s="139"/>
      <c r="DOS114" s="139"/>
      <c r="DOT114" s="139"/>
      <c r="DOU114" s="139"/>
      <c r="DOV114" s="139"/>
      <c r="DOW114" s="139"/>
      <c r="DOX114" s="139"/>
      <c r="DOY114" s="139"/>
      <c r="DOZ114" s="139"/>
      <c r="DPA114" s="139"/>
      <c r="DPB114" s="139"/>
      <c r="DPC114" s="139"/>
      <c r="DPD114" s="139"/>
      <c r="DPE114" s="139"/>
      <c r="DPF114" s="139"/>
      <c r="DPG114" s="139"/>
      <c r="DPH114" s="139"/>
      <c r="DPI114" s="139"/>
      <c r="DPJ114" s="139"/>
      <c r="DPK114" s="139"/>
      <c r="DPL114" s="139"/>
      <c r="DPM114" s="139"/>
      <c r="DPN114" s="139"/>
      <c r="DPO114" s="139"/>
      <c r="DPP114" s="139"/>
      <c r="DPQ114" s="139"/>
      <c r="DPR114" s="139"/>
      <c r="DPS114" s="139"/>
      <c r="DPT114" s="139"/>
      <c r="DPU114" s="139"/>
      <c r="DPV114" s="139"/>
      <c r="DPW114" s="139"/>
      <c r="DPX114" s="139"/>
      <c r="DPY114" s="139"/>
      <c r="DPZ114" s="139"/>
      <c r="DQA114" s="139"/>
      <c r="DQB114" s="139"/>
      <c r="DQC114" s="139"/>
      <c r="DQD114" s="139"/>
      <c r="DQE114" s="139"/>
      <c r="DQF114" s="139"/>
      <c r="DQG114" s="139"/>
      <c r="DQH114" s="139"/>
      <c r="DQI114" s="139"/>
      <c r="DQJ114" s="139"/>
      <c r="DQK114" s="139"/>
      <c r="DQL114" s="139"/>
      <c r="DQM114" s="139"/>
      <c r="DQN114" s="139"/>
      <c r="DQO114" s="139"/>
      <c r="DQP114" s="139"/>
      <c r="DQQ114" s="139"/>
      <c r="DQR114" s="139"/>
      <c r="DQS114" s="139"/>
      <c r="DQT114" s="139"/>
      <c r="DQU114" s="139"/>
      <c r="DQV114" s="139"/>
      <c r="DQW114" s="139"/>
      <c r="DQX114" s="139"/>
      <c r="DQY114" s="139"/>
      <c r="DQZ114" s="139"/>
      <c r="DRA114" s="139"/>
      <c r="DRB114" s="139"/>
      <c r="DRC114" s="139"/>
      <c r="DRD114" s="139"/>
      <c r="DRE114" s="139"/>
      <c r="DRF114" s="139"/>
      <c r="DRG114" s="139"/>
      <c r="DRH114" s="139"/>
      <c r="DRI114" s="139"/>
      <c r="DRJ114" s="139"/>
      <c r="DRK114" s="139"/>
      <c r="DRL114" s="139"/>
      <c r="DRM114" s="139"/>
      <c r="DRN114" s="139"/>
      <c r="DRO114" s="139"/>
      <c r="DRP114" s="139"/>
      <c r="DRQ114" s="139"/>
      <c r="DRR114" s="139"/>
      <c r="DRS114" s="139"/>
      <c r="DRT114" s="139"/>
      <c r="DRU114" s="139"/>
      <c r="DRV114" s="139"/>
      <c r="DRW114" s="139"/>
      <c r="DRX114" s="139"/>
      <c r="DRY114" s="139"/>
      <c r="DRZ114" s="139"/>
      <c r="DSA114" s="139"/>
      <c r="DSB114" s="139"/>
      <c r="DSC114" s="139"/>
      <c r="DSD114" s="139"/>
      <c r="DSE114" s="139"/>
      <c r="DSF114" s="139"/>
      <c r="DSG114" s="139"/>
      <c r="DSH114" s="139"/>
      <c r="DSI114" s="139"/>
      <c r="DSJ114" s="139"/>
      <c r="DSK114" s="139"/>
      <c r="DSL114" s="139"/>
      <c r="DSM114" s="139"/>
      <c r="DSN114" s="139"/>
      <c r="DSO114" s="139"/>
      <c r="DSP114" s="139"/>
      <c r="DSQ114" s="139"/>
      <c r="DSR114" s="139"/>
      <c r="DSS114" s="139"/>
      <c r="DST114" s="139"/>
      <c r="DSU114" s="139"/>
      <c r="DSV114" s="139"/>
      <c r="DSW114" s="139"/>
      <c r="DSX114" s="139"/>
      <c r="DSY114" s="139"/>
      <c r="DSZ114" s="139"/>
      <c r="DTA114" s="139"/>
      <c r="DTB114" s="139"/>
      <c r="DTC114" s="139"/>
      <c r="DTD114" s="139"/>
      <c r="DTE114" s="139"/>
      <c r="DTF114" s="139"/>
      <c r="DTG114" s="139"/>
      <c r="DTH114" s="139"/>
      <c r="DTI114" s="139"/>
      <c r="DTJ114" s="139"/>
      <c r="DTK114" s="139"/>
      <c r="DTL114" s="139"/>
      <c r="DTM114" s="139"/>
      <c r="DTN114" s="139"/>
      <c r="DTO114" s="139"/>
      <c r="DTP114" s="139"/>
      <c r="DTQ114" s="139"/>
      <c r="DTR114" s="139"/>
      <c r="DTS114" s="139"/>
      <c r="DTT114" s="139"/>
      <c r="DTU114" s="139"/>
      <c r="DTV114" s="139"/>
      <c r="DTW114" s="139"/>
      <c r="DTX114" s="139"/>
      <c r="DTY114" s="139"/>
      <c r="DTZ114" s="139"/>
      <c r="DUA114" s="139"/>
      <c r="DUB114" s="139"/>
      <c r="DUC114" s="139"/>
      <c r="DUD114" s="139"/>
      <c r="DUE114" s="139"/>
      <c r="DUF114" s="139"/>
      <c r="DUG114" s="139"/>
      <c r="DUH114" s="139"/>
      <c r="DUI114" s="139"/>
      <c r="DUJ114" s="139"/>
      <c r="DUK114" s="139"/>
      <c r="DUL114" s="139"/>
      <c r="DUM114" s="139"/>
      <c r="DUN114" s="139"/>
      <c r="DUO114" s="139"/>
      <c r="DUP114" s="139"/>
      <c r="DUQ114" s="139"/>
      <c r="DUR114" s="139"/>
      <c r="DUS114" s="139"/>
      <c r="DUT114" s="139"/>
      <c r="DUU114" s="139"/>
      <c r="DUV114" s="139"/>
      <c r="DUW114" s="139"/>
      <c r="DUX114" s="139"/>
      <c r="DUY114" s="139"/>
      <c r="DUZ114" s="139"/>
      <c r="DVA114" s="139"/>
      <c r="DVB114" s="139"/>
      <c r="DVC114" s="139"/>
      <c r="DVD114" s="139"/>
      <c r="DVE114" s="139"/>
      <c r="DVF114" s="139"/>
      <c r="DVG114" s="139"/>
      <c r="DVH114" s="139"/>
      <c r="DVI114" s="139"/>
      <c r="DVJ114" s="139"/>
      <c r="DVK114" s="139"/>
      <c r="DVL114" s="139"/>
      <c r="DVM114" s="139"/>
      <c r="DVN114" s="139"/>
      <c r="DVO114" s="139"/>
      <c r="DVP114" s="139"/>
      <c r="DVQ114" s="139"/>
      <c r="DVR114" s="139"/>
      <c r="DVS114" s="139"/>
      <c r="DVT114" s="139"/>
      <c r="DVU114" s="139"/>
      <c r="DVV114" s="139"/>
      <c r="DVW114" s="139"/>
      <c r="DVX114" s="139"/>
      <c r="DVY114" s="139"/>
      <c r="DVZ114" s="139"/>
      <c r="DWA114" s="139"/>
      <c r="DWB114" s="139"/>
      <c r="DWC114" s="139"/>
      <c r="DWD114" s="139"/>
      <c r="DWE114" s="139"/>
      <c r="DWF114" s="139"/>
      <c r="DWG114" s="139"/>
      <c r="DWH114" s="139"/>
      <c r="DWI114" s="139"/>
      <c r="DWJ114" s="139"/>
      <c r="DWK114" s="139"/>
      <c r="DWL114" s="139"/>
      <c r="DWM114" s="139"/>
      <c r="DWN114" s="139"/>
      <c r="DWO114" s="139"/>
      <c r="DWP114" s="139"/>
      <c r="DWQ114" s="139"/>
      <c r="DWR114" s="139"/>
      <c r="DWS114" s="139"/>
      <c r="DWT114" s="139"/>
      <c r="DWU114" s="139"/>
      <c r="DWV114" s="139"/>
      <c r="DWW114" s="139"/>
      <c r="DWX114" s="139"/>
      <c r="DWY114" s="139"/>
      <c r="DWZ114" s="139"/>
      <c r="DXA114" s="139"/>
      <c r="DXB114" s="139"/>
      <c r="DXC114" s="139"/>
      <c r="DXD114" s="139"/>
      <c r="DXE114" s="139"/>
      <c r="DXF114" s="139"/>
      <c r="DXG114" s="139"/>
      <c r="DXH114" s="139"/>
      <c r="DXI114" s="139"/>
      <c r="DXJ114" s="139"/>
      <c r="DXK114" s="139"/>
      <c r="DXL114" s="139"/>
      <c r="DXM114" s="139"/>
      <c r="DXN114" s="139"/>
      <c r="DXO114" s="139"/>
      <c r="DXP114" s="139"/>
      <c r="DXQ114" s="139"/>
      <c r="DXR114" s="139"/>
      <c r="DXS114" s="139"/>
      <c r="DXT114" s="139"/>
      <c r="DXU114" s="139"/>
      <c r="DXV114" s="139"/>
      <c r="DXW114" s="139"/>
      <c r="DXX114" s="139"/>
      <c r="DXY114" s="139"/>
      <c r="DXZ114" s="139"/>
      <c r="DYA114" s="139"/>
      <c r="DYB114" s="139"/>
      <c r="DYC114" s="139"/>
      <c r="DYD114" s="139"/>
      <c r="DYE114" s="139"/>
      <c r="DYF114" s="139"/>
      <c r="DYG114" s="139"/>
      <c r="DYH114" s="139"/>
      <c r="DYI114" s="139"/>
      <c r="DYJ114" s="139"/>
      <c r="DYK114" s="139"/>
      <c r="DYL114" s="139"/>
      <c r="DYM114" s="139"/>
      <c r="DYN114" s="139"/>
      <c r="DYO114" s="139"/>
      <c r="DYP114" s="139"/>
      <c r="DYQ114" s="139"/>
      <c r="DYR114" s="139"/>
      <c r="DYS114" s="139"/>
      <c r="DYT114" s="139"/>
      <c r="DYU114" s="139"/>
      <c r="DYV114" s="139"/>
      <c r="DYW114" s="139"/>
      <c r="DYX114" s="139"/>
      <c r="DYY114" s="139"/>
      <c r="DYZ114" s="139"/>
      <c r="DZA114" s="139"/>
      <c r="DZB114" s="139"/>
      <c r="DZC114" s="139"/>
      <c r="DZD114" s="139"/>
      <c r="DZE114" s="139"/>
      <c r="DZF114" s="139"/>
      <c r="DZG114" s="139"/>
      <c r="DZH114" s="139"/>
      <c r="DZI114" s="139"/>
      <c r="DZJ114" s="139"/>
      <c r="DZK114" s="139"/>
      <c r="DZL114" s="139"/>
      <c r="DZM114" s="139"/>
      <c r="DZN114" s="139"/>
      <c r="DZO114" s="139"/>
      <c r="DZP114" s="139"/>
      <c r="DZQ114" s="139"/>
      <c r="DZR114" s="139"/>
      <c r="DZS114" s="139"/>
      <c r="DZT114" s="139"/>
      <c r="DZU114" s="139"/>
      <c r="DZV114" s="139"/>
      <c r="DZW114" s="139"/>
      <c r="DZX114" s="139"/>
      <c r="DZY114" s="139"/>
      <c r="DZZ114" s="139"/>
      <c r="EAA114" s="139"/>
      <c r="EAB114" s="139"/>
      <c r="EAC114" s="139"/>
      <c r="EAD114" s="139"/>
      <c r="EAE114" s="139"/>
      <c r="EAF114" s="139"/>
      <c r="EAG114" s="139"/>
      <c r="EAH114" s="139"/>
      <c r="EAI114" s="139"/>
      <c r="EAJ114" s="139"/>
      <c r="EAK114" s="139"/>
      <c r="EAL114" s="139"/>
      <c r="EAM114" s="139"/>
      <c r="EAN114" s="139"/>
      <c r="EAO114" s="139"/>
      <c r="EAP114" s="139"/>
      <c r="EAQ114" s="139"/>
      <c r="EAR114" s="139"/>
      <c r="EAS114" s="139"/>
      <c r="EAT114" s="139"/>
      <c r="EAU114" s="139"/>
      <c r="EAV114" s="139"/>
      <c r="EAW114" s="139"/>
      <c r="EAX114" s="139"/>
      <c r="EAY114" s="139"/>
      <c r="EAZ114" s="139"/>
      <c r="EBA114" s="139"/>
      <c r="EBB114" s="139"/>
      <c r="EBC114" s="139"/>
      <c r="EBD114" s="139"/>
      <c r="EBE114" s="139"/>
      <c r="EBF114" s="139"/>
      <c r="EBG114" s="139"/>
      <c r="EBH114" s="139"/>
      <c r="EBI114" s="139"/>
      <c r="EBJ114" s="139"/>
      <c r="EBK114" s="139"/>
      <c r="EBL114" s="139"/>
      <c r="EBM114" s="139"/>
      <c r="EBN114" s="139"/>
      <c r="EBO114" s="139"/>
      <c r="EBP114" s="139"/>
      <c r="EBQ114" s="139"/>
      <c r="EBR114" s="139"/>
      <c r="EBS114" s="139"/>
      <c r="EBT114" s="139"/>
      <c r="EBU114" s="139"/>
      <c r="EBV114" s="139"/>
      <c r="EBW114" s="139"/>
      <c r="EBX114" s="139"/>
      <c r="EBY114" s="139"/>
      <c r="EBZ114" s="139"/>
      <c r="ECA114" s="139"/>
      <c r="ECB114" s="139"/>
      <c r="ECC114" s="139"/>
      <c r="ECD114" s="139"/>
      <c r="ECE114" s="139"/>
      <c r="ECF114" s="139"/>
      <c r="ECG114" s="139"/>
      <c r="ECH114" s="139"/>
      <c r="ECI114" s="139"/>
      <c r="ECJ114" s="139"/>
      <c r="ECK114" s="139"/>
      <c r="ECL114" s="139"/>
      <c r="ECM114" s="139"/>
      <c r="ECN114" s="139"/>
      <c r="ECO114" s="139"/>
      <c r="ECP114" s="139"/>
      <c r="ECQ114" s="139"/>
      <c r="ECR114" s="139"/>
      <c r="ECS114" s="139"/>
      <c r="ECT114" s="139"/>
      <c r="ECU114" s="139"/>
      <c r="ECV114" s="139"/>
      <c r="ECW114" s="139"/>
      <c r="ECX114" s="139"/>
      <c r="ECY114" s="139"/>
      <c r="ECZ114" s="139"/>
      <c r="EDA114" s="139"/>
      <c r="EDB114" s="139"/>
      <c r="EDC114" s="139"/>
      <c r="EDD114" s="139"/>
      <c r="EDE114" s="139"/>
      <c r="EDF114" s="139"/>
      <c r="EDG114" s="139"/>
      <c r="EDH114" s="139"/>
      <c r="EDI114" s="139"/>
      <c r="EDJ114" s="139"/>
      <c r="EDK114" s="139"/>
      <c r="EDL114" s="139"/>
      <c r="EDM114" s="139"/>
      <c r="EDN114" s="139"/>
      <c r="EDO114" s="139"/>
      <c r="EDP114" s="139"/>
      <c r="EDQ114" s="139"/>
      <c r="EDR114" s="139"/>
      <c r="EDS114" s="139"/>
      <c r="EDT114" s="139"/>
      <c r="EDU114" s="139"/>
      <c r="EDV114" s="139"/>
      <c r="EDW114" s="139"/>
      <c r="EDX114" s="139"/>
      <c r="EDY114" s="139"/>
      <c r="EDZ114" s="139"/>
      <c r="EEA114" s="139"/>
      <c r="EEB114" s="139"/>
      <c r="EEC114" s="139"/>
      <c r="EED114" s="139"/>
      <c r="EEE114" s="139"/>
      <c r="EEF114" s="139"/>
      <c r="EEG114" s="139"/>
      <c r="EEH114" s="139"/>
      <c r="EEI114" s="139"/>
      <c r="EEJ114" s="139"/>
      <c r="EEK114" s="139"/>
      <c r="EEL114" s="139"/>
      <c r="EEM114" s="139"/>
      <c r="EEN114" s="139"/>
      <c r="EEO114" s="139"/>
      <c r="EEP114" s="139"/>
      <c r="EEQ114" s="139"/>
      <c r="EER114" s="139"/>
      <c r="EES114" s="139"/>
      <c r="EET114" s="139"/>
      <c r="EEU114" s="139"/>
      <c r="EEV114" s="139"/>
      <c r="EEW114" s="139"/>
      <c r="EEX114" s="139"/>
      <c r="EEY114" s="139"/>
      <c r="EEZ114" s="139"/>
      <c r="EFA114" s="139"/>
      <c r="EFB114" s="139"/>
      <c r="EFC114" s="139"/>
      <c r="EFD114" s="139"/>
      <c r="EFE114" s="139"/>
      <c r="EFF114" s="139"/>
      <c r="EFG114" s="139"/>
      <c r="EFH114" s="139"/>
      <c r="EFI114" s="139"/>
      <c r="EFJ114" s="139"/>
      <c r="EFK114" s="139"/>
      <c r="EFL114" s="139"/>
      <c r="EFM114" s="139"/>
      <c r="EFN114" s="139"/>
      <c r="EFO114" s="139"/>
      <c r="EFP114" s="139"/>
      <c r="EFQ114" s="139"/>
      <c r="EFR114" s="139"/>
      <c r="EFS114" s="139"/>
      <c r="EFT114" s="139"/>
      <c r="EFU114" s="139"/>
      <c r="EFV114" s="139"/>
      <c r="EFW114" s="139"/>
      <c r="EFX114" s="139"/>
      <c r="EFY114" s="139"/>
      <c r="EFZ114" s="139"/>
      <c r="EGA114" s="139"/>
      <c r="EGB114" s="139"/>
      <c r="EGC114" s="139"/>
      <c r="EGD114" s="139"/>
      <c r="EGE114" s="139"/>
      <c r="EGF114" s="139"/>
      <c r="EGG114" s="139"/>
      <c r="EGH114" s="139"/>
      <c r="EGI114" s="139"/>
      <c r="EGJ114" s="139"/>
      <c r="EGK114" s="139"/>
      <c r="EGL114" s="139"/>
      <c r="EGM114" s="139"/>
      <c r="EGN114" s="139"/>
      <c r="EGO114" s="139"/>
      <c r="EGP114" s="139"/>
      <c r="EGQ114" s="139"/>
      <c r="EGR114" s="139"/>
      <c r="EGS114" s="139"/>
      <c r="EGT114" s="139"/>
      <c r="EGU114" s="139"/>
      <c r="EGV114" s="139"/>
      <c r="EGW114" s="139"/>
      <c r="EGX114" s="139"/>
      <c r="EGY114" s="139"/>
      <c r="EGZ114" s="139"/>
      <c r="EHA114" s="139"/>
      <c r="EHB114" s="139"/>
      <c r="EHC114" s="139"/>
      <c r="EHD114" s="139"/>
      <c r="EHE114" s="139"/>
      <c r="EHF114" s="139"/>
      <c r="EHG114" s="139"/>
      <c r="EHH114" s="139"/>
      <c r="EHI114" s="139"/>
      <c r="EHJ114" s="139"/>
      <c r="EHK114" s="139"/>
      <c r="EHL114" s="139"/>
      <c r="EHM114" s="139"/>
      <c r="EHN114" s="139"/>
      <c r="EHO114" s="139"/>
      <c r="EHP114" s="139"/>
      <c r="EHQ114" s="139"/>
      <c r="EHR114" s="139"/>
      <c r="EHS114" s="139"/>
      <c r="EHT114" s="139"/>
      <c r="EHU114" s="139"/>
      <c r="EHV114" s="139"/>
      <c r="EHW114" s="139"/>
      <c r="EHX114" s="139"/>
      <c r="EHY114" s="139"/>
      <c r="EHZ114" s="139"/>
      <c r="EIA114" s="139"/>
      <c r="EIB114" s="139"/>
      <c r="EIC114" s="139"/>
      <c r="EID114" s="139"/>
      <c r="EIE114" s="139"/>
      <c r="EIF114" s="139"/>
      <c r="EIG114" s="139"/>
      <c r="EIH114" s="139"/>
      <c r="EII114" s="139"/>
      <c r="EIJ114" s="139"/>
      <c r="EIK114" s="139"/>
      <c r="EIL114" s="139"/>
      <c r="EIM114" s="139"/>
      <c r="EIN114" s="139"/>
      <c r="EIO114" s="139"/>
      <c r="EIP114" s="139"/>
      <c r="EIQ114" s="139"/>
      <c r="EIR114" s="139"/>
      <c r="EIS114" s="139"/>
      <c r="EIT114" s="139"/>
      <c r="EIU114" s="139"/>
      <c r="EIV114" s="139"/>
      <c r="EIW114" s="139"/>
      <c r="EIX114" s="139"/>
      <c r="EIY114" s="139"/>
      <c r="EIZ114" s="139"/>
      <c r="EJA114" s="139"/>
      <c r="EJB114" s="139"/>
      <c r="EJC114" s="139"/>
      <c r="EJD114" s="139"/>
      <c r="EJE114" s="139"/>
      <c r="EJF114" s="139"/>
      <c r="EJG114" s="139"/>
      <c r="EJH114" s="139"/>
      <c r="EJI114" s="139"/>
      <c r="EJJ114" s="139"/>
      <c r="EJK114" s="139"/>
      <c r="EJL114" s="139"/>
      <c r="EJM114" s="139"/>
      <c r="EJN114" s="139"/>
      <c r="EJO114" s="139"/>
      <c r="EJP114" s="139"/>
      <c r="EJQ114" s="139"/>
      <c r="EJR114" s="139"/>
      <c r="EJS114" s="139"/>
      <c r="EJT114" s="139"/>
      <c r="EJU114" s="139"/>
      <c r="EJV114" s="139"/>
      <c r="EJW114" s="139"/>
      <c r="EJX114" s="139"/>
      <c r="EJY114" s="139"/>
      <c r="EJZ114" s="139"/>
      <c r="EKA114" s="139"/>
      <c r="EKB114" s="139"/>
      <c r="EKC114" s="139"/>
      <c r="EKD114" s="139"/>
      <c r="EKE114" s="139"/>
      <c r="EKF114" s="139"/>
      <c r="EKG114" s="139"/>
      <c r="EKH114" s="139"/>
      <c r="EKI114" s="139"/>
      <c r="EKJ114" s="139"/>
      <c r="EKK114" s="139"/>
      <c r="EKL114" s="139"/>
      <c r="EKM114" s="139"/>
      <c r="EKN114" s="139"/>
      <c r="EKO114" s="139"/>
      <c r="EKP114" s="139"/>
      <c r="EKQ114" s="139"/>
      <c r="EKR114" s="139"/>
      <c r="EKS114" s="139"/>
      <c r="EKT114" s="139"/>
      <c r="EKU114" s="139"/>
      <c r="EKV114" s="139"/>
      <c r="EKW114" s="139"/>
      <c r="EKX114" s="139"/>
      <c r="EKY114" s="139"/>
      <c r="EKZ114" s="139"/>
      <c r="ELA114" s="139"/>
      <c r="ELB114" s="139"/>
      <c r="ELC114" s="139"/>
      <c r="ELD114" s="139"/>
      <c r="ELE114" s="139"/>
      <c r="ELF114" s="139"/>
      <c r="ELG114" s="139"/>
      <c r="ELH114" s="139"/>
      <c r="ELI114" s="139"/>
      <c r="ELJ114" s="139"/>
      <c r="ELK114" s="139"/>
      <c r="ELL114" s="139"/>
      <c r="ELM114" s="139"/>
      <c r="ELN114" s="139"/>
      <c r="ELO114" s="139"/>
      <c r="ELP114" s="139"/>
      <c r="ELQ114" s="139"/>
      <c r="ELR114" s="139"/>
      <c r="ELS114" s="139"/>
      <c r="ELT114" s="139"/>
      <c r="ELU114" s="139"/>
      <c r="ELV114" s="139"/>
      <c r="ELW114" s="139"/>
      <c r="ELX114" s="139"/>
      <c r="ELY114" s="139"/>
      <c r="ELZ114" s="139"/>
      <c r="EMA114" s="139"/>
      <c r="EMB114" s="139"/>
      <c r="EMC114" s="139"/>
      <c r="EMD114" s="139"/>
      <c r="EME114" s="139"/>
      <c r="EMF114" s="139"/>
      <c r="EMG114" s="139"/>
      <c r="EMH114" s="139"/>
      <c r="EMI114" s="139"/>
      <c r="EMJ114" s="139"/>
      <c r="EMK114" s="139"/>
      <c r="EML114" s="139"/>
      <c r="EMM114" s="139"/>
      <c r="EMN114" s="139"/>
      <c r="EMO114" s="139"/>
      <c r="EMP114" s="139"/>
      <c r="EMQ114" s="139"/>
      <c r="EMR114" s="139"/>
      <c r="EMS114" s="139"/>
      <c r="EMT114" s="139"/>
      <c r="EMU114" s="139"/>
      <c r="EMV114" s="139"/>
      <c r="EMW114" s="139"/>
      <c r="EMX114" s="139"/>
      <c r="EMY114" s="139"/>
      <c r="EMZ114" s="139"/>
      <c r="ENA114" s="139"/>
      <c r="ENB114" s="139"/>
      <c r="ENC114" s="139"/>
      <c r="END114" s="139"/>
      <c r="ENE114" s="139"/>
      <c r="ENF114" s="139"/>
      <c r="ENG114" s="139"/>
      <c r="ENH114" s="139"/>
      <c r="ENI114" s="139"/>
      <c r="ENJ114" s="139"/>
      <c r="ENK114" s="139"/>
      <c r="ENL114" s="139"/>
      <c r="ENM114" s="139"/>
      <c r="ENN114" s="139"/>
      <c r="ENO114" s="139"/>
      <c r="ENP114" s="139"/>
      <c r="ENQ114" s="139"/>
      <c r="ENR114" s="139"/>
      <c r="ENS114" s="139"/>
      <c r="ENT114" s="139"/>
      <c r="ENU114" s="139"/>
      <c r="ENV114" s="139"/>
      <c r="ENW114" s="139"/>
      <c r="ENX114" s="139"/>
      <c r="ENY114" s="139"/>
      <c r="ENZ114" s="139"/>
      <c r="EOA114" s="139"/>
      <c r="EOB114" s="139"/>
      <c r="EOC114" s="139"/>
      <c r="EOD114" s="139"/>
      <c r="EOE114" s="139"/>
      <c r="EOF114" s="139"/>
      <c r="EOG114" s="139"/>
      <c r="EOH114" s="139"/>
      <c r="EOI114" s="139"/>
      <c r="EOJ114" s="139"/>
      <c r="EOK114" s="139"/>
      <c r="EOL114" s="139"/>
      <c r="EOM114" s="139"/>
      <c r="EON114" s="139"/>
      <c r="EOO114" s="139"/>
      <c r="EOP114" s="139"/>
      <c r="EOQ114" s="139"/>
      <c r="EOR114" s="139"/>
      <c r="EOS114" s="139"/>
      <c r="EOT114" s="139"/>
      <c r="EOU114" s="139"/>
      <c r="EOV114" s="139"/>
      <c r="EOW114" s="139"/>
      <c r="EOX114" s="139"/>
      <c r="EOY114" s="139"/>
      <c r="EOZ114" s="139"/>
      <c r="EPA114" s="139"/>
      <c r="EPB114" s="139"/>
      <c r="EPC114" s="139"/>
      <c r="EPD114" s="139"/>
      <c r="EPE114" s="139"/>
      <c r="EPF114" s="139"/>
      <c r="EPG114" s="139"/>
      <c r="EPH114" s="139"/>
      <c r="EPI114" s="139"/>
      <c r="EPJ114" s="139"/>
      <c r="EPK114" s="139"/>
      <c r="EPL114" s="139"/>
      <c r="EPM114" s="139"/>
      <c r="EPN114" s="139"/>
      <c r="EPO114" s="139"/>
      <c r="EPP114" s="139"/>
      <c r="EPQ114" s="139"/>
      <c r="EPR114" s="139"/>
      <c r="EPS114" s="139"/>
      <c r="EPT114" s="139"/>
      <c r="EPU114" s="139"/>
      <c r="EPV114" s="139"/>
      <c r="EPW114" s="139"/>
      <c r="EPX114" s="139"/>
      <c r="EPY114" s="139"/>
      <c r="EPZ114" s="139"/>
      <c r="EQA114" s="139"/>
      <c r="EQB114" s="139"/>
      <c r="EQC114" s="139"/>
      <c r="EQD114" s="139"/>
      <c r="EQE114" s="139"/>
      <c r="EQF114" s="139"/>
      <c r="EQG114" s="139"/>
      <c r="EQH114" s="139"/>
      <c r="EQI114" s="139"/>
      <c r="EQJ114" s="139"/>
      <c r="EQK114" s="139"/>
      <c r="EQL114" s="139"/>
      <c r="EQM114" s="139"/>
      <c r="EQN114" s="139"/>
      <c r="EQO114" s="139"/>
      <c r="EQP114" s="139"/>
      <c r="EQQ114" s="139"/>
      <c r="EQR114" s="139"/>
      <c r="EQS114" s="139"/>
      <c r="EQT114" s="139"/>
      <c r="EQU114" s="139"/>
      <c r="EQV114" s="139"/>
      <c r="EQW114" s="139"/>
      <c r="EQX114" s="139"/>
      <c r="EQY114" s="139"/>
      <c r="EQZ114" s="139"/>
      <c r="ERA114" s="139"/>
      <c r="ERB114" s="139"/>
      <c r="ERC114" s="139"/>
      <c r="ERD114" s="139"/>
      <c r="ERE114" s="139"/>
      <c r="ERF114" s="139"/>
      <c r="ERG114" s="139"/>
      <c r="ERH114" s="139"/>
      <c r="ERI114" s="139"/>
      <c r="ERJ114" s="139"/>
      <c r="ERK114" s="139"/>
      <c r="ERL114" s="139"/>
      <c r="ERM114" s="139"/>
      <c r="ERN114" s="139"/>
      <c r="ERO114" s="139"/>
      <c r="ERP114" s="139"/>
      <c r="ERQ114" s="139"/>
      <c r="ERR114" s="139"/>
      <c r="ERS114" s="139"/>
      <c r="ERT114" s="139"/>
      <c r="ERU114" s="139"/>
      <c r="ERV114" s="139"/>
      <c r="ERW114" s="139"/>
      <c r="ERX114" s="139"/>
      <c r="ERY114" s="139"/>
      <c r="ERZ114" s="139"/>
      <c r="ESA114" s="139"/>
      <c r="ESB114" s="139"/>
      <c r="ESC114" s="139"/>
      <c r="ESD114" s="139"/>
      <c r="ESE114" s="139"/>
      <c r="ESF114" s="139"/>
      <c r="ESG114" s="139"/>
      <c r="ESH114" s="139"/>
      <c r="ESI114" s="139"/>
      <c r="ESJ114" s="139"/>
      <c r="ESK114" s="139"/>
      <c r="ESL114" s="139"/>
      <c r="ESM114" s="139"/>
      <c r="ESN114" s="139"/>
      <c r="ESO114" s="139"/>
      <c r="ESP114" s="139"/>
      <c r="ESQ114" s="139"/>
      <c r="ESR114" s="139"/>
      <c r="ESS114" s="139"/>
      <c r="EST114" s="139"/>
      <c r="ESU114" s="139"/>
      <c r="ESV114" s="139"/>
      <c r="ESW114" s="139"/>
      <c r="ESX114" s="139"/>
      <c r="ESY114" s="139"/>
      <c r="ESZ114" s="139"/>
      <c r="ETA114" s="139"/>
      <c r="ETB114" s="139"/>
      <c r="ETC114" s="139"/>
      <c r="ETD114" s="139"/>
      <c r="ETE114" s="139"/>
      <c r="ETF114" s="139"/>
      <c r="ETG114" s="139"/>
      <c r="ETH114" s="139"/>
      <c r="ETI114" s="139"/>
      <c r="ETJ114" s="139"/>
      <c r="ETK114" s="139"/>
      <c r="ETL114" s="139"/>
      <c r="ETM114" s="139"/>
      <c r="ETN114" s="139"/>
      <c r="ETO114" s="139"/>
      <c r="ETP114" s="139"/>
      <c r="ETQ114" s="139"/>
      <c r="ETR114" s="139"/>
      <c r="ETS114" s="139"/>
      <c r="ETT114" s="139"/>
      <c r="ETU114" s="139"/>
      <c r="ETV114" s="139"/>
      <c r="ETW114" s="139"/>
      <c r="ETX114" s="139"/>
      <c r="ETY114" s="139"/>
      <c r="ETZ114" s="139"/>
      <c r="EUA114" s="139"/>
      <c r="EUB114" s="139"/>
      <c r="EUC114" s="139"/>
      <c r="EUD114" s="139"/>
      <c r="EUE114" s="139"/>
      <c r="EUF114" s="139"/>
      <c r="EUG114" s="139"/>
      <c r="EUH114" s="139"/>
      <c r="EUI114" s="139"/>
      <c r="EUJ114" s="139"/>
      <c r="EUK114" s="139"/>
      <c r="EUL114" s="139"/>
      <c r="EUM114" s="139"/>
      <c r="EUN114" s="139"/>
      <c r="EUO114" s="139"/>
      <c r="EUP114" s="139"/>
      <c r="EUQ114" s="139"/>
      <c r="EUR114" s="139"/>
      <c r="EUS114" s="139"/>
      <c r="EUT114" s="139"/>
      <c r="EUU114" s="139"/>
      <c r="EUV114" s="139"/>
      <c r="EUW114" s="139"/>
      <c r="EUX114" s="139"/>
      <c r="EUY114" s="139"/>
      <c r="EUZ114" s="139"/>
      <c r="EVA114" s="139"/>
      <c r="EVB114" s="139"/>
      <c r="EVC114" s="139"/>
      <c r="EVD114" s="139"/>
      <c r="EVE114" s="139"/>
      <c r="EVF114" s="139"/>
      <c r="EVG114" s="139"/>
      <c r="EVH114" s="139"/>
      <c r="EVI114" s="139"/>
      <c r="EVJ114" s="139"/>
      <c r="EVK114" s="139"/>
      <c r="EVL114" s="139"/>
      <c r="EVM114" s="139"/>
      <c r="EVN114" s="139"/>
      <c r="EVO114" s="139"/>
      <c r="EVP114" s="139"/>
      <c r="EVQ114" s="139"/>
      <c r="EVR114" s="139"/>
      <c r="EVS114" s="139"/>
      <c r="EVT114" s="139"/>
      <c r="EVU114" s="139"/>
      <c r="EVV114" s="139"/>
      <c r="EVW114" s="139"/>
      <c r="EVX114" s="139"/>
      <c r="EVY114" s="139"/>
      <c r="EVZ114" s="139"/>
      <c r="EWA114" s="139"/>
      <c r="EWB114" s="139"/>
      <c r="EWC114" s="139"/>
      <c r="EWD114" s="139"/>
      <c r="EWE114" s="139"/>
      <c r="EWF114" s="139"/>
      <c r="EWG114" s="139"/>
      <c r="EWH114" s="139"/>
      <c r="EWI114" s="139"/>
      <c r="EWJ114" s="139"/>
      <c r="EWK114" s="139"/>
      <c r="EWL114" s="139"/>
      <c r="EWM114" s="139"/>
      <c r="EWN114" s="139"/>
      <c r="EWO114" s="139"/>
      <c r="EWP114" s="139"/>
      <c r="EWQ114" s="139"/>
      <c r="EWR114" s="139"/>
      <c r="EWS114" s="139"/>
      <c r="EWT114" s="139"/>
      <c r="EWU114" s="139"/>
      <c r="EWV114" s="139"/>
      <c r="EWW114" s="139"/>
      <c r="EWX114" s="139"/>
      <c r="EWY114" s="139"/>
      <c r="EWZ114" s="139"/>
      <c r="EXA114" s="139"/>
      <c r="EXB114" s="139"/>
      <c r="EXC114" s="139"/>
      <c r="EXD114" s="139"/>
      <c r="EXE114" s="139"/>
      <c r="EXF114" s="139"/>
      <c r="EXG114" s="139"/>
      <c r="EXH114" s="139"/>
      <c r="EXI114" s="139"/>
      <c r="EXJ114" s="139"/>
      <c r="EXK114" s="139"/>
      <c r="EXL114" s="139"/>
      <c r="EXM114" s="139"/>
      <c r="EXN114" s="139"/>
      <c r="EXO114" s="139"/>
      <c r="EXP114" s="139"/>
      <c r="EXQ114" s="139"/>
      <c r="EXR114" s="139"/>
      <c r="EXS114" s="139"/>
      <c r="EXT114" s="139"/>
      <c r="EXU114" s="139"/>
      <c r="EXV114" s="139"/>
      <c r="EXW114" s="139"/>
      <c r="EXX114" s="139"/>
      <c r="EXY114" s="139"/>
      <c r="EXZ114" s="139"/>
      <c r="EYA114" s="139"/>
      <c r="EYB114" s="139"/>
      <c r="EYC114" s="139"/>
      <c r="EYD114" s="139"/>
      <c r="EYE114" s="139"/>
      <c r="EYF114" s="139"/>
      <c r="EYG114" s="139"/>
      <c r="EYH114" s="139"/>
      <c r="EYI114" s="139"/>
      <c r="EYJ114" s="139"/>
      <c r="EYK114" s="139"/>
      <c r="EYL114" s="139"/>
      <c r="EYM114" s="139"/>
      <c r="EYN114" s="139"/>
      <c r="EYO114" s="139"/>
      <c r="EYP114" s="139"/>
      <c r="EYQ114" s="139"/>
      <c r="EYR114" s="139"/>
      <c r="EYS114" s="139"/>
      <c r="EYT114" s="139"/>
      <c r="EYU114" s="139"/>
      <c r="EYV114" s="139"/>
      <c r="EYW114" s="139"/>
      <c r="EYX114" s="139"/>
      <c r="EYY114" s="139"/>
      <c r="EYZ114" s="139"/>
      <c r="EZA114" s="139"/>
      <c r="EZB114" s="139"/>
      <c r="EZC114" s="139"/>
      <c r="EZD114" s="139"/>
      <c r="EZE114" s="139"/>
      <c r="EZF114" s="139"/>
      <c r="EZG114" s="139"/>
      <c r="EZH114" s="139"/>
      <c r="EZI114" s="139"/>
      <c r="EZJ114" s="139"/>
      <c r="EZK114" s="139"/>
      <c r="EZL114" s="139"/>
      <c r="EZM114" s="139"/>
      <c r="EZN114" s="139"/>
      <c r="EZO114" s="139"/>
      <c r="EZP114" s="139"/>
      <c r="EZQ114" s="139"/>
      <c r="EZR114" s="139"/>
      <c r="EZS114" s="139"/>
      <c r="EZT114" s="139"/>
      <c r="EZU114" s="139"/>
      <c r="EZV114" s="139"/>
      <c r="EZW114" s="139"/>
      <c r="EZX114" s="139"/>
      <c r="EZY114" s="139"/>
      <c r="EZZ114" s="139"/>
      <c r="FAA114" s="139"/>
      <c r="FAB114" s="139"/>
      <c r="FAC114" s="139"/>
      <c r="FAD114" s="139"/>
      <c r="FAE114" s="139"/>
      <c r="FAF114" s="139"/>
      <c r="FAG114" s="139"/>
      <c r="FAH114" s="139"/>
      <c r="FAI114" s="139"/>
      <c r="FAJ114" s="139"/>
      <c r="FAK114" s="139"/>
      <c r="FAL114" s="139"/>
      <c r="FAM114" s="139"/>
      <c r="FAN114" s="139"/>
      <c r="FAO114" s="139"/>
      <c r="FAP114" s="139"/>
      <c r="FAQ114" s="139"/>
      <c r="FAR114" s="139"/>
      <c r="FAS114" s="139"/>
      <c r="FAT114" s="139"/>
      <c r="FAU114" s="139"/>
      <c r="FAV114" s="139"/>
      <c r="FAW114" s="139"/>
      <c r="FAX114" s="139"/>
      <c r="FAY114" s="139"/>
      <c r="FAZ114" s="139"/>
      <c r="FBA114" s="139"/>
      <c r="FBB114" s="139"/>
      <c r="FBC114" s="139"/>
      <c r="FBD114" s="139"/>
      <c r="FBE114" s="139"/>
      <c r="FBF114" s="139"/>
      <c r="FBG114" s="139"/>
      <c r="FBH114" s="139"/>
      <c r="FBI114" s="139"/>
      <c r="FBJ114" s="139"/>
      <c r="FBK114" s="139"/>
      <c r="FBL114" s="139"/>
      <c r="FBM114" s="139"/>
      <c r="FBN114" s="139"/>
      <c r="FBO114" s="139"/>
      <c r="FBP114" s="139"/>
      <c r="FBQ114" s="139"/>
      <c r="FBR114" s="139"/>
      <c r="FBS114" s="139"/>
      <c r="FBT114" s="139"/>
      <c r="FBU114" s="139"/>
      <c r="FBV114" s="139"/>
      <c r="FBW114" s="139"/>
      <c r="FBX114" s="139"/>
      <c r="FBY114" s="139"/>
      <c r="FBZ114" s="139"/>
      <c r="FCA114" s="139"/>
      <c r="FCB114" s="139"/>
      <c r="FCC114" s="139"/>
      <c r="FCD114" s="139"/>
      <c r="FCE114" s="139"/>
      <c r="FCF114" s="139"/>
      <c r="FCG114" s="139"/>
      <c r="FCH114" s="139"/>
      <c r="FCI114" s="139"/>
      <c r="FCJ114" s="139"/>
      <c r="FCK114" s="139"/>
      <c r="FCL114" s="139"/>
      <c r="FCM114" s="139"/>
      <c r="FCN114" s="139"/>
      <c r="FCO114" s="139"/>
      <c r="FCP114" s="139"/>
      <c r="FCQ114" s="139"/>
      <c r="FCR114" s="139"/>
      <c r="FCS114" s="139"/>
      <c r="FCT114" s="139"/>
      <c r="FCU114" s="139"/>
      <c r="FCV114" s="139"/>
      <c r="FCW114" s="139"/>
      <c r="FCX114" s="139"/>
      <c r="FCY114" s="139"/>
      <c r="FCZ114" s="139"/>
      <c r="FDA114" s="139"/>
      <c r="FDB114" s="139"/>
      <c r="FDC114" s="139"/>
      <c r="FDD114" s="139"/>
      <c r="FDE114" s="139"/>
      <c r="FDF114" s="139"/>
      <c r="FDG114" s="139"/>
      <c r="FDH114" s="139"/>
      <c r="FDI114" s="139"/>
      <c r="FDJ114" s="139"/>
      <c r="FDK114" s="139"/>
      <c r="FDL114" s="139"/>
      <c r="FDM114" s="139"/>
      <c r="FDN114" s="139"/>
      <c r="FDO114" s="139"/>
      <c r="FDP114" s="139"/>
      <c r="FDQ114" s="139"/>
      <c r="FDR114" s="139"/>
      <c r="FDS114" s="139"/>
      <c r="FDT114" s="139"/>
      <c r="FDU114" s="139"/>
      <c r="FDV114" s="139"/>
      <c r="FDW114" s="139"/>
      <c r="FDX114" s="139"/>
      <c r="FDY114" s="139"/>
      <c r="FDZ114" s="139"/>
      <c r="FEA114" s="139"/>
      <c r="FEB114" s="139"/>
      <c r="FEC114" s="139"/>
      <c r="FED114" s="139"/>
      <c r="FEE114" s="139"/>
      <c r="FEF114" s="139"/>
      <c r="FEG114" s="139"/>
      <c r="FEH114" s="139"/>
      <c r="FEI114" s="139"/>
      <c r="FEJ114" s="139"/>
      <c r="FEK114" s="139"/>
      <c r="FEL114" s="139"/>
      <c r="FEM114" s="139"/>
      <c r="FEN114" s="139"/>
      <c r="FEO114" s="139"/>
      <c r="FEP114" s="139"/>
      <c r="FEQ114" s="139"/>
      <c r="FER114" s="139"/>
      <c r="FES114" s="139"/>
      <c r="FET114" s="139"/>
      <c r="FEU114" s="139"/>
      <c r="FEV114" s="139"/>
      <c r="FEW114" s="139"/>
      <c r="FEX114" s="139"/>
      <c r="FEY114" s="139"/>
      <c r="FEZ114" s="139"/>
      <c r="FFA114" s="139"/>
      <c r="FFB114" s="139"/>
      <c r="FFC114" s="139"/>
      <c r="FFD114" s="139"/>
      <c r="FFE114" s="139"/>
      <c r="FFF114" s="139"/>
      <c r="FFG114" s="139"/>
      <c r="FFH114" s="139"/>
      <c r="FFI114" s="139"/>
      <c r="FFJ114" s="139"/>
      <c r="FFK114" s="139"/>
      <c r="FFL114" s="139"/>
      <c r="FFM114" s="139"/>
      <c r="FFN114" s="139"/>
      <c r="FFO114" s="139"/>
      <c r="FFP114" s="139"/>
      <c r="FFQ114" s="139"/>
      <c r="FFR114" s="139"/>
      <c r="FFS114" s="139"/>
      <c r="FFT114" s="139"/>
      <c r="FFU114" s="139"/>
      <c r="FFV114" s="139"/>
      <c r="FFW114" s="139"/>
      <c r="FFX114" s="139"/>
      <c r="FFY114" s="139"/>
      <c r="FFZ114" s="139"/>
      <c r="FGA114" s="139"/>
      <c r="FGB114" s="139"/>
      <c r="FGC114" s="139"/>
      <c r="FGD114" s="139"/>
      <c r="FGE114" s="139"/>
      <c r="FGF114" s="139"/>
      <c r="FGG114" s="139"/>
      <c r="FGH114" s="139"/>
      <c r="FGI114" s="139"/>
      <c r="FGJ114" s="139"/>
      <c r="FGK114" s="139"/>
      <c r="FGL114" s="139"/>
      <c r="FGM114" s="139"/>
      <c r="FGN114" s="139"/>
      <c r="FGO114" s="139"/>
      <c r="FGP114" s="139"/>
      <c r="FGQ114" s="139"/>
      <c r="FGR114" s="139"/>
      <c r="FGS114" s="139"/>
      <c r="FGT114" s="139"/>
      <c r="FGU114" s="139"/>
      <c r="FGV114" s="139"/>
      <c r="FGW114" s="139"/>
      <c r="FGX114" s="139"/>
      <c r="FGY114" s="139"/>
      <c r="FGZ114" s="139"/>
      <c r="FHA114" s="139"/>
      <c r="FHB114" s="139"/>
      <c r="FHC114" s="139"/>
      <c r="FHD114" s="139"/>
      <c r="FHE114" s="139"/>
      <c r="FHF114" s="139"/>
      <c r="FHG114" s="139"/>
      <c r="FHH114" s="139"/>
      <c r="FHI114" s="139"/>
      <c r="FHJ114" s="139"/>
      <c r="FHK114" s="139"/>
      <c r="FHL114" s="139"/>
      <c r="FHM114" s="139"/>
      <c r="FHN114" s="139"/>
      <c r="FHO114" s="139"/>
      <c r="FHP114" s="139"/>
      <c r="FHQ114" s="139"/>
      <c r="FHR114" s="139"/>
      <c r="FHS114" s="139"/>
      <c r="FHT114" s="139"/>
      <c r="FHU114" s="139"/>
      <c r="FHV114" s="139"/>
      <c r="FHW114" s="139"/>
      <c r="FHX114" s="139"/>
      <c r="FHY114" s="139"/>
      <c r="FHZ114" s="139"/>
      <c r="FIA114" s="139"/>
      <c r="FIB114" s="139"/>
      <c r="FIC114" s="139"/>
      <c r="FID114" s="139"/>
      <c r="FIE114" s="139"/>
      <c r="FIF114" s="139"/>
      <c r="FIG114" s="139"/>
      <c r="FIH114" s="139"/>
      <c r="FII114" s="139"/>
      <c r="FIJ114" s="139"/>
      <c r="FIK114" s="139"/>
      <c r="FIL114" s="139"/>
      <c r="FIM114" s="139"/>
      <c r="FIN114" s="139"/>
      <c r="FIO114" s="139"/>
      <c r="FIP114" s="139"/>
      <c r="FIQ114" s="139"/>
      <c r="FIR114" s="139"/>
      <c r="FIS114" s="139"/>
      <c r="FIT114" s="139"/>
      <c r="FIU114" s="139"/>
      <c r="FIV114" s="139"/>
      <c r="FIW114" s="139"/>
      <c r="FIX114" s="139"/>
      <c r="FIY114" s="139"/>
      <c r="FIZ114" s="139"/>
      <c r="FJA114" s="139"/>
      <c r="FJB114" s="139"/>
      <c r="FJC114" s="139"/>
      <c r="FJD114" s="139"/>
      <c r="FJE114" s="139"/>
      <c r="FJF114" s="139"/>
      <c r="FJG114" s="139"/>
      <c r="FJH114" s="139"/>
      <c r="FJI114" s="139"/>
      <c r="FJJ114" s="139"/>
      <c r="FJK114" s="139"/>
      <c r="FJL114" s="139"/>
      <c r="FJM114" s="139"/>
      <c r="FJN114" s="139"/>
      <c r="FJO114" s="139"/>
      <c r="FJP114" s="139"/>
      <c r="FJQ114" s="139"/>
      <c r="FJR114" s="139"/>
      <c r="FJS114" s="139"/>
      <c r="FJT114" s="139"/>
      <c r="FJU114" s="139"/>
      <c r="FJV114" s="139"/>
      <c r="FJW114" s="139"/>
      <c r="FJX114" s="139"/>
      <c r="FJY114" s="139"/>
      <c r="FJZ114" s="139"/>
      <c r="FKA114" s="139"/>
      <c r="FKB114" s="139"/>
      <c r="FKC114" s="139"/>
      <c r="FKD114" s="139"/>
      <c r="FKE114" s="139"/>
      <c r="FKF114" s="139"/>
      <c r="FKG114" s="139"/>
      <c r="FKH114" s="139"/>
      <c r="FKI114" s="139"/>
      <c r="FKJ114" s="139"/>
      <c r="FKK114" s="139"/>
      <c r="FKL114" s="139"/>
      <c r="FKM114" s="139"/>
      <c r="FKN114" s="139"/>
      <c r="FKO114" s="139"/>
      <c r="FKP114" s="139"/>
      <c r="FKQ114" s="139"/>
      <c r="FKR114" s="139"/>
      <c r="FKS114" s="139"/>
      <c r="FKT114" s="139"/>
      <c r="FKU114" s="139"/>
      <c r="FKV114" s="139"/>
      <c r="FKW114" s="139"/>
      <c r="FKX114" s="139"/>
      <c r="FKY114" s="139"/>
      <c r="FKZ114" s="139"/>
      <c r="FLA114" s="139"/>
      <c r="FLB114" s="139"/>
      <c r="FLC114" s="139"/>
      <c r="FLD114" s="139"/>
      <c r="FLE114" s="139"/>
      <c r="FLF114" s="139"/>
      <c r="FLG114" s="139"/>
      <c r="FLH114" s="139"/>
      <c r="FLI114" s="139"/>
      <c r="FLJ114" s="139"/>
      <c r="FLK114" s="139"/>
      <c r="FLL114" s="139"/>
      <c r="FLM114" s="139"/>
      <c r="FLN114" s="139"/>
      <c r="FLO114" s="139"/>
      <c r="FLP114" s="139"/>
      <c r="FLQ114" s="139"/>
      <c r="FLR114" s="139"/>
      <c r="FLS114" s="139"/>
      <c r="FLT114" s="139"/>
      <c r="FLU114" s="139"/>
      <c r="FLV114" s="139"/>
      <c r="FLW114" s="139"/>
      <c r="FLX114" s="139"/>
      <c r="FLY114" s="139"/>
      <c r="FLZ114" s="139"/>
      <c r="FMA114" s="139"/>
      <c r="FMB114" s="139"/>
      <c r="FMC114" s="139"/>
      <c r="FMD114" s="139"/>
      <c r="FME114" s="139"/>
      <c r="FMF114" s="139"/>
      <c r="FMG114" s="139"/>
      <c r="FMH114" s="139"/>
      <c r="FMI114" s="139"/>
      <c r="FMJ114" s="139"/>
      <c r="FMK114" s="139"/>
      <c r="FML114" s="139"/>
      <c r="FMM114" s="139"/>
      <c r="FMN114" s="139"/>
      <c r="FMO114" s="139"/>
      <c r="FMP114" s="139"/>
      <c r="FMQ114" s="139"/>
      <c r="FMR114" s="139"/>
      <c r="FMS114" s="139"/>
      <c r="FMT114" s="139"/>
      <c r="FMU114" s="139"/>
      <c r="FMV114" s="139"/>
      <c r="FMW114" s="139"/>
      <c r="FMX114" s="139"/>
      <c r="FMY114" s="139"/>
      <c r="FMZ114" s="139"/>
      <c r="FNA114" s="139"/>
      <c r="FNB114" s="139"/>
      <c r="FNC114" s="139"/>
      <c r="FND114" s="139"/>
      <c r="FNE114" s="139"/>
      <c r="FNF114" s="139"/>
      <c r="FNG114" s="139"/>
      <c r="FNH114" s="139"/>
      <c r="FNI114" s="139"/>
      <c r="FNJ114" s="139"/>
      <c r="FNK114" s="139"/>
      <c r="FNL114" s="139"/>
      <c r="FNM114" s="139"/>
      <c r="FNN114" s="139"/>
      <c r="FNO114" s="139"/>
      <c r="FNP114" s="139"/>
      <c r="FNQ114" s="139"/>
      <c r="FNR114" s="139"/>
      <c r="FNS114" s="139"/>
      <c r="FNT114" s="139"/>
      <c r="FNU114" s="139"/>
      <c r="FNV114" s="139"/>
      <c r="FNW114" s="139"/>
      <c r="FNX114" s="139"/>
      <c r="FNY114" s="139"/>
      <c r="FNZ114" s="139"/>
      <c r="FOA114" s="139"/>
      <c r="FOB114" s="139"/>
      <c r="FOC114" s="139"/>
      <c r="FOD114" s="139"/>
      <c r="FOE114" s="139"/>
      <c r="FOF114" s="139"/>
      <c r="FOG114" s="139"/>
      <c r="FOH114" s="139"/>
      <c r="FOI114" s="139"/>
      <c r="FOJ114" s="139"/>
      <c r="FOK114" s="139"/>
      <c r="FOL114" s="139"/>
      <c r="FOM114" s="139"/>
      <c r="FON114" s="139"/>
      <c r="FOO114" s="139"/>
      <c r="FOP114" s="139"/>
      <c r="FOQ114" s="139"/>
      <c r="FOR114" s="139"/>
      <c r="FOS114" s="139"/>
      <c r="FOT114" s="139"/>
      <c r="FOU114" s="139"/>
      <c r="FOV114" s="139"/>
      <c r="FOW114" s="139"/>
      <c r="FOX114" s="139"/>
      <c r="FOY114" s="139"/>
      <c r="FOZ114" s="139"/>
      <c r="FPA114" s="139"/>
      <c r="FPB114" s="139"/>
      <c r="FPC114" s="139"/>
      <c r="FPD114" s="139"/>
      <c r="FPE114" s="139"/>
      <c r="FPF114" s="139"/>
      <c r="FPG114" s="139"/>
      <c r="FPH114" s="139"/>
      <c r="FPI114" s="139"/>
      <c r="FPJ114" s="139"/>
      <c r="FPK114" s="139"/>
      <c r="FPL114" s="139"/>
      <c r="FPM114" s="139"/>
      <c r="FPN114" s="139"/>
      <c r="FPO114" s="139"/>
      <c r="FPP114" s="139"/>
      <c r="FPQ114" s="139"/>
      <c r="FPR114" s="139"/>
      <c r="FPS114" s="139"/>
      <c r="FPT114" s="139"/>
      <c r="FPU114" s="139"/>
      <c r="FPV114" s="139"/>
      <c r="FPW114" s="139"/>
      <c r="FPX114" s="139"/>
      <c r="FPY114" s="139"/>
      <c r="FPZ114" s="139"/>
      <c r="FQA114" s="139"/>
      <c r="FQB114" s="139"/>
      <c r="FQC114" s="139"/>
      <c r="FQD114" s="139"/>
      <c r="FQE114" s="139"/>
      <c r="FQF114" s="139"/>
      <c r="FQG114" s="139"/>
      <c r="FQH114" s="139"/>
      <c r="FQI114" s="139"/>
      <c r="FQJ114" s="139"/>
      <c r="FQK114" s="139"/>
      <c r="FQL114" s="139"/>
      <c r="FQM114" s="139"/>
      <c r="FQN114" s="139"/>
      <c r="FQO114" s="139"/>
      <c r="FQP114" s="139"/>
      <c r="FQQ114" s="139"/>
      <c r="FQR114" s="139"/>
      <c r="FQS114" s="139"/>
      <c r="FQT114" s="139"/>
      <c r="FQU114" s="139"/>
      <c r="FQV114" s="139"/>
      <c r="FQW114" s="139"/>
      <c r="FQX114" s="139"/>
      <c r="FQY114" s="139"/>
      <c r="FQZ114" s="139"/>
      <c r="FRA114" s="139"/>
      <c r="FRB114" s="139"/>
      <c r="FRC114" s="139"/>
      <c r="FRD114" s="139"/>
      <c r="FRE114" s="139"/>
      <c r="FRF114" s="139"/>
      <c r="FRG114" s="139"/>
      <c r="FRH114" s="139"/>
      <c r="FRI114" s="139"/>
      <c r="FRJ114" s="139"/>
      <c r="FRK114" s="139"/>
      <c r="FRL114" s="139"/>
      <c r="FRM114" s="139"/>
      <c r="FRN114" s="139"/>
      <c r="FRO114" s="139"/>
      <c r="FRP114" s="139"/>
      <c r="FRQ114" s="139"/>
      <c r="FRR114" s="139"/>
      <c r="FRS114" s="139"/>
      <c r="FRT114" s="139"/>
      <c r="FRU114" s="139"/>
      <c r="FRV114" s="139"/>
      <c r="FRW114" s="139"/>
      <c r="FRX114" s="139"/>
      <c r="FRY114" s="139"/>
      <c r="FRZ114" s="139"/>
      <c r="FSA114" s="139"/>
      <c r="FSB114" s="139"/>
      <c r="FSC114" s="139"/>
      <c r="FSD114" s="139"/>
      <c r="FSE114" s="139"/>
      <c r="FSF114" s="139"/>
      <c r="FSG114" s="139"/>
      <c r="FSH114" s="139"/>
      <c r="FSI114" s="139"/>
      <c r="FSJ114" s="139"/>
      <c r="FSK114" s="139"/>
      <c r="FSL114" s="139"/>
      <c r="FSM114" s="139"/>
      <c r="FSN114" s="139"/>
      <c r="FSO114" s="139"/>
      <c r="FSP114" s="139"/>
      <c r="FSQ114" s="139"/>
      <c r="FSR114" s="139"/>
      <c r="FSS114" s="139"/>
      <c r="FST114" s="139"/>
      <c r="FSU114" s="139"/>
      <c r="FSV114" s="139"/>
      <c r="FSW114" s="139"/>
      <c r="FSX114" s="139"/>
      <c r="FSY114" s="139"/>
      <c r="FSZ114" s="139"/>
      <c r="FTA114" s="139"/>
      <c r="FTB114" s="139"/>
      <c r="FTC114" s="139"/>
      <c r="FTD114" s="139"/>
      <c r="FTE114" s="139"/>
      <c r="FTF114" s="139"/>
      <c r="FTG114" s="139"/>
      <c r="FTH114" s="139"/>
      <c r="FTI114" s="139"/>
      <c r="FTJ114" s="139"/>
      <c r="FTK114" s="139"/>
      <c r="FTL114" s="139"/>
      <c r="FTM114" s="139"/>
      <c r="FTN114" s="139"/>
      <c r="FTO114" s="139"/>
      <c r="FTP114" s="139"/>
      <c r="FTQ114" s="139"/>
      <c r="FTR114" s="139"/>
      <c r="FTS114" s="139"/>
      <c r="FTT114" s="139"/>
      <c r="FTU114" s="139"/>
      <c r="FTV114" s="139"/>
      <c r="FTW114" s="139"/>
      <c r="FTX114" s="139"/>
      <c r="FTY114" s="139"/>
      <c r="FTZ114" s="139"/>
      <c r="FUA114" s="139"/>
      <c r="FUB114" s="139"/>
      <c r="FUC114" s="139"/>
      <c r="FUD114" s="139"/>
      <c r="FUE114" s="139"/>
      <c r="FUF114" s="139"/>
      <c r="FUG114" s="139"/>
      <c r="FUH114" s="139"/>
      <c r="FUI114" s="139"/>
      <c r="FUJ114" s="139"/>
      <c r="FUK114" s="139"/>
      <c r="FUL114" s="139"/>
      <c r="FUM114" s="139"/>
      <c r="FUN114" s="139"/>
      <c r="FUO114" s="139"/>
      <c r="FUP114" s="139"/>
      <c r="FUQ114" s="139"/>
      <c r="FUR114" s="139"/>
      <c r="FUS114" s="139"/>
      <c r="FUT114" s="139"/>
      <c r="FUU114" s="139"/>
      <c r="FUV114" s="139"/>
      <c r="FUW114" s="139"/>
      <c r="FUX114" s="139"/>
      <c r="FUY114" s="139"/>
      <c r="FUZ114" s="139"/>
      <c r="FVA114" s="139"/>
      <c r="FVB114" s="139"/>
      <c r="FVC114" s="139"/>
      <c r="FVD114" s="139"/>
      <c r="FVE114" s="139"/>
      <c r="FVF114" s="139"/>
      <c r="FVG114" s="139"/>
      <c r="FVH114" s="139"/>
      <c r="FVI114" s="139"/>
      <c r="FVJ114" s="139"/>
      <c r="FVK114" s="139"/>
      <c r="FVL114" s="139"/>
      <c r="FVM114" s="139"/>
      <c r="FVN114" s="139"/>
      <c r="FVO114" s="139"/>
      <c r="FVP114" s="139"/>
      <c r="FVQ114" s="139"/>
      <c r="FVR114" s="139"/>
      <c r="FVS114" s="139"/>
      <c r="FVT114" s="139"/>
      <c r="FVU114" s="139"/>
      <c r="FVV114" s="139"/>
      <c r="FVW114" s="139"/>
      <c r="FVX114" s="139"/>
      <c r="FVY114" s="139"/>
      <c r="FVZ114" s="139"/>
      <c r="FWA114" s="139"/>
      <c r="FWB114" s="139"/>
      <c r="FWC114" s="139"/>
      <c r="FWD114" s="139"/>
      <c r="FWE114" s="139"/>
      <c r="FWF114" s="139"/>
      <c r="FWG114" s="139"/>
      <c r="FWH114" s="139"/>
      <c r="FWI114" s="139"/>
      <c r="FWJ114" s="139"/>
      <c r="FWK114" s="139"/>
      <c r="FWL114" s="139"/>
      <c r="FWM114" s="139"/>
      <c r="FWN114" s="139"/>
      <c r="FWO114" s="139"/>
      <c r="FWP114" s="139"/>
      <c r="FWQ114" s="139"/>
      <c r="FWR114" s="139"/>
      <c r="FWS114" s="139"/>
      <c r="FWT114" s="139"/>
      <c r="FWU114" s="139"/>
      <c r="FWV114" s="139"/>
      <c r="FWW114" s="139"/>
      <c r="FWX114" s="139"/>
      <c r="FWY114" s="139"/>
      <c r="FWZ114" s="139"/>
      <c r="FXA114" s="139"/>
      <c r="FXB114" s="139"/>
      <c r="FXC114" s="139"/>
      <c r="FXD114" s="139"/>
      <c r="FXE114" s="139"/>
      <c r="FXF114" s="139"/>
      <c r="FXG114" s="139"/>
      <c r="FXH114" s="139"/>
      <c r="FXI114" s="139"/>
      <c r="FXJ114" s="139"/>
      <c r="FXK114" s="139"/>
      <c r="FXL114" s="139"/>
      <c r="FXM114" s="139"/>
      <c r="FXN114" s="139"/>
      <c r="FXO114" s="139"/>
      <c r="FXP114" s="139"/>
      <c r="FXQ114" s="139"/>
      <c r="FXR114" s="139"/>
      <c r="FXS114" s="139"/>
      <c r="FXT114" s="139"/>
      <c r="FXU114" s="139"/>
      <c r="FXV114" s="139"/>
      <c r="FXW114" s="139"/>
      <c r="FXX114" s="139"/>
      <c r="FXY114" s="139"/>
      <c r="FXZ114" s="139"/>
      <c r="FYA114" s="139"/>
      <c r="FYB114" s="139"/>
      <c r="FYC114" s="139"/>
      <c r="FYD114" s="139"/>
      <c r="FYE114" s="139"/>
      <c r="FYF114" s="139"/>
      <c r="FYG114" s="139"/>
      <c r="FYH114" s="139"/>
      <c r="FYI114" s="139"/>
      <c r="FYJ114" s="139"/>
      <c r="FYK114" s="139"/>
      <c r="FYL114" s="139"/>
      <c r="FYM114" s="139"/>
      <c r="FYN114" s="139"/>
      <c r="FYO114" s="139"/>
      <c r="FYP114" s="139"/>
      <c r="FYQ114" s="139"/>
      <c r="FYR114" s="139"/>
      <c r="FYS114" s="139"/>
      <c r="FYT114" s="139"/>
      <c r="FYU114" s="139"/>
      <c r="FYV114" s="139"/>
      <c r="FYW114" s="139"/>
      <c r="FYX114" s="139"/>
      <c r="FYY114" s="139"/>
      <c r="FYZ114" s="139"/>
      <c r="FZA114" s="139"/>
      <c r="FZB114" s="139"/>
      <c r="FZC114" s="139"/>
      <c r="FZD114" s="139"/>
      <c r="FZE114" s="139"/>
      <c r="FZF114" s="139"/>
      <c r="FZG114" s="139"/>
      <c r="FZH114" s="139"/>
      <c r="FZI114" s="139"/>
      <c r="FZJ114" s="139"/>
      <c r="FZK114" s="139"/>
      <c r="FZL114" s="139"/>
      <c r="FZM114" s="139"/>
      <c r="FZN114" s="139"/>
      <c r="FZO114" s="139"/>
      <c r="FZP114" s="139"/>
      <c r="FZQ114" s="139"/>
      <c r="FZR114" s="139"/>
      <c r="FZS114" s="139"/>
      <c r="FZT114" s="139"/>
      <c r="FZU114" s="139"/>
      <c r="FZV114" s="139"/>
      <c r="FZW114" s="139"/>
      <c r="FZX114" s="139"/>
      <c r="FZY114" s="139"/>
      <c r="FZZ114" s="139"/>
      <c r="GAA114" s="139"/>
      <c r="GAB114" s="139"/>
      <c r="GAC114" s="139"/>
      <c r="GAD114" s="139"/>
      <c r="GAE114" s="139"/>
      <c r="GAF114" s="139"/>
      <c r="GAG114" s="139"/>
      <c r="GAH114" s="139"/>
      <c r="GAI114" s="139"/>
      <c r="GAJ114" s="139"/>
      <c r="GAK114" s="139"/>
      <c r="GAL114" s="139"/>
      <c r="GAM114" s="139"/>
      <c r="GAN114" s="139"/>
      <c r="GAO114" s="139"/>
      <c r="GAP114" s="139"/>
      <c r="GAQ114" s="139"/>
      <c r="GAR114" s="139"/>
      <c r="GAS114" s="139"/>
      <c r="GAT114" s="139"/>
      <c r="GAU114" s="139"/>
      <c r="GAV114" s="139"/>
      <c r="GAW114" s="139"/>
      <c r="GAX114" s="139"/>
      <c r="GAY114" s="139"/>
      <c r="GAZ114" s="139"/>
      <c r="GBA114" s="139"/>
      <c r="GBB114" s="139"/>
      <c r="GBC114" s="139"/>
      <c r="GBD114" s="139"/>
      <c r="GBE114" s="139"/>
      <c r="GBF114" s="139"/>
      <c r="GBG114" s="139"/>
      <c r="GBH114" s="139"/>
      <c r="GBI114" s="139"/>
      <c r="GBJ114" s="139"/>
      <c r="GBK114" s="139"/>
      <c r="GBL114" s="139"/>
      <c r="GBM114" s="139"/>
      <c r="GBN114" s="139"/>
      <c r="GBO114" s="139"/>
      <c r="GBP114" s="139"/>
      <c r="GBQ114" s="139"/>
      <c r="GBR114" s="139"/>
      <c r="GBS114" s="139"/>
      <c r="GBT114" s="139"/>
      <c r="GBU114" s="139"/>
      <c r="GBV114" s="139"/>
      <c r="GBW114" s="139"/>
      <c r="GBX114" s="139"/>
      <c r="GBY114" s="139"/>
      <c r="GBZ114" s="139"/>
      <c r="GCA114" s="139"/>
      <c r="GCB114" s="139"/>
      <c r="GCC114" s="139"/>
      <c r="GCD114" s="139"/>
      <c r="GCE114" s="139"/>
      <c r="GCF114" s="139"/>
      <c r="GCG114" s="139"/>
      <c r="GCH114" s="139"/>
      <c r="GCI114" s="139"/>
      <c r="GCJ114" s="139"/>
      <c r="GCK114" s="139"/>
      <c r="GCL114" s="139"/>
      <c r="GCM114" s="139"/>
      <c r="GCN114" s="139"/>
      <c r="GCO114" s="139"/>
      <c r="GCP114" s="139"/>
      <c r="GCQ114" s="139"/>
      <c r="GCR114" s="139"/>
      <c r="GCS114" s="139"/>
      <c r="GCT114" s="139"/>
      <c r="GCU114" s="139"/>
      <c r="GCV114" s="139"/>
      <c r="GCW114" s="139"/>
      <c r="GCX114" s="139"/>
      <c r="GCY114" s="139"/>
      <c r="GCZ114" s="139"/>
      <c r="GDA114" s="139"/>
      <c r="GDB114" s="139"/>
      <c r="GDC114" s="139"/>
      <c r="GDD114" s="139"/>
      <c r="GDE114" s="139"/>
      <c r="GDF114" s="139"/>
      <c r="GDG114" s="139"/>
      <c r="GDH114" s="139"/>
      <c r="GDI114" s="139"/>
      <c r="GDJ114" s="139"/>
      <c r="GDK114" s="139"/>
      <c r="GDL114" s="139"/>
      <c r="GDM114" s="139"/>
      <c r="GDN114" s="139"/>
      <c r="GDO114" s="139"/>
      <c r="GDP114" s="139"/>
      <c r="GDQ114" s="139"/>
      <c r="GDR114" s="139"/>
      <c r="GDS114" s="139"/>
      <c r="GDT114" s="139"/>
      <c r="GDU114" s="139"/>
      <c r="GDV114" s="139"/>
      <c r="GDW114" s="139"/>
      <c r="GDX114" s="139"/>
      <c r="GDY114" s="139"/>
      <c r="GDZ114" s="139"/>
      <c r="GEA114" s="139"/>
      <c r="GEB114" s="139"/>
      <c r="GEC114" s="139"/>
      <c r="GED114" s="139"/>
      <c r="GEE114" s="139"/>
      <c r="GEF114" s="139"/>
      <c r="GEG114" s="139"/>
      <c r="GEH114" s="139"/>
      <c r="GEI114" s="139"/>
      <c r="GEJ114" s="139"/>
      <c r="GEK114" s="139"/>
      <c r="GEL114" s="139"/>
      <c r="GEM114" s="139"/>
      <c r="GEN114" s="139"/>
      <c r="GEO114" s="139"/>
      <c r="GEP114" s="139"/>
      <c r="GEQ114" s="139"/>
      <c r="GER114" s="139"/>
      <c r="GES114" s="139"/>
      <c r="GET114" s="139"/>
      <c r="GEU114" s="139"/>
      <c r="GEV114" s="139"/>
      <c r="GEW114" s="139"/>
      <c r="GEX114" s="139"/>
      <c r="GEY114" s="139"/>
      <c r="GEZ114" s="139"/>
      <c r="GFA114" s="139"/>
      <c r="GFB114" s="139"/>
      <c r="GFC114" s="139"/>
      <c r="GFD114" s="139"/>
      <c r="GFE114" s="139"/>
      <c r="GFF114" s="139"/>
      <c r="GFG114" s="139"/>
      <c r="GFH114" s="139"/>
      <c r="GFI114" s="139"/>
      <c r="GFJ114" s="139"/>
      <c r="GFK114" s="139"/>
      <c r="GFL114" s="139"/>
      <c r="GFM114" s="139"/>
      <c r="GFN114" s="139"/>
      <c r="GFO114" s="139"/>
      <c r="GFP114" s="139"/>
      <c r="GFQ114" s="139"/>
      <c r="GFR114" s="139"/>
      <c r="GFS114" s="139"/>
      <c r="GFT114" s="139"/>
      <c r="GFU114" s="139"/>
      <c r="GFV114" s="139"/>
      <c r="GFW114" s="139"/>
      <c r="GFX114" s="139"/>
      <c r="GFY114" s="139"/>
      <c r="GFZ114" s="139"/>
      <c r="GGA114" s="139"/>
      <c r="GGB114" s="139"/>
      <c r="GGC114" s="139"/>
      <c r="GGD114" s="139"/>
      <c r="GGE114" s="139"/>
      <c r="GGF114" s="139"/>
      <c r="GGG114" s="139"/>
      <c r="GGH114" s="139"/>
      <c r="GGI114" s="139"/>
      <c r="GGJ114" s="139"/>
      <c r="GGK114" s="139"/>
      <c r="GGL114" s="139"/>
      <c r="GGM114" s="139"/>
      <c r="GGN114" s="139"/>
      <c r="GGO114" s="139"/>
      <c r="GGP114" s="139"/>
      <c r="GGQ114" s="139"/>
      <c r="GGR114" s="139"/>
      <c r="GGS114" s="139"/>
      <c r="GGT114" s="139"/>
      <c r="GGU114" s="139"/>
      <c r="GGV114" s="139"/>
      <c r="GGW114" s="139"/>
      <c r="GGX114" s="139"/>
      <c r="GGY114" s="139"/>
      <c r="GGZ114" s="139"/>
      <c r="GHA114" s="139"/>
      <c r="GHB114" s="139"/>
      <c r="GHC114" s="139"/>
      <c r="GHD114" s="139"/>
      <c r="GHE114" s="139"/>
      <c r="GHF114" s="139"/>
      <c r="GHG114" s="139"/>
      <c r="GHH114" s="139"/>
      <c r="GHI114" s="139"/>
      <c r="GHJ114" s="139"/>
      <c r="GHK114" s="139"/>
      <c r="GHL114" s="139"/>
      <c r="GHM114" s="139"/>
      <c r="GHN114" s="139"/>
      <c r="GHO114" s="139"/>
      <c r="GHP114" s="139"/>
      <c r="GHQ114" s="139"/>
      <c r="GHR114" s="139"/>
      <c r="GHS114" s="139"/>
      <c r="GHT114" s="139"/>
      <c r="GHU114" s="139"/>
      <c r="GHV114" s="139"/>
      <c r="GHW114" s="139"/>
      <c r="GHX114" s="139"/>
      <c r="GHY114" s="139"/>
      <c r="GHZ114" s="139"/>
      <c r="GIA114" s="139"/>
      <c r="GIB114" s="139"/>
      <c r="GIC114" s="139"/>
      <c r="GID114" s="139"/>
      <c r="GIE114" s="139"/>
      <c r="GIF114" s="139"/>
      <c r="GIG114" s="139"/>
      <c r="GIH114" s="139"/>
      <c r="GII114" s="139"/>
      <c r="GIJ114" s="139"/>
      <c r="GIK114" s="139"/>
      <c r="GIL114" s="139"/>
      <c r="GIM114" s="139"/>
      <c r="GIN114" s="139"/>
      <c r="GIO114" s="139"/>
      <c r="GIP114" s="139"/>
      <c r="GIQ114" s="139"/>
      <c r="GIR114" s="139"/>
      <c r="GIS114" s="139"/>
      <c r="GIT114" s="139"/>
      <c r="GIU114" s="139"/>
      <c r="GIV114" s="139"/>
      <c r="GIW114" s="139"/>
      <c r="GIX114" s="139"/>
      <c r="GIY114" s="139"/>
      <c r="GIZ114" s="139"/>
      <c r="GJA114" s="139"/>
      <c r="GJB114" s="139"/>
      <c r="GJC114" s="139"/>
      <c r="GJD114" s="139"/>
      <c r="GJE114" s="139"/>
      <c r="GJF114" s="139"/>
      <c r="GJG114" s="139"/>
      <c r="GJH114" s="139"/>
      <c r="GJI114" s="139"/>
      <c r="GJJ114" s="139"/>
      <c r="GJK114" s="139"/>
      <c r="GJL114" s="139"/>
      <c r="GJM114" s="139"/>
      <c r="GJN114" s="139"/>
      <c r="GJO114" s="139"/>
      <c r="GJP114" s="139"/>
      <c r="GJQ114" s="139"/>
      <c r="GJR114" s="139"/>
      <c r="GJS114" s="139"/>
      <c r="GJT114" s="139"/>
      <c r="GJU114" s="139"/>
      <c r="GJV114" s="139"/>
      <c r="GJW114" s="139"/>
      <c r="GJX114" s="139"/>
      <c r="GJY114" s="139"/>
      <c r="GJZ114" s="139"/>
      <c r="GKA114" s="139"/>
      <c r="GKB114" s="139"/>
      <c r="GKC114" s="139"/>
      <c r="GKD114" s="139"/>
      <c r="GKE114" s="139"/>
      <c r="GKF114" s="139"/>
      <c r="GKG114" s="139"/>
      <c r="GKH114" s="139"/>
      <c r="GKI114" s="139"/>
      <c r="GKJ114" s="139"/>
      <c r="GKK114" s="139"/>
      <c r="GKL114" s="139"/>
      <c r="GKM114" s="139"/>
      <c r="GKN114" s="139"/>
      <c r="GKO114" s="139"/>
      <c r="GKP114" s="139"/>
      <c r="GKQ114" s="139"/>
      <c r="GKR114" s="139"/>
      <c r="GKS114" s="139"/>
      <c r="GKT114" s="139"/>
      <c r="GKU114" s="139"/>
      <c r="GKV114" s="139"/>
      <c r="GKW114" s="139"/>
      <c r="GKX114" s="139"/>
      <c r="GKY114" s="139"/>
      <c r="GKZ114" s="139"/>
      <c r="GLA114" s="139"/>
      <c r="GLB114" s="139"/>
      <c r="GLC114" s="139"/>
      <c r="GLD114" s="139"/>
      <c r="GLE114" s="139"/>
      <c r="GLF114" s="139"/>
      <c r="GLG114" s="139"/>
      <c r="GLH114" s="139"/>
      <c r="GLI114" s="139"/>
      <c r="GLJ114" s="139"/>
      <c r="GLK114" s="139"/>
      <c r="GLL114" s="139"/>
      <c r="GLM114" s="139"/>
      <c r="GLN114" s="139"/>
      <c r="GLO114" s="139"/>
      <c r="GLP114" s="139"/>
      <c r="GLQ114" s="139"/>
      <c r="GLR114" s="139"/>
      <c r="GLS114" s="139"/>
      <c r="GLT114" s="139"/>
      <c r="GLU114" s="139"/>
      <c r="GLV114" s="139"/>
      <c r="GLW114" s="139"/>
      <c r="GLX114" s="139"/>
      <c r="GLY114" s="139"/>
      <c r="GLZ114" s="139"/>
      <c r="GMA114" s="139"/>
      <c r="GMB114" s="139"/>
      <c r="GMC114" s="139"/>
      <c r="GMD114" s="139"/>
      <c r="GME114" s="139"/>
      <c r="GMF114" s="139"/>
      <c r="GMG114" s="139"/>
      <c r="GMH114" s="139"/>
      <c r="GMI114" s="139"/>
      <c r="GMJ114" s="139"/>
      <c r="GMK114" s="139"/>
      <c r="GML114" s="139"/>
      <c r="GMM114" s="139"/>
      <c r="GMN114" s="139"/>
      <c r="GMO114" s="139"/>
      <c r="GMP114" s="139"/>
      <c r="GMQ114" s="139"/>
      <c r="GMR114" s="139"/>
      <c r="GMS114" s="139"/>
      <c r="GMT114" s="139"/>
      <c r="GMU114" s="139"/>
      <c r="GMV114" s="139"/>
      <c r="GMW114" s="139"/>
      <c r="GMX114" s="139"/>
      <c r="GMY114" s="139"/>
      <c r="GMZ114" s="139"/>
      <c r="GNA114" s="139"/>
      <c r="GNB114" s="139"/>
      <c r="GNC114" s="139"/>
      <c r="GND114" s="139"/>
      <c r="GNE114" s="139"/>
      <c r="GNF114" s="139"/>
      <c r="GNG114" s="139"/>
      <c r="GNH114" s="139"/>
      <c r="GNI114" s="139"/>
      <c r="GNJ114" s="139"/>
      <c r="GNK114" s="139"/>
      <c r="GNL114" s="139"/>
      <c r="GNM114" s="139"/>
      <c r="GNN114" s="139"/>
      <c r="GNO114" s="139"/>
      <c r="GNP114" s="139"/>
      <c r="GNQ114" s="139"/>
      <c r="GNR114" s="139"/>
      <c r="GNS114" s="139"/>
      <c r="GNT114" s="139"/>
      <c r="GNU114" s="139"/>
      <c r="GNV114" s="139"/>
      <c r="GNW114" s="139"/>
      <c r="GNX114" s="139"/>
      <c r="GNY114" s="139"/>
      <c r="GNZ114" s="139"/>
      <c r="GOA114" s="139"/>
      <c r="GOB114" s="139"/>
      <c r="GOC114" s="139"/>
      <c r="GOD114" s="139"/>
      <c r="GOE114" s="139"/>
      <c r="GOF114" s="139"/>
      <c r="GOG114" s="139"/>
      <c r="GOH114" s="139"/>
      <c r="GOI114" s="139"/>
      <c r="GOJ114" s="139"/>
      <c r="GOK114" s="139"/>
      <c r="GOL114" s="139"/>
      <c r="GOM114" s="139"/>
      <c r="GON114" s="139"/>
      <c r="GOO114" s="139"/>
      <c r="GOP114" s="139"/>
      <c r="GOQ114" s="139"/>
      <c r="GOR114" s="139"/>
      <c r="GOS114" s="139"/>
      <c r="GOT114" s="139"/>
      <c r="GOU114" s="139"/>
      <c r="GOV114" s="139"/>
      <c r="GOW114" s="139"/>
      <c r="GOX114" s="139"/>
      <c r="GOY114" s="139"/>
      <c r="GOZ114" s="139"/>
      <c r="GPA114" s="139"/>
      <c r="GPB114" s="139"/>
      <c r="GPC114" s="139"/>
      <c r="GPD114" s="139"/>
      <c r="GPE114" s="139"/>
      <c r="GPF114" s="139"/>
      <c r="GPG114" s="139"/>
      <c r="GPH114" s="139"/>
      <c r="GPI114" s="139"/>
      <c r="GPJ114" s="139"/>
      <c r="GPK114" s="139"/>
      <c r="GPL114" s="139"/>
      <c r="GPM114" s="139"/>
      <c r="GPN114" s="139"/>
      <c r="GPO114" s="139"/>
      <c r="GPP114" s="139"/>
      <c r="GPQ114" s="139"/>
      <c r="GPR114" s="139"/>
      <c r="GPS114" s="139"/>
      <c r="GPT114" s="139"/>
      <c r="GPU114" s="139"/>
      <c r="GPV114" s="139"/>
      <c r="GPW114" s="139"/>
      <c r="GPX114" s="139"/>
      <c r="GPY114" s="139"/>
      <c r="GPZ114" s="139"/>
      <c r="GQA114" s="139"/>
      <c r="GQB114" s="139"/>
      <c r="GQC114" s="139"/>
      <c r="GQD114" s="139"/>
      <c r="GQE114" s="139"/>
      <c r="GQF114" s="139"/>
      <c r="GQG114" s="139"/>
      <c r="GQH114" s="139"/>
      <c r="GQI114" s="139"/>
      <c r="GQJ114" s="139"/>
      <c r="GQK114" s="139"/>
      <c r="GQL114" s="139"/>
      <c r="GQM114" s="139"/>
      <c r="GQN114" s="139"/>
      <c r="GQO114" s="139"/>
      <c r="GQP114" s="139"/>
      <c r="GQQ114" s="139"/>
      <c r="GQR114" s="139"/>
      <c r="GQS114" s="139"/>
      <c r="GQT114" s="139"/>
      <c r="GQU114" s="139"/>
      <c r="GQV114" s="139"/>
      <c r="GQW114" s="139"/>
      <c r="GQX114" s="139"/>
      <c r="GQY114" s="139"/>
      <c r="GQZ114" s="139"/>
      <c r="GRA114" s="139"/>
      <c r="GRB114" s="139"/>
      <c r="GRC114" s="139"/>
      <c r="GRD114" s="139"/>
      <c r="GRE114" s="139"/>
      <c r="GRF114" s="139"/>
      <c r="GRG114" s="139"/>
      <c r="GRH114" s="139"/>
      <c r="GRI114" s="139"/>
      <c r="GRJ114" s="139"/>
      <c r="GRK114" s="139"/>
      <c r="GRL114" s="139"/>
      <c r="GRM114" s="139"/>
      <c r="GRN114" s="139"/>
      <c r="GRO114" s="139"/>
      <c r="GRP114" s="139"/>
      <c r="GRQ114" s="139"/>
      <c r="GRR114" s="139"/>
      <c r="GRS114" s="139"/>
      <c r="GRT114" s="139"/>
      <c r="GRU114" s="139"/>
      <c r="GRV114" s="139"/>
      <c r="GRW114" s="139"/>
      <c r="GRX114" s="139"/>
      <c r="GRY114" s="139"/>
      <c r="GRZ114" s="139"/>
      <c r="GSA114" s="139"/>
      <c r="GSB114" s="139"/>
      <c r="GSC114" s="139"/>
      <c r="GSD114" s="139"/>
      <c r="GSE114" s="139"/>
      <c r="GSF114" s="139"/>
      <c r="GSG114" s="139"/>
      <c r="GSH114" s="139"/>
      <c r="GSI114" s="139"/>
      <c r="GSJ114" s="139"/>
      <c r="GSK114" s="139"/>
      <c r="GSL114" s="139"/>
      <c r="GSM114" s="139"/>
      <c r="GSN114" s="139"/>
      <c r="GSO114" s="139"/>
      <c r="GSP114" s="139"/>
      <c r="GSQ114" s="139"/>
      <c r="GSR114" s="139"/>
      <c r="GSS114" s="139"/>
      <c r="GST114" s="139"/>
      <c r="GSU114" s="139"/>
      <c r="GSV114" s="139"/>
      <c r="GSW114" s="139"/>
      <c r="GSX114" s="139"/>
      <c r="GSY114" s="139"/>
      <c r="GSZ114" s="139"/>
      <c r="GTA114" s="139"/>
      <c r="GTB114" s="139"/>
      <c r="GTC114" s="139"/>
      <c r="GTD114" s="139"/>
      <c r="GTE114" s="139"/>
      <c r="GTF114" s="139"/>
      <c r="GTG114" s="139"/>
      <c r="GTH114" s="139"/>
      <c r="GTI114" s="139"/>
      <c r="GTJ114" s="139"/>
      <c r="GTK114" s="139"/>
      <c r="GTL114" s="139"/>
      <c r="GTM114" s="139"/>
      <c r="GTN114" s="139"/>
      <c r="GTO114" s="139"/>
      <c r="GTP114" s="139"/>
      <c r="GTQ114" s="139"/>
      <c r="GTR114" s="139"/>
      <c r="GTS114" s="139"/>
      <c r="GTT114" s="139"/>
      <c r="GTU114" s="139"/>
      <c r="GTV114" s="139"/>
      <c r="GTW114" s="139"/>
      <c r="GTX114" s="139"/>
      <c r="GTY114" s="139"/>
      <c r="GTZ114" s="139"/>
      <c r="GUA114" s="139"/>
      <c r="GUB114" s="139"/>
      <c r="GUC114" s="139"/>
      <c r="GUD114" s="139"/>
      <c r="GUE114" s="139"/>
      <c r="GUF114" s="139"/>
      <c r="GUG114" s="139"/>
      <c r="GUH114" s="139"/>
      <c r="GUI114" s="139"/>
      <c r="GUJ114" s="139"/>
      <c r="GUK114" s="139"/>
      <c r="GUL114" s="139"/>
      <c r="GUM114" s="139"/>
      <c r="GUN114" s="139"/>
      <c r="GUO114" s="139"/>
      <c r="GUP114" s="139"/>
      <c r="GUQ114" s="139"/>
      <c r="GUR114" s="139"/>
      <c r="GUS114" s="139"/>
      <c r="GUT114" s="139"/>
      <c r="GUU114" s="139"/>
      <c r="GUV114" s="139"/>
      <c r="GUW114" s="139"/>
      <c r="GUX114" s="139"/>
      <c r="GUY114" s="139"/>
      <c r="GUZ114" s="139"/>
      <c r="GVA114" s="139"/>
      <c r="GVB114" s="139"/>
      <c r="GVC114" s="139"/>
      <c r="GVD114" s="139"/>
      <c r="GVE114" s="139"/>
      <c r="GVF114" s="139"/>
      <c r="GVG114" s="139"/>
      <c r="GVH114" s="139"/>
      <c r="GVI114" s="139"/>
      <c r="GVJ114" s="139"/>
      <c r="GVK114" s="139"/>
      <c r="GVL114" s="139"/>
      <c r="GVM114" s="139"/>
      <c r="GVN114" s="139"/>
      <c r="GVO114" s="139"/>
      <c r="GVP114" s="139"/>
      <c r="GVQ114" s="139"/>
      <c r="GVR114" s="139"/>
      <c r="GVS114" s="139"/>
      <c r="GVT114" s="139"/>
      <c r="GVU114" s="139"/>
      <c r="GVV114" s="139"/>
      <c r="GVW114" s="139"/>
      <c r="GVX114" s="139"/>
      <c r="GVY114" s="139"/>
      <c r="GVZ114" s="139"/>
      <c r="GWA114" s="139"/>
      <c r="GWB114" s="139"/>
      <c r="GWC114" s="139"/>
      <c r="GWD114" s="139"/>
      <c r="GWE114" s="139"/>
      <c r="GWF114" s="139"/>
      <c r="GWG114" s="139"/>
      <c r="GWH114" s="139"/>
      <c r="GWI114" s="139"/>
      <c r="GWJ114" s="139"/>
      <c r="GWK114" s="139"/>
      <c r="GWL114" s="139"/>
      <c r="GWM114" s="139"/>
      <c r="GWN114" s="139"/>
      <c r="GWO114" s="139"/>
      <c r="GWP114" s="139"/>
      <c r="GWQ114" s="139"/>
      <c r="GWR114" s="139"/>
      <c r="GWS114" s="139"/>
      <c r="GWT114" s="139"/>
      <c r="GWU114" s="139"/>
      <c r="GWV114" s="139"/>
      <c r="GWW114" s="139"/>
      <c r="GWX114" s="139"/>
      <c r="GWY114" s="139"/>
      <c r="GWZ114" s="139"/>
      <c r="GXA114" s="139"/>
      <c r="GXB114" s="139"/>
      <c r="GXC114" s="139"/>
      <c r="GXD114" s="139"/>
      <c r="GXE114" s="139"/>
      <c r="GXF114" s="139"/>
      <c r="GXG114" s="139"/>
      <c r="GXH114" s="139"/>
      <c r="GXI114" s="139"/>
      <c r="GXJ114" s="139"/>
      <c r="GXK114" s="139"/>
      <c r="GXL114" s="139"/>
      <c r="GXM114" s="139"/>
      <c r="GXN114" s="139"/>
      <c r="GXO114" s="139"/>
      <c r="GXP114" s="139"/>
      <c r="GXQ114" s="139"/>
      <c r="GXR114" s="139"/>
      <c r="GXS114" s="139"/>
      <c r="GXT114" s="139"/>
      <c r="GXU114" s="139"/>
      <c r="GXV114" s="139"/>
      <c r="GXW114" s="139"/>
      <c r="GXX114" s="139"/>
      <c r="GXY114" s="139"/>
      <c r="GXZ114" s="139"/>
      <c r="GYA114" s="139"/>
      <c r="GYB114" s="139"/>
      <c r="GYC114" s="139"/>
      <c r="GYD114" s="139"/>
      <c r="GYE114" s="139"/>
      <c r="GYF114" s="139"/>
      <c r="GYG114" s="139"/>
      <c r="GYH114" s="139"/>
      <c r="GYI114" s="139"/>
      <c r="GYJ114" s="139"/>
      <c r="GYK114" s="139"/>
      <c r="GYL114" s="139"/>
      <c r="GYM114" s="139"/>
      <c r="GYN114" s="139"/>
      <c r="GYO114" s="139"/>
      <c r="GYP114" s="139"/>
      <c r="GYQ114" s="139"/>
      <c r="GYR114" s="139"/>
      <c r="GYS114" s="139"/>
      <c r="GYT114" s="139"/>
      <c r="GYU114" s="139"/>
      <c r="GYV114" s="139"/>
      <c r="GYW114" s="139"/>
      <c r="GYX114" s="139"/>
      <c r="GYY114" s="139"/>
      <c r="GYZ114" s="139"/>
      <c r="GZA114" s="139"/>
      <c r="GZB114" s="139"/>
      <c r="GZC114" s="139"/>
      <c r="GZD114" s="139"/>
      <c r="GZE114" s="139"/>
      <c r="GZF114" s="139"/>
      <c r="GZG114" s="139"/>
      <c r="GZH114" s="139"/>
      <c r="GZI114" s="139"/>
      <c r="GZJ114" s="139"/>
      <c r="GZK114" s="139"/>
      <c r="GZL114" s="139"/>
      <c r="GZM114" s="139"/>
      <c r="GZN114" s="139"/>
      <c r="GZO114" s="139"/>
      <c r="GZP114" s="139"/>
      <c r="GZQ114" s="139"/>
      <c r="GZR114" s="139"/>
      <c r="GZS114" s="139"/>
      <c r="GZT114" s="139"/>
      <c r="GZU114" s="139"/>
      <c r="GZV114" s="139"/>
      <c r="GZW114" s="139"/>
      <c r="GZX114" s="139"/>
      <c r="GZY114" s="139"/>
      <c r="GZZ114" s="139"/>
      <c r="HAA114" s="139"/>
      <c r="HAB114" s="139"/>
      <c r="HAC114" s="139"/>
      <c r="HAD114" s="139"/>
      <c r="HAE114" s="139"/>
      <c r="HAF114" s="139"/>
      <c r="HAG114" s="139"/>
      <c r="HAH114" s="139"/>
      <c r="HAI114" s="139"/>
      <c r="HAJ114" s="139"/>
      <c r="HAK114" s="139"/>
      <c r="HAL114" s="139"/>
      <c r="HAM114" s="139"/>
      <c r="HAN114" s="139"/>
      <c r="HAO114" s="139"/>
      <c r="HAP114" s="139"/>
      <c r="HAQ114" s="139"/>
      <c r="HAR114" s="139"/>
      <c r="HAS114" s="139"/>
      <c r="HAT114" s="139"/>
      <c r="HAU114" s="139"/>
      <c r="HAV114" s="139"/>
      <c r="HAW114" s="139"/>
      <c r="HAX114" s="139"/>
      <c r="HAY114" s="139"/>
      <c r="HAZ114" s="139"/>
      <c r="HBA114" s="139"/>
      <c r="HBB114" s="139"/>
      <c r="HBC114" s="139"/>
      <c r="HBD114" s="139"/>
      <c r="HBE114" s="139"/>
      <c r="HBF114" s="139"/>
      <c r="HBG114" s="139"/>
      <c r="HBH114" s="139"/>
      <c r="HBI114" s="139"/>
      <c r="HBJ114" s="139"/>
      <c r="HBK114" s="139"/>
      <c r="HBL114" s="139"/>
      <c r="HBM114" s="139"/>
      <c r="HBN114" s="139"/>
      <c r="HBO114" s="139"/>
      <c r="HBP114" s="139"/>
      <c r="HBQ114" s="139"/>
      <c r="HBR114" s="139"/>
      <c r="HBS114" s="139"/>
      <c r="HBT114" s="139"/>
      <c r="HBU114" s="139"/>
      <c r="HBV114" s="139"/>
      <c r="HBW114" s="139"/>
      <c r="HBX114" s="139"/>
      <c r="HBY114" s="139"/>
      <c r="HBZ114" s="139"/>
      <c r="HCA114" s="139"/>
      <c r="HCB114" s="139"/>
      <c r="HCC114" s="139"/>
      <c r="HCD114" s="139"/>
      <c r="HCE114" s="139"/>
      <c r="HCF114" s="139"/>
      <c r="HCG114" s="139"/>
      <c r="HCH114" s="139"/>
      <c r="HCI114" s="139"/>
      <c r="HCJ114" s="139"/>
      <c r="HCK114" s="139"/>
      <c r="HCL114" s="139"/>
      <c r="HCM114" s="139"/>
      <c r="HCN114" s="139"/>
      <c r="HCO114" s="139"/>
      <c r="HCP114" s="139"/>
      <c r="HCQ114" s="139"/>
      <c r="HCR114" s="139"/>
      <c r="HCS114" s="139"/>
      <c r="HCT114" s="139"/>
      <c r="HCU114" s="139"/>
      <c r="HCV114" s="139"/>
      <c r="HCW114" s="139"/>
      <c r="HCX114" s="139"/>
      <c r="HCY114" s="139"/>
      <c r="HCZ114" s="139"/>
      <c r="HDA114" s="139"/>
      <c r="HDB114" s="139"/>
      <c r="HDC114" s="139"/>
      <c r="HDD114" s="139"/>
      <c r="HDE114" s="139"/>
      <c r="HDF114" s="139"/>
      <c r="HDG114" s="139"/>
      <c r="HDH114" s="139"/>
      <c r="HDI114" s="139"/>
      <c r="HDJ114" s="139"/>
      <c r="HDK114" s="139"/>
      <c r="HDL114" s="139"/>
      <c r="HDM114" s="139"/>
      <c r="HDN114" s="139"/>
      <c r="HDO114" s="139"/>
      <c r="HDP114" s="139"/>
      <c r="HDQ114" s="139"/>
      <c r="HDR114" s="139"/>
      <c r="HDS114" s="139"/>
      <c r="HDT114" s="139"/>
      <c r="HDU114" s="139"/>
      <c r="HDV114" s="139"/>
      <c r="HDW114" s="139"/>
      <c r="HDX114" s="139"/>
      <c r="HDY114" s="139"/>
      <c r="HDZ114" s="139"/>
      <c r="HEA114" s="139"/>
      <c r="HEB114" s="139"/>
      <c r="HEC114" s="139"/>
      <c r="HED114" s="139"/>
      <c r="HEE114" s="139"/>
      <c r="HEF114" s="139"/>
      <c r="HEG114" s="139"/>
      <c r="HEH114" s="139"/>
      <c r="HEI114" s="139"/>
      <c r="HEJ114" s="139"/>
      <c r="HEK114" s="139"/>
      <c r="HEL114" s="139"/>
      <c r="HEM114" s="139"/>
      <c r="HEN114" s="139"/>
      <c r="HEO114" s="139"/>
      <c r="HEP114" s="139"/>
      <c r="HEQ114" s="139"/>
      <c r="HER114" s="139"/>
      <c r="HES114" s="139"/>
      <c r="HET114" s="139"/>
      <c r="HEU114" s="139"/>
      <c r="HEV114" s="139"/>
      <c r="HEW114" s="139"/>
      <c r="HEX114" s="139"/>
      <c r="HEY114" s="139"/>
      <c r="HEZ114" s="139"/>
      <c r="HFA114" s="139"/>
      <c r="HFB114" s="139"/>
      <c r="HFC114" s="139"/>
      <c r="HFD114" s="139"/>
      <c r="HFE114" s="139"/>
      <c r="HFF114" s="139"/>
      <c r="HFG114" s="139"/>
      <c r="HFH114" s="139"/>
      <c r="HFI114" s="139"/>
      <c r="HFJ114" s="139"/>
      <c r="HFK114" s="139"/>
      <c r="HFL114" s="139"/>
      <c r="HFM114" s="139"/>
      <c r="HFN114" s="139"/>
      <c r="HFO114" s="139"/>
      <c r="HFP114" s="139"/>
      <c r="HFQ114" s="139"/>
      <c r="HFR114" s="139"/>
      <c r="HFS114" s="139"/>
      <c r="HFT114" s="139"/>
      <c r="HFU114" s="139"/>
      <c r="HFV114" s="139"/>
      <c r="HFW114" s="139"/>
      <c r="HFX114" s="139"/>
      <c r="HFY114" s="139"/>
      <c r="HFZ114" s="139"/>
      <c r="HGA114" s="139"/>
      <c r="HGB114" s="139"/>
      <c r="HGC114" s="139"/>
      <c r="HGD114" s="139"/>
      <c r="HGE114" s="139"/>
      <c r="HGF114" s="139"/>
      <c r="HGG114" s="139"/>
      <c r="HGH114" s="139"/>
      <c r="HGI114" s="139"/>
      <c r="HGJ114" s="139"/>
      <c r="HGK114" s="139"/>
      <c r="HGL114" s="139"/>
      <c r="HGM114" s="139"/>
      <c r="HGN114" s="139"/>
      <c r="HGO114" s="139"/>
      <c r="HGP114" s="139"/>
      <c r="HGQ114" s="139"/>
      <c r="HGR114" s="139"/>
      <c r="HGS114" s="139"/>
      <c r="HGT114" s="139"/>
      <c r="HGU114" s="139"/>
      <c r="HGV114" s="139"/>
      <c r="HGW114" s="139"/>
      <c r="HGX114" s="139"/>
      <c r="HGY114" s="139"/>
      <c r="HGZ114" s="139"/>
      <c r="HHA114" s="139"/>
      <c r="HHB114" s="139"/>
      <c r="HHC114" s="139"/>
      <c r="HHD114" s="139"/>
      <c r="HHE114" s="139"/>
      <c r="HHF114" s="139"/>
      <c r="HHG114" s="139"/>
      <c r="HHH114" s="139"/>
      <c r="HHI114" s="139"/>
      <c r="HHJ114" s="139"/>
      <c r="HHK114" s="139"/>
      <c r="HHL114" s="139"/>
      <c r="HHM114" s="139"/>
      <c r="HHN114" s="139"/>
      <c r="HHO114" s="139"/>
      <c r="HHP114" s="139"/>
      <c r="HHQ114" s="139"/>
      <c r="HHR114" s="139"/>
      <c r="HHS114" s="139"/>
      <c r="HHT114" s="139"/>
      <c r="HHU114" s="139"/>
      <c r="HHV114" s="139"/>
      <c r="HHW114" s="139"/>
      <c r="HHX114" s="139"/>
      <c r="HHY114" s="139"/>
      <c r="HHZ114" s="139"/>
      <c r="HIA114" s="139"/>
      <c r="HIB114" s="139"/>
      <c r="HIC114" s="139"/>
      <c r="HID114" s="139"/>
      <c r="HIE114" s="139"/>
      <c r="HIF114" s="139"/>
      <c r="HIG114" s="139"/>
      <c r="HIH114" s="139"/>
      <c r="HII114" s="139"/>
      <c r="HIJ114" s="139"/>
      <c r="HIK114" s="139"/>
      <c r="HIL114" s="139"/>
      <c r="HIM114" s="139"/>
      <c r="HIN114" s="139"/>
      <c r="HIO114" s="139"/>
      <c r="HIP114" s="139"/>
      <c r="HIQ114" s="139"/>
      <c r="HIR114" s="139"/>
      <c r="HIS114" s="139"/>
      <c r="HIT114" s="139"/>
      <c r="HIU114" s="139"/>
      <c r="HIV114" s="139"/>
      <c r="HIW114" s="139"/>
      <c r="HIX114" s="139"/>
      <c r="HIY114" s="139"/>
      <c r="HIZ114" s="139"/>
      <c r="HJA114" s="139"/>
      <c r="HJB114" s="139"/>
      <c r="HJC114" s="139"/>
      <c r="HJD114" s="139"/>
      <c r="HJE114" s="139"/>
      <c r="HJF114" s="139"/>
      <c r="HJG114" s="139"/>
      <c r="HJH114" s="139"/>
      <c r="HJI114" s="139"/>
      <c r="HJJ114" s="139"/>
      <c r="HJK114" s="139"/>
      <c r="HJL114" s="139"/>
      <c r="HJM114" s="139"/>
      <c r="HJN114" s="139"/>
      <c r="HJO114" s="139"/>
      <c r="HJP114" s="139"/>
      <c r="HJQ114" s="139"/>
      <c r="HJR114" s="139"/>
      <c r="HJS114" s="139"/>
      <c r="HJT114" s="139"/>
      <c r="HJU114" s="139"/>
      <c r="HJV114" s="139"/>
      <c r="HJW114" s="139"/>
      <c r="HJX114" s="139"/>
      <c r="HJY114" s="139"/>
      <c r="HJZ114" s="139"/>
      <c r="HKA114" s="139"/>
      <c r="HKB114" s="139"/>
      <c r="HKC114" s="139"/>
      <c r="HKD114" s="139"/>
      <c r="HKE114" s="139"/>
      <c r="HKF114" s="139"/>
      <c r="HKG114" s="139"/>
      <c r="HKH114" s="139"/>
      <c r="HKI114" s="139"/>
      <c r="HKJ114" s="139"/>
      <c r="HKK114" s="139"/>
      <c r="HKL114" s="139"/>
      <c r="HKM114" s="139"/>
      <c r="HKN114" s="139"/>
      <c r="HKO114" s="139"/>
      <c r="HKP114" s="139"/>
      <c r="HKQ114" s="139"/>
      <c r="HKR114" s="139"/>
      <c r="HKS114" s="139"/>
      <c r="HKT114" s="139"/>
      <c r="HKU114" s="139"/>
      <c r="HKV114" s="139"/>
      <c r="HKW114" s="139"/>
      <c r="HKX114" s="139"/>
      <c r="HKY114" s="139"/>
      <c r="HKZ114" s="139"/>
      <c r="HLA114" s="139"/>
      <c r="HLB114" s="139"/>
      <c r="HLC114" s="139"/>
      <c r="HLD114" s="139"/>
      <c r="HLE114" s="139"/>
      <c r="HLF114" s="139"/>
      <c r="HLG114" s="139"/>
      <c r="HLH114" s="139"/>
      <c r="HLI114" s="139"/>
      <c r="HLJ114" s="139"/>
      <c r="HLK114" s="139"/>
      <c r="HLL114" s="139"/>
      <c r="HLM114" s="139"/>
      <c r="HLN114" s="139"/>
      <c r="HLO114" s="139"/>
      <c r="HLP114" s="139"/>
      <c r="HLQ114" s="139"/>
      <c r="HLR114" s="139"/>
      <c r="HLS114" s="139"/>
      <c r="HLT114" s="139"/>
      <c r="HLU114" s="139"/>
      <c r="HLV114" s="139"/>
      <c r="HLW114" s="139"/>
      <c r="HLX114" s="139"/>
      <c r="HLY114" s="139"/>
      <c r="HLZ114" s="139"/>
      <c r="HMA114" s="139"/>
      <c r="HMB114" s="139"/>
      <c r="HMC114" s="139"/>
      <c r="HMD114" s="139"/>
      <c r="HME114" s="139"/>
      <c r="HMF114" s="139"/>
      <c r="HMG114" s="139"/>
      <c r="HMH114" s="139"/>
      <c r="HMI114" s="139"/>
      <c r="HMJ114" s="139"/>
      <c r="HMK114" s="139"/>
      <c r="HML114" s="139"/>
      <c r="HMM114" s="139"/>
      <c r="HMN114" s="139"/>
      <c r="HMO114" s="139"/>
      <c r="HMP114" s="139"/>
      <c r="HMQ114" s="139"/>
      <c r="HMR114" s="139"/>
      <c r="HMS114" s="139"/>
      <c r="HMT114" s="139"/>
      <c r="HMU114" s="139"/>
      <c r="HMV114" s="139"/>
      <c r="HMW114" s="139"/>
      <c r="HMX114" s="139"/>
      <c r="HMY114" s="139"/>
      <c r="HMZ114" s="139"/>
      <c r="HNA114" s="139"/>
      <c r="HNB114" s="139"/>
      <c r="HNC114" s="139"/>
      <c r="HND114" s="139"/>
      <c r="HNE114" s="139"/>
      <c r="HNF114" s="139"/>
      <c r="HNG114" s="139"/>
      <c r="HNH114" s="139"/>
      <c r="HNI114" s="139"/>
      <c r="HNJ114" s="139"/>
      <c r="HNK114" s="139"/>
      <c r="HNL114" s="139"/>
      <c r="HNM114" s="139"/>
      <c r="HNN114" s="139"/>
      <c r="HNO114" s="139"/>
      <c r="HNP114" s="139"/>
      <c r="HNQ114" s="139"/>
      <c r="HNR114" s="139"/>
      <c r="HNS114" s="139"/>
      <c r="HNT114" s="139"/>
      <c r="HNU114" s="139"/>
      <c r="HNV114" s="139"/>
      <c r="HNW114" s="139"/>
      <c r="HNX114" s="139"/>
      <c r="HNY114" s="139"/>
      <c r="HNZ114" s="139"/>
      <c r="HOA114" s="139"/>
      <c r="HOB114" s="139"/>
      <c r="HOC114" s="139"/>
      <c r="HOD114" s="139"/>
      <c r="HOE114" s="139"/>
      <c r="HOF114" s="139"/>
      <c r="HOG114" s="139"/>
      <c r="HOH114" s="139"/>
      <c r="HOI114" s="139"/>
      <c r="HOJ114" s="139"/>
      <c r="HOK114" s="139"/>
      <c r="HOL114" s="139"/>
      <c r="HOM114" s="139"/>
      <c r="HON114" s="139"/>
      <c r="HOO114" s="139"/>
      <c r="HOP114" s="139"/>
      <c r="HOQ114" s="139"/>
      <c r="HOR114" s="139"/>
      <c r="HOS114" s="139"/>
      <c r="HOT114" s="139"/>
      <c r="HOU114" s="139"/>
      <c r="HOV114" s="139"/>
      <c r="HOW114" s="139"/>
      <c r="HOX114" s="139"/>
      <c r="HOY114" s="139"/>
      <c r="HOZ114" s="139"/>
      <c r="HPA114" s="139"/>
      <c r="HPB114" s="139"/>
      <c r="HPC114" s="139"/>
      <c r="HPD114" s="139"/>
      <c r="HPE114" s="139"/>
      <c r="HPF114" s="139"/>
      <c r="HPG114" s="139"/>
      <c r="HPH114" s="139"/>
      <c r="HPI114" s="139"/>
      <c r="HPJ114" s="139"/>
      <c r="HPK114" s="139"/>
      <c r="HPL114" s="139"/>
      <c r="HPM114" s="139"/>
      <c r="HPN114" s="139"/>
      <c r="HPO114" s="139"/>
      <c r="HPP114" s="139"/>
      <c r="HPQ114" s="139"/>
      <c r="HPR114" s="139"/>
      <c r="HPS114" s="139"/>
      <c r="HPT114" s="139"/>
      <c r="HPU114" s="139"/>
      <c r="HPV114" s="139"/>
      <c r="HPW114" s="139"/>
      <c r="HPX114" s="139"/>
      <c r="HPY114" s="139"/>
      <c r="HPZ114" s="139"/>
      <c r="HQA114" s="139"/>
      <c r="HQB114" s="139"/>
      <c r="HQC114" s="139"/>
      <c r="HQD114" s="139"/>
      <c r="HQE114" s="139"/>
      <c r="HQF114" s="139"/>
      <c r="HQG114" s="139"/>
      <c r="HQH114" s="139"/>
      <c r="HQI114" s="139"/>
      <c r="HQJ114" s="139"/>
      <c r="HQK114" s="139"/>
      <c r="HQL114" s="139"/>
      <c r="HQM114" s="139"/>
      <c r="HQN114" s="139"/>
      <c r="HQO114" s="139"/>
      <c r="HQP114" s="139"/>
      <c r="HQQ114" s="139"/>
      <c r="HQR114" s="139"/>
      <c r="HQS114" s="139"/>
      <c r="HQT114" s="139"/>
      <c r="HQU114" s="139"/>
      <c r="HQV114" s="139"/>
      <c r="HQW114" s="139"/>
      <c r="HQX114" s="139"/>
      <c r="HQY114" s="139"/>
      <c r="HQZ114" s="139"/>
      <c r="HRA114" s="139"/>
      <c r="HRB114" s="139"/>
      <c r="HRC114" s="139"/>
      <c r="HRD114" s="139"/>
      <c r="HRE114" s="139"/>
      <c r="HRF114" s="139"/>
      <c r="HRG114" s="139"/>
      <c r="HRH114" s="139"/>
      <c r="HRI114" s="139"/>
      <c r="HRJ114" s="139"/>
      <c r="HRK114" s="139"/>
      <c r="HRL114" s="139"/>
      <c r="HRM114" s="139"/>
      <c r="HRN114" s="139"/>
      <c r="HRO114" s="139"/>
      <c r="HRP114" s="139"/>
      <c r="HRQ114" s="139"/>
      <c r="HRR114" s="139"/>
      <c r="HRS114" s="139"/>
      <c r="HRT114" s="139"/>
      <c r="HRU114" s="139"/>
      <c r="HRV114" s="139"/>
      <c r="HRW114" s="139"/>
      <c r="HRX114" s="139"/>
      <c r="HRY114" s="139"/>
      <c r="HRZ114" s="139"/>
      <c r="HSA114" s="139"/>
      <c r="HSB114" s="139"/>
      <c r="HSC114" s="139"/>
      <c r="HSD114" s="139"/>
      <c r="HSE114" s="139"/>
      <c r="HSF114" s="139"/>
      <c r="HSG114" s="139"/>
      <c r="HSH114" s="139"/>
      <c r="HSI114" s="139"/>
      <c r="HSJ114" s="139"/>
      <c r="HSK114" s="139"/>
      <c r="HSL114" s="139"/>
      <c r="HSM114" s="139"/>
      <c r="HSN114" s="139"/>
      <c r="HSO114" s="139"/>
      <c r="HSP114" s="139"/>
      <c r="HSQ114" s="139"/>
      <c r="HSR114" s="139"/>
      <c r="HSS114" s="139"/>
      <c r="HST114" s="139"/>
      <c r="HSU114" s="139"/>
      <c r="HSV114" s="139"/>
      <c r="HSW114" s="139"/>
      <c r="HSX114" s="139"/>
      <c r="HSY114" s="139"/>
      <c r="HSZ114" s="139"/>
      <c r="HTA114" s="139"/>
      <c r="HTB114" s="139"/>
      <c r="HTC114" s="139"/>
      <c r="HTD114" s="139"/>
      <c r="HTE114" s="139"/>
      <c r="HTF114" s="139"/>
      <c r="HTG114" s="139"/>
      <c r="HTH114" s="139"/>
      <c r="HTI114" s="139"/>
      <c r="HTJ114" s="139"/>
      <c r="HTK114" s="139"/>
      <c r="HTL114" s="139"/>
      <c r="HTM114" s="139"/>
      <c r="HTN114" s="139"/>
      <c r="HTO114" s="139"/>
      <c r="HTP114" s="139"/>
      <c r="HTQ114" s="139"/>
      <c r="HTR114" s="139"/>
      <c r="HTS114" s="139"/>
      <c r="HTT114" s="139"/>
      <c r="HTU114" s="139"/>
      <c r="HTV114" s="139"/>
      <c r="HTW114" s="139"/>
      <c r="HTX114" s="139"/>
      <c r="HTY114" s="139"/>
      <c r="HTZ114" s="139"/>
      <c r="HUA114" s="139"/>
      <c r="HUB114" s="139"/>
      <c r="HUC114" s="139"/>
      <c r="HUD114" s="139"/>
      <c r="HUE114" s="139"/>
      <c r="HUF114" s="139"/>
      <c r="HUG114" s="139"/>
      <c r="HUH114" s="139"/>
      <c r="HUI114" s="139"/>
      <c r="HUJ114" s="139"/>
      <c r="HUK114" s="139"/>
      <c r="HUL114" s="139"/>
      <c r="HUM114" s="139"/>
      <c r="HUN114" s="139"/>
      <c r="HUO114" s="139"/>
      <c r="HUP114" s="139"/>
      <c r="HUQ114" s="139"/>
      <c r="HUR114" s="139"/>
      <c r="HUS114" s="139"/>
      <c r="HUT114" s="139"/>
      <c r="HUU114" s="139"/>
      <c r="HUV114" s="139"/>
      <c r="HUW114" s="139"/>
      <c r="HUX114" s="139"/>
      <c r="HUY114" s="139"/>
      <c r="HUZ114" s="139"/>
      <c r="HVA114" s="139"/>
      <c r="HVB114" s="139"/>
      <c r="HVC114" s="139"/>
      <c r="HVD114" s="139"/>
      <c r="HVE114" s="139"/>
      <c r="HVF114" s="139"/>
      <c r="HVG114" s="139"/>
      <c r="HVH114" s="139"/>
      <c r="HVI114" s="139"/>
      <c r="HVJ114" s="139"/>
      <c r="HVK114" s="139"/>
      <c r="HVL114" s="139"/>
      <c r="HVM114" s="139"/>
      <c r="HVN114" s="139"/>
      <c r="HVO114" s="139"/>
      <c r="HVP114" s="139"/>
      <c r="HVQ114" s="139"/>
      <c r="HVR114" s="139"/>
      <c r="HVS114" s="139"/>
      <c r="HVT114" s="139"/>
      <c r="HVU114" s="139"/>
      <c r="HVV114" s="139"/>
      <c r="HVW114" s="139"/>
      <c r="HVX114" s="139"/>
      <c r="HVY114" s="139"/>
      <c r="HVZ114" s="139"/>
      <c r="HWA114" s="139"/>
      <c r="HWB114" s="139"/>
      <c r="HWC114" s="139"/>
      <c r="HWD114" s="139"/>
      <c r="HWE114" s="139"/>
      <c r="HWF114" s="139"/>
      <c r="HWG114" s="139"/>
      <c r="HWH114" s="139"/>
      <c r="HWI114" s="139"/>
      <c r="HWJ114" s="139"/>
      <c r="HWK114" s="139"/>
      <c r="HWL114" s="139"/>
      <c r="HWM114" s="139"/>
      <c r="HWN114" s="139"/>
      <c r="HWO114" s="139"/>
      <c r="HWP114" s="139"/>
      <c r="HWQ114" s="139"/>
      <c r="HWR114" s="139"/>
      <c r="HWS114" s="139"/>
      <c r="HWT114" s="139"/>
      <c r="HWU114" s="139"/>
      <c r="HWV114" s="139"/>
      <c r="HWW114" s="139"/>
      <c r="HWX114" s="139"/>
      <c r="HWY114" s="139"/>
      <c r="HWZ114" s="139"/>
      <c r="HXA114" s="139"/>
      <c r="HXB114" s="139"/>
      <c r="HXC114" s="139"/>
      <c r="HXD114" s="139"/>
      <c r="HXE114" s="139"/>
      <c r="HXF114" s="139"/>
      <c r="HXG114" s="139"/>
      <c r="HXH114" s="139"/>
      <c r="HXI114" s="139"/>
      <c r="HXJ114" s="139"/>
      <c r="HXK114" s="139"/>
      <c r="HXL114" s="139"/>
      <c r="HXM114" s="139"/>
      <c r="HXN114" s="139"/>
      <c r="HXO114" s="139"/>
      <c r="HXP114" s="139"/>
      <c r="HXQ114" s="139"/>
      <c r="HXR114" s="139"/>
      <c r="HXS114" s="139"/>
      <c r="HXT114" s="139"/>
      <c r="HXU114" s="139"/>
      <c r="HXV114" s="139"/>
      <c r="HXW114" s="139"/>
      <c r="HXX114" s="139"/>
      <c r="HXY114" s="139"/>
      <c r="HXZ114" s="139"/>
      <c r="HYA114" s="139"/>
      <c r="HYB114" s="139"/>
      <c r="HYC114" s="139"/>
      <c r="HYD114" s="139"/>
      <c r="HYE114" s="139"/>
      <c r="HYF114" s="139"/>
      <c r="HYG114" s="139"/>
      <c r="HYH114" s="139"/>
      <c r="HYI114" s="139"/>
      <c r="HYJ114" s="139"/>
      <c r="HYK114" s="139"/>
      <c r="HYL114" s="139"/>
      <c r="HYM114" s="139"/>
      <c r="HYN114" s="139"/>
      <c r="HYO114" s="139"/>
      <c r="HYP114" s="139"/>
      <c r="HYQ114" s="139"/>
      <c r="HYR114" s="139"/>
      <c r="HYS114" s="139"/>
      <c r="HYT114" s="139"/>
      <c r="HYU114" s="139"/>
      <c r="HYV114" s="139"/>
      <c r="HYW114" s="139"/>
      <c r="HYX114" s="139"/>
      <c r="HYY114" s="139"/>
      <c r="HYZ114" s="139"/>
      <c r="HZA114" s="139"/>
      <c r="HZB114" s="139"/>
      <c r="HZC114" s="139"/>
      <c r="HZD114" s="139"/>
      <c r="HZE114" s="139"/>
      <c r="HZF114" s="139"/>
      <c r="HZG114" s="139"/>
      <c r="HZH114" s="139"/>
      <c r="HZI114" s="139"/>
      <c r="HZJ114" s="139"/>
      <c r="HZK114" s="139"/>
      <c r="HZL114" s="139"/>
      <c r="HZM114" s="139"/>
      <c r="HZN114" s="139"/>
      <c r="HZO114" s="139"/>
      <c r="HZP114" s="139"/>
      <c r="HZQ114" s="139"/>
      <c r="HZR114" s="139"/>
      <c r="HZS114" s="139"/>
      <c r="HZT114" s="139"/>
      <c r="HZU114" s="139"/>
      <c r="HZV114" s="139"/>
      <c r="HZW114" s="139"/>
      <c r="HZX114" s="139"/>
      <c r="HZY114" s="139"/>
      <c r="HZZ114" s="139"/>
      <c r="IAA114" s="139"/>
      <c r="IAB114" s="139"/>
      <c r="IAC114" s="139"/>
      <c r="IAD114" s="139"/>
      <c r="IAE114" s="139"/>
      <c r="IAF114" s="139"/>
      <c r="IAG114" s="139"/>
      <c r="IAH114" s="139"/>
      <c r="IAI114" s="139"/>
      <c r="IAJ114" s="139"/>
      <c r="IAK114" s="139"/>
      <c r="IAL114" s="139"/>
      <c r="IAM114" s="139"/>
      <c r="IAN114" s="139"/>
      <c r="IAO114" s="139"/>
      <c r="IAP114" s="139"/>
      <c r="IAQ114" s="139"/>
      <c r="IAR114" s="139"/>
      <c r="IAS114" s="139"/>
      <c r="IAT114" s="139"/>
      <c r="IAU114" s="139"/>
      <c r="IAV114" s="139"/>
      <c r="IAW114" s="139"/>
      <c r="IAX114" s="139"/>
      <c r="IAY114" s="139"/>
      <c r="IAZ114" s="139"/>
      <c r="IBA114" s="139"/>
      <c r="IBB114" s="139"/>
      <c r="IBC114" s="139"/>
      <c r="IBD114" s="139"/>
      <c r="IBE114" s="139"/>
      <c r="IBF114" s="139"/>
      <c r="IBG114" s="139"/>
      <c r="IBH114" s="139"/>
      <c r="IBI114" s="139"/>
      <c r="IBJ114" s="139"/>
      <c r="IBK114" s="139"/>
      <c r="IBL114" s="139"/>
      <c r="IBM114" s="139"/>
      <c r="IBN114" s="139"/>
      <c r="IBO114" s="139"/>
      <c r="IBP114" s="139"/>
      <c r="IBQ114" s="139"/>
      <c r="IBR114" s="139"/>
      <c r="IBS114" s="139"/>
      <c r="IBT114" s="139"/>
      <c r="IBU114" s="139"/>
      <c r="IBV114" s="139"/>
      <c r="IBW114" s="139"/>
      <c r="IBX114" s="139"/>
      <c r="IBY114" s="139"/>
      <c r="IBZ114" s="139"/>
      <c r="ICA114" s="139"/>
      <c r="ICB114" s="139"/>
      <c r="ICC114" s="139"/>
      <c r="ICD114" s="139"/>
      <c r="ICE114" s="139"/>
      <c r="ICF114" s="139"/>
      <c r="ICG114" s="139"/>
      <c r="ICH114" s="139"/>
      <c r="ICI114" s="139"/>
      <c r="ICJ114" s="139"/>
      <c r="ICK114" s="139"/>
      <c r="ICL114" s="139"/>
      <c r="ICM114" s="139"/>
      <c r="ICN114" s="139"/>
      <c r="ICO114" s="139"/>
      <c r="ICP114" s="139"/>
      <c r="ICQ114" s="139"/>
      <c r="ICR114" s="139"/>
      <c r="ICS114" s="139"/>
      <c r="ICT114" s="139"/>
      <c r="ICU114" s="139"/>
      <c r="ICV114" s="139"/>
      <c r="ICW114" s="139"/>
      <c r="ICX114" s="139"/>
      <c r="ICY114" s="139"/>
      <c r="ICZ114" s="139"/>
      <c r="IDA114" s="139"/>
      <c r="IDB114" s="139"/>
      <c r="IDC114" s="139"/>
      <c r="IDD114" s="139"/>
      <c r="IDE114" s="139"/>
      <c r="IDF114" s="139"/>
      <c r="IDG114" s="139"/>
      <c r="IDH114" s="139"/>
      <c r="IDI114" s="139"/>
      <c r="IDJ114" s="139"/>
      <c r="IDK114" s="139"/>
      <c r="IDL114" s="139"/>
      <c r="IDM114" s="139"/>
      <c r="IDN114" s="139"/>
      <c r="IDO114" s="139"/>
      <c r="IDP114" s="139"/>
      <c r="IDQ114" s="139"/>
      <c r="IDR114" s="139"/>
      <c r="IDS114" s="139"/>
      <c r="IDT114" s="139"/>
      <c r="IDU114" s="139"/>
      <c r="IDV114" s="139"/>
      <c r="IDW114" s="139"/>
      <c r="IDX114" s="139"/>
      <c r="IDY114" s="139"/>
      <c r="IDZ114" s="139"/>
      <c r="IEA114" s="139"/>
      <c r="IEB114" s="139"/>
      <c r="IEC114" s="139"/>
      <c r="IED114" s="139"/>
      <c r="IEE114" s="139"/>
      <c r="IEF114" s="139"/>
      <c r="IEG114" s="139"/>
      <c r="IEH114" s="139"/>
      <c r="IEI114" s="139"/>
      <c r="IEJ114" s="139"/>
      <c r="IEK114" s="139"/>
      <c r="IEL114" s="139"/>
      <c r="IEM114" s="139"/>
      <c r="IEN114" s="139"/>
      <c r="IEO114" s="139"/>
      <c r="IEP114" s="139"/>
      <c r="IEQ114" s="139"/>
      <c r="IER114" s="139"/>
      <c r="IES114" s="139"/>
      <c r="IET114" s="139"/>
      <c r="IEU114" s="139"/>
      <c r="IEV114" s="139"/>
      <c r="IEW114" s="139"/>
      <c r="IEX114" s="139"/>
      <c r="IEY114" s="139"/>
      <c r="IEZ114" s="139"/>
      <c r="IFA114" s="139"/>
      <c r="IFB114" s="139"/>
      <c r="IFC114" s="139"/>
      <c r="IFD114" s="139"/>
      <c r="IFE114" s="139"/>
      <c r="IFF114" s="139"/>
      <c r="IFG114" s="139"/>
      <c r="IFH114" s="139"/>
      <c r="IFI114" s="139"/>
      <c r="IFJ114" s="139"/>
      <c r="IFK114" s="139"/>
      <c r="IFL114" s="139"/>
      <c r="IFM114" s="139"/>
      <c r="IFN114" s="139"/>
      <c r="IFO114" s="139"/>
      <c r="IFP114" s="139"/>
      <c r="IFQ114" s="139"/>
      <c r="IFR114" s="139"/>
      <c r="IFS114" s="139"/>
      <c r="IFT114" s="139"/>
      <c r="IFU114" s="139"/>
      <c r="IFV114" s="139"/>
      <c r="IFW114" s="139"/>
      <c r="IFX114" s="139"/>
      <c r="IFY114" s="139"/>
      <c r="IFZ114" s="139"/>
      <c r="IGA114" s="139"/>
      <c r="IGB114" s="139"/>
      <c r="IGC114" s="139"/>
      <c r="IGD114" s="139"/>
      <c r="IGE114" s="139"/>
      <c r="IGF114" s="139"/>
      <c r="IGG114" s="139"/>
      <c r="IGH114" s="139"/>
      <c r="IGI114" s="139"/>
      <c r="IGJ114" s="139"/>
      <c r="IGK114" s="139"/>
      <c r="IGL114" s="139"/>
      <c r="IGM114" s="139"/>
      <c r="IGN114" s="139"/>
      <c r="IGO114" s="139"/>
      <c r="IGP114" s="139"/>
      <c r="IGQ114" s="139"/>
      <c r="IGR114" s="139"/>
      <c r="IGS114" s="139"/>
      <c r="IGT114" s="139"/>
      <c r="IGU114" s="139"/>
      <c r="IGV114" s="139"/>
      <c r="IGW114" s="139"/>
      <c r="IGX114" s="139"/>
      <c r="IGY114" s="139"/>
      <c r="IGZ114" s="139"/>
      <c r="IHA114" s="139"/>
      <c r="IHB114" s="139"/>
      <c r="IHC114" s="139"/>
      <c r="IHD114" s="139"/>
      <c r="IHE114" s="139"/>
      <c r="IHF114" s="139"/>
      <c r="IHG114" s="139"/>
      <c r="IHH114" s="139"/>
      <c r="IHI114" s="139"/>
      <c r="IHJ114" s="139"/>
      <c r="IHK114" s="139"/>
      <c r="IHL114" s="139"/>
      <c r="IHM114" s="139"/>
      <c r="IHN114" s="139"/>
      <c r="IHO114" s="139"/>
      <c r="IHP114" s="139"/>
      <c r="IHQ114" s="139"/>
      <c r="IHR114" s="139"/>
      <c r="IHS114" s="139"/>
      <c r="IHT114" s="139"/>
      <c r="IHU114" s="139"/>
      <c r="IHV114" s="139"/>
      <c r="IHW114" s="139"/>
      <c r="IHX114" s="139"/>
      <c r="IHY114" s="139"/>
      <c r="IHZ114" s="139"/>
      <c r="IIA114" s="139"/>
      <c r="IIB114" s="139"/>
      <c r="IIC114" s="139"/>
      <c r="IID114" s="139"/>
      <c r="IIE114" s="139"/>
      <c r="IIF114" s="139"/>
      <c r="IIG114" s="139"/>
      <c r="IIH114" s="139"/>
      <c r="III114" s="139"/>
      <c r="IIJ114" s="139"/>
      <c r="IIK114" s="139"/>
      <c r="IIL114" s="139"/>
      <c r="IIM114" s="139"/>
      <c r="IIN114" s="139"/>
      <c r="IIO114" s="139"/>
      <c r="IIP114" s="139"/>
      <c r="IIQ114" s="139"/>
      <c r="IIR114" s="139"/>
      <c r="IIS114" s="139"/>
      <c r="IIT114" s="139"/>
      <c r="IIU114" s="139"/>
      <c r="IIV114" s="139"/>
      <c r="IIW114" s="139"/>
      <c r="IIX114" s="139"/>
      <c r="IIY114" s="139"/>
      <c r="IIZ114" s="139"/>
      <c r="IJA114" s="139"/>
      <c r="IJB114" s="139"/>
      <c r="IJC114" s="139"/>
      <c r="IJD114" s="139"/>
      <c r="IJE114" s="139"/>
      <c r="IJF114" s="139"/>
      <c r="IJG114" s="139"/>
      <c r="IJH114" s="139"/>
      <c r="IJI114" s="139"/>
      <c r="IJJ114" s="139"/>
      <c r="IJK114" s="139"/>
      <c r="IJL114" s="139"/>
      <c r="IJM114" s="139"/>
      <c r="IJN114" s="139"/>
      <c r="IJO114" s="139"/>
      <c r="IJP114" s="139"/>
      <c r="IJQ114" s="139"/>
      <c r="IJR114" s="139"/>
      <c r="IJS114" s="139"/>
      <c r="IJT114" s="139"/>
      <c r="IJU114" s="139"/>
      <c r="IJV114" s="139"/>
      <c r="IJW114" s="139"/>
      <c r="IJX114" s="139"/>
      <c r="IJY114" s="139"/>
      <c r="IJZ114" s="139"/>
      <c r="IKA114" s="139"/>
      <c r="IKB114" s="139"/>
      <c r="IKC114" s="139"/>
      <c r="IKD114" s="139"/>
      <c r="IKE114" s="139"/>
      <c r="IKF114" s="139"/>
      <c r="IKG114" s="139"/>
      <c r="IKH114" s="139"/>
      <c r="IKI114" s="139"/>
      <c r="IKJ114" s="139"/>
      <c r="IKK114" s="139"/>
      <c r="IKL114" s="139"/>
      <c r="IKM114" s="139"/>
      <c r="IKN114" s="139"/>
      <c r="IKO114" s="139"/>
      <c r="IKP114" s="139"/>
      <c r="IKQ114" s="139"/>
      <c r="IKR114" s="139"/>
      <c r="IKS114" s="139"/>
      <c r="IKT114" s="139"/>
      <c r="IKU114" s="139"/>
      <c r="IKV114" s="139"/>
      <c r="IKW114" s="139"/>
      <c r="IKX114" s="139"/>
      <c r="IKY114" s="139"/>
      <c r="IKZ114" s="139"/>
      <c r="ILA114" s="139"/>
      <c r="ILB114" s="139"/>
      <c r="ILC114" s="139"/>
      <c r="ILD114" s="139"/>
      <c r="ILE114" s="139"/>
      <c r="ILF114" s="139"/>
      <c r="ILG114" s="139"/>
      <c r="ILH114" s="139"/>
      <c r="ILI114" s="139"/>
      <c r="ILJ114" s="139"/>
      <c r="ILK114" s="139"/>
      <c r="ILL114" s="139"/>
      <c r="ILM114" s="139"/>
      <c r="ILN114" s="139"/>
      <c r="ILO114" s="139"/>
      <c r="ILP114" s="139"/>
      <c r="ILQ114" s="139"/>
      <c r="ILR114" s="139"/>
      <c r="ILS114" s="139"/>
      <c r="ILT114" s="139"/>
      <c r="ILU114" s="139"/>
      <c r="ILV114" s="139"/>
      <c r="ILW114" s="139"/>
      <c r="ILX114" s="139"/>
      <c r="ILY114" s="139"/>
      <c r="ILZ114" s="139"/>
      <c r="IMA114" s="139"/>
      <c r="IMB114" s="139"/>
      <c r="IMC114" s="139"/>
      <c r="IMD114" s="139"/>
      <c r="IME114" s="139"/>
      <c r="IMF114" s="139"/>
      <c r="IMG114" s="139"/>
      <c r="IMH114" s="139"/>
      <c r="IMI114" s="139"/>
      <c r="IMJ114" s="139"/>
      <c r="IMK114" s="139"/>
      <c r="IML114" s="139"/>
      <c r="IMM114" s="139"/>
      <c r="IMN114" s="139"/>
      <c r="IMO114" s="139"/>
      <c r="IMP114" s="139"/>
      <c r="IMQ114" s="139"/>
      <c r="IMR114" s="139"/>
      <c r="IMS114" s="139"/>
      <c r="IMT114" s="139"/>
      <c r="IMU114" s="139"/>
      <c r="IMV114" s="139"/>
      <c r="IMW114" s="139"/>
      <c r="IMX114" s="139"/>
      <c r="IMY114" s="139"/>
      <c r="IMZ114" s="139"/>
      <c r="INA114" s="139"/>
      <c r="INB114" s="139"/>
      <c r="INC114" s="139"/>
      <c r="IND114" s="139"/>
      <c r="INE114" s="139"/>
      <c r="INF114" s="139"/>
      <c r="ING114" s="139"/>
      <c r="INH114" s="139"/>
      <c r="INI114" s="139"/>
      <c r="INJ114" s="139"/>
      <c r="INK114" s="139"/>
      <c r="INL114" s="139"/>
      <c r="INM114" s="139"/>
      <c r="INN114" s="139"/>
      <c r="INO114" s="139"/>
      <c r="INP114" s="139"/>
      <c r="INQ114" s="139"/>
      <c r="INR114" s="139"/>
      <c r="INS114" s="139"/>
      <c r="INT114" s="139"/>
      <c r="INU114" s="139"/>
      <c r="INV114" s="139"/>
      <c r="INW114" s="139"/>
      <c r="INX114" s="139"/>
      <c r="INY114" s="139"/>
      <c r="INZ114" s="139"/>
      <c r="IOA114" s="139"/>
      <c r="IOB114" s="139"/>
      <c r="IOC114" s="139"/>
      <c r="IOD114" s="139"/>
      <c r="IOE114" s="139"/>
      <c r="IOF114" s="139"/>
      <c r="IOG114" s="139"/>
      <c r="IOH114" s="139"/>
      <c r="IOI114" s="139"/>
      <c r="IOJ114" s="139"/>
      <c r="IOK114" s="139"/>
      <c r="IOL114" s="139"/>
      <c r="IOM114" s="139"/>
      <c r="ION114" s="139"/>
      <c r="IOO114" s="139"/>
      <c r="IOP114" s="139"/>
      <c r="IOQ114" s="139"/>
      <c r="IOR114" s="139"/>
      <c r="IOS114" s="139"/>
      <c r="IOT114" s="139"/>
      <c r="IOU114" s="139"/>
      <c r="IOV114" s="139"/>
      <c r="IOW114" s="139"/>
      <c r="IOX114" s="139"/>
      <c r="IOY114" s="139"/>
      <c r="IOZ114" s="139"/>
      <c r="IPA114" s="139"/>
      <c r="IPB114" s="139"/>
      <c r="IPC114" s="139"/>
      <c r="IPD114" s="139"/>
      <c r="IPE114" s="139"/>
      <c r="IPF114" s="139"/>
      <c r="IPG114" s="139"/>
      <c r="IPH114" s="139"/>
      <c r="IPI114" s="139"/>
      <c r="IPJ114" s="139"/>
      <c r="IPK114" s="139"/>
      <c r="IPL114" s="139"/>
      <c r="IPM114" s="139"/>
      <c r="IPN114" s="139"/>
      <c r="IPO114" s="139"/>
      <c r="IPP114" s="139"/>
      <c r="IPQ114" s="139"/>
      <c r="IPR114" s="139"/>
      <c r="IPS114" s="139"/>
      <c r="IPT114" s="139"/>
      <c r="IPU114" s="139"/>
      <c r="IPV114" s="139"/>
      <c r="IPW114" s="139"/>
      <c r="IPX114" s="139"/>
      <c r="IPY114" s="139"/>
      <c r="IPZ114" s="139"/>
      <c r="IQA114" s="139"/>
      <c r="IQB114" s="139"/>
      <c r="IQC114" s="139"/>
      <c r="IQD114" s="139"/>
      <c r="IQE114" s="139"/>
      <c r="IQF114" s="139"/>
      <c r="IQG114" s="139"/>
      <c r="IQH114" s="139"/>
      <c r="IQI114" s="139"/>
      <c r="IQJ114" s="139"/>
      <c r="IQK114" s="139"/>
      <c r="IQL114" s="139"/>
      <c r="IQM114" s="139"/>
      <c r="IQN114" s="139"/>
      <c r="IQO114" s="139"/>
      <c r="IQP114" s="139"/>
      <c r="IQQ114" s="139"/>
      <c r="IQR114" s="139"/>
      <c r="IQS114" s="139"/>
      <c r="IQT114" s="139"/>
      <c r="IQU114" s="139"/>
      <c r="IQV114" s="139"/>
      <c r="IQW114" s="139"/>
      <c r="IQX114" s="139"/>
      <c r="IQY114" s="139"/>
      <c r="IQZ114" s="139"/>
      <c r="IRA114" s="139"/>
      <c r="IRB114" s="139"/>
      <c r="IRC114" s="139"/>
      <c r="IRD114" s="139"/>
      <c r="IRE114" s="139"/>
      <c r="IRF114" s="139"/>
      <c r="IRG114" s="139"/>
      <c r="IRH114" s="139"/>
      <c r="IRI114" s="139"/>
      <c r="IRJ114" s="139"/>
      <c r="IRK114" s="139"/>
      <c r="IRL114" s="139"/>
      <c r="IRM114" s="139"/>
      <c r="IRN114" s="139"/>
      <c r="IRO114" s="139"/>
      <c r="IRP114" s="139"/>
      <c r="IRQ114" s="139"/>
      <c r="IRR114" s="139"/>
      <c r="IRS114" s="139"/>
      <c r="IRT114" s="139"/>
      <c r="IRU114" s="139"/>
      <c r="IRV114" s="139"/>
      <c r="IRW114" s="139"/>
      <c r="IRX114" s="139"/>
      <c r="IRY114" s="139"/>
      <c r="IRZ114" s="139"/>
      <c r="ISA114" s="139"/>
      <c r="ISB114" s="139"/>
      <c r="ISC114" s="139"/>
      <c r="ISD114" s="139"/>
      <c r="ISE114" s="139"/>
      <c r="ISF114" s="139"/>
      <c r="ISG114" s="139"/>
      <c r="ISH114" s="139"/>
      <c r="ISI114" s="139"/>
      <c r="ISJ114" s="139"/>
      <c r="ISK114" s="139"/>
      <c r="ISL114" s="139"/>
      <c r="ISM114" s="139"/>
      <c r="ISN114" s="139"/>
      <c r="ISO114" s="139"/>
      <c r="ISP114" s="139"/>
      <c r="ISQ114" s="139"/>
      <c r="ISR114" s="139"/>
      <c r="ISS114" s="139"/>
      <c r="IST114" s="139"/>
      <c r="ISU114" s="139"/>
      <c r="ISV114" s="139"/>
      <c r="ISW114" s="139"/>
      <c r="ISX114" s="139"/>
      <c r="ISY114" s="139"/>
      <c r="ISZ114" s="139"/>
      <c r="ITA114" s="139"/>
      <c r="ITB114" s="139"/>
      <c r="ITC114" s="139"/>
      <c r="ITD114" s="139"/>
      <c r="ITE114" s="139"/>
      <c r="ITF114" s="139"/>
      <c r="ITG114" s="139"/>
      <c r="ITH114" s="139"/>
      <c r="ITI114" s="139"/>
      <c r="ITJ114" s="139"/>
      <c r="ITK114" s="139"/>
      <c r="ITL114" s="139"/>
      <c r="ITM114" s="139"/>
      <c r="ITN114" s="139"/>
      <c r="ITO114" s="139"/>
      <c r="ITP114" s="139"/>
      <c r="ITQ114" s="139"/>
      <c r="ITR114" s="139"/>
      <c r="ITS114" s="139"/>
      <c r="ITT114" s="139"/>
      <c r="ITU114" s="139"/>
      <c r="ITV114" s="139"/>
      <c r="ITW114" s="139"/>
      <c r="ITX114" s="139"/>
      <c r="ITY114" s="139"/>
      <c r="ITZ114" s="139"/>
      <c r="IUA114" s="139"/>
      <c r="IUB114" s="139"/>
      <c r="IUC114" s="139"/>
      <c r="IUD114" s="139"/>
      <c r="IUE114" s="139"/>
      <c r="IUF114" s="139"/>
      <c r="IUG114" s="139"/>
      <c r="IUH114" s="139"/>
      <c r="IUI114" s="139"/>
      <c r="IUJ114" s="139"/>
      <c r="IUK114" s="139"/>
      <c r="IUL114" s="139"/>
      <c r="IUM114" s="139"/>
      <c r="IUN114" s="139"/>
      <c r="IUO114" s="139"/>
      <c r="IUP114" s="139"/>
      <c r="IUQ114" s="139"/>
      <c r="IUR114" s="139"/>
      <c r="IUS114" s="139"/>
      <c r="IUT114" s="139"/>
      <c r="IUU114" s="139"/>
      <c r="IUV114" s="139"/>
      <c r="IUW114" s="139"/>
      <c r="IUX114" s="139"/>
      <c r="IUY114" s="139"/>
      <c r="IUZ114" s="139"/>
      <c r="IVA114" s="139"/>
      <c r="IVB114" s="139"/>
      <c r="IVC114" s="139"/>
      <c r="IVD114" s="139"/>
      <c r="IVE114" s="139"/>
      <c r="IVF114" s="139"/>
      <c r="IVG114" s="139"/>
      <c r="IVH114" s="139"/>
      <c r="IVI114" s="139"/>
      <c r="IVJ114" s="139"/>
      <c r="IVK114" s="139"/>
      <c r="IVL114" s="139"/>
      <c r="IVM114" s="139"/>
      <c r="IVN114" s="139"/>
      <c r="IVO114" s="139"/>
      <c r="IVP114" s="139"/>
      <c r="IVQ114" s="139"/>
      <c r="IVR114" s="139"/>
      <c r="IVS114" s="139"/>
      <c r="IVT114" s="139"/>
      <c r="IVU114" s="139"/>
      <c r="IVV114" s="139"/>
      <c r="IVW114" s="139"/>
      <c r="IVX114" s="139"/>
      <c r="IVY114" s="139"/>
      <c r="IVZ114" s="139"/>
      <c r="IWA114" s="139"/>
      <c r="IWB114" s="139"/>
      <c r="IWC114" s="139"/>
      <c r="IWD114" s="139"/>
      <c r="IWE114" s="139"/>
      <c r="IWF114" s="139"/>
      <c r="IWG114" s="139"/>
      <c r="IWH114" s="139"/>
      <c r="IWI114" s="139"/>
      <c r="IWJ114" s="139"/>
      <c r="IWK114" s="139"/>
      <c r="IWL114" s="139"/>
      <c r="IWM114" s="139"/>
      <c r="IWN114" s="139"/>
      <c r="IWO114" s="139"/>
      <c r="IWP114" s="139"/>
      <c r="IWQ114" s="139"/>
      <c r="IWR114" s="139"/>
      <c r="IWS114" s="139"/>
      <c r="IWT114" s="139"/>
      <c r="IWU114" s="139"/>
      <c r="IWV114" s="139"/>
      <c r="IWW114" s="139"/>
      <c r="IWX114" s="139"/>
      <c r="IWY114" s="139"/>
      <c r="IWZ114" s="139"/>
      <c r="IXA114" s="139"/>
      <c r="IXB114" s="139"/>
      <c r="IXC114" s="139"/>
      <c r="IXD114" s="139"/>
      <c r="IXE114" s="139"/>
      <c r="IXF114" s="139"/>
      <c r="IXG114" s="139"/>
      <c r="IXH114" s="139"/>
      <c r="IXI114" s="139"/>
      <c r="IXJ114" s="139"/>
      <c r="IXK114" s="139"/>
      <c r="IXL114" s="139"/>
      <c r="IXM114" s="139"/>
      <c r="IXN114" s="139"/>
      <c r="IXO114" s="139"/>
      <c r="IXP114" s="139"/>
      <c r="IXQ114" s="139"/>
      <c r="IXR114" s="139"/>
      <c r="IXS114" s="139"/>
      <c r="IXT114" s="139"/>
      <c r="IXU114" s="139"/>
      <c r="IXV114" s="139"/>
      <c r="IXW114" s="139"/>
      <c r="IXX114" s="139"/>
      <c r="IXY114" s="139"/>
      <c r="IXZ114" s="139"/>
      <c r="IYA114" s="139"/>
      <c r="IYB114" s="139"/>
      <c r="IYC114" s="139"/>
      <c r="IYD114" s="139"/>
      <c r="IYE114" s="139"/>
      <c r="IYF114" s="139"/>
      <c r="IYG114" s="139"/>
      <c r="IYH114" s="139"/>
      <c r="IYI114" s="139"/>
      <c r="IYJ114" s="139"/>
      <c r="IYK114" s="139"/>
      <c r="IYL114" s="139"/>
      <c r="IYM114" s="139"/>
      <c r="IYN114" s="139"/>
      <c r="IYO114" s="139"/>
      <c r="IYP114" s="139"/>
      <c r="IYQ114" s="139"/>
      <c r="IYR114" s="139"/>
      <c r="IYS114" s="139"/>
      <c r="IYT114" s="139"/>
      <c r="IYU114" s="139"/>
      <c r="IYV114" s="139"/>
      <c r="IYW114" s="139"/>
      <c r="IYX114" s="139"/>
      <c r="IYY114" s="139"/>
      <c r="IYZ114" s="139"/>
      <c r="IZA114" s="139"/>
      <c r="IZB114" s="139"/>
      <c r="IZC114" s="139"/>
      <c r="IZD114" s="139"/>
      <c r="IZE114" s="139"/>
      <c r="IZF114" s="139"/>
      <c r="IZG114" s="139"/>
      <c r="IZH114" s="139"/>
      <c r="IZI114" s="139"/>
      <c r="IZJ114" s="139"/>
      <c r="IZK114" s="139"/>
      <c r="IZL114" s="139"/>
      <c r="IZM114" s="139"/>
      <c r="IZN114" s="139"/>
      <c r="IZO114" s="139"/>
      <c r="IZP114" s="139"/>
      <c r="IZQ114" s="139"/>
      <c r="IZR114" s="139"/>
      <c r="IZS114" s="139"/>
      <c r="IZT114" s="139"/>
      <c r="IZU114" s="139"/>
      <c r="IZV114" s="139"/>
      <c r="IZW114" s="139"/>
      <c r="IZX114" s="139"/>
      <c r="IZY114" s="139"/>
      <c r="IZZ114" s="139"/>
      <c r="JAA114" s="139"/>
      <c r="JAB114" s="139"/>
      <c r="JAC114" s="139"/>
      <c r="JAD114" s="139"/>
      <c r="JAE114" s="139"/>
      <c r="JAF114" s="139"/>
      <c r="JAG114" s="139"/>
      <c r="JAH114" s="139"/>
      <c r="JAI114" s="139"/>
      <c r="JAJ114" s="139"/>
      <c r="JAK114" s="139"/>
      <c r="JAL114" s="139"/>
      <c r="JAM114" s="139"/>
      <c r="JAN114" s="139"/>
      <c r="JAO114" s="139"/>
      <c r="JAP114" s="139"/>
      <c r="JAQ114" s="139"/>
      <c r="JAR114" s="139"/>
      <c r="JAS114" s="139"/>
      <c r="JAT114" s="139"/>
      <c r="JAU114" s="139"/>
      <c r="JAV114" s="139"/>
      <c r="JAW114" s="139"/>
      <c r="JAX114" s="139"/>
      <c r="JAY114" s="139"/>
      <c r="JAZ114" s="139"/>
      <c r="JBA114" s="139"/>
      <c r="JBB114" s="139"/>
      <c r="JBC114" s="139"/>
      <c r="JBD114" s="139"/>
      <c r="JBE114" s="139"/>
      <c r="JBF114" s="139"/>
      <c r="JBG114" s="139"/>
      <c r="JBH114" s="139"/>
      <c r="JBI114" s="139"/>
      <c r="JBJ114" s="139"/>
      <c r="JBK114" s="139"/>
      <c r="JBL114" s="139"/>
      <c r="JBM114" s="139"/>
      <c r="JBN114" s="139"/>
      <c r="JBO114" s="139"/>
      <c r="JBP114" s="139"/>
      <c r="JBQ114" s="139"/>
      <c r="JBR114" s="139"/>
      <c r="JBS114" s="139"/>
      <c r="JBT114" s="139"/>
      <c r="JBU114" s="139"/>
      <c r="JBV114" s="139"/>
      <c r="JBW114" s="139"/>
      <c r="JBX114" s="139"/>
      <c r="JBY114" s="139"/>
      <c r="JBZ114" s="139"/>
      <c r="JCA114" s="139"/>
      <c r="JCB114" s="139"/>
      <c r="JCC114" s="139"/>
      <c r="JCD114" s="139"/>
      <c r="JCE114" s="139"/>
      <c r="JCF114" s="139"/>
      <c r="JCG114" s="139"/>
      <c r="JCH114" s="139"/>
      <c r="JCI114" s="139"/>
      <c r="JCJ114" s="139"/>
      <c r="JCK114" s="139"/>
      <c r="JCL114" s="139"/>
      <c r="JCM114" s="139"/>
      <c r="JCN114" s="139"/>
      <c r="JCO114" s="139"/>
      <c r="JCP114" s="139"/>
      <c r="JCQ114" s="139"/>
      <c r="JCR114" s="139"/>
      <c r="JCS114" s="139"/>
      <c r="JCT114" s="139"/>
      <c r="JCU114" s="139"/>
      <c r="JCV114" s="139"/>
      <c r="JCW114" s="139"/>
      <c r="JCX114" s="139"/>
      <c r="JCY114" s="139"/>
      <c r="JCZ114" s="139"/>
      <c r="JDA114" s="139"/>
      <c r="JDB114" s="139"/>
      <c r="JDC114" s="139"/>
      <c r="JDD114" s="139"/>
      <c r="JDE114" s="139"/>
      <c r="JDF114" s="139"/>
      <c r="JDG114" s="139"/>
      <c r="JDH114" s="139"/>
      <c r="JDI114" s="139"/>
      <c r="JDJ114" s="139"/>
      <c r="JDK114" s="139"/>
      <c r="JDL114" s="139"/>
      <c r="JDM114" s="139"/>
      <c r="JDN114" s="139"/>
      <c r="JDO114" s="139"/>
      <c r="JDP114" s="139"/>
      <c r="JDQ114" s="139"/>
      <c r="JDR114" s="139"/>
      <c r="JDS114" s="139"/>
      <c r="JDT114" s="139"/>
      <c r="JDU114" s="139"/>
      <c r="JDV114" s="139"/>
      <c r="JDW114" s="139"/>
      <c r="JDX114" s="139"/>
      <c r="JDY114" s="139"/>
      <c r="JDZ114" s="139"/>
      <c r="JEA114" s="139"/>
      <c r="JEB114" s="139"/>
      <c r="JEC114" s="139"/>
      <c r="JED114" s="139"/>
      <c r="JEE114" s="139"/>
      <c r="JEF114" s="139"/>
      <c r="JEG114" s="139"/>
      <c r="JEH114" s="139"/>
      <c r="JEI114" s="139"/>
      <c r="JEJ114" s="139"/>
      <c r="JEK114" s="139"/>
      <c r="JEL114" s="139"/>
      <c r="JEM114" s="139"/>
      <c r="JEN114" s="139"/>
      <c r="JEO114" s="139"/>
      <c r="JEP114" s="139"/>
      <c r="JEQ114" s="139"/>
      <c r="JER114" s="139"/>
      <c r="JES114" s="139"/>
      <c r="JET114" s="139"/>
      <c r="JEU114" s="139"/>
      <c r="JEV114" s="139"/>
      <c r="JEW114" s="139"/>
      <c r="JEX114" s="139"/>
      <c r="JEY114" s="139"/>
      <c r="JEZ114" s="139"/>
      <c r="JFA114" s="139"/>
      <c r="JFB114" s="139"/>
      <c r="JFC114" s="139"/>
      <c r="JFD114" s="139"/>
      <c r="JFE114" s="139"/>
      <c r="JFF114" s="139"/>
      <c r="JFG114" s="139"/>
      <c r="JFH114" s="139"/>
      <c r="JFI114" s="139"/>
      <c r="JFJ114" s="139"/>
      <c r="JFK114" s="139"/>
      <c r="JFL114" s="139"/>
      <c r="JFM114" s="139"/>
      <c r="JFN114" s="139"/>
      <c r="JFO114" s="139"/>
      <c r="JFP114" s="139"/>
      <c r="JFQ114" s="139"/>
      <c r="JFR114" s="139"/>
      <c r="JFS114" s="139"/>
      <c r="JFT114" s="139"/>
      <c r="JFU114" s="139"/>
      <c r="JFV114" s="139"/>
      <c r="JFW114" s="139"/>
      <c r="JFX114" s="139"/>
      <c r="JFY114" s="139"/>
      <c r="JFZ114" s="139"/>
      <c r="JGA114" s="139"/>
      <c r="JGB114" s="139"/>
      <c r="JGC114" s="139"/>
      <c r="JGD114" s="139"/>
      <c r="JGE114" s="139"/>
      <c r="JGF114" s="139"/>
      <c r="JGG114" s="139"/>
      <c r="JGH114" s="139"/>
      <c r="JGI114" s="139"/>
      <c r="JGJ114" s="139"/>
      <c r="JGK114" s="139"/>
      <c r="JGL114" s="139"/>
      <c r="JGM114" s="139"/>
      <c r="JGN114" s="139"/>
      <c r="JGO114" s="139"/>
      <c r="JGP114" s="139"/>
      <c r="JGQ114" s="139"/>
      <c r="JGR114" s="139"/>
      <c r="JGS114" s="139"/>
      <c r="JGT114" s="139"/>
      <c r="JGU114" s="139"/>
      <c r="JGV114" s="139"/>
      <c r="JGW114" s="139"/>
      <c r="JGX114" s="139"/>
      <c r="JGY114" s="139"/>
      <c r="JGZ114" s="139"/>
      <c r="JHA114" s="139"/>
      <c r="JHB114" s="139"/>
      <c r="JHC114" s="139"/>
      <c r="JHD114" s="139"/>
      <c r="JHE114" s="139"/>
      <c r="JHF114" s="139"/>
      <c r="JHG114" s="139"/>
      <c r="JHH114" s="139"/>
      <c r="JHI114" s="139"/>
      <c r="JHJ114" s="139"/>
      <c r="JHK114" s="139"/>
      <c r="JHL114" s="139"/>
      <c r="JHM114" s="139"/>
      <c r="JHN114" s="139"/>
      <c r="JHO114" s="139"/>
      <c r="JHP114" s="139"/>
      <c r="JHQ114" s="139"/>
      <c r="JHR114" s="139"/>
      <c r="JHS114" s="139"/>
      <c r="JHT114" s="139"/>
      <c r="JHU114" s="139"/>
      <c r="JHV114" s="139"/>
      <c r="JHW114" s="139"/>
      <c r="JHX114" s="139"/>
      <c r="JHY114" s="139"/>
      <c r="JHZ114" s="139"/>
      <c r="JIA114" s="139"/>
      <c r="JIB114" s="139"/>
      <c r="JIC114" s="139"/>
      <c r="JID114" s="139"/>
      <c r="JIE114" s="139"/>
      <c r="JIF114" s="139"/>
      <c r="JIG114" s="139"/>
      <c r="JIH114" s="139"/>
      <c r="JII114" s="139"/>
      <c r="JIJ114" s="139"/>
      <c r="JIK114" s="139"/>
      <c r="JIL114" s="139"/>
      <c r="JIM114" s="139"/>
      <c r="JIN114" s="139"/>
      <c r="JIO114" s="139"/>
      <c r="JIP114" s="139"/>
      <c r="JIQ114" s="139"/>
      <c r="JIR114" s="139"/>
      <c r="JIS114" s="139"/>
      <c r="JIT114" s="139"/>
      <c r="JIU114" s="139"/>
      <c r="JIV114" s="139"/>
      <c r="JIW114" s="139"/>
      <c r="JIX114" s="139"/>
      <c r="JIY114" s="139"/>
      <c r="JIZ114" s="139"/>
      <c r="JJA114" s="139"/>
      <c r="JJB114" s="139"/>
      <c r="JJC114" s="139"/>
      <c r="JJD114" s="139"/>
      <c r="JJE114" s="139"/>
      <c r="JJF114" s="139"/>
      <c r="JJG114" s="139"/>
      <c r="JJH114" s="139"/>
      <c r="JJI114" s="139"/>
      <c r="JJJ114" s="139"/>
      <c r="JJK114" s="139"/>
      <c r="JJL114" s="139"/>
      <c r="JJM114" s="139"/>
      <c r="JJN114" s="139"/>
      <c r="JJO114" s="139"/>
      <c r="JJP114" s="139"/>
      <c r="JJQ114" s="139"/>
      <c r="JJR114" s="139"/>
      <c r="JJS114" s="139"/>
      <c r="JJT114" s="139"/>
      <c r="JJU114" s="139"/>
      <c r="JJV114" s="139"/>
      <c r="JJW114" s="139"/>
      <c r="JJX114" s="139"/>
      <c r="JJY114" s="139"/>
      <c r="JJZ114" s="139"/>
      <c r="JKA114" s="139"/>
      <c r="JKB114" s="139"/>
      <c r="JKC114" s="139"/>
      <c r="JKD114" s="139"/>
      <c r="JKE114" s="139"/>
      <c r="JKF114" s="139"/>
      <c r="JKG114" s="139"/>
      <c r="JKH114" s="139"/>
      <c r="JKI114" s="139"/>
      <c r="JKJ114" s="139"/>
      <c r="JKK114" s="139"/>
      <c r="JKL114" s="139"/>
      <c r="JKM114" s="139"/>
      <c r="JKN114" s="139"/>
      <c r="JKO114" s="139"/>
      <c r="JKP114" s="139"/>
      <c r="JKQ114" s="139"/>
      <c r="JKR114" s="139"/>
      <c r="JKS114" s="139"/>
      <c r="JKT114" s="139"/>
      <c r="JKU114" s="139"/>
      <c r="JKV114" s="139"/>
      <c r="JKW114" s="139"/>
      <c r="JKX114" s="139"/>
      <c r="JKY114" s="139"/>
      <c r="JKZ114" s="139"/>
      <c r="JLA114" s="139"/>
      <c r="JLB114" s="139"/>
      <c r="JLC114" s="139"/>
      <c r="JLD114" s="139"/>
      <c r="JLE114" s="139"/>
      <c r="JLF114" s="139"/>
      <c r="JLG114" s="139"/>
      <c r="JLH114" s="139"/>
      <c r="JLI114" s="139"/>
      <c r="JLJ114" s="139"/>
      <c r="JLK114" s="139"/>
      <c r="JLL114" s="139"/>
      <c r="JLM114" s="139"/>
      <c r="JLN114" s="139"/>
      <c r="JLO114" s="139"/>
      <c r="JLP114" s="139"/>
      <c r="JLQ114" s="139"/>
      <c r="JLR114" s="139"/>
      <c r="JLS114" s="139"/>
      <c r="JLT114" s="139"/>
      <c r="JLU114" s="139"/>
      <c r="JLV114" s="139"/>
      <c r="JLW114" s="139"/>
      <c r="JLX114" s="139"/>
      <c r="JLY114" s="139"/>
      <c r="JLZ114" s="139"/>
      <c r="JMA114" s="139"/>
      <c r="JMB114" s="139"/>
      <c r="JMC114" s="139"/>
      <c r="JMD114" s="139"/>
      <c r="JME114" s="139"/>
      <c r="JMF114" s="139"/>
      <c r="JMG114" s="139"/>
      <c r="JMH114" s="139"/>
      <c r="JMI114" s="139"/>
      <c r="JMJ114" s="139"/>
      <c r="JMK114" s="139"/>
      <c r="JML114" s="139"/>
      <c r="JMM114" s="139"/>
      <c r="JMN114" s="139"/>
      <c r="JMO114" s="139"/>
      <c r="JMP114" s="139"/>
      <c r="JMQ114" s="139"/>
      <c r="JMR114" s="139"/>
      <c r="JMS114" s="139"/>
      <c r="JMT114" s="139"/>
      <c r="JMU114" s="139"/>
      <c r="JMV114" s="139"/>
      <c r="JMW114" s="139"/>
      <c r="JMX114" s="139"/>
      <c r="JMY114" s="139"/>
      <c r="JMZ114" s="139"/>
      <c r="JNA114" s="139"/>
      <c r="JNB114" s="139"/>
      <c r="JNC114" s="139"/>
      <c r="JND114" s="139"/>
      <c r="JNE114" s="139"/>
      <c r="JNF114" s="139"/>
      <c r="JNG114" s="139"/>
      <c r="JNH114" s="139"/>
      <c r="JNI114" s="139"/>
      <c r="JNJ114" s="139"/>
      <c r="JNK114" s="139"/>
      <c r="JNL114" s="139"/>
      <c r="JNM114" s="139"/>
      <c r="JNN114" s="139"/>
      <c r="JNO114" s="139"/>
      <c r="JNP114" s="139"/>
      <c r="JNQ114" s="139"/>
      <c r="JNR114" s="139"/>
      <c r="JNS114" s="139"/>
      <c r="JNT114" s="139"/>
      <c r="JNU114" s="139"/>
      <c r="JNV114" s="139"/>
      <c r="JNW114" s="139"/>
      <c r="JNX114" s="139"/>
      <c r="JNY114" s="139"/>
      <c r="JNZ114" s="139"/>
      <c r="JOA114" s="139"/>
      <c r="JOB114" s="139"/>
      <c r="JOC114" s="139"/>
      <c r="JOD114" s="139"/>
      <c r="JOE114" s="139"/>
      <c r="JOF114" s="139"/>
      <c r="JOG114" s="139"/>
      <c r="JOH114" s="139"/>
      <c r="JOI114" s="139"/>
      <c r="JOJ114" s="139"/>
      <c r="JOK114" s="139"/>
      <c r="JOL114" s="139"/>
      <c r="JOM114" s="139"/>
      <c r="JON114" s="139"/>
      <c r="JOO114" s="139"/>
      <c r="JOP114" s="139"/>
      <c r="JOQ114" s="139"/>
      <c r="JOR114" s="139"/>
      <c r="JOS114" s="139"/>
      <c r="JOT114" s="139"/>
      <c r="JOU114" s="139"/>
      <c r="JOV114" s="139"/>
      <c r="JOW114" s="139"/>
      <c r="JOX114" s="139"/>
      <c r="JOY114" s="139"/>
      <c r="JOZ114" s="139"/>
      <c r="JPA114" s="139"/>
      <c r="JPB114" s="139"/>
      <c r="JPC114" s="139"/>
      <c r="JPD114" s="139"/>
      <c r="JPE114" s="139"/>
      <c r="JPF114" s="139"/>
      <c r="JPG114" s="139"/>
      <c r="JPH114" s="139"/>
      <c r="JPI114" s="139"/>
      <c r="JPJ114" s="139"/>
      <c r="JPK114" s="139"/>
      <c r="JPL114" s="139"/>
      <c r="JPM114" s="139"/>
      <c r="JPN114" s="139"/>
      <c r="JPO114" s="139"/>
      <c r="JPP114" s="139"/>
      <c r="JPQ114" s="139"/>
      <c r="JPR114" s="139"/>
      <c r="JPS114" s="139"/>
      <c r="JPT114" s="139"/>
      <c r="JPU114" s="139"/>
      <c r="JPV114" s="139"/>
      <c r="JPW114" s="139"/>
      <c r="JPX114" s="139"/>
      <c r="JPY114" s="139"/>
      <c r="JPZ114" s="139"/>
      <c r="JQA114" s="139"/>
      <c r="JQB114" s="139"/>
      <c r="JQC114" s="139"/>
      <c r="JQD114" s="139"/>
      <c r="JQE114" s="139"/>
      <c r="JQF114" s="139"/>
      <c r="JQG114" s="139"/>
      <c r="JQH114" s="139"/>
      <c r="JQI114" s="139"/>
      <c r="JQJ114" s="139"/>
      <c r="JQK114" s="139"/>
      <c r="JQL114" s="139"/>
      <c r="JQM114" s="139"/>
      <c r="JQN114" s="139"/>
      <c r="JQO114" s="139"/>
      <c r="JQP114" s="139"/>
      <c r="JQQ114" s="139"/>
      <c r="JQR114" s="139"/>
      <c r="JQS114" s="139"/>
      <c r="JQT114" s="139"/>
      <c r="JQU114" s="139"/>
      <c r="JQV114" s="139"/>
      <c r="JQW114" s="139"/>
      <c r="JQX114" s="139"/>
      <c r="JQY114" s="139"/>
      <c r="JQZ114" s="139"/>
      <c r="JRA114" s="139"/>
      <c r="JRB114" s="139"/>
      <c r="JRC114" s="139"/>
      <c r="JRD114" s="139"/>
      <c r="JRE114" s="139"/>
      <c r="JRF114" s="139"/>
      <c r="JRG114" s="139"/>
      <c r="JRH114" s="139"/>
      <c r="JRI114" s="139"/>
      <c r="JRJ114" s="139"/>
      <c r="JRK114" s="139"/>
      <c r="JRL114" s="139"/>
      <c r="JRM114" s="139"/>
      <c r="JRN114" s="139"/>
      <c r="JRO114" s="139"/>
      <c r="JRP114" s="139"/>
      <c r="JRQ114" s="139"/>
      <c r="JRR114" s="139"/>
      <c r="JRS114" s="139"/>
      <c r="JRT114" s="139"/>
      <c r="JRU114" s="139"/>
      <c r="JRV114" s="139"/>
      <c r="JRW114" s="139"/>
      <c r="JRX114" s="139"/>
      <c r="JRY114" s="139"/>
      <c r="JRZ114" s="139"/>
      <c r="JSA114" s="139"/>
      <c r="JSB114" s="139"/>
      <c r="JSC114" s="139"/>
      <c r="JSD114" s="139"/>
      <c r="JSE114" s="139"/>
      <c r="JSF114" s="139"/>
      <c r="JSG114" s="139"/>
      <c r="JSH114" s="139"/>
      <c r="JSI114" s="139"/>
      <c r="JSJ114" s="139"/>
      <c r="JSK114" s="139"/>
      <c r="JSL114" s="139"/>
      <c r="JSM114" s="139"/>
      <c r="JSN114" s="139"/>
      <c r="JSO114" s="139"/>
      <c r="JSP114" s="139"/>
      <c r="JSQ114" s="139"/>
      <c r="JSR114" s="139"/>
      <c r="JSS114" s="139"/>
      <c r="JST114" s="139"/>
      <c r="JSU114" s="139"/>
      <c r="JSV114" s="139"/>
      <c r="JSW114" s="139"/>
      <c r="JSX114" s="139"/>
      <c r="JSY114" s="139"/>
      <c r="JSZ114" s="139"/>
      <c r="JTA114" s="139"/>
      <c r="JTB114" s="139"/>
      <c r="JTC114" s="139"/>
      <c r="JTD114" s="139"/>
      <c r="JTE114" s="139"/>
      <c r="JTF114" s="139"/>
      <c r="JTG114" s="139"/>
      <c r="JTH114" s="139"/>
      <c r="JTI114" s="139"/>
      <c r="JTJ114" s="139"/>
      <c r="JTK114" s="139"/>
      <c r="JTL114" s="139"/>
      <c r="JTM114" s="139"/>
      <c r="JTN114" s="139"/>
      <c r="JTO114" s="139"/>
      <c r="JTP114" s="139"/>
      <c r="JTQ114" s="139"/>
      <c r="JTR114" s="139"/>
      <c r="JTS114" s="139"/>
      <c r="JTT114" s="139"/>
      <c r="JTU114" s="139"/>
      <c r="JTV114" s="139"/>
      <c r="JTW114" s="139"/>
      <c r="JTX114" s="139"/>
      <c r="JTY114" s="139"/>
      <c r="JTZ114" s="139"/>
      <c r="JUA114" s="139"/>
      <c r="JUB114" s="139"/>
      <c r="JUC114" s="139"/>
      <c r="JUD114" s="139"/>
      <c r="JUE114" s="139"/>
      <c r="JUF114" s="139"/>
      <c r="JUG114" s="139"/>
      <c r="JUH114" s="139"/>
      <c r="JUI114" s="139"/>
      <c r="JUJ114" s="139"/>
      <c r="JUK114" s="139"/>
      <c r="JUL114" s="139"/>
      <c r="JUM114" s="139"/>
      <c r="JUN114" s="139"/>
      <c r="JUO114" s="139"/>
      <c r="JUP114" s="139"/>
      <c r="JUQ114" s="139"/>
      <c r="JUR114" s="139"/>
      <c r="JUS114" s="139"/>
      <c r="JUT114" s="139"/>
      <c r="JUU114" s="139"/>
      <c r="JUV114" s="139"/>
      <c r="JUW114" s="139"/>
      <c r="JUX114" s="139"/>
      <c r="JUY114" s="139"/>
      <c r="JUZ114" s="139"/>
      <c r="JVA114" s="139"/>
      <c r="JVB114" s="139"/>
      <c r="JVC114" s="139"/>
      <c r="JVD114" s="139"/>
      <c r="JVE114" s="139"/>
      <c r="JVF114" s="139"/>
      <c r="JVG114" s="139"/>
      <c r="JVH114" s="139"/>
      <c r="JVI114" s="139"/>
      <c r="JVJ114" s="139"/>
      <c r="JVK114" s="139"/>
      <c r="JVL114" s="139"/>
      <c r="JVM114" s="139"/>
      <c r="JVN114" s="139"/>
      <c r="JVO114" s="139"/>
      <c r="JVP114" s="139"/>
      <c r="JVQ114" s="139"/>
      <c r="JVR114" s="139"/>
      <c r="JVS114" s="139"/>
      <c r="JVT114" s="139"/>
      <c r="JVU114" s="139"/>
      <c r="JVV114" s="139"/>
      <c r="JVW114" s="139"/>
      <c r="JVX114" s="139"/>
      <c r="JVY114" s="139"/>
      <c r="JVZ114" s="139"/>
      <c r="JWA114" s="139"/>
      <c r="JWB114" s="139"/>
      <c r="JWC114" s="139"/>
      <c r="JWD114" s="139"/>
      <c r="JWE114" s="139"/>
      <c r="JWF114" s="139"/>
      <c r="JWG114" s="139"/>
      <c r="JWH114" s="139"/>
      <c r="JWI114" s="139"/>
      <c r="JWJ114" s="139"/>
      <c r="JWK114" s="139"/>
      <c r="JWL114" s="139"/>
      <c r="JWM114" s="139"/>
      <c r="JWN114" s="139"/>
      <c r="JWO114" s="139"/>
      <c r="JWP114" s="139"/>
      <c r="JWQ114" s="139"/>
      <c r="JWR114" s="139"/>
      <c r="JWS114" s="139"/>
      <c r="JWT114" s="139"/>
      <c r="JWU114" s="139"/>
      <c r="JWV114" s="139"/>
      <c r="JWW114" s="139"/>
      <c r="JWX114" s="139"/>
      <c r="JWY114" s="139"/>
      <c r="JWZ114" s="139"/>
      <c r="JXA114" s="139"/>
      <c r="JXB114" s="139"/>
      <c r="JXC114" s="139"/>
      <c r="JXD114" s="139"/>
      <c r="JXE114" s="139"/>
      <c r="JXF114" s="139"/>
      <c r="JXG114" s="139"/>
      <c r="JXH114" s="139"/>
      <c r="JXI114" s="139"/>
      <c r="JXJ114" s="139"/>
      <c r="JXK114" s="139"/>
      <c r="JXL114" s="139"/>
      <c r="JXM114" s="139"/>
      <c r="JXN114" s="139"/>
      <c r="JXO114" s="139"/>
      <c r="JXP114" s="139"/>
      <c r="JXQ114" s="139"/>
      <c r="JXR114" s="139"/>
      <c r="JXS114" s="139"/>
      <c r="JXT114" s="139"/>
      <c r="JXU114" s="139"/>
      <c r="JXV114" s="139"/>
      <c r="JXW114" s="139"/>
      <c r="JXX114" s="139"/>
      <c r="JXY114" s="139"/>
      <c r="JXZ114" s="139"/>
      <c r="JYA114" s="139"/>
      <c r="JYB114" s="139"/>
      <c r="JYC114" s="139"/>
      <c r="JYD114" s="139"/>
      <c r="JYE114" s="139"/>
      <c r="JYF114" s="139"/>
      <c r="JYG114" s="139"/>
      <c r="JYH114" s="139"/>
      <c r="JYI114" s="139"/>
      <c r="JYJ114" s="139"/>
      <c r="JYK114" s="139"/>
      <c r="JYL114" s="139"/>
      <c r="JYM114" s="139"/>
      <c r="JYN114" s="139"/>
      <c r="JYO114" s="139"/>
      <c r="JYP114" s="139"/>
      <c r="JYQ114" s="139"/>
      <c r="JYR114" s="139"/>
      <c r="JYS114" s="139"/>
      <c r="JYT114" s="139"/>
      <c r="JYU114" s="139"/>
      <c r="JYV114" s="139"/>
      <c r="JYW114" s="139"/>
      <c r="JYX114" s="139"/>
      <c r="JYY114" s="139"/>
      <c r="JYZ114" s="139"/>
      <c r="JZA114" s="139"/>
      <c r="JZB114" s="139"/>
      <c r="JZC114" s="139"/>
      <c r="JZD114" s="139"/>
      <c r="JZE114" s="139"/>
      <c r="JZF114" s="139"/>
      <c r="JZG114" s="139"/>
      <c r="JZH114" s="139"/>
      <c r="JZI114" s="139"/>
      <c r="JZJ114" s="139"/>
      <c r="JZK114" s="139"/>
      <c r="JZL114" s="139"/>
      <c r="JZM114" s="139"/>
      <c r="JZN114" s="139"/>
      <c r="JZO114" s="139"/>
      <c r="JZP114" s="139"/>
      <c r="JZQ114" s="139"/>
      <c r="JZR114" s="139"/>
      <c r="JZS114" s="139"/>
      <c r="JZT114" s="139"/>
      <c r="JZU114" s="139"/>
      <c r="JZV114" s="139"/>
      <c r="JZW114" s="139"/>
      <c r="JZX114" s="139"/>
      <c r="JZY114" s="139"/>
      <c r="JZZ114" s="139"/>
      <c r="KAA114" s="139"/>
      <c r="KAB114" s="139"/>
      <c r="KAC114" s="139"/>
      <c r="KAD114" s="139"/>
      <c r="KAE114" s="139"/>
      <c r="KAF114" s="139"/>
      <c r="KAG114" s="139"/>
      <c r="KAH114" s="139"/>
      <c r="KAI114" s="139"/>
      <c r="KAJ114" s="139"/>
      <c r="KAK114" s="139"/>
      <c r="KAL114" s="139"/>
      <c r="KAM114" s="139"/>
      <c r="KAN114" s="139"/>
      <c r="KAO114" s="139"/>
      <c r="KAP114" s="139"/>
      <c r="KAQ114" s="139"/>
      <c r="KAR114" s="139"/>
      <c r="KAS114" s="139"/>
      <c r="KAT114" s="139"/>
      <c r="KAU114" s="139"/>
      <c r="KAV114" s="139"/>
      <c r="KAW114" s="139"/>
      <c r="KAX114" s="139"/>
      <c r="KAY114" s="139"/>
      <c r="KAZ114" s="139"/>
      <c r="KBA114" s="139"/>
      <c r="KBB114" s="139"/>
      <c r="KBC114" s="139"/>
      <c r="KBD114" s="139"/>
      <c r="KBE114" s="139"/>
      <c r="KBF114" s="139"/>
      <c r="KBG114" s="139"/>
      <c r="KBH114" s="139"/>
      <c r="KBI114" s="139"/>
      <c r="KBJ114" s="139"/>
      <c r="KBK114" s="139"/>
      <c r="KBL114" s="139"/>
      <c r="KBM114" s="139"/>
      <c r="KBN114" s="139"/>
      <c r="KBO114" s="139"/>
      <c r="KBP114" s="139"/>
      <c r="KBQ114" s="139"/>
      <c r="KBR114" s="139"/>
      <c r="KBS114" s="139"/>
      <c r="KBT114" s="139"/>
      <c r="KBU114" s="139"/>
      <c r="KBV114" s="139"/>
      <c r="KBW114" s="139"/>
      <c r="KBX114" s="139"/>
      <c r="KBY114" s="139"/>
      <c r="KBZ114" s="139"/>
      <c r="KCA114" s="139"/>
      <c r="KCB114" s="139"/>
      <c r="KCC114" s="139"/>
      <c r="KCD114" s="139"/>
      <c r="KCE114" s="139"/>
      <c r="KCF114" s="139"/>
      <c r="KCG114" s="139"/>
      <c r="KCH114" s="139"/>
      <c r="KCI114" s="139"/>
      <c r="KCJ114" s="139"/>
      <c r="KCK114" s="139"/>
      <c r="KCL114" s="139"/>
      <c r="KCM114" s="139"/>
      <c r="KCN114" s="139"/>
      <c r="KCO114" s="139"/>
      <c r="KCP114" s="139"/>
      <c r="KCQ114" s="139"/>
      <c r="KCR114" s="139"/>
      <c r="KCS114" s="139"/>
      <c r="KCT114" s="139"/>
      <c r="KCU114" s="139"/>
      <c r="KCV114" s="139"/>
      <c r="KCW114" s="139"/>
      <c r="KCX114" s="139"/>
      <c r="KCY114" s="139"/>
      <c r="KCZ114" s="139"/>
      <c r="KDA114" s="139"/>
      <c r="KDB114" s="139"/>
      <c r="KDC114" s="139"/>
      <c r="KDD114" s="139"/>
      <c r="KDE114" s="139"/>
      <c r="KDF114" s="139"/>
      <c r="KDG114" s="139"/>
      <c r="KDH114" s="139"/>
      <c r="KDI114" s="139"/>
      <c r="KDJ114" s="139"/>
      <c r="KDK114" s="139"/>
      <c r="KDL114" s="139"/>
      <c r="KDM114" s="139"/>
      <c r="KDN114" s="139"/>
      <c r="KDO114" s="139"/>
      <c r="KDP114" s="139"/>
      <c r="KDQ114" s="139"/>
      <c r="KDR114" s="139"/>
      <c r="KDS114" s="139"/>
      <c r="KDT114" s="139"/>
      <c r="KDU114" s="139"/>
      <c r="KDV114" s="139"/>
      <c r="KDW114" s="139"/>
      <c r="KDX114" s="139"/>
      <c r="KDY114" s="139"/>
      <c r="KDZ114" s="139"/>
      <c r="KEA114" s="139"/>
      <c r="KEB114" s="139"/>
      <c r="KEC114" s="139"/>
      <c r="KED114" s="139"/>
      <c r="KEE114" s="139"/>
      <c r="KEF114" s="139"/>
      <c r="KEG114" s="139"/>
      <c r="KEH114" s="139"/>
      <c r="KEI114" s="139"/>
      <c r="KEJ114" s="139"/>
      <c r="KEK114" s="139"/>
      <c r="KEL114" s="139"/>
      <c r="KEM114" s="139"/>
      <c r="KEN114" s="139"/>
      <c r="KEO114" s="139"/>
      <c r="KEP114" s="139"/>
      <c r="KEQ114" s="139"/>
      <c r="KER114" s="139"/>
      <c r="KES114" s="139"/>
      <c r="KET114" s="139"/>
      <c r="KEU114" s="139"/>
      <c r="KEV114" s="139"/>
      <c r="KEW114" s="139"/>
      <c r="KEX114" s="139"/>
      <c r="KEY114" s="139"/>
      <c r="KEZ114" s="139"/>
      <c r="KFA114" s="139"/>
      <c r="KFB114" s="139"/>
      <c r="KFC114" s="139"/>
      <c r="KFD114" s="139"/>
      <c r="KFE114" s="139"/>
      <c r="KFF114" s="139"/>
      <c r="KFG114" s="139"/>
      <c r="KFH114" s="139"/>
      <c r="KFI114" s="139"/>
      <c r="KFJ114" s="139"/>
      <c r="KFK114" s="139"/>
      <c r="KFL114" s="139"/>
      <c r="KFM114" s="139"/>
      <c r="KFN114" s="139"/>
      <c r="KFO114" s="139"/>
      <c r="KFP114" s="139"/>
      <c r="KFQ114" s="139"/>
      <c r="KFR114" s="139"/>
      <c r="KFS114" s="139"/>
      <c r="KFT114" s="139"/>
      <c r="KFU114" s="139"/>
      <c r="KFV114" s="139"/>
      <c r="KFW114" s="139"/>
      <c r="KFX114" s="139"/>
      <c r="KFY114" s="139"/>
      <c r="KFZ114" s="139"/>
      <c r="KGA114" s="139"/>
      <c r="KGB114" s="139"/>
      <c r="KGC114" s="139"/>
      <c r="KGD114" s="139"/>
      <c r="KGE114" s="139"/>
      <c r="KGF114" s="139"/>
      <c r="KGG114" s="139"/>
      <c r="KGH114" s="139"/>
      <c r="KGI114" s="139"/>
      <c r="KGJ114" s="139"/>
      <c r="KGK114" s="139"/>
      <c r="KGL114" s="139"/>
      <c r="KGM114" s="139"/>
      <c r="KGN114" s="139"/>
      <c r="KGO114" s="139"/>
      <c r="KGP114" s="139"/>
      <c r="KGQ114" s="139"/>
      <c r="KGR114" s="139"/>
      <c r="KGS114" s="139"/>
      <c r="KGT114" s="139"/>
      <c r="KGU114" s="139"/>
      <c r="KGV114" s="139"/>
      <c r="KGW114" s="139"/>
      <c r="KGX114" s="139"/>
      <c r="KGY114" s="139"/>
      <c r="KGZ114" s="139"/>
      <c r="KHA114" s="139"/>
      <c r="KHB114" s="139"/>
      <c r="KHC114" s="139"/>
      <c r="KHD114" s="139"/>
      <c r="KHE114" s="139"/>
      <c r="KHF114" s="139"/>
      <c r="KHG114" s="139"/>
      <c r="KHH114" s="139"/>
      <c r="KHI114" s="139"/>
      <c r="KHJ114" s="139"/>
      <c r="KHK114" s="139"/>
      <c r="KHL114" s="139"/>
      <c r="KHM114" s="139"/>
      <c r="KHN114" s="139"/>
      <c r="KHO114" s="139"/>
      <c r="KHP114" s="139"/>
      <c r="KHQ114" s="139"/>
      <c r="KHR114" s="139"/>
      <c r="KHS114" s="139"/>
      <c r="KHT114" s="139"/>
      <c r="KHU114" s="139"/>
      <c r="KHV114" s="139"/>
      <c r="KHW114" s="139"/>
      <c r="KHX114" s="139"/>
      <c r="KHY114" s="139"/>
      <c r="KHZ114" s="139"/>
      <c r="KIA114" s="139"/>
      <c r="KIB114" s="139"/>
      <c r="KIC114" s="139"/>
      <c r="KID114" s="139"/>
      <c r="KIE114" s="139"/>
      <c r="KIF114" s="139"/>
      <c r="KIG114" s="139"/>
      <c r="KIH114" s="139"/>
      <c r="KII114" s="139"/>
      <c r="KIJ114" s="139"/>
      <c r="KIK114" s="139"/>
      <c r="KIL114" s="139"/>
      <c r="KIM114" s="139"/>
      <c r="KIN114" s="139"/>
      <c r="KIO114" s="139"/>
      <c r="KIP114" s="139"/>
      <c r="KIQ114" s="139"/>
      <c r="KIR114" s="139"/>
      <c r="KIS114" s="139"/>
      <c r="KIT114" s="139"/>
      <c r="KIU114" s="139"/>
      <c r="KIV114" s="139"/>
      <c r="KIW114" s="139"/>
      <c r="KIX114" s="139"/>
      <c r="KIY114" s="139"/>
      <c r="KIZ114" s="139"/>
      <c r="KJA114" s="139"/>
      <c r="KJB114" s="139"/>
      <c r="KJC114" s="139"/>
      <c r="KJD114" s="139"/>
      <c r="KJE114" s="139"/>
      <c r="KJF114" s="139"/>
      <c r="KJG114" s="139"/>
      <c r="KJH114" s="139"/>
      <c r="KJI114" s="139"/>
      <c r="KJJ114" s="139"/>
      <c r="KJK114" s="139"/>
      <c r="KJL114" s="139"/>
      <c r="KJM114" s="139"/>
      <c r="KJN114" s="139"/>
      <c r="KJO114" s="139"/>
      <c r="KJP114" s="139"/>
      <c r="KJQ114" s="139"/>
      <c r="KJR114" s="139"/>
      <c r="KJS114" s="139"/>
      <c r="KJT114" s="139"/>
      <c r="KJU114" s="139"/>
      <c r="KJV114" s="139"/>
      <c r="KJW114" s="139"/>
      <c r="KJX114" s="139"/>
      <c r="KJY114" s="139"/>
      <c r="KJZ114" s="139"/>
      <c r="KKA114" s="139"/>
      <c r="KKB114" s="139"/>
      <c r="KKC114" s="139"/>
      <c r="KKD114" s="139"/>
      <c r="KKE114" s="139"/>
      <c r="KKF114" s="139"/>
      <c r="KKG114" s="139"/>
      <c r="KKH114" s="139"/>
      <c r="KKI114" s="139"/>
      <c r="KKJ114" s="139"/>
      <c r="KKK114" s="139"/>
      <c r="KKL114" s="139"/>
      <c r="KKM114" s="139"/>
      <c r="KKN114" s="139"/>
      <c r="KKO114" s="139"/>
      <c r="KKP114" s="139"/>
      <c r="KKQ114" s="139"/>
      <c r="KKR114" s="139"/>
      <c r="KKS114" s="139"/>
      <c r="KKT114" s="139"/>
      <c r="KKU114" s="139"/>
      <c r="KKV114" s="139"/>
      <c r="KKW114" s="139"/>
      <c r="KKX114" s="139"/>
      <c r="KKY114" s="139"/>
      <c r="KKZ114" s="139"/>
      <c r="KLA114" s="139"/>
      <c r="KLB114" s="139"/>
      <c r="KLC114" s="139"/>
      <c r="KLD114" s="139"/>
      <c r="KLE114" s="139"/>
      <c r="KLF114" s="139"/>
      <c r="KLG114" s="139"/>
      <c r="KLH114" s="139"/>
      <c r="KLI114" s="139"/>
      <c r="KLJ114" s="139"/>
      <c r="KLK114" s="139"/>
      <c r="KLL114" s="139"/>
      <c r="KLM114" s="139"/>
      <c r="KLN114" s="139"/>
      <c r="KLO114" s="139"/>
      <c r="KLP114" s="139"/>
      <c r="KLQ114" s="139"/>
      <c r="KLR114" s="139"/>
      <c r="KLS114" s="139"/>
      <c r="KLT114" s="139"/>
      <c r="KLU114" s="139"/>
      <c r="KLV114" s="139"/>
      <c r="KLW114" s="139"/>
      <c r="KLX114" s="139"/>
      <c r="KLY114" s="139"/>
      <c r="KLZ114" s="139"/>
      <c r="KMA114" s="139"/>
      <c r="KMB114" s="139"/>
      <c r="KMC114" s="139"/>
      <c r="KMD114" s="139"/>
      <c r="KME114" s="139"/>
      <c r="KMF114" s="139"/>
      <c r="KMG114" s="139"/>
      <c r="KMH114" s="139"/>
      <c r="KMI114" s="139"/>
      <c r="KMJ114" s="139"/>
      <c r="KMK114" s="139"/>
      <c r="KML114" s="139"/>
      <c r="KMM114" s="139"/>
      <c r="KMN114" s="139"/>
      <c r="KMO114" s="139"/>
      <c r="KMP114" s="139"/>
      <c r="KMQ114" s="139"/>
      <c r="KMR114" s="139"/>
      <c r="KMS114" s="139"/>
      <c r="KMT114" s="139"/>
      <c r="KMU114" s="139"/>
      <c r="KMV114" s="139"/>
      <c r="KMW114" s="139"/>
      <c r="KMX114" s="139"/>
      <c r="KMY114" s="139"/>
      <c r="KMZ114" s="139"/>
      <c r="KNA114" s="139"/>
      <c r="KNB114" s="139"/>
      <c r="KNC114" s="139"/>
      <c r="KND114" s="139"/>
      <c r="KNE114" s="139"/>
      <c r="KNF114" s="139"/>
      <c r="KNG114" s="139"/>
      <c r="KNH114" s="139"/>
      <c r="KNI114" s="139"/>
      <c r="KNJ114" s="139"/>
      <c r="KNK114" s="139"/>
      <c r="KNL114" s="139"/>
      <c r="KNM114" s="139"/>
      <c r="KNN114" s="139"/>
      <c r="KNO114" s="139"/>
      <c r="KNP114" s="139"/>
      <c r="KNQ114" s="139"/>
      <c r="KNR114" s="139"/>
      <c r="KNS114" s="139"/>
      <c r="KNT114" s="139"/>
      <c r="KNU114" s="139"/>
      <c r="KNV114" s="139"/>
      <c r="KNW114" s="139"/>
      <c r="KNX114" s="139"/>
      <c r="KNY114" s="139"/>
      <c r="KNZ114" s="139"/>
      <c r="KOA114" s="139"/>
      <c r="KOB114" s="139"/>
      <c r="KOC114" s="139"/>
      <c r="KOD114" s="139"/>
      <c r="KOE114" s="139"/>
      <c r="KOF114" s="139"/>
      <c r="KOG114" s="139"/>
      <c r="KOH114" s="139"/>
      <c r="KOI114" s="139"/>
      <c r="KOJ114" s="139"/>
      <c r="KOK114" s="139"/>
      <c r="KOL114" s="139"/>
      <c r="KOM114" s="139"/>
      <c r="KON114" s="139"/>
      <c r="KOO114" s="139"/>
      <c r="KOP114" s="139"/>
      <c r="KOQ114" s="139"/>
      <c r="KOR114" s="139"/>
      <c r="KOS114" s="139"/>
      <c r="KOT114" s="139"/>
      <c r="KOU114" s="139"/>
      <c r="KOV114" s="139"/>
      <c r="KOW114" s="139"/>
      <c r="KOX114" s="139"/>
      <c r="KOY114" s="139"/>
      <c r="KOZ114" s="139"/>
      <c r="KPA114" s="139"/>
      <c r="KPB114" s="139"/>
      <c r="KPC114" s="139"/>
      <c r="KPD114" s="139"/>
      <c r="KPE114" s="139"/>
      <c r="KPF114" s="139"/>
      <c r="KPG114" s="139"/>
      <c r="KPH114" s="139"/>
      <c r="KPI114" s="139"/>
      <c r="KPJ114" s="139"/>
      <c r="KPK114" s="139"/>
      <c r="KPL114" s="139"/>
      <c r="KPM114" s="139"/>
      <c r="KPN114" s="139"/>
      <c r="KPO114" s="139"/>
      <c r="KPP114" s="139"/>
      <c r="KPQ114" s="139"/>
      <c r="KPR114" s="139"/>
      <c r="KPS114" s="139"/>
      <c r="KPT114" s="139"/>
      <c r="KPU114" s="139"/>
      <c r="KPV114" s="139"/>
      <c r="KPW114" s="139"/>
      <c r="KPX114" s="139"/>
      <c r="KPY114" s="139"/>
      <c r="KPZ114" s="139"/>
      <c r="KQA114" s="139"/>
      <c r="KQB114" s="139"/>
      <c r="KQC114" s="139"/>
      <c r="KQD114" s="139"/>
      <c r="KQE114" s="139"/>
      <c r="KQF114" s="139"/>
      <c r="KQG114" s="139"/>
      <c r="KQH114" s="139"/>
      <c r="KQI114" s="139"/>
      <c r="KQJ114" s="139"/>
      <c r="KQK114" s="139"/>
      <c r="KQL114" s="139"/>
      <c r="KQM114" s="139"/>
      <c r="KQN114" s="139"/>
      <c r="KQO114" s="139"/>
      <c r="KQP114" s="139"/>
      <c r="KQQ114" s="139"/>
      <c r="KQR114" s="139"/>
      <c r="KQS114" s="139"/>
      <c r="KQT114" s="139"/>
      <c r="KQU114" s="139"/>
      <c r="KQV114" s="139"/>
      <c r="KQW114" s="139"/>
      <c r="KQX114" s="139"/>
      <c r="KQY114" s="139"/>
      <c r="KQZ114" s="139"/>
      <c r="KRA114" s="139"/>
      <c r="KRB114" s="139"/>
      <c r="KRC114" s="139"/>
      <c r="KRD114" s="139"/>
      <c r="KRE114" s="139"/>
      <c r="KRF114" s="139"/>
      <c r="KRG114" s="139"/>
      <c r="KRH114" s="139"/>
      <c r="KRI114" s="139"/>
      <c r="KRJ114" s="139"/>
      <c r="KRK114" s="139"/>
      <c r="KRL114" s="139"/>
      <c r="KRM114" s="139"/>
      <c r="KRN114" s="139"/>
      <c r="KRO114" s="139"/>
      <c r="KRP114" s="139"/>
      <c r="KRQ114" s="139"/>
      <c r="KRR114" s="139"/>
      <c r="KRS114" s="139"/>
      <c r="KRT114" s="139"/>
      <c r="KRU114" s="139"/>
      <c r="KRV114" s="139"/>
      <c r="KRW114" s="139"/>
      <c r="KRX114" s="139"/>
      <c r="KRY114" s="139"/>
      <c r="KRZ114" s="139"/>
      <c r="KSA114" s="139"/>
      <c r="KSB114" s="139"/>
      <c r="KSC114" s="139"/>
      <c r="KSD114" s="139"/>
      <c r="KSE114" s="139"/>
      <c r="KSF114" s="139"/>
      <c r="KSG114" s="139"/>
      <c r="KSH114" s="139"/>
      <c r="KSI114" s="139"/>
      <c r="KSJ114" s="139"/>
      <c r="KSK114" s="139"/>
      <c r="KSL114" s="139"/>
      <c r="KSM114" s="139"/>
      <c r="KSN114" s="139"/>
      <c r="KSO114" s="139"/>
      <c r="KSP114" s="139"/>
      <c r="KSQ114" s="139"/>
      <c r="KSR114" s="139"/>
      <c r="KSS114" s="139"/>
      <c r="KST114" s="139"/>
      <c r="KSU114" s="139"/>
      <c r="KSV114" s="139"/>
      <c r="KSW114" s="139"/>
      <c r="KSX114" s="139"/>
      <c r="KSY114" s="139"/>
      <c r="KSZ114" s="139"/>
      <c r="KTA114" s="139"/>
      <c r="KTB114" s="139"/>
      <c r="KTC114" s="139"/>
      <c r="KTD114" s="139"/>
      <c r="KTE114" s="139"/>
      <c r="KTF114" s="139"/>
      <c r="KTG114" s="139"/>
      <c r="KTH114" s="139"/>
      <c r="KTI114" s="139"/>
      <c r="KTJ114" s="139"/>
      <c r="KTK114" s="139"/>
      <c r="KTL114" s="139"/>
      <c r="KTM114" s="139"/>
      <c r="KTN114" s="139"/>
      <c r="KTO114" s="139"/>
      <c r="KTP114" s="139"/>
      <c r="KTQ114" s="139"/>
      <c r="KTR114" s="139"/>
      <c r="KTS114" s="139"/>
      <c r="KTT114" s="139"/>
      <c r="KTU114" s="139"/>
      <c r="KTV114" s="139"/>
      <c r="KTW114" s="139"/>
      <c r="KTX114" s="139"/>
      <c r="KTY114" s="139"/>
      <c r="KTZ114" s="139"/>
      <c r="KUA114" s="139"/>
      <c r="KUB114" s="139"/>
      <c r="KUC114" s="139"/>
      <c r="KUD114" s="139"/>
      <c r="KUE114" s="139"/>
      <c r="KUF114" s="139"/>
      <c r="KUG114" s="139"/>
      <c r="KUH114" s="139"/>
      <c r="KUI114" s="139"/>
      <c r="KUJ114" s="139"/>
      <c r="KUK114" s="139"/>
      <c r="KUL114" s="139"/>
      <c r="KUM114" s="139"/>
      <c r="KUN114" s="139"/>
      <c r="KUO114" s="139"/>
      <c r="KUP114" s="139"/>
      <c r="KUQ114" s="139"/>
      <c r="KUR114" s="139"/>
      <c r="KUS114" s="139"/>
      <c r="KUT114" s="139"/>
      <c r="KUU114" s="139"/>
      <c r="KUV114" s="139"/>
      <c r="KUW114" s="139"/>
      <c r="KUX114" s="139"/>
      <c r="KUY114" s="139"/>
      <c r="KUZ114" s="139"/>
      <c r="KVA114" s="139"/>
      <c r="KVB114" s="139"/>
      <c r="KVC114" s="139"/>
      <c r="KVD114" s="139"/>
      <c r="KVE114" s="139"/>
      <c r="KVF114" s="139"/>
      <c r="KVG114" s="139"/>
      <c r="KVH114" s="139"/>
      <c r="KVI114" s="139"/>
      <c r="KVJ114" s="139"/>
      <c r="KVK114" s="139"/>
      <c r="KVL114" s="139"/>
      <c r="KVM114" s="139"/>
      <c r="KVN114" s="139"/>
      <c r="KVO114" s="139"/>
      <c r="KVP114" s="139"/>
      <c r="KVQ114" s="139"/>
      <c r="KVR114" s="139"/>
      <c r="KVS114" s="139"/>
      <c r="KVT114" s="139"/>
      <c r="KVU114" s="139"/>
      <c r="KVV114" s="139"/>
      <c r="KVW114" s="139"/>
      <c r="KVX114" s="139"/>
      <c r="KVY114" s="139"/>
      <c r="KVZ114" s="139"/>
      <c r="KWA114" s="139"/>
      <c r="KWB114" s="139"/>
      <c r="KWC114" s="139"/>
      <c r="KWD114" s="139"/>
      <c r="KWE114" s="139"/>
      <c r="KWF114" s="139"/>
      <c r="KWG114" s="139"/>
      <c r="KWH114" s="139"/>
      <c r="KWI114" s="139"/>
      <c r="KWJ114" s="139"/>
      <c r="KWK114" s="139"/>
      <c r="KWL114" s="139"/>
      <c r="KWM114" s="139"/>
      <c r="KWN114" s="139"/>
      <c r="KWO114" s="139"/>
      <c r="KWP114" s="139"/>
      <c r="KWQ114" s="139"/>
      <c r="KWR114" s="139"/>
      <c r="KWS114" s="139"/>
      <c r="KWT114" s="139"/>
      <c r="KWU114" s="139"/>
      <c r="KWV114" s="139"/>
      <c r="KWW114" s="139"/>
      <c r="KWX114" s="139"/>
      <c r="KWY114" s="139"/>
      <c r="KWZ114" s="139"/>
      <c r="KXA114" s="139"/>
      <c r="KXB114" s="139"/>
      <c r="KXC114" s="139"/>
      <c r="KXD114" s="139"/>
      <c r="KXE114" s="139"/>
      <c r="KXF114" s="139"/>
      <c r="KXG114" s="139"/>
      <c r="KXH114" s="139"/>
      <c r="KXI114" s="139"/>
      <c r="KXJ114" s="139"/>
      <c r="KXK114" s="139"/>
      <c r="KXL114" s="139"/>
      <c r="KXM114" s="139"/>
      <c r="KXN114" s="139"/>
      <c r="KXO114" s="139"/>
      <c r="KXP114" s="139"/>
      <c r="KXQ114" s="139"/>
      <c r="KXR114" s="139"/>
      <c r="KXS114" s="139"/>
      <c r="KXT114" s="139"/>
      <c r="KXU114" s="139"/>
      <c r="KXV114" s="139"/>
      <c r="KXW114" s="139"/>
      <c r="KXX114" s="139"/>
      <c r="KXY114" s="139"/>
      <c r="KXZ114" s="139"/>
      <c r="KYA114" s="139"/>
      <c r="KYB114" s="139"/>
      <c r="KYC114" s="139"/>
      <c r="KYD114" s="139"/>
      <c r="KYE114" s="139"/>
      <c r="KYF114" s="139"/>
      <c r="KYG114" s="139"/>
      <c r="KYH114" s="139"/>
      <c r="KYI114" s="139"/>
      <c r="KYJ114" s="139"/>
      <c r="KYK114" s="139"/>
      <c r="KYL114" s="139"/>
      <c r="KYM114" s="139"/>
      <c r="KYN114" s="139"/>
      <c r="KYO114" s="139"/>
      <c r="KYP114" s="139"/>
      <c r="KYQ114" s="139"/>
      <c r="KYR114" s="139"/>
      <c r="KYS114" s="139"/>
      <c r="KYT114" s="139"/>
      <c r="KYU114" s="139"/>
      <c r="KYV114" s="139"/>
      <c r="KYW114" s="139"/>
      <c r="KYX114" s="139"/>
      <c r="KYY114" s="139"/>
      <c r="KYZ114" s="139"/>
      <c r="KZA114" s="139"/>
      <c r="KZB114" s="139"/>
      <c r="KZC114" s="139"/>
      <c r="KZD114" s="139"/>
      <c r="KZE114" s="139"/>
      <c r="KZF114" s="139"/>
      <c r="KZG114" s="139"/>
      <c r="KZH114" s="139"/>
      <c r="KZI114" s="139"/>
      <c r="KZJ114" s="139"/>
      <c r="KZK114" s="139"/>
      <c r="KZL114" s="139"/>
      <c r="KZM114" s="139"/>
      <c r="KZN114" s="139"/>
      <c r="KZO114" s="139"/>
      <c r="KZP114" s="139"/>
      <c r="KZQ114" s="139"/>
      <c r="KZR114" s="139"/>
      <c r="KZS114" s="139"/>
      <c r="KZT114" s="139"/>
      <c r="KZU114" s="139"/>
      <c r="KZV114" s="139"/>
      <c r="KZW114" s="139"/>
      <c r="KZX114" s="139"/>
      <c r="KZY114" s="139"/>
      <c r="KZZ114" s="139"/>
      <c r="LAA114" s="139"/>
      <c r="LAB114" s="139"/>
      <c r="LAC114" s="139"/>
      <c r="LAD114" s="139"/>
      <c r="LAE114" s="139"/>
      <c r="LAF114" s="139"/>
      <c r="LAG114" s="139"/>
      <c r="LAH114" s="139"/>
      <c r="LAI114" s="139"/>
      <c r="LAJ114" s="139"/>
      <c r="LAK114" s="139"/>
      <c r="LAL114" s="139"/>
      <c r="LAM114" s="139"/>
      <c r="LAN114" s="139"/>
      <c r="LAO114" s="139"/>
      <c r="LAP114" s="139"/>
      <c r="LAQ114" s="139"/>
      <c r="LAR114" s="139"/>
      <c r="LAS114" s="139"/>
      <c r="LAT114" s="139"/>
      <c r="LAU114" s="139"/>
      <c r="LAV114" s="139"/>
      <c r="LAW114" s="139"/>
      <c r="LAX114" s="139"/>
      <c r="LAY114" s="139"/>
      <c r="LAZ114" s="139"/>
      <c r="LBA114" s="139"/>
      <c r="LBB114" s="139"/>
      <c r="LBC114" s="139"/>
      <c r="LBD114" s="139"/>
      <c r="LBE114" s="139"/>
      <c r="LBF114" s="139"/>
      <c r="LBG114" s="139"/>
      <c r="LBH114" s="139"/>
      <c r="LBI114" s="139"/>
      <c r="LBJ114" s="139"/>
      <c r="LBK114" s="139"/>
      <c r="LBL114" s="139"/>
      <c r="LBM114" s="139"/>
      <c r="LBN114" s="139"/>
      <c r="LBO114" s="139"/>
      <c r="LBP114" s="139"/>
      <c r="LBQ114" s="139"/>
      <c r="LBR114" s="139"/>
      <c r="LBS114" s="139"/>
      <c r="LBT114" s="139"/>
      <c r="LBU114" s="139"/>
      <c r="LBV114" s="139"/>
      <c r="LBW114" s="139"/>
      <c r="LBX114" s="139"/>
      <c r="LBY114" s="139"/>
      <c r="LBZ114" s="139"/>
      <c r="LCA114" s="139"/>
      <c r="LCB114" s="139"/>
      <c r="LCC114" s="139"/>
      <c r="LCD114" s="139"/>
      <c r="LCE114" s="139"/>
      <c r="LCF114" s="139"/>
      <c r="LCG114" s="139"/>
      <c r="LCH114" s="139"/>
      <c r="LCI114" s="139"/>
      <c r="LCJ114" s="139"/>
      <c r="LCK114" s="139"/>
      <c r="LCL114" s="139"/>
      <c r="LCM114" s="139"/>
      <c r="LCN114" s="139"/>
      <c r="LCO114" s="139"/>
      <c r="LCP114" s="139"/>
      <c r="LCQ114" s="139"/>
      <c r="LCR114" s="139"/>
      <c r="LCS114" s="139"/>
      <c r="LCT114" s="139"/>
      <c r="LCU114" s="139"/>
      <c r="LCV114" s="139"/>
      <c r="LCW114" s="139"/>
      <c r="LCX114" s="139"/>
      <c r="LCY114" s="139"/>
      <c r="LCZ114" s="139"/>
      <c r="LDA114" s="139"/>
      <c r="LDB114" s="139"/>
      <c r="LDC114" s="139"/>
      <c r="LDD114" s="139"/>
      <c r="LDE114" s="139"/>
      <c r="LDF114" s="139"/>
      <c r="LDG114" s="139"/>
      <c r="LDH114" s="139"/>
      <c r="LDI114" s="139"/>
      <c r="LDJ114" s="139"/>
      <c r="LDK114" s="139"/>
      <c r="LDL114" s="139"/>
      <c r="LDM114" s="139"/>
      <c r="LDN114" s="139"/>
      <c r="LDO114" s="139"/>
      <c r="LDP114" s="139"/>
      <c r="LDQ114" s="139"/>
      <c r="LDR114" s="139"/>
      <c r="LDS114" s="139"/>
      <c r="LDT114" s="139"/>
      <c r="LDU114" s="139"/>
      <c r="LDV114" s="139"/>
      <c r="LDW114" s="139"/>
      <c r="LDX114" s="139"/>
      <c r="LDY114" s="139"/>
      <c r="LDZ114" s="139"/>
      <c r="LEA114" s="139"/>
      <c r="LEB114" s="139"/>
      <c r="LEC114" s="139"/>
      <c r="LED114" s="139"/>
      <c r="LEE114" s="139"/>
      <c r="LEF114" s="139"/>
      <c r="LEG114" s="139"/>
      <c r="LEH114" s="139"/>
      <c r="LEI114" s="139"/>
      <c r="LEJ114" s="139"/>
      <c r="LEK114" s="139"/>
      <c r="LEL114" s="139"/>
      <c r="LEM114" s="139"/>
      <c r="LEN114" s="139"/>
      <c r="LEO114" s="139"/>
      <c r="LEP114" s="139"/>
      <c r="LEQ114" s="139"/>
      <c r="LER114" s="139"/>
      <c r="LES114" s="139"/>
      <c r="LET114" s="139"/>
      <c r="LEU114" s="139"/>
      <c r="LEV114" s="139"/>
      <c r="LEW114" s="139"/>
      <c r="LEX114" s="139"/>
      <c r="LEY114" s="139"/>
      <c r="LEZ114" s="139"/>
      <c r="LFA114" s="139"/>
      <c r="LFB114" s="139"/>
      <c r="LFC114" s="139"/>
      <c r="LFD114" s="139"/>
      <c r="LFE114" s="139"/>
      <c r="LFF114" s="139"/>
      <c r="LFG114" s="139"/>
      <c r="LFH114" s="139"/>
      <c r="LFI114" s="139"/>
      <c r="LFJ114" s="139"/>
      <c r="LFK114" s="139"/>
      <c r="LFL114" s="139"/>
      <c r="LFM114" s="139"/>
      <c r="LFN114" s="139"/>
      <c r="LFO114" s="139"/>
      <c r="LFP114" s="139"/>
      <c r="LFQ114" s="139"/>
      <c r="LFR114" s="139"/>
      <c r="LFS114" s="139"/>
      <c r="LFT114" s="139"/>
      <c r="LFU114" s="139"/>
      <c r="LFV114" s="139"/>
      <c r="LFW114" s="139"/>
      <c r="LFX114" s="139"/>
      <c r="LFY114" s="139"/>
      <c r="LFZ114" s="139"/>
      <c r="LGA114" s="139"/>
      <c r="LGB114" s="139"/>
      <c r="LGC114" s="139"/>
      <c r="LGD114" s="139"/>
      <c r="LGE114" s="139"/>
      <c r="LGF114" s="139"/>
      <c r="LGG114" s="139"/>
      <c r="LGH114" s="139"/>
      <c r="LGI114" s="139"/>
      <c r="LGJ114" s="139"/>
      <c r="LGK114" s="139"/>
      <c r="LGL114" s="139"/>
      <c r="LGM114" s="139"/>
      <c r="LGN114" s="139"/>
      <c r="LGO114" s="139"/>
      <c r="LGP114" s="139"/>
      <c r="LGQ114" s="139"/>
      <c r="LGR114" s="139"/>
      <c r="LGS114" s="139"/>
      <c r="LGT114" s="139"/>
      <c r="LGU114" s="139"/>
      <c r="LGV114" s="139"/>
      <c r="LGW114" s="139"/>
      <c r="LGX114" s="139"/>
      <c r="LGY114" s="139"/>
      <c r="LGZ114" s="139"/>
      <c r="LHA114" s="139"/>
      <c r="LHB114" s="139"/>
      <c r="LHC114" s="139"/>
      <c r="LHD114" s="139"/>
      <c r="LHE114" s="139"/>
      <c r="LHF114" s="139"/>
      <c r="LHG114" s="139"/>
      <c r="LHH114" s="139"/>
      <c r="LHI114" s="139"/>
      <c r="LHJ114" s="139"/>
      <c r="LHK114" s="139"/>
      <c r="LHL114" s="139"/>
      <c r="LHM114" s="139"/>
      <c r="LHN114" s="139"/>
      <c r="LHO114" s="139"/>
      <c r="LHP114" s="139"/>
      <c r="LHQ114" s="139"/>
      <c r="LHR114" s="139"/>
      <c r="LHS114" s="139"/>
      <c r="LHT114" s="139"/>
      <c r="LHU114" s="139"/>
      <c r="LHV114" s="139"/>
      <c r="LHW114" s="139"/>
      <c r="LHX114" s="139"/>
      <c r="LHY114" s="139"/>
      <c r="LHZ114" s="139"/>
      <c r="LIA114" s="139"/>
      <c r="LIB114" s="139"/>
      <c r="LIC114" s="139"/>
      <c r="LID114" s="139"/>
      <c r="LIE114" s="139"/>
      <c r="LIF114" s="139"/>
      <c r="LIG114" s="139"/>
      <c r="LIH114" s="139"/>
      <c r="LII114" s="139"/>
      <c r="LIJ114" s="139"/>
      <c r="LIK114" s="139"/>
      <c r="LIL114" s="139"/>
      <c r="LIM114" s="139"/>
      <c r="LIN114" s="139"/>
      <c r="LIO114" s="139"/>
      <c r="LIP114" s="139"/>
      <c r="LIQ114" s="139"/>
      <c r="LIR114" s="139"/>
      <c r="LIS114" s="139"/>
      <c r="LIT114" s="139"/>
      <c r="LIU114" s="139"/>
      <c r="LIV114" s="139"/>
      <c r="LIW114" s="139"/>
      <c r="LIX114" s="139"/>
      <c r="LIY114" s="139"/>
      <c r="LIZ114" s="139"/>
      <c r="LJA114" s="139"/>
      <c r="LJB114" s="139"/>
      <c r="LJC114" s="139"/>
      <c r="LJD114" s="139"/>
      <c r="LJE114" s="139"/>
      <c r="LJF114" s="139"/>
      <c r="LJG114" s="139"/>
      <c r="LJH114" s="139"/>
      <c r="LJI114" s="139"/>
      <c r="LJJ114" s="139"/>
      <c r="LJK114" s="139"/>
      <c r="LJL114" s="139"/>
      <c r="LJM114" s="139"/>
      <c r="LJN114" s="139"/>
      <c r="LJO114" s="139"/>
      <c r="LJP114" s="139"/>
      <c r="LJQ114" s="139"/>
      <c r="LJR114" s="139"/>
      <c r="LJS114" s="139"/>
      <c r="LJT114" s="139"/>
      <c r="LJU114" s="139"/>
      <c r="LJV114" s="139"/>
      <c r="LJW114" s="139"/>
      <c r="LJX114" s="139"/>
      <c r="LJY114" s="139"/>
      <c r="LJZ114" s="139"/>
      <c r="LKA114" s="139"/>
      <c r="LKB114" s="139"/>
      <c r="LKC114" s="139"/>
      <c r="LKD114" s="139"/>
      <c r="LKE114" s="139"/>
      <c r="LKF114" s="139"/>
      <c r="LKG114" s="139"/>
      <c r="LKH114" s="139"/>
      <c r="LKI114" s="139"/>
      <c r="LKJ114" s="139"/>
      <c r="LKK114" s="139"/>
      <c r="LKL114" s="139"/>
      <c r="LKM114" s="139"/>
      <c r="LKN114" s="139"/>
      <c r="LKO114" s="139"/>
      <c r="LKP114" s="139"/>
      <c r="LKQ114" s="139"/>
      <c r="LKR114" s="139"/>
      <c r="LKS114" s="139"/>
      <c r="LKT114" s="139"/>
      <c r="LKU114" s="139"/>
      <c r="LKV114" s="139"/>
      <c r="LKW114" s="139"/>
      <c r="LKX114" s="139"/>
      <c r="LKY114" s="139"/>
      <c r="LKZ114" s="139"/>
      <c r="LLA114" s="139"/>
      <c r="LLB114" s="139"/>
      <c r="LLC114" s="139"/>
      <c r="LLD114" s="139"/>
      <c r="LLE114" s="139"/>
      <c r="LLF114" s="139"/>
      <c r="LLG114" s="139"/>
      <c r="LLH114" s="139"/>
      <c r="LLI114" s="139"/>
      <c r="LLJ114" s="139"/>
      <c r="LLK114" s="139"/>
      <c r="LLL114" s="139"/>
      <c r="LLM114" s="139"/>
      <c r="LLN114" s="139"/>
      <c r="LLO114" s="139"/>
      <c r="LLP114" s="139"/>
      <c r="LLQ114" s="139"/>
      <c r="LLR114" s="139"/>
      <c r="LLS114" s="139"/>
      <c r="LLT114" s="139"/>
      <c r="LLU114" s="139"/>
      <c r="LLV114" s="139"/>
      <c r="LLW114" s="139"/>
      <c r="LLX114" s="139"/>
      <c r="LLY114" s="139"/>
      <c r="LLZ114" s="139"/>
      <c r="LMA114" s="139"/>
      <c r="LMB114" s="139"/>
      <c r="LMC114" s="139"/>
      <c r="LMD114" s="139"/>
      <c r="LME114" s="139"/>
      <c r="LMF114" s="139"/>
      <c r="LMG114" s="139"/>
      <c r="LMH114" s="139"/>
      <c r="LMI114" s="139"/>
      <c r="LMJ114" s="139"/>
      <c r="LMK114" s="139"/>
      <c r="LML114" s="139"/>
      <c r="LMM114" s="139"/>
      <c r="LMN114" s="139"/>
      <c r="LMO114" s="139"/>
      <c r="LMP114" s="139"/>
      <c r="LMQ114" s="139"/>
      <c r="LMR114" s="139"/>
      <c r="LMS114" s="139"/>
      <c r="LMT114" s="139"/>
      <c r="LMU114" s="139"/>
      <c r="LMV114" s="139"/>
      <c r="LMW114" s="139"/>
      <c r="LMX114" s="139"/>
      <c r="LMY114" s="139"/>
      <c r="LMZ114" s="139"/>
      <c r="LNA114" s="139"/>
      <c r="LNB114" s="139"/>
      <c r="LNC114" s="139"/>
      <c r="LND114" s="139"/>
      <c r="LNE114" s="139"/>
      <c r="LNF114" s="139"/>
      <c r="LNG114" s="139"/>
      <c r="LNH114" s="139"/>
      <c r="LNI114" s="139"/>
      <c r="LNJ114" s="139"/>
      <c r="LNK114" s="139"/>
      <c r="LNL114" s="139"/>
      <c r="LNM114" s="139"/>
      <c r="LNN114" s="139"/>
      <c r="LNO114" s="139"/>
      <c r="LNP114" s="139"/>
      <c r="LNQ114" s="139"/>
      <c r="LNR114" s="139"/>
      <c r="LNS114" s="139"/>
      <c r="LNT114" s="139"/>
      <c r="LNU114" s="139"/>
      <c r="LNV114" s="139"/>
      <c r="LNW114" s="139"/>
      <c r="LNX114" s="139"/>
      <c r="LNY114" s="139"/>
      <c r="LNZ114" s="139"/>
      <c r="LOA114" s="139"/>
      <c r="LOB114" s="139"/>
      <c r="LOC114" s="139"/>
      <c r="LOD114" s="139"/>
      <c r="LOE114" s="139"/>
      <c r="LOF114" s="139"/>
      <c r="LOG114" s="139"/>
      <c r="LOH114" s="139"/>
      <c r="LOI114" s="139"/>
      <c r="LOJ114" s="139"/>
      <c r="LOK114" s="139"/>
      <c r="LOL114" s="139"/>
      <c r="LOM114" s="139"/>
      <c r="LON114" s="139"/>
      <c r="LOO114" s="139"/>
      <c r="LOP114" s="139"/>
      <c r="LOQ114" s="139"/>
      <c r="LOR114" s="139"/>
      <c r="LOS114" s="139"/>
      <c r="LOT114" s="139"/>
      <c r="LOU114" s="139"/>
      <c r="LOV114" s="139"/>
      <c r="LOW114" s="139"/>
      <c r="LOX114" s="139"/>
      <c r="LOY114" s="139"/>
      <c r="LOZ114" s="139"/>
      <c r="LPA114" s="139"/>
      <c r="LPB114" s="139"/>
      <c r="LPC114" s="139"/>
      <c r="LPD114" s="139"/>
      <c r="LPE114" s="139"/>
      <c r="LPF114" s="139"/>
      <c r="LPG114" s="139"/>
      <c r="LPH114" s="139"/>
      <c r="LPI114" s="139"/>
      <c r="LPJ114" s="139"/>
      <c r="LPK114" s="139"/>
      <c r="LPL114" s="139"/>
      <c r="LPM114" s="139"/>
      <c r="LPN114" s="139"/>
      <c r="LPO114" s="139"/>
      <c r="LPP114" s="139"/>
      <c r="LPQ114" s="139"/>
      <c r="LPR114" s="139"/>
      <c r="LPS114" s="139"/>
      <c r="LPT114" s="139"/>
      <c r="LPU114" s="139"/>
      <c r="LPV114" s="139"/>
      <c r="LPW114" s="139"/>
      <c r="LPX114" s="139"/>
      <c r="LPY114" s="139"/>
      <c r="LPZ114" s="139"/>
      <c r="LQA114" s="139"/>
      <c r="LQB114" s="139"/>
      <c r="LQC114" s="139"/>
      <c r="LQD114" s="139"/>
      <c r="LQE114" s="139"/>
      <c r="LQF114" s="139"/>
      <c r="LQG114" s="139"/>
      <c r="LQH114" s="139"/>
      <c r="LQI114" s="139"/>
      <c r="LQJ114" s="139"/>
      <c r="LQK114" s="139"/>
      <c r="LQL114" s="139"/>
      <c r="LQM114" s="139"/>
      <c r="LQN114" s="139"/>
      <c r="LQO114" s="139"/>
      <c r="LQP114" s="139"/>
      <c r="LQQ114" s="139"/>
      <c r="LQR114" s="139"/>
      <c r="LQS114" s="139"/>
      <c r="LQT114" s="139"/>
      <c r="LQU114" s="139"/>
      <c r="LQV114" s="139"/>
      <c r="LQW114" s="139"/>
      <c r="LQX114" s="139"/>
      <c r="LQY114" s="139"/>
      <c r="LQZ114" s="139"/>
      <c r="LRA114" s="139"/>
      <c r="LRB114" s="139"/>
      <c r="LRC114" s="139"/>
      <c r="LRD114" s="139"/>
      <c r="LRE114" s="139"/>
      <c r="LRF114" s="139"/>
      <c r="LRG114" s="139"/>
      <c r="LRH114" s="139"/>
      <c r="LRI114" s="139"/>
      <c r="LRJ114" s="139"/>
      <c r="LRK114" s="139"/>
      <c r="LRL114" s="139"/>
      <c r="LRM114" s="139"/>
      <c r="LRN114" s="139"/>
      <c r="LRO114" s="139"/>
      <c r="LRP114" s="139"/>
      <c r="LRQ114" s="139"/>
      <c r="LRR114" s="139"/>
      <c r="LRS114" s="139"/>
      <c r="LRT114" s="139"/>
      <c r="LRU114" s="139"/>
      <c r="LRV114" s="139"/>
      <c r="LRW114" s="139"/>
      <c r="LRX114" s="139"/>
      <c r="LRY114" s="139"/>
      <c r="LRZ114" s="139"/>
      <c r="LSA114" s="139"/>
      <c r="LSB114" s="139"/>
      <c r="LSC114" s="139"/>
      <c r="LSD114" s="139"/>
      <c r="LSE114" s="139"/>
      <c r="LSF114" s="139"/>
      <c r="LSG114" s="139"/>
      <c r="LSH114" s="139"/>
      <c r="LSI114" s="139"/>
      <c r="LSJ114" s="139"/>
      <c r="LSK114" s="139"/>
      <c r="LSL114" s="139"/>
      <c r="LSM114" s="139"/>
      <c r="LSN114" s="139"/>
      <c r="LSO114" s="139"/>
      <c r="LSP114" s="139"/>
      <c r="LSQ114" s="139"/>
      <c r="LSR114" s="139"/>
      <c r="LSS114" s="139"/>
      <c r="LST114" s="139"/>
      <c r="LSU114" s="139"/>
      <c r="LSV114" s="139"/>
      <c r="LSW114" s="139"/>
      <c r="LSX114" s="139"/>
      <c r="LSY114" s="139"/>
      <c r="LSZ114" s="139"/>
      <c r="LTA114" s="139"/>
      <c r="LTB114" s="139"/>
      <c r="LTC114" s="139"/>
      <c r="LTD114" s="139"/>
      <c r="LTE114" s="139"/>
      <c r="LTF114" s="139"/>
      <c r="LTG114" s="139"/>
      <c r="LTH114" s="139"/>
      <c r="LTI114" s="139"/>
      <c r="LTJ114" s="139"/>
      <c r="LTK114" s="139"/>
      <c r="LTL114" s="139"/>
      <c r="LTM114" s="139"/>
      <c r="LTN114" s="139"/>
      <c r="LTO114" s="139"/>
      <c r="LTP114" s="139"/>
      <c r="LTQ114" s="139"/>
      <c r="LTR114" s="139"/>
      <c r="LTS114" s="139"/>
      <c r="LTT114" s="139"/>
      <c r="LTU114" s="139"/>
      <c r="LTV114" s="139"/>
      <c r="LTW114" s="139"/>
      <c r="LTX114" s="139"/>
      <c r="LTY114" s="139"/>
      <c r="LTZ114" s="139"/>
      <c r="LUA114" s="139"/>
      <c r="LUB114" s="139"/>
      <c r="LUC114" s="139"/>
      <c r="LUD114" s="139"/>
      <c r="LUE114" s="139"/>
      <c r="LUF114" s="139"/>
      <c r="LUG114" s="139"/>
      <c r="LUH114" s="139"/>
      <c r="LUI114" s="139"/>
      <c r="LUJ114" s="139"/>
      <c r="LUK114" s="139"/>
      <c r="LUL114" s="139"/>
      <c r="LUM114" s="139"/>
      <c r="LUN114" s="139"/>
      <c r="LUO114" s="139"/>
      <c r="LUP114" s="139"/>
      <c r="LUQ114" s="139"/>
      <c r="LUR114" s="139"/>
      <c r="LUS114" s="139"/>
      <c r="LUT114" s="139"/>
      <c r="LUU114" s="139"/>
      <c r="LUV114" s="139"/>
      <c r="LUW114" s="139"/>
      <c r="LUX114" s="139"/>
      <c r="LUY114" s="139"/>
      <c r="LUZ114" s="139"/>
      <c r="LVA114" s="139"/>
      <c r="LVB114" s="139"/>
      <c r="LVC114" s="139"/>
      <c r="LVD114" s="139"/>
      <c r="LVE114" s="139"/>
      <c r="LVF114" s="139"/>
      <c r="LVG114" s="139"/>
      <c r="LVH114" s="139"/>
      <c r="LVI114" s="139"/>
      <c r="LVJ114" s="139"/>
      <c r="LVK114" s="139"/>
      <c r="LVL114" s="139"/>
      <c r="LVM114" s="139"/>
      <c r="LVN114" s="139"/>
      <c r="LVO114" s="139"/>
      <c r="LVP114" s="139"/>
      <c r="LVQ114" s="139"/>
      <c r="LVR114" s="139"/>
      <c r="LVS114" s="139"/>
      <c r="LVT114" s="139"/>
      <c r="LVU114" s="139"/>
      <c r="LVV114" s="139"/>
      <c r="LVW114" s="139"/>
      <c r="LVX114" s="139"/>
      <c r="LVY114" s="139"/>
      <c r="LVZ114" s="139"/>
      <c r="LWA114" s="139"/>
      <c r="LWB114" s="139"/>
      <c r="LWC114" s="139"/>
      <c r="LWD114" s="139"/>
      <c r="LWE114" s="139"/>
      <c r="LWF114" s="139"/>
      <c r="LWG114" s="139"/>
      <c r="LWH114" s="139"/>
      <c r="LWI114" s="139"/>
      <c r="LWJ114" s="139"/>
      <c r="LWK114" s="139"/>
      <c r="LWL114" s="139"/>
      <c r="LWM114" s="139"/>
      <c r="LWN114" s="139"/>
      <c r="LWO114" s="139"/>
      <c r="LWP114" s="139"/>
      <c r="LWQ114" s="139"/>
      <c r="LWR114" s="139"/>
      <c r="LWS114" s="139"/>
      <c r="LWT114" s="139"/>
      <c r="LWU114" s="139"/>
      <c r="LWV114" s="139"/>
      <c r="LWW114" s="139"/>
      <c r="LWX114" s="139"/>
      <c r="LWY114" s="139"/>
      <c r="LWZ114" s="139"/>
      <c r="LXA114" s="139"/>
      <c r="LXB114" s="139"/>
      <c r="LXC114" s="139"/>
      <c r="LXD114" s="139"/>
      <c r="LXE114" s="139"/>
      <c r="LXF114" s="139"/>
      <c r="LXG114" s="139"/>
      <c r="LXH114" s="139"/>
      <c r="LXI114" s="139"/>
      <c r="LXJ114" s="139"/>
      <c r="LXK114" s="139"/>
      <c r="LXL114" s="139"/>
      <c r="LXM114" s="139"/>
      <c r="LXN114" s="139"/>
      <c r="LXO114" s="139"/>
      <c r="LXP114" s="139"/>
      <c r="LXQ114" s="139"/>
      <c r="LXR114" s="139"/>
      <c r="LXS114" s="139"/>
      <c r="LXT114" s="139"/>
      <c r="LXU114" s="139"/>
      <c r="LXV114" s="139"/>
      <c r="LXW114" s="139"/>
      <c r="LXX114" s="139"/>
      <c r="LXY114" s="139"/>
      <c r="LXZ114" s="139"/>
      <c r="LYA114" s="139"/>
      <c r="LYB114" s="139"/>
      <c r="LYC114" s="139"/>
      <c r="LYD114" s="139"/>
      <c r="LYE114" s="139"/>
      <c r="LYF114" s="139"/>
      <c r="LYG114" s="139"/>
      <c r="LYH114" s="139"/>
      <c r="LYI114" s="139"/>
      <c r="LYJ114" s="139"/>
      <c r="LYK114" s="139"/>
      <c r="LYL114" s="139"/>
      <c r="LYM114" s="139"/>
      <c r="LYN114" s="139"/>
      <c r="LYO114" s="139"/>
      <c r="LYP114" s="139"/>
      <c r="LYQ114" s="139"/>
      <c r="LYR114" s="139"/>
      <c r="LYS114" s="139"/>
      <c r="LYT114" s="139"/>
      <c r="LYU114" s="139"/>
      <c r="LYV114" s="139"/>
      <c r="LYW114" s="139"/>
      <c r="LYX114" s="139"/>
      <c r="LYY114" s="139"/>
      <c r="LYZ114" s="139"/>
      <c r="LZA114" s="139"/>
      <c r="LZB114" s="139"/>
      <c r="LZC114" s="139"/>
      <c r="LZD114" s="139"/>
      <c r="LZE114" s="139"/>
      <c r="LZF114" s="139"/>
      <c r="LZG114" s="139"/>
      <c r="LZH114" s="139"/>
      <c r="LZI114" s="139"/>
      <c r="LZJ114" s="139"/>
      <c r="LZK114" s="139"/>
      <c r="LZL114" s="139"/>
      <c r="LZM114" s="139"/>
      <c r="LZN114" s="139"/>
      <c r="LZO114" s="139"/>
      <c r="LZP114" s="139"/>
      <c r="LZQ114" s="139"/>
      <c r="LZR114" s="139"/>
      <c r="LZS114" s="139"/>
      <c r="LZT114" s="139"/>
      <c r="LZU114" s="139"/>
      <c r="LZV114" s="139"/>
      <c r="LZW114" s="139"/>
      <c r="LZX114" s="139"/>
      <c r="LZY114" s="139"/>
      <c r="LZZ114" s="139"/>
      <c r="MAA114" s="139"/>
      <c r="MAB114" s="139"/>
      <c r="MAC114" s="139"/>
      <c r="MAD114" s="139"/>
      <c r="MAE114" s="139"/>
      <c r="MAF114" s="139"/>
      <c r="MAG114" s="139"/>
      <c r="MAH114" s="139"/>
      <c r="MAI114" s="139"/>
      <c r="MAJ114" s="139"/>
      <c r="MAK114" s="139"/>
      <c r="MAL114" s="139"/>
      <c r="MAM114" s="139"/>
      <c r="MAN114" s="139"/>
      <c r="MAO114" s="139"/>
      <c r="MAP114" s="139"/>
      <c r="MAQ114" s="139"/>
      <c r="MAR114" s="139"/>
      <c r="MAS114" s="139"/>
      <c r="MAT114" s="139"/>
      <c r="MAU114" s="139"/>
      <c r="MAV114" s="139"/>
      <c r="MAW114" s="139"/>
      <c r="MAX114" s="139"/>
      <c r="MAY114" s="139"/>
      <c r="MAZ114" s="139"/>
      <c r="MBA114" s="139"/>
      <c r="MBB114" s="139"/>
      <c r="MBC114" s="139"/>
      <c r="MBD114" s="139"/>
      <c r="MBE114" s="139"/>
      <c r="MBF114" s="139"/>
      <c r="MBG114" s="139"/>
      <c r="MBH114" s="139"/>
      <c r="MBI114" s="139"/>
      <c r="MBJ114" s="139"/>
      <c r="MBK114" s="139"/>
      <c r="MBL114" s="139"/>
      <c r="MBM114" s="139"/>
      <c r="MBN114" s="139"/>
      <c r="MBO114" s="139"/>
      <c r="MBP114" s="139"/>
      <c r="MBQ114" s="139"/>
      <c r="MBR114" s="139"/>
      <c r="MBS114" s="139"/>
      <c r="MBT114" s="139"/>
      <c r="MBU114" s="139"/>
      <c r="MBV114" s="139"/>
      <c r="MBW114" s="139"/>
      <c r="MBX114" s="139"/>
      <c r="MBY114" s="139"/>
      <c r="MBZ114" s="139"/>
      <c r="MCA114" s="139"/>
      <c r="MCB114" s="139"/>
      <c r="MCC114" s="139"/>
      <c r="MCD114" s="139"/>
      <c r="MCE114" s="139"/>
      <c r="MCF114" s="139"/>
      <c r="MCG114" s="139"/>
      <c r="MCH114" s="139"/>
      <c r="MCI114" s="139"/>
      <c r="MCJ114" s="139"/>
      <c r="MCK114" s="139"/>
      <c r="MCL114" s="139"/>
      <c r="MCM114" s="139"/>
      <c r="MCN114" s="139"/>
      <c r="MCO114" s="139"/>
      <c r="MCP114" s="139"/>
      <c r="MCQ114" s="139"/>
      <c r="MCR114" s="139"/>
      <c r="MCS114" s="139"/>
      <c r="MCT114" s="139"/>
      <c r="MCU114" s="139"/>
      <c r="MCV114" s="139"/>
      <c r="MCW114" s="139"/>
      <c r="MCX114" s="139"/>
      <c r="MCY114" s="139"/>
      <c r="MCZ114" s="139"/>
      <c r="MDA114" s="139"/>
      <c r="MDB114" s="139"/>
      <c r="MDC114" s="139"/>
      <c r="MDD114" s="139"/>
      <c r="MDE114" s="139"/>
      <c r="MDF114" s="139"/>
      <c r="MDG114" s="139"/>
      <c r="MDH114" s="139"/>
      <c r="MDI114" s="139"/>
      <c r="MDJ114" s="139"/>
      <c r="MDK114" s="139"/>
      <c r="MDL114" s="139"/>
      <c r="MDM114" s="139"/>
      <c r="MDN114" s="139"/>
      <c r="MDO114" s="139"/>
      <c r="MDP114" s="139"/>
      <c r="MDQ114" s="139"/>
      <c r="MDR114" s="139"/>
      <c r="MDS114" s="139"/>
      <c r="MDT114" s="139"/>
      <c r="MDU114" s="139"/>
      <c r="MDV114" s="139"/>
      <c r="MDW114" s="139"/>
      <c r="MDX114" s="139"/>
      <c r="MDY114" s="139"/>
      <c r="MDZ114" s="139"/>
      <c r="MEA114" s="139"/>
      <c r="MEB114" s="139"/>
      <c r="MEC114" s="139"/>
      <c r="MED114" s="139"/>
      <c r="MEE114" s="139"/>
      <c r="MEF114" s="139"/>
      <c r="MEG114" s="139"/>
      <c r="MEH114" s="139"/>
      <c r="MEI114" s="139"/>
      <c r="MEJ114" s="139"/>
      <c r="MEK114" s="139"/>
      <c r="MEL114" s="139"/>
      <c r="MEM114" s="139"/>
      <c r="MEN114" s="139"/>
      <c r="MEO114" s="139"/>
      <c r="MEP114" s="139"/>
      <c r="MEQ114" s="139"/>
      <c r="MER114" s="139"/>
      <c r="MES114" s="139"/>
      <c r="MET114" s="139"/>
      <c r="MEU114" s="139"/>
      <c r="MEV114" s="139"/>
      <c r="MEW114" s="139"/>
      <c r="MEX114" s="139"/>
      <c r="MEY114" s="139"/>
      <c r="MEZ114" s="139"/>
      <c r="MFA114" s="139"/>
      <c r="MFB114" s="139"/>
      <c r="MFC114" s="139"/>
      <c r="MFD114" s="139"/>
      <c r="MFE114" s="139"/>
      <c r="MFF114" s="139"/>
      <c r="MFG114" s="139"/>
      <c r="MFH114" s="139"/>
      <c r="MFI114" s="139"/>
      <c r="MFJ114" s="139"/>
      <c r="MFK114" s="139"/>
      <c r="MFL114" s="139"/>
      <c r="MFM114" s="139"/>
      <c r="MFN114" s="139"/>
      <c r="MFO114" s="139"/>
      <c r="MFP114" s="139"/>
      <c r="MFQ114" s="139"/>
      <c r="MFR114" s="139"/>
      <c r="MFS114" s="139"/>
      <c r="MFT114" s="139"/>
      <c r="MFU114" s="139"/>
      <c r="MFV114" s="139"/>
      <c r="MFW114" s="139"/>
      <c r="MFX114" s="139"/>
      <c r="MFY114" s="139"/>
      <c r="MFZ114" s="139"/>
      <c r="MGA114" s="139"/>
      <c r="MGB114" s="139"/>
      <c r="MGC114" s="139"/>
      <c r="MGD114" s="139"/>
      <c r="MGE114" s="139"/>
      <c r="MGF114" s="139"/>
      <c r="MGG114" s="139"/>
      <c r="MGH114" s="139"/>
      <c r="MGI114" s="139"/>
      <c r="MGJ114" s="139"/>
      <c r="MGK114" s="139"/>
      <c r="MGL114" s="139"/>
      <c r="MGM114" s="139"/>
      <c r="MGN114" s="139"/>
      <c r="MGO114" s="139"/>
      <c r="MGP114" s="139"/>
      <c r="MGQ114" s="139"/>
      <c r="MGR114" s="139"/>
      <c r="MGS114" s="139"/>
      <c r="MGT114" s="139"/>
      <c r="MGU114" s="139"/>
      <c r="MGV114" s="139"/>
      <c r="MGW114" s="139"/>
      <c r="MGX114" s="139"/>
      <c r="MGY114" s="139"/>
      <c r="MGZ114" s="139"/>
      <c r="MHA114" s="139"/>
      <c r="MHB114" s="139"/>
      <c r="MHC114" s="139"/>
      <c r="MHD114" s="139"/>
      <c r="MHE114" s="139"/>
      <c r="MHF114" s="139"/>
      <c r="MHG114" s="139"/>
      <c r="MHH114" s="139"/>
      <c r="MHI114" s="139"/>
      <c r="MHJ114" s="139"/>
      <c r="MHK114" s="139"/>
      <c r="MHL114" s="139"/>
      <c r="MHM114" s="139"/>
      <c r="MHN114" s="139"/>
      <c r="MHO114" s="139"/>
      <c r="MHP114" s="139"/>
      <c r="MHQ114" s="139"/>
      <c r="MHR114" s="139"/>
      <c r="MHS114" s="139"/>
      <c r="MHT114" s="139"/>
      <c r="MHU114" s="139"/>
      <c r="MHV114" s="139"/>
      <c r="MHW114" s="139"/>
      <c r="MHX114" s="139"/>
      <c r="MHY114" s="139"/>
      <c r="MHZ114" s="139"/>
      <c r="MIA114" s="139"/>
      <c r="MIB114" s="139"/>
      <c r="MIC114" s="139"/>
      <c r="MID114" s="139"/>
      <c r="MIE114" s="139"/>
      <c r="MIF114" s="139"/>
      <c r="MIG114" s="139"/>
      <c r="MIH114" s="139"/>
      <c r="MII114" s="139"/>
      <c r="MIJ114" s="139"/>
      <c r="MIK114" s="139"/>
      <c r="MIL114" s="139"/>
      <c r="MIM114" s="139"/>
      <c r="MIN114" s="139"/>
      <c r="MIO114" s="139"/>
      <c r="MIP114" s="139"/>
      <c r="MIQ114" s="139"/>
      <c r="MIR114" s="139"/>
      <c r="MIS114" s="139"/>
      <c r="MIT114" s="139"/>
      <c r="MIU114" s="139"/>
      <c r="MIV114" s="139"/>
      <c r="MIW114" s="139"/>
      <c r="MIX114" s="139"/>
      <c r="MIY114" s="139"/>
      <c r="MIZ114" s="139"/>
      <c r="MJA114" s="139"/>
      <c r="MJB114" s="139"/>
      <c r="MJC114" s="139"/>
      <c r="MJD114" s="139"/>
      <c r="MJE114" s="139"/>
      <c r="MJF114" s="139"/>
      <c r="MJG114" s="139"/>
      <c r="MJH114" s="139"/>
      <c r="MJI114" s="139"/>
      <c r="MJJ114" s="139"/>
      <c r="MJK114" s="139"/>
      <c r="MJL114" s="139"/>
      <c r="MJM114" s="139"/>
      <c r="MJN114" s="139"/>
      <c r="MJO114" s="139"/>
      <c r="MJP114" s="139"/>
      <c r="MJQ114" s="139"/>
      <c r="MJR114" s="139"/>
      <c r="MJS114" s="139"/>
      <c r="MJT114" s="139"/>
      <c r="MJU114" s="139"/>
      <c r="MJV114" s="139"/>
      <c r="MJW114" s="139"/>
      <c r="MJX114" s="139"/>
      <c r="MJY114" s="139"/>
      <c r="MJZ114" s="139"/>
      <c r="MKA114" s="139"/>
      <c r="MKB114" s="139"/>
      <c r="MKC114" s="139"/>
      <c r="MKD114" s="139"/>
      <c r="MKE114" s="139"/>
      <c r="MKF114" s="139"/>
      <c r="MKG114" s="139"/>
      <c r="MKH114" s="139"/>
      <c r="MKI114" s="139"/>
      <c r="MKJ114" s="139"/>
      <c r="MKK114" s="139"/>
      <c r="MKL114" s="139"/>
      <c r="MKM114" s="139"/>
      <c r="MKN114" s="139"/>
      <c r="MKO114" s="139"/>
      <c r="MKP114" s="139"/>
      <c r="MKQ114" s="139"/>
      <c r="MKR114" s="139"/>
      <c r="MKS114" s="139"/>
      <c r="MKT114" s="139"/>
      <c r="MKU114" s="139"/>
      <c r="MKV114" s="139"/>
      <c r="MKW114" s="139"/>
      <c r="MKX114" s="139"/>
      <c r="MKY114" s="139"/>
      <c r="MKZ114" s="139"/>
      <c r="MLA114" s="139"/>
      <c r="MLB114" s="139"/>
      <c r="MLC114" s="139"/>
      <c r="MLD114" s="139"/>
      <c r="MLE114" s="139"/>
      <c r="MLF114" s="139"/>
      <c r="MLG114" s="139"/>
      <c r="MLH114" s="139"/>
      <c r="MLI114" s="139"/>
      <c r="MLJ114" s="139"/>
      <c r="MLK114" s="139"/>
      <c r="MLL114" s="139"/>
      <c r="MLM114" s="139"/>
      <c r="MLN114" s="139"/>
      <c r="MLO114" s="139"/>
      <c r="MLP114" s="139"/>
      <c r="MLQ114" s="139"/>
      <c r="MLR114" s="139"/>
      <c r="MLS114" s="139"/>
      <c r="MLT114" s="139"/>
      <c r="MLU114" s="139"/>
      <c r="MLV114" s="139"/>
      <c r="MLW114" s="139"/>
      <c r="MLX114" s="139"/>
      <c r="MLY114" s="139"/>
      <c r="MLZ114" s="139"/>
      <c r="MMA114" s="139"/>
      <c r="MMB114" s="139"/>
      <c r="MMC114" s="139"/>
      <c r="MMD114" s="139"/>
      <c r="MME114" s="139"/>
      <c r="MMF114" s="139"/>
      <c r="MMG114" s="139"/>
      <c r="MMH114" s="139"/>
      <c r="MMI114" s="139"/>
      <c r="MMJ114" s="139"/>
      <c r="MMK114" s="139"/>
      <c r="MML114" s="139"/>
      <c r="MMM114" s="139"/>
      <c r="MMN114" s="139"/>
      <c r="MMO114" s="139"/>
      <c r="MMP114" s="139"/>
      <c r="MMQ114" s="139"/>
      <c r="MMR114" s="139"/>
      <c r="MMS114" s="139"/>
      <c r="MMT114" s="139"/>
      <c r="MMU114" s="139"/>
      <c r="MMV114" s="139"/>
      <c r="MMW114" s="139"/>
      <c r="MMX114" s="139"/>
      <c r="MMY114" s="139"/>
      <c r="MMZ114" s="139"/>
      <c r="MNA114" s="139"/>
      <c r="MNB114" s="139"/>
      <c r="MNC114" s="139"/>
      <c r="MND114" s="139"/>
      <c r="MNE114" s="139"/>
      <c r="MNF114" s="139"/>
      <c r="MNG114" s="139"/>
      <c r="MNH114" s="139"/>
      <c r="MNI114" s="139"/>
      <c r="MNJ114" s="139"/>
      <c r="MNK114" s="139"/>
      <c r="MNL114" s="139"/>
      <c r="MNM114" s="139"/>
      <c r="MNN114" s="139"/>
      <c r="MNO114" s="139"/>
      <c r="MNP114" s="139"/>
      <c r="MNQ114" s="139"/>
      <c r="MNR114" s="139"/>
      <c r="MNS114" s="139"/>
      <c r="MNT114" s="139"/>
      <c r="MNU114" s="139"/>
      <c r="MNV114" s="139"/>
      <c r="MNW114" s="139"/>
      <c r="MNX114" s="139"/>
      <c r="MNY114" s="139"/>
      <c r="MNZ114" s="139"/>
      <c r="MOA114" s="139"/>
      <c r="MOB114" s="139"/>
      <c r="MOC114" s="139"/>
      <c r="MOD114" s="139"/>
      <c r="MOE114" s="139"/>
      <c r="MOF114" s="139"/>
      <c r="MOG114" s="139"/>
      <c r="MOH114" s="139"/>
      <c r="MOI114" s="139"/>
      <c r="MOJ114" s="139"/>
      <c r="MOK114" s="139"/>
      <c r="MOL114" s="139"/>
      <c r="MOM114" s="139"/>
      <c r="MON114" s="139"/>
      <c r="MOO114" s="139"/>
      <c r="MOP114" s="139"/>
      <c r="MOQ114" s="139"/>
      <c r="MOR114" s="139"/>
      <c r="MOS114" s="139"/>
      <c r="MOT114" s="139"/>
      <c r="MOU114" s="139"/>
      <c r="MOV114" s="139"/>
      <c r="MOW114" s="139"/>
      <c r="MOX114" s="139"/>
      <c r="MOY114" s="139"/>
      <c r="MOZ114" s="139"/>
      <c r="MPA114" s="139"/>
      <c r="MPB114" s="139"/>
      <c r="MPC114" s="139"/>
      <c r="MPD114" s="139"/>
      <c r="MPE114" s="139"/>
      <c r="MPF114" s="139"/>
      <c r="MPG114" s="139"/>
      <c r="MPH114" s="139"/>
      <c r="MPI114" s="139"/>
      <c r="MPJ114" s="139"/>
      <c r="MPK114" s="139"/>
      <c r="MPL114" s="139"/>
      <c r="MPM114" s="139"/>
      <c r="MPN114" s="139"/>
      <c r="MPO114" s="139"/>
      <c r="MPP114" s="139"/>
      <c r="MPQ114" s="139"/>
      <c r="MPR114" s="139"/>
      <c r="MPS114" s="139"/>
      <c r="MPT114" s="139"/>
      <c r="MPU114" s="139"/>
      <c r="MPV114" s="139"/>
      <c r="MPW114" s="139"/>
      <c r="MPX114" s="139"/>
      <c r="MPY114" s="139"/>
      <c r="MPZ114" s="139"/>
      <c r="MQA114" s="139"/>
      <c r="MQB114" s="139"/>
      <c r="MQC114" s="139"/>
      <c r="MQD114" s="139"/>
      <c r="MQE114" s="139"/>
      <c r="MQF114" s="139"/>
      <c r="MQG114" s="139"/>
      <c r="MQH114" s="139"/>
      <c r="MQI114" s="139"/>
      <c r="MQJ114" s="139"/>
      <c r="MQK114" s="139"/>
      <c r="MQL114" s="139"/>
      <c r="MQM114" s="139"/>
      <c r="MQN114" s="139"/>
      <c r="MQO114" s="139"/>
      <c r="MQP114" s="139"/>
      <c r="MQQ114" s="139"/>
      <c r="MQR114" s="139"/>
      <c r="MQS114" s="139"/>
      <c r="MQT114" s="139"/>
      <c r="MQU114" s="139"/>
      <c r="MQV114" s="139"/>
      <c r="MQW114" s="139"/>
      <c r="MQX114" s="139"/>
      <c r="MQY114" s="139"/>
      <c r="MQZ114" s="139"/>
      <c r="MRA114" s="139"/>
      <c r="MRB114" s="139"/>
      <c r="MRC114" s="139"/>
      <c r="MRD114" s="139"/>
      <c r="MRE114" s="139"/>
      <c r="MRF114" s="139"/>
      <c r="MRG114" s="139"/>
      <c r="MRH114" s="139"/>
      <c r="MRI114" s="139"/>
      <c r="MRJ114" s="139"/>
      <c r="MRK114" s="139"/>
      <c r="MRL114" s="139"/>
      <c r="MRM114" s="139"/>
      <c r="MRN114" s="139"/>
      <c r="MRO114" s="139"/>
      <c r="MRP114" s="139"/>
      <c r="MRQ114" s="139"/>
      <c r="MRR114" s="139"/>
      <c r="MRS114" s="139"/>
      <c r="MRT114" s="139"/>
      <c r="MRU114" s="139"/>
      <c r="MRV114" s="139"/>
      <c r="MRW114" s="139"/>
      <c r="MRX114" s="139"/>
      <c r="MRY114" s="139"/>
      <c r="MRZ114" s="139"/>
      <c r="MSA114" s="139"/>
      <c r="MSB114" s="139"/>
      <c r="MSC114" s="139"/>
      <c r="MSD114" s="139"/>
      <c r="MSE114" s="139"/>
      <c r="MSF114" s="139"/>
      <c r="MSG114" s="139"/>
      <c r="MSH114" s="139"/>
      <c r="MSI114" s="139"/>
      <c r="MSJ114" s="139"/>
      <c r="MSK114" s="139"/>
      <c r="MSL114" s="139"/>
      <c r="MSM114" s="139"/>
      <c r="MSN114" s="139"/>
      <c r="MSO114" s="139"/>
      <c r="MSP114" s="139"/>
      <c r="MSQ114" s="139"/>
      <c r="MSR114" s="139"/>
      <c r="MSS114" s="139"/>
      <c r="MST114" s="139"/>
      <c r="MSU114" s="139"/>
      <c r="MSV114" s="139"/>
      <c r="MSW114" s="139"/>
      <c r="MSX114" s="139"/>
      <c r="MSY114" s="139"/>
      <c r="MSZ114" s="139"/>
      <c r="MTA114" s="139"/>
      <c r="MTB114" s="139"/>
      <c r="MTC114" s="139"/>
      <c r="MTD114" s="139"/>
      <c r="MTE114" s="139"/>
      <c r="MTF114" s="139"/>
      <c r="MTG114" s="139"/>
      <c r="MTH114" s="139"/>
      <c r="MTI114" s="139"/>
      <c r="MTJ114" s="139"/>
      <c r="MTK114" s="139"/>
      <c r="MTL114" s="139"/>
      <c r="MTM114" s="139"/>
      <c r="MTN114" s="139"/>
      <c r="MTO114" s="139"/>
      <c r="MTP114" s="139"/>
      <c r="MTQ114" s="139"/>
      <c r="MTR114" s="139"/>
      <c r="MTS114" s="139"/>
      <c r="MTT114" s="139"/>
      <c r="MTU114" s="139"/>
      <c r="MTV114" s="139"/>
      <c r="MTW114" s="139"/>
      <c r="MTX114" s="139"/>
      <c r="MTY114" s="139"/>
      <c r="MTZ114" s="139"/>
      <c r="MUA114" s="139"/>
      <c r="MUB114" s="139"/>
      <c r="MUC114" s="139"/>
      <c r="MUD114" s="139"/>
      <c r="MUE114" s="139"/>
      <c r="MUF114" s="139"/>
      <c r="MUG114" s="139"/>
      <c r="MUH114" s="139"/>
      <c r="MUI114" s="139"/>
      <c r="MUJ114" s="139"/>
      <c r="MUK114" s="139"/>
      <c r="MUL114" s="139"/>
      <c r="MUM114" s="139"/>
      <c r="MUN114" s="139"/>
      <c r="MUO114" s="139"/>
      <c r="MUP114" s="139"/>
      <c r="MUQ114" s="139"/>
      <c r="MUR114" s="139"/>
      <c r="MUS114" s="139"/>
      <c r="MUT114" s="139"/>
      <c r="MUU114" s="139"/>
      <c r="MUV114" s="139"/>
      <c r="MUW114" s="139"/>
      <c r="MUX114" s="139"/>
      <c r="MUY114" s="139"/>
      <c r="MUZ114" s="139"/>
      <c r="MVA114" s="139"/>
      <c r="MVB114" s="139"/>
      <c r="MVC114" s="139"/>
      <c r="MVD114" s="139"/>
      <c r="MVE114" s="139"/>
      <c r="MVF114" s="139"/>
      <c r="MVG114" s="139"/>
      <c r="MVH114" s="139"/>
      <c r="MVI114" s="139"/>
      <c r="MVJ114" s="139"/>
      <c r="MVK114" s="139"/>
      <c r="MVL114" s="139"/>
      <c r="MVM114" s="139"/>
      <c r="MVN114" s="139"/>
      <c r="MVO114" s="139"/>
      <c r="MVP114" s="139"/>
      <c r="MVQ114" s="139"/>
      <c r="MVR114" s="139"/>
      <c r="MVS114" s="139"/>
      <c r="MVT114" s="139"/>
      <c r="MVU114" s="139"/>
      <c r="MVV114" s="139"/>
      <c r="MVW114" s="139"/>
      <c r="MVX114" s="139"/>
      <c r="MVY114" s="139"/>
      <c r="MVZ114" s="139"/>
      <c r="MWA114" s="139"/>
      <c r="MWB114" s="139"/>
      <c r="MWC114" s="139"/>
      <c r="MWD114" s="139"/>
      <c r="MWE114" s="139"/>
      <c r="MWF114" s="139"/>
      <c r="MWG114" s="139"/>
      <c r="MWH114" s="139"/>
      <c r="MWI114" s="139"/>
      <c r="MWJ114" s="139"/>
      <c r="MWK114" s="139"/>
      <c r="MWL114" s="139"/>
      <c r="MWM114" s="139"/>
      <c r="MWN114" s="139"/>
      <c r="MWO114" s="139"/>
      <c r="MWP114" s="139"/>
      <c r="MWQ114" s="139"/>
      <c r="MWR114" s="139"/>
      <c r="MWS114" s="139"/>
      <c r="MWT114" s="139"/>
      <c r="MWU114" s="139"/>
      <c r="MWV114" s="139"/>
      <c r="MWW114" s="139"/>
      <c r="MWX114" s="139"/>
      <c r="MWY114" s="139"/>
      <c r="MWZ114" s="139"/>
      <c r="MXA114" s="139"/>
      <c r="MXB114" s="139"/>
      <c r="MXC114" s="139"/>
      <c r="MXD114" s="139"/>
      <c r="MXE114" s="139"/>
      <c r="MXF114" s="139"/>
      <c r="MXG114" s="139"/>
      <c r="MXH114" s="139"/>
      <c r="MXI114" s="139"/>
      <c r="MXJ114" s="139"/>
      <c r="MXK114" s="139"/>
      <c r="MXL114" s="139"/>
      <c r="MXM114" s="139"/>
      <c r="MXN114" s="139"/>
      <c r="MXO114" s="139"/>
      <c r="MXP114" s="139"/>
      <c r="MXQ114" s="139"/>
      <c r="MXR114" s="139"/>
      <c r="MXS114" s="139"/>
      <c r="MXT114" s="139"/>
      <c r="MXU114" s="139"/>
      <c r="MXV114" s="139"/>
      <c r="MXW114" s="139"/>
      <c r="MXX114" s="139"/>
      <c r="MXY114" s="139"/>
      <c r="MXZ114" s="139"/>
      <c r="MYA114" s="139"/>
      <c r="MYB114" s="139"/>
      <c r="MYC114" s="139"/>
      <c r="MYD114" s="139"/>
      <c r="MYE114" s="139"/>
      <c r="MYF114" s="139"/>
      <c r="MYG114" s="139"/>
      <c r="MYH114" s="139"/>
      <c r="MYI114" s="139"/>
      <c r="MYJ114" s="139"/>
      <c r="MYK114" s="139"/>
      <c r="MYL114" s="139"/>
      <c r="MYM114" s="139"/>
      <c r="MYN114" s="139"/>
      <c r="MYO114" s="139"/>
      <c r="MYP114" s="139"/>
      <c r="MYQ114" s="139"/>
      <c r="MYR114" s="139"/>
      <c r="MYS114" s="139"/>
      <c r="MYT114" s="139"/>
      <c r="MYU114" s="139"/>
      <c r="MYV114" s="139"/>
      <c r="MYW114" s="139"/>
      <c r="MYX114" s="139"/>
      <c r="MYY114" s="139"/>
      <c r="MYZ114" s="139"/>
      <c r="MZA114" s="139"/>
      <c r="MZB114" s="139"/>
      <c r="MZC114" s="139"/>
      <c r="MZD114" s="139"/>
      <c r="MZE114" s="139"/>
      <c r="MZF114" s="139"/>
      <c r="MZG114" s="139"/>
      <c r="MZH114" s="139"/>
      <c r="MZI114" s="139"/>
      <c r="MZJ114" s="139"/>
      <c r="MZK114" s="139"/>
      <c r="MZL114" s="139"/>
      <c r="MZM114" s="139"/>
      <c r="MZN114" s="139"/>
      <c r="MZO114" s="139"/>
      <c r="MZP114" s="139"/>
      <c r="MZQ114" s="139"/>
      <c r="MZR114" s="139"/>
      <c r="MZS114" s="139"/>
      <c r="MZT114" s="139"/>
      <c r="MZU114" s="139"/>
      <c r="MZV114" s="139"/>
      <c r="MZW114" s="139"/>
      <c r="MZX114" s="139"/>
      <c r="MZY114" s="139"/>
      <c r="MZZ114" s="139"/>
      <c r="NAA114" s="139"/>
      <c r="NAB114" s="139"/>
      <c r="NAC114" s="139"/>
      <c r="NAD114" s="139"/>
      <c r="NAE114" s="139"/>
      <c r="NAF114" s="139"/>
      <c r="NAG114" s="139"/>
      <c r="NAH114" s="139"/>
      <c r="NAI114" s="139"/>
      <c r="NAJ114" s="139"/>
      <c r="NAK114" s="139"/>
      <c r="NAL114" s="139"/>
      <c r="NAM114" s="139"/>
      <c r="NAN114" s="139"/>
      <c r="NAO114" s="139"/>
      <c r="NAP114" s="139"/>
      <c r="NAQ114" s="139"/>
      <c r="NAR114" s="139"/>
      <c r="NAS114" s="139"/>
      <c r="NAT114" s="139"/>
      <c r="NAU114" s="139"/>
      <c r="NAV114" s="139"/>
      <c r="NAW114" s="139"/>
      <c r="NAX114" s="139"/>
      <c r="NAY114" s="139"/>
      <c r="NAZ114" s="139"/>
      <c r="NBA114" s="139"/>
      <c r="NBB114" s="139"/>
      <c r="NBC114" s="139"/>
      <c r="NBD114" s="139"/>
      <c r="NBE114" s="139"/>
      <c r="NBF114" s="139"/>
      <c r="NBG114" s="139"/>
      <c r="NBH114" s="139"/>
      <c r="NBI114" s="139"/>
      <c r="NBJ114" s="139"/>
      <c r="NBK114" s="139"/>
      <c r="NBL114" s="139"/>
      <c r="NBM114" s="139"/>
      <c r="NBN114" s="139"/>
      <c r="NBO114" s="139"/>
      <c r="NBP114" s="139"/>
      <c r="NBQ114" s="139"/>
      <c r="NBR114" s="139"/>
      <c r="NBS114" s="139"/>
      <c r="NBT114" s="139"/>
      <c r="NBU114" s="139"/>
      <c r="NBV114" s="139"/>
      <c r="NBW114" s="139"/>
      <c r="NBX114" s="139"/>
      <c r="NBY114" s="139"/>
      <c r="NBZ114" s="139"/>
      <c r="NCA114" s="139"/>
      <c r="NCB114" s="139"/>
      <c r="NCC114" s="139"/>
      <c r="NCD114" s="139"/>
      <c r="NCE114" s="139"/>
      <c r="NCF114" s="139"/>
      <c r="NCG114" s="139"/>
      <c r="NCH114" s="139"/>
      <c r="NCI114" s="139"/>
      <c r="NCJ114" s="139"/>
      <c r="NCK114" s="139"/>
      <c r="NCL114" s="139"/>
      <c r="NCM114" s="139"/>
      <c r="NCN114" s="139"/>
      <c r="NCO114" s="139"/>
      <c r="NCP114" s="139"/>
      <c r="NCQ114" s="139"/>
      <c r="NCR114" s="139"/>
      <c r="NCS114" s="139"/>
      <c r="NCT114" s="139"/>
      <c r="NCU114" s="139"/>
      <c r="NCV114" s="139"/>
      <c r="NCW114" s="139"/>
      <c r="NCX114" s="139"/>
      <c r="NCY114" s="139"/>
      <c r="NCZ114" s="139"/>
      <c r="NDA114" s="139"/>
      <c r="NDB114" s="139"/>
      <c r="NDC114" s="139"/>
      <c r="NDD114" s="139"/>
      <c r="NDE114" s="139"/>
      <c r="NDF114" s="139"/>
      <c r="NDG114" s="139"/>
      <c r="NDH114" s="139"/>
      <c r="NDI114" s="139"/>
      <c r="NDJ114" s="139"/>
      <c r="NDK114" s="139"/>
      <c r="NDL114" s="139"/>
      <c r="NDM114" s="139"/>
      <c r="NDN114" s="139"/>
      <c r="NDO114" s="139"/>
      <c r="NDP114" s="139"/>
      <c r="NDQ114" s="139"/>
      <c r="NDR114" s="139"/>
      <c r="NDS114" s="139"/>
      <c r="NDT114" s="139"/>
      <c r="NDU114" s="139"/>
      <c r="NDV114" s="139"/>
      <c r="NDW114" s="139"/>
      <c r="NDX114" s="139"/>
      <c r="NDY114" s="139"/>
      <c r="NDZ114" s="139"/>
      <c r="NEA114" s="139"/>
      <c r="NEB114" s="139"/>
      <c r="NEC114" s="139"/>
      <c r="NED114" s="139"/>
      <c r="NEE114" s="139"/>
      <c r="NEF114" s="139"/>
      <c r="NEG114" s="139"/>
      <c r="NEH114" s="139"/>
      <c r="NEI114" s="139"/>
      <c r="NEJ114" s="139"/>
      <c r="NEK114" s="139"/>
      <c r="NEL114" s="139"/>
      <c r="NEM114" s="139"/>
      <c r="NEN114" s="139"/>
      <c r="NEO114" s="139"/>
      <c r="NEP114" s="139"/>
      <c r="NEQ114" s="139"/>
      <c r="NER114" s="139"/>
      <c r="NES114" s="139"/>
      <c r="NET114" s="139"/>
      <c r="NEU114" s="139"/>
      <c r="NEV114" s="139"/>
      <c r="NEW114" s="139"/>
      <c r="NEX114" s="139"/>
      <c r="NEY114" s="139"/>
      <c r="NEZ114" s="139"/>
      <c r="NFA114" s="139"/>
      <c r="NFB114" s="139"/>
      <c r="NFC114" s="139"/>
      <c r="NFD114" s="139"/>
      <c r="NFE114" s="139"/>
      <c r="NFF114" s="139"/>
      <c r="NFG114" s="139"/>
      <c r="NFH114" s="139"/>
      <c r="NFI114" s="139"/>
      <c r="NFJ114" s="139"/>
      <c r="NFK114" s="139"/>
      <c r="NFL114" s="139"/>
      <c r="NFM114" s="139"/>
      <c r="NFN114" s="139"/>
      <c r="NFO114" s="139"/>
      <c r="NFP114" s="139"/>
      <c r="NFQ114" s="139"/>
      <c r="NFR114" s="139"/>
      <c r="NFS114" s="139"/>
      <c r="NFT114" s="139"/>
      <c r="NFU114" s="139"/>
      <c r="NFV114" s="139"/>
      <c r="NFW114" s="139"/>
      <c r="NFX114" s="139"/>
      <c r="NFY114" s="139"/>
      <c r="NFZ114" s="139"/>
      <c r="NGA114" s="139"/>
      <c r="NGB114" s="139"/>
      <c r="NGC114" s="139"/>
      <c r="NGD114" s="139"/>
      <c r="NGE114" s="139"/>
      <c r="NGF114" s="139"/>
      <c r="NGG114" s="139"/>
      <c r="NGH114" s="139"/>
      <c r="NGI114" s="139"/>
      <c r="NGJ114" s="139"/>
      <c r="NGK114" s="139"/>
      <c r="NGL114" s="139"/>
      <c r="NGM114" s="139"/>
      <c r="NGN114" s="139"/>
      <c r="NGO114" s="139"/>
      <c r="NGP114" s="139"/>
      <c r="NGQ114" s="139"/>
      <c r="NGR114" s="139"/>
      <c r="NGS114" s="139"/>
      <c r="NGT114" s="139"/>
      <c r="NGU114" s="139"/>
      <c r="NGV114" s="139"/>
      <c r="NGW114" s="139"/>
      <c r="NGX114" s="139"/>
      <c r="NGY114" s="139"/>
      <c r="NGZ114" s="139"/>
      <c r="NHA114" s="139"/>
      <c r="NHB114" s="139"/>
      <c r="NHC114" s="139"/>
      <c r="NHD114" s="139"/>
      <c r="NHE114" s="139"/>
      <c r="NHF114" s="139"/>
      <c r="NHG114" s="139"/>
      <c r="NHH114" s="139"/>
      <c r="NHI114" s="139"/>
      <c r="NHJ114" s="139"/>
      <c r="NHK114" s="139"/>
      <c r="NHL114" s="139"/>
      <c r="NHM114" s="139"/>
      <c r="NHN114" s="139"/>
      <c r="NHO114" s="139"/>
      <c r="NHP114" s="139"/>
      <c r="NHQ114" s="139"/>
      <c r="NHR114" s="139"/>
      <c r="NHS114" s="139"/>
      <c r="NHT114" s="139"/>
      <c r="NHU114" s="139"/>
      <c r="NHV114" s="139"/>
      <c r="NHW114" s="139"/>
      <c r="NHX114" s="139"/>
      <c r="NHY114" s="139"/>
      <c r="NHZ114" s="139"/>
      <c r="NIA114" s="139"/>
      <c r="NIB114" s="139"/>
      <c r="NIC114" s="139"/>
      <c r="NID114" s="139"/>
      <c r="NIE114" s="139"/>
      <c r="NIF114" s="139"/>
      <c r="NIG114" s="139"/>
      <c r="NIH114" s="139"/>
      <c r="NII114" s="139"/>
      <c r="NIJ114" s="139"/>
      <c r="NIK114" s="139"/>
      <c r="NIL114" s="139"/>
      <c r="NIM114" s="139"/>
      <c r="NIN114" s="139"/>
      <c r="NIO114" s="139"/>
      <c r="NIP114" s="139"/>
      <c r="NIQ114" s="139"/>
      <c r="NIR114" s="139"/>
      <c r="NIS114" s="139"/>
      <c r="NIT114" s="139"/>
      <c r="NIU114" s="139"/>
      <c r="NIV114" s="139"/>
      <c r="NIW114" s="139"/>
      <c r="NIX114" s="139"/>
      <c r="NIY114" s="139"/>
      <c r="NIZ114" s="139"/>
      <c r="NJA114" s="139"/>
      <c r="NJB114" s="139"/>
      <c r="NJC114" s="139"/>
      <c r="NJD114" s="139"/>
      <c r="NJE114" s="139"/>
      <c r="NJF114" s="139"/>
      <c r="NJG114" s="139"/>
      <c r="NJH114" s="139"/>
      <c r="NJI114" s="139"/>
      <c r="NJJ114" s="139"/>
      <c r="NJK114" s="139"/>
      <c r="NJL114" s="139"/>
      <c r="NJM114" s="139"/>
      <c r="NJN114" s="139"/>
      <c r="NJO114" s="139"/>
      <c r="NJP114" s="139"/>
      <c r="NJQ114" s="139"/>
      <c r="NJR114" s="139"/>
      <c r="NJS114" s="139"/>
      <c r="NJT114" s="139"/>
      <c r="NJU114" s="139"/>
      <c r="NJV114" s="139"/>
      <c r="NJW114" s="139"/>
      <c r="NJX114" s="139"/>
      <c r="NJY114" s="139"/>
      <c r="NJZ114" s="139"/>
      <c r="NKA114" s="139"/>
      <c r="NKB114" s="139"/>
      <c r="NKC114" s="139"/>
      <c r="NKD114" s="139"/>
      <c r="NKE114" s="139"/>
      <c r="NKF114" s="139"/>
      <c r="NKG114" s="139"/>
      <c r="NKH114" s="139"/>
      <c r="NKI114" s="139"/>
      <c r="NKJ114" s="139"/>
      <c r="NKK114" s="139"/>
      <c r="NKL114" s="139"/>
      <c r="NKM114" s="139"/>
      <c r="NKN114" s="139"/>
      <c r="NKO114" s="139"/>
      <c r="NKP114" s="139"/>
      <c r="NKQ114" s="139"/>
      <c r="NKR114" s="139"/>
      <c r="NKS114" s="139"/>
      <c r="NKT114" s="139"/>
      <c r="NKU114" s="139"/>
      <c r="NKV114" s="139"/>
      <c r="NKW114" s="139"/>
      <c r="NKX114" s="139"/>
      <c r="NKY114" s="139"/>
      <c r="NKZ114" s="139"/>
      <c r="NLA114" s="139"/>
      <c r="NLB114" s="139"/>
      <c r="NLC114" s="139"/>
      <c r="NLD114" s="139"/>
      <c r="NLE114" s="139"/>
      <c r="NLF114" s="139"/>
      <c r="NLG114" s="139"/>
      <c r="NLH114" s="139"/>
      <c r="NLI114" s="139"/>
      <c r="NLJ114" s="139"/>
      <c r="NLK114" s="139"/>
      <c r="NLL114" s="139"/>
      <c r="NLM114" s="139"/>
      <c r="NLN114" s="139"/>
      <c r="NLO114" s="139"/>
      <c r="NLP114" s="139"/>
      <c r="NLQ114" s="139"/>
      <c r="NLR114" s="139"/>
      <c r="NLS114" s="139"/>
      <c r="NLT114" s="139"/>
      <c r="NLU114" s="139"/>
      <c r="NLV114" s="139"/>
      <c r="NLW114" s="139"/>
      <c r="NLX114" s="139"/>
      <c r="NLY114" s="139"/>
      <c r="NLZ114" s="139"/>
      <c r="NMA114" s="139"/>
      <c r="NMB114" s="139"/>
      <c r="NMC114" s="139"/>
      <c r="NMD114" s="139"/>
      <c r="NME114" s="139"/>
      <c r="NMF114" s="139"/>
      <c r="NMG114" s="139"/>
      <c r="NMH114" s="139"/>
      <c r="NMI114" s="139"/>
      <c r="NMJ114" s="139"/>
      <c r="NMK114" s="139"/>
      <c r="NML114" s="139"/>
      <c r="NMM114" s="139"/>
      <c r="NMN114" s="139"/>
      <c r="NMO114" s="139"/>
      <c r="NMP114" s="139"/>
      <c r="NMQ114" s="139"/>
      <c r="NMR114" s="139"/>
      <c r="NMS114" s="139"/>
      <c r="NMT114" s="139"/>
      <c r="NMU114" s="139"/>
      <c r="NMV114" s="139"/>
      <c r="NMW114" s="139"/>
      <c r="NMX114" s="139"/>
      <c r="NMY114" s="139"/>
      <c r="NMZ114" s="139"/>
      <c r="NNA114" s="139"/>
      <c r="NNB114" s="139"/>
      <c r="NNC114" s="139"/>
      <c r="NND114" s="139"/>
      <c r="NNE114" s="139"/>
      <c r="NNF114" s="139"/>
      <c r="NNG114" s="139"/>
      <c r="NNH114" s="139"/>
      <c r="NNI114" s="139"/>
      <c r="NNJ114" s="139"/>
      <c r="NNK114" s="139"/>
      <c r="NNL114" s="139"/>
      <c r="NNM114" s="139"/>
      <c r="NNN114" s="139"/>
      <c r="NNO114" s="139"/>
      <c r="NNP114" s="139"/>
      <c r="NNQ114" s="139"/>
      <c r="NNR114" s="139"/>
      <c r="NNS114" s="139"/>
      <c r="NNT114" s="139"/>
      <c r="NNU114" s="139"/>
      <c r="NNV114" s="139"/>
      <c r="NNW114" s="139"/>
      <c r="NNX114" s="139"/>
      <c r="NNY114" s="139"/>
      <c r="NNZ114" s="139"/>
      <c r="NOA114" s="139"/>
      <c r="NOB114" s="139"/>
      <c r="NOC114" s="139"/>
      <c r="NOD114" s="139"/>
      <c r="NOE114" s="139"/>
      <c r="NOF114" s="139"/>
      <c r="NOG114" s="139"/>
      <c r="NOH114" s="139"/>
      <c r="NOI114" s="139"/>
      <c r="NOJ114" s="139"/>
      <c r="NOK114" s="139"/>
      <c r="NOL114" s="139"/>
      <c r="NOM114" s="139"/>
      <c r="NON114" s="139"/>
      <c r="NOO114" s="139"/>
      <c r="NOP114" s="139"/>
      <c r="NOQ114" s="139"/>
      <c r="NOR114" s="139"/>
      <c r="NOS114" s="139"/>
      <c r="NOT114" s="139"/>
      <c r="NOU114" s="139"/>
      <c r="NOV114" s="139"/>
      <c r="NOW114" s="139"/>
      <c r="NOX114" s="139"/>
      <c r="NOY114" s="139"/>
      <c r="NOZ114" s="139"/>
      <c r="NPA114" s="139"/>
      <c r="NPB114" s="139"/>
      <c r="NPC114" s="139"/>
      <c r="NPD114" s="139"/>
      <c r="NPE114" s="139"/>
      <c r="NPF114" s="139"/>
      <c r="NPG114" s="139"/>
      <c r="NPH114" s="139"/>
      <c r="NPI114" s="139"/>
      <c r="NPJ114" s="139"/>
      <c r="NPK114" s="139"/>
      <c r="NPL114" s="139"/>
      <c r="NPM114" s="139"/>
      <c r="NPN114" s="139"/>
      <c r="NPO114" s="139"/>
      <c r="NPP114" s="139"/>
      <c r="NPQ114" s="139"/>
      <c r="NPR114" s="139"/>
      <c r="NPS114" s="139"/>
      <c r="NPT114" s="139"/>
      <c r="NPU114" s="139"/>
      <c r="NPV114" s="139"/>
      <c r="NPW114" s="139"/>
      <c r="NPX114" s="139"/>
      <c r="NPY114" s="139"/>
      <c r="NPZ114" s="139"/>
      <c r="NQA114" s="139"/>
      <c r="NQB114" s="139"/>
      <c r="NQC114" s="139"/>
      <c r="NQD114" s="139"/>
      <c r="NQE114" s="139"/>
      <c r="NQF114" s="139"/>
      <c r="NQG114" s="139"/>
      <c r="NQH114" s="139"/>
      <c r="NQI114" s="139"/>
      <c r="NQJ114" s="139"/>
      <c r="NQK114" s="139"/>
      <c r="NQL114" s="139"/>
      <c r="NQM114" s="139"/>
      <c r="NQN114" s="139"/>
      <c r="NQO114" s="139"/>
      <c r="NQP114" s="139"/>
      <c r="NQQ114" s="139"/>
      <c r="NQR114" s="139"/>
      <c r="NQS114" s="139"/>
      <c r="NQT114" s="139"/>
      <c r="NQU114" s="139"/>
      <c r="NQV114" s="139"/>
      <c r="NQW114" s="139"/>
      <c r="NQX114" s="139"/>
      <c r="NQY114" s="139"/>
      <c r="NQZ114" s="139"/>
      <c r="NRA114" s="139"/>
      <c r="NRB114" s="139"/>
      <c r="NRC114" s="139"/>
      <c r="NRD114" s="139"/>
      <c r="NRE114" s="139"/>
      <c r="NRF114" s="139"/>
      <c r="NRG114" s="139"/>
      <c r="NRH114" s="139"/>
      <c r="NRI114" s="139"/>
      <c r="NRJ114" s="139"/>
      <c r="NRK114" s="139"/>
      <c r="NRL114" s="139"/>
      <c r="NRM114" s="139"/>
      <c r="NRN114" s="139"/>
      <c r="NRO114" s="139"/>
      <c r="NRP114" s="139"/>
      <c r="NRQ114" s="139"/>
      <c r="NRR114" s="139"/>
      <c r="NRS114" s="139"/>
      <c r="NRT114" s="139"/>
      <c r="NRU114" s="139"/>
      <c r="NRV114" s="139"/>
      <c r="NRW114" s="139"/>
      <c r="NRX114" s="139"/>
      <c r="NRY114" s="139"/>
      <c r="NRZ114" s="139"/>
      <c r="NSA114" s="139"/>
      <c r="NSB114" s="139"/>
      <c r="NSC114" s="139"/>
      <c r="NSD114" s="139"/>
      <c r="NSE114" s="139"/>
      <c r="NSF114" s="139"/>
      <c r="NSG114" s="139"/>
      <c r="NSH114" s="139"/>
      <c r="NSI114" s="139"/>
      <c r="NSJ114" s="139"/>
      <c r="NSK114" s="139"/>
      <c r="NSL114" s="139"/>
      <c r="NSM114" s="139"/>
      <c r="NSN114" s="139"/>
      <c r="NSO114" s="139"/>
      <c r="NSP114" s="139"/>
      <c r="NSQ114" s="139"/>
      <c r="NSR114" s="139"/>
      <c r="NSS114" s="139"/>
      <c r="NST114" s="139"/>
      <c r="NSU114" s="139"/>
      <c r="NSV114" s="139"/>
      <c r="NSW114" s="139"/>
      <c r="NSX114" s="139"/>
      <c r="NSY114" s="139"/>
      <c r="NSZ114" s="139"/>
      <c r="NTA114" s="139"/>
      <c r="NTB114" s="139"/>
      <c r="NTC114" s="139"/>
      <c r="NTD114" s="139"/>
      <c r="NTE114" s="139"/>
      <c r="NTF114" s="139"/>
      <c r="NTG114" s="139"/>
      <c r="NTH114" s="139"/>
      <c r="NTI114" s="139"/>
      <c r="NTJ114" s="139"/>
      <c r="NTK114" s="139"/>
      <c r="NTL114" s="139"/>
      <c r="NTM114" s="139"/>
      <c r="NTN114" s="139"/>
      <c r="NTO114" s="139"/>
      <c r="NTP114" s="139"/>
      <c r="NTQ114" s="139"/>
      <c r="NTR114" s="139"/>
      <c r="NTS114" s="139"/>
      <c r="NTT114" s="139"/>
      <c r="NTU114" s="139"/>
      <c r="NTV114" s="139"/>
      <c r="NTW114" s="139"/>
      <c r="NTX114" s="139"/>
      <c r="NTY114" s="139"/>
      <c r="NTZ114" s="139"/>
      <c r="NUA114" s="139"/>
      <c r="NUB114" s="139"/>
      <c r="NUC114" s="139"/>
      <c r="NUD114" s="139"/>
      <c r="NUE114" s="139"/>
      <c r="NUF114" s="139"/>
      <c r="NUG114" s="139"/>
      <c r="NUH114" s="139"/>
      <c r="NUI114" s="139"/>
      <c r="NUJ114" s="139"/>
      <c r="NUK114" s="139"/>
      <c r="NUL114" s="139"/>
      <c r="NUM114" s="139"/>
      <c r="NUN114" s="139"/>
      <c r="NUO114" s="139"/>
      <c r="NUP114" s="139"/>
      <c r="NUQ114" s="139"/>
      <c r="NUR114" s="139"/>
      <c r="NUS114" s="139"/>
      <c r="NUT114" s="139"/>
      <c r="NUU114" s="139"/>
      <c r="NUV114" s="139"/>
      <c r="NUW114" s="139"/>
      <c r="NUX114" s="139"/>
      <c r="NUY114" s="139"/>
      <c r="NUZ114" s="139"/>
      <c r="NVA114" s="139"/>
      <c r="NVB114" s="139"/>
      <c r="NVC114" s="139"/>
      <c r="NVD114" s="139"/>
      <c r="NVE114" s="139"/>
      <c r="NVF114" s="139"/>
      <c r="NVG114" s="139"/>
      <c r="NVH114" s="139"/>
      <c r="NVI114" s="139"/>
      <c r="NVJ114" s="139"/>
      <c r="NVK114" s="139"/>
      <c r="NVL114" s="139"/>
      <c r="NVM114" s="139"/>
      <c r="NVN114" s="139"/>
      <c r="NVO114" s="139"/>
      <c r="NVP114" s="139"/>
      <c r="NVQ114" s="139"/>
      <c r="NVR114" s="139"/>
      <c r="NVS114" s="139"/>
      <c r="NVT114" s="139"/>
      <c r="NVU114" s="139"/>
      <c r="NVV114" s="139"/>
      <c r="NVW114" s="139"/>
      <c r="NVX114" s="139"/>
      <c r="NVY114" s="139"/>
      <c r="NVZ114" s="139"/>
      <c r="NWA114" s="139"/>
      <c r="NWB114" s="139"/>
      <c r="NWC114" s="139"/>
      <c r="NWD114" s="139"/>
      <c r="NWE114" s="139"/>
      <c r="NWF114" s="139"/>
      <c r="NWG114" s="139"/>
      <c r="NWH114" s="139"/>
      <c r="NWI114" s="139"/>
      <c r="NWJ114" s="139"/>
      <c r="NWK114" s="139"/>
      <c r="NWL114" s="139"/>
      <c r="NWM114" s="139"/>
      <c r="NWN114" s="139"/>
      <c r="NWO114" s="139"/>
      <c r="NWP114" s="139"/>
      <c r="NWQ114" s="139"/>
      <c r="NWR114" s="139"/>
      <c r="NWS114" s="139"/>
      <c r="NWT114" s="139"/>
      <c r="NWU114" s="139"/>
      <c r="NWV114" s="139"/>
      <c r="NWW114" s="139"/>
      <c r="NWX114" s="139"/>
      <c r="NWY114" s="139"/>
      <c r="NWZ114" s="139"/>
      <c r="NXA114" s="139"/>
      <c r="NXB114" s="139"/>
      <c r="NXC114" s="139"/>
      <c r="NXD114" s="139"/>
      <c r="NXE114" s="139"/>
      <c r="NXF114" s="139"/>
      <c r="NXG114" s="139"/>
      <c r="NXH114" s="139"/>
      <c r="NXI114" s="139"/>
      <c r="NXJ114" s="139"/>
      <c r="NXK114" s="139"/>
      <c r="NXL114" s="139"/>
      <c r="NXM114" s="139"/>
      <c r="NXN114" s="139"/>
      <c r="NXO114" s="139"/>
      <c r="NXP114" s="139"/>
      <c r="NXQ114" s="139"/>
      <c r="NXR114" s="139"/>
      <c r="NXS114" s="139"/>
      <c r="NXT114" s="139"/>
      <c r="NXU114" s="139"/>
      <c r="NXV114" s="139"/>
      <c r="NXW114" s="139"/>
      <c r="NXX114" s="139"/>
      <c r="NXY114" s="139"/>
      <c r="NXZ114" s="139"/>
      <c r="NYA114" s="139"/>
      <c r="NYB114" s="139"/>
      <c r="NYC114" s="139"/>
      <c r="NYD114" s="139"/>
      <c r="NYE114" s="139"/>
      <c r="NYF114" s="139"/>
      <c r="NYG114" s="139"/>
      <c r="NYH114" s="139"/>
      <c r="NYI114" s="139"/>
      <c r="NYJ114" s="139"/>
      <c r="NYK114" s="139"/>
      <c r="NYL114" s="139"/>
      <c r="NYM114" s="139"/>
      <c r="NYN114" s="139"/>
      <c r="NYO114" s="139"/>
      <c r="NYP114" s="139"/>
      <c r="NYQ114" s="139"/>
      <c r="NYR114" s="139"/>
      <c r="NYS114" s="139"/>
      <c r="NYT114" s="139"/>
      <c r="NYU114" s="139"/>
      <c r="NYV114" s="139"/>
      <c r="NYW114" s="139"/>
      <c r="NYX114" s="139"/>
      <c r="NYY114" s="139"/>
      <c r="NYZ114" s="139"/>
      <c r="NZA114" s="139"/>
      <c r="NZB114" s="139"/>
      <c r="NZC114" s="139"/>
      <c r="NZD114" s="139"/>
      <c r="NZE114" s="139"/>
      <c r="NZF114" s="139"/>
      <c r="NZG114" s="139"/>
      <c r="NZH114" s="139"/>
      <c r="NZI114" s="139"/>
      <c r="NZJ114" s="139"/>
      <c r="NZK114" s="139"/>
      <c r="NZL114" s="139"/>
      <c r="NZM114" s="139"/>
      <c r="NZN114" s="139"/>
      <c r="NZO114" s="139"/>
      <c r="NZP114" s="139"/>
      <c r="NZQ114" s="139"/>
      <c r="NZR114" s="139"/>
      <c r="NZS114" s="139"/>
      <c r="NZT114" s="139"/>
      <c r="NZU114" s="139"/>
      <c r="NZV114" s="139"/>
      <c r="NZW114" s="139"/>
      <c r="NZX114" s="139"/>
      <c r="NZY114" s="139"/>
      <c r="NZZ114" s="139"/>
      <c r="OAA114" s="139"/>
      <c r="OAB114" s="139"/>
      <c r="OAC114" s="139"/>
      <c r="OAD114" s="139"/>
      <c r="OAE114" s="139"/>
      <c r="OAF114" s="139"/>
      <c r="OAG114" s="139"/>
      <c r="OAH114" s="139"/>
      <c r="OAI114" s="139"/>
      <c r="OAJ114" s="139"/>
      <c r="OAK114" s="139"/>
      <c r="OAL114" s="139"/>
      <c r="OAM114" s="139"/>
      <c r="OAN114" s="139"/>
      <c r="OAO114" s="139"/>
      <c r="OAP114" s="139"/>
      <c r="OAQ114" s="139"/>
      <c r="OAR114" s="139"/>
      <c r="OAS114" s="139"/>
      <c r="OAT114" s="139"/>
      <c r="OAU114" s="139"/>
      <c r="OAV114" s="139"/>
      <c r="OAW114" s="139"/>
      <c r="OAX114" s="139"/>
      <c r="OAY114" s="139"/>
      <c r="OAZ114" s="139"/>
      <c r="OBA114" s="139"/>
      <c r="OBB114" s="139"/>
      <c r="OBC114" s="139"/>
      <c r="OBD114" s="139"/>
      <c r="OBE114" s="139"/>
      <c r="OBF114" s="139"/>
      <c r="OBG114" s="139"/>
      <c r="OBH114" s="139"/>
      <c r="OBI114" s="139"/>
      <c r="OBJ114" s="139"/>
      <c r="OBK114" s="139"/>
      <c r="OBL114" s="139"/>
      <c r="OBM114" s="139"/>
      <c r="OBN114" s="139"/>
      <c r="OBO114" s="139"/>
      <c r="OBP114" s="139"/>
      <c r="OBQ114" s="139"/>
      <c r="OBR114" s="139"/>
      <c r="OBS114" s="139"/>
      <c r="OBT114" s="139"/>
      <c r="OBU114" s="139"/>
      <c r="OBV114" s="139"/>
      <c r="OBW114" s="139"/>
      <c r="OBX114" s="139"/>
      <c r="OBY114" s="139"/>
      <c r="OBZ114" s="139"/>
      <c r="OCA114" s="139"/>
      <c r="OCB114" s="139"/>
      <c r="OCC114" s="139"/>
      <c r="OCD114" s="139"/>
      <c r="OCE114" s="139"/>
      <c r="OCF114" s="139"/>
      <c r="OCG114" s="139"/>
      <c r="OCH114" s="139"/>
      <c r="OCI114" s="139"/>
      <c r="OCJ114" s="139"/>
      <c r="OCK114" s="139"/>
      <c r="OCL114" s="139"/>
      <c r="OCM114" s="139"/>
      <c r="OCN114" s="139"/>
      <c r="OCO114" s="139"/>
      <c r="OCP114" s="139"/>
      <c r="OCQ114" s="139"/>
      <c r="OCR114" s="139"/>
      <c r="OCS114" s="139"/>
      <c r="OCT114" s="139"/>
      <c r="OCU114" s="139"/>
      <c r="OCV114" s="139"/>
      <c r="OCW114" s="139"/>
      <c r="OCX114" s="139"/>
      <c r="OCY114" s="139"/>
      <c r="OCZ114" s="139"/>
      <c r="ODA114" s="139"/>
      <c r="ODB114" s="139"/>
      <c r="ODC114" s="139"/>
      <c r="ODD114" s="139"/>
      <c r="ODE114" s="139"/>
      <c r="ODF114" s="139"/>
      <c r="ODG114" s="139"/>
      <c r="ODH114" s="139"/>
      <c r="ODI114" s="139"/>
      <c r="ODJ114" s="139"/>
      <c r="ODK114" s="139"/>
      <c r="ODL114" s="139"/>
      <c r="ODM114" s="139"/>
      <c r="ODN114" s="139"/>
      <c r="ODO114" s="139"/>
      <c r="ODP114" s="139"/>
      <c r="ODQ114" s="139"/>
      <c r="ODR114" s="139"/>
      <c r="ODS114" s="139"/>
      <c r="ODT114" s="139"/>
      <c r="ODU114" s="139"/>
      <c r="ODV114" s="139"/>
      <c r="ODW114" s="139"/>
      <c r="ODX114" s="139"/>
      <c r="ODY114" s="139"/>
      <c r="ODZ114" s="139"/>
      <c r="OEA114" s="139"/>
      <c r="OEB114" s="139"/>
      <c r="OEC114" s="139"/>
      <c r="OED114" s="139"/>
      <c r="OEE114" s="139"/>
      <c r="OEF114" s="139"/>
      <c r="OEG114" s="139"/>
      <c r="OEH114" s="139"/>
      <c r="OEI114" s="139"/>
      <c r="OEJ114" s="139"/>
      <c r="OEK114" s="139"/>
      <c r="OEL114" s="139"/>
      <c r="OEM114" s="139"/>
      <c r="OEN114" s="139"/>
      <c r="OEO114" s="139"/>
      <c r="OEP114" s="139"/>
      <c r="OEQ114" s="139"/>
      <c r="OER114" s="139"/>
      <c r="OES114" s="139"/>
      <c r="OET114" s="139"/>
      <c r="OEU114" s="139"/>
      <c r="OEV114" s="139"/>
      <c r="OEW114" s="139"/>
      <c r="OEX114" s="139"/>
      <c r="OEY114" s="139"/>
      <c r="OEZ114" s="139"/>
      <c r="OFA114" s="139"/>
      <c r="OFB114" s="139"/>
      <c r="OFC114" s="139"/>
      <c r="OFD114" s="139"/>
      <c r="OFE114" s="139"/>
      <c r="OFF114" s="139"/>
      <c r="OFG114" s="139"/>
      <c r="OFH114" s="139"/>
      <c r="OFI114" s="139"/>
      <c r="OFJ114" s="139"/>
      <c r="OFK114" s="139"/>
      <c r="OFL114" s="139"/>
      <c r="OFM114" s="139"/>
      <c r="OFN114" s="139"/>
      <c r="OFO114" s="139"/>
      <c r="OFP114" s="139"/>
      <c r="OFQ114" s="139"/>
      <c r="OFR114" s="139"/>
      <c r="OFS114" s="139"/>
      <c r="OFT114" s="139"/>
      <c r="OFU114" s="139"/>
      <c r="OFV114" s="139"/>
      <c r="OFW114" s="139"/>
      <c r="OFX114" s="139"/>
      <c r="OFY114" s="139"/>
      <c r="OFZ114" s="139"/>
      <c r="OGA114" s="139"/>
      <c r="OGB114" s="139"/>
      <c r="OGC114" s="139"/>
      <c r="OGD114" s="139"/>
      <c r="OGE114" s="139"/>
      <c r="OGF114" s="139"/>
      <c r="OGG114" s="139"/>
      <c r="OGH114" s="139"/>
      <c r="OGI114" s="139"/>
      <c r="OGJ114" s="139"/>
      <c r="OGK114" s="139"/>
      <c r="OGL114" s="139"/>
      <c r="OGM114" s="139"/>
      <c r="OGN114" s="139"/>
      <c r="OGO114" s="139"/>
      <c r="OGP114" s="139"/>
      <c r="OGQ114" s="139"/>
      <c r="OGR114" s="139"/>
      <c r="OGS114" s="139"/>
      <c r="OGT114" s="139"/>
      <c r="OGU114" s="139"/>
      <c r="OGV114" s="139"/>
      <c r="OGW114" s="139"/>
      <c r="OGX114" s="139"/>
      <c r="OGY114" s="139"/>
      <c r="OGZ114" s="139"/>
      <c r="OHA114" s="139"/>
      <c r="OHB114" s="139"/>
      <c r="OHC114" s="139"/>
      <c r="OHD114" s="139"/>
      <c r="OHE114" s="139"/>
      <c r="OHF114" s="139"/>
      <c r="OHG114" s="139"/>
      <c r="OHH114" s="139"/>
      <c r="OHI114" s="139"/>
      <c r="OHJ114" s="139"/>
      <c r="OHK114" s="139"/>
      <c r="OHL114" s="139"/>
      <c r="OHM114" s="139"/>
      <c r="OHN114" s="139"/>
      <c r="OHO114" s="139"/>
      <c r="OHP114" s="139"/>
      <c r="OHQ114" s="139"/>
      <c r="OHR114" s="139"/>
      <c r="OHS114" s="139"/>
      <c r="OHT114" s="139"/>
      <c r="OHU114" s="139"/>
      <c r="OHV114" s="139"/>
      <c r="OHW114" s="139"/>
      <c r="OHX114" s="139"/>
      <c r="OHY114" s="139"/>
      <c r="OHZ114" s="139"/>
      <c r="OIA114" s="139"/>
      <c r="OIB114" s="139"/>
      <c r="OIC114" s="139"/>
      <c r="OID114" s="139"/>
      <c r="OIE114" s="139"/>
      <c r="OIF114" s="139"/>
      <c r="OIG114" s="139"/>
      <c r="OIH114" s="139"/>
      <c r="OII114" s="139"/>
      <c r="OIJ114" s="139"/>
      <c r="OIK114" s="139"/>
      <c r="OIL114" s="139"/>
      <c r="OIM114" s="139"/>
      <c r="OIN114" s="139"/>
      <c r="OIO114" s="139"/>
      <c r="OIP114" s="139"/>
      <c r="OIQ114" s="139"/>
      <c r="OIR114" s="139"/>
      <c r="OIS114" s="139"/>
      <c r="OIT114" s="139"/>
      <c r="OIU114" s="139"/>
      <c r="OIV114" s="139"/>
      <c r="OIW114" s="139"/>
      <c r="OIX114" s="139"/>
      <c r="OIY114" s="139"/>
      <c r="OIZ114" s="139"/>
      <c r="OJA114" s="139"/>
      <c r="OJB114" s="139"/>
      <c r="OJC114" s="139"/>
      <c r="OJD114" s="139"/>
      <c r="OJE114" s="139"/>
      <c r="OJF114" s="139"/>
      <c r="OJG114" s="139"/>
      <c r="OJH114" s="139"/>
      <c r="OJI114" s="139"/>
      <c r="OJJ114" s="139"/>
      <c r="OJK114" s="139"/>
      <c r="OJL114" s="139"/>
      <c r="OJM114" s="139"/>
      <c r="OJN114" s="139"/>
      <c r="OJO114" s="139"/>
      <c r="OJP114" s="139"/>
      <c r="OJQ114" s="139"/>
      <c r="OJR114" s="139"/>
      <c r="OJS114" s="139"/>
      <c r="OJT114" s="139"/>
      <c r="OJU114" s="139"/>
      <c r="OJV114" s="139"/>
      <c r="OJW114" s="139"/>
      <c r="OJX114" s="139"/>
      <c r="OJY114" s="139"/>
      <c r="OJZ114" s="139"/>
      <c r="OKA114" s="139"/>
      <c r="OKB114" s="139"/>
      <c r="OKC114" s="139"/>
      <c r="OKD114" s="139"/>
      <c r="OKE114" s="139"/>
      <c r="OKF114" s="139"/>
      <c r="OKG114" s="139"/>
      <c r="OKH114" s="139"/>
      <c r="OKI114" s="139"/>
      <c r="OKJ114" s="139"/>
      <c r="OKK114" s="139"/>
      <c r="OKL114" s="139"/>
      <c r="OKM114" s="139"/>
      <c r="OKN114" s="139"/>
      <c r="OKO114" s="139"/>
      <c r="OKP114" s="139"/>
      <c r="OKQ114" s="139"/>
      <c r="OKR114" s="139"/>
      <c r="OKS114" s="139"/>
      <c r="OKT114" s="139"/>
      <c r="OKU114" s="139"/>
      <c r="OKV114" s="139"/>
      <c r="OKW114" s="139"/>
      <c r="OKX114" s="139"/>
      <c r="OKY114" s="139"/>
      <c r="OKZ114" s="139"/>
      <c r="OLA114" s="139"/>
      <c r="OLB114" s="139"/>
      <c r="OLC114" s="139"/>
      <c r="OLD114" s="139"/>
      <c r="OLE114" s="139"/>
      <c r="OLF114" s="139"/>
      <c r="OLG114" s="139"/>
      <c r="OLH114" s="139"/>
      <c r="OLI114" s="139"/>
      <c r="OLJ114" s="139"/>
      <c r="OLK114" s="139"/>
      <c r="OLL114" s="139"/>
      <c r="OLM114" s="139"/>
      <c r="OLN114" s="139"/>
      <c r="OLO114" s="139"/>
      <c r="OLP114" s="139"/>
      <c r="OLQ114" s="139"/>
      <c r="OLR114" s="139"/>
      <c r="OLS114" s="139"/>
      <c r="OLT114" s="139"/>
      <c r="OLU114" s="139"/>
      <c r="OLV114" s="139"/>
      <c r="OLW114" s="139"/>
      <c r="OLX114" s="139"/>
      <c r="OLY114" s="139"/>
      <c r="OLZ114" s="139"/>
      <c r="OMA114" s="139"/>
      <c r="OMB114" s="139"/>
      <c r="OMC114" s="139"/>
      <c r="OMD114" s="139"/>
      <c r="OME114" s="139"/>
      <c r="OMF114" s="139"/>
      <c r="OMG114" s="139"/>
      <c r="OMH114" s="139"/>
      <c r="OMI114" s="139"/>
      <c r="OMJ114" s="139"/>
      <c r="OMK114" s="139"/>
      <c r="OML114" s="139"/>
      <c r="OMM114" s="139"/>
      <c r="OMN114" s="139"/>
      <c r="OMO114" s="139"/>
      <c r="OMP114" s="139"/>
      <c r="OMQ114" s="139"/>
      <c r="OMR114" s="139"/>
      <c r="OMS114" s="139"/>
      <c r="OMT114" s="139"/>
      <c r="OMU114" s="139"/>
      <c r="OMV114" s="139"/>
      <c r="OMW114" s="139"/>
      <c r="OMX114" s="139"/>
      <c r="OMY114" s="139"/>
      <c r="OMZ114" s="139"/>
      <c r="ONA114" s="139"/>
      <c r="ONB114" s="139"/>
      <c r="ONC114" s="139"/>
      <c r="OND114" s="139"/>
      <c r="ONE114" s="139"/>
      <c r="ONF114" s="139"/>
      <c r="ONG114" s="139"/>
      <c r="ONH114" s="139"/>
      <c r="ONI114" s="139"/>
      <c r="ONJ114" s="139"/>
      <c r="ONK114" s="139"/>
      <c r="ONL114" s="139"/>
      <c r="ONM114" s="139"/>
      <c r="ONN114" s="139"/>
      <c r="ONO114" s="139"/>
      <c r="ONP114" s="139"/>
      <c r="ONQ114" s="139"/>
      <c r="ONR114" s="139"/>
      <c r="ONS114" s="139"/>
      <c r="ONT114" s="139"/>
      <c r="ONU114" s="139"/>
      <c r="ONV114" s="139"/>
      <c r="ONW114" s="139"/>
      <c r="ONX114" s="139"/>
      <c r="ONY114" s="139"/>
      <c r="ONZ114" s="139"/>
      <c r="OOA114" s="139"/>
      <c r="OOB114" s="139"/>
      <c r="OOC114" s="139"/>
      <c r="OOD114" s="139"/>
      <c r="OOE114" s="139"/>
      <c r="OOF114" s="139"/>
      <c r="OOG114" s="139"/>
      <c r="OOH114" s="139"/>
      <c r="OOI114" s="139"/>
      <c r="OOJ114" s="139"/>
      <c r="OOK114" s="139"/>
      <c r="OOL114" s="139"/>
      <c r="OOM114" s="139"/>
      <c r="OON114" s="139"/>
      <c r="OOO114" s="139"/>
      <c r="OOP114" s="139"/>
      <c r="OOQ114" s="139"/>
      <c r="OOR114" s="139"/>
      <c r="OOS114" s="139"/>
      <c r="OOT114" s="139"/>
      <c r="OOU114" s="139"/>
      <c r="OOV114" s="139"/>
      <c r="OOW114" s="139"/>
      <c r="OOX114" s="139"/>
      <c r="OOY114" s="139"/>
      <c r="OOZ114" s="139"/>
      <c r="OPA114" s="139"/>
      <c r="OPB114" s="139"/>
      <c r="OPC114" s="139"/>
      <c r="OPD114" s="139"/>
      <c r="OPE114" s="139"/>
      <c r="OPF114" s="139"/>
      <c r="OPG114" s="139"/>
      <c r="OPH114" s="139"/>
      <c r="OPI114" s="139"/>
      <c r="OPJ114" s="139"/>
      <c r="OPK114" s="139"/>
      <c r="OPL114" s="139"/>
      <c r="OPM114" s="139"/>
      <c r="OPN114" s="139"/>
      <c r="OPO114" s="139"/>
      <c r="OPP114" s="139"/>
      <c r="OPQ114" s="139"/>
      <c r="OPR114" s="139"/>
      <c r="OPS114" s="139"/>
      <c r="OPT114" s="139"/>
      <c r="OPU114" s="139"/>
      <c r="OPV114" s="139"/>
      <c r="OPW114" s="139"/>
      <c r="OPX114" s="139"/>
      <c r="OPY114" s="139"/>
      <c r="OPZ114" s="139"/>
      <c r="OQA114" s="139"/>
      <c r="OQB114" s="139"/>
      <c r="OQC114" s="139"/>
      <c r="OQD114" s="139"/>
      <c r="OQE114" s="139"/>
      <c r="OQF114" s="139"/>
      <c r="OQG114" s="139"/>
      <c r="OQH114" s="139"/>
      <c r="OQI114" s="139"/>
      <c r="OQJ114" s="139"/>
      <c r="OQK114" s="139"/>
      <c r="OQL114" s="139"/>
      <c r="OQM114" s="139"/>
      <c r="OQN114" s="139"/>
      <c r="OQO114" s="139"/>
      <c r="OQP114" s="139"/>
      <c r="OQQ114" s="139"/>
      <c r="OQR114" s="139"/>
      <c r="OQS114" s="139"/>
      <c r="OQT114" s="139"/>
      <c r="OQU114" s="139"/>
      <c r="OQV114" s="139"/>
      <c r="OQW114" s="139"/>
      <c r="OQX114" s="139"/>
      <c r="OQY114" s="139"/>
      <c r="OQZ114" s="139"/>
      <c r="ORA114" s="139"/>
      <c r="ORB114" s="139"/>
      <c r="ORC114" s="139"/>
      <c r="ORD114" s="139"/>
      <c r="ORE114" s="139"/>
      <c r="ORF114" s="139"/>
      <c r="ORG114" s="139"/>
      <c r="ORH114" s="139"/>
      <c r="ORI114" s="139"/>
      <c r="ORJ114" s="139"/>
      <c r="ORK114" s="139"/>
      <c r="ORL114" s="139"/>
      <c r="ORM114" s="139"/>
      <c r="ORN114" s="139"/>
      <c r="ORO114" s="139"/>
      <c r="ORP114" s="139"/>
      <c r="ORQ114" s="139"/>
      <c r="ORR114" s="139"/>
      <c r="ORS114" s="139"/>
      <c r="ORT114" s="139"/>
      <c r="ORU114" s="139"/>
      <c r="ORV114" s="139"/>
      <c r="ORW114" s="139"/>
      <c r="ORX114" s="139"/>
      <c r="ORY114" s="139"/>
      <c r="ORZ114" s="139"/>
      <c r="OSA114" s="139"/>
      <c r="OSB114" s="139"/>
      <c r="OSC114" s="139"/>
      <c r="OSD114" s="139"/>
      <c r="OSE114" s="139"/>
      <c r="OSF114" s="139"/>
      <c r="OSG114" s="139"/>
      <c r="OSH114" s="139"/>
      <c r="OSI114" s="139"/>
      <c r="OSJ114" s="139"/>
      <c r="OSK114" s="139"/>
      <c r="OSL114" s="139"/>
      <c r="OSM114" s="139"/>
      <c r="OSN114" s="139"/>
      <c r="OSO114" s="139"/>
      <c r="OSP114" s="139"/>
      <c r="OSQ114" s="139"/>
      <c r="OSR114" s="139"/>
      <c r="OSS114" s="139"/>
      <c r="OST114" s="139"/>
      <c r="OSU114" s="139"/>
      <c r="OSV114" s="139"/>
      <c r="OSW114" s="139"/>
      <c r="OSX114" s="139"/>
      <c r="OSY114" s="139"/>
      <c r="OSZ114" s="139"/>
      <c r="OTA114" s="139"/>
      <c r="OTB114" s="139"/>
      <c r="OTC114" s="139"/>
      <c r="OTD114" s="139"/>
      <c r="OTE114" s="139"/>
      <c r="OTF114" s="139"/>
      <c r="OTG114" s="139"/>
      <c r="OTH114" s="139"/>
      <c r="OTI114" s="139"/>
      <c r="OTJ114" s="139"/>
      <c r="OTK114" s="139"/>
      <c r="OTL114" s="139"/>
      <c r="OTM114" s="139"/>
      <c r="OTN114" s="139"/>
      <c r="OTO114" s="139"/>
      <c r="OTP114" s="139"/>
      <c r="OTQ114" s="139"/>
      <c r="OTR114" s="139"/>
      <c r="OTS114" s="139"/>
      <c r="OTT114" s="139"/>
      <c r="OTU114" s="139"/>
      <c r="OTV114" s="139"/>
      <c r="OTW114" s="139"/>
      <c r="OTX114" s="139"/>
      <c r="OTY114" s="139"/>
      <c r="OTZ114" s="139"/>
      <c r="OUA114" s="139"/>
      <c r="OUB114" s="139"/>
      <c r="OUC114" s="139"/>
      <c r="OUD114" s="139"/>
      <c r="OUE114" s="139"/>
      <c r="OUF114" s="139"/>
      <c r="OUG114" s="139"/>
      <c r="OUH114" s="139"/>
      <c r="OUI114" s="139"/>
      <c r="OUJ114" s="139"/>
      <c r="OUK114" s="139"/>
      <c r="OUL114" s="139"/>
      <c r="OUM114" s="139"/>
      <c r="OUN114" s="139"/>
      <c r="OUO114" s="139"/>
      <c r="OUP114" s="139"/>
      <c r="OUQ114" s="139"/>
      <c r="OUR114" s="139"/>
      <c r="OUS114" s="139"/>
      <c r="OUT114" s="139"/>
      <c r="OUU114" s="139"/>
      <c r="OUV114" s="139"/>
      <c r="OUW114" s="139"/>
      <c r="OUX114" s="139"/>
      <c r="OUY114" s="139"/>
      <c r="OUZ114" s="139"/>
      <c r="OVA114" s="139"/>
      <c r="OVB114" s="139"/>
      <c r="OVC114" s="139"/>
      <c r="OVD114" s="139"/>
      <c r="OVE114" s="139"/>
      <c r="OVF114" s="139"/>
      <c r="OVG114" s="139"/>
      <c r="OVH114" s="139"/>
      <c r="OVI114" s="139"/>
      <c r="OVJ114" s="139"/>
      <c r="OVK114" s="139"/>
      <c r="OVL114" s="139"/>
      <c r="OVM114" s="139"/>
      <c r="OVN114" s="139"/>
      <c r="OVO114" s="139"/>
      <c r="OVP114" s="139"/>
      <c r="OVQ114" s="139"/>
      <c r="OVR114" s="139"/>
      <c r="OVS114" s="139"/>
      <c r="OVT114" s="139"/>
      <c r="OVU114" s="139"/>
      <c r="OVV114" s="139"/>
      <c r="OVW114" s="139"/>
      <c r="OVX114" s="139"/>
      <c r="OVY114" s="139"/>
      <c r="OVZ114" s="139"/>
      <c r="OWA114" s="139"/>
      <c r="OWB114" s="139"/>
      <c r="OWC114" s="139"/>
      <c r="OWD114" s="139"/>
      <c r="OWE114" s="139"/>
      <c r="OWF114" s="139"/>
      <c r="OWG114" s="139"/>
      <c r="OWH114" s="139"/>
      <c r="OWI114" s="139"/>
      <c r="OWJ114" s="139"/>
      <c r="OWK114" s="139"/>
      <c r="OWL114" s="139"/>
      <c r="OWM114" s="139"/>
      <c r="OWN114" s="139"/>
      <c r="OWO114" s="139"/>
      <c r="OWP114" s="139"/>
      <c r="OWQ114" s="139"/>
      <c r="OWR114" s="139"/>
      <c r="OWS114" s="139"/>
      <c r="OWT114" s="139"/>
      <c r="OWU114" s="139"/>
      <c r="OWV114" s="139"/>
      <c r="OWW114" s="139"/>
      <c r="OWX114" s="139"/>
      <c r="OWY114" s="139"/>
      <c r="OWZ114" s="139"/>
      <c r="OXA114" s="139"/>
      <c r="OXB114" s="139"/>
      <c r="OXC114" s="139"/>
      <c r="OXD114" s="139"/>
      <c r="OXE114" s="139"/>
      <c r="OXF114" s="139"/>
      <c r="OXG114" s="139"/>
      <c r="OXH114" s="139"/>
      <c r="OXI114" s="139"/>
      <c r="OXJ114" s="139"/>
      <c r="OXK114" s="139"/>
      <c r="OXL114" s="139"/>
      <c r="OXM114" s="139"/>
      <c r="OXN114" s="139"/>
      <c r="OXO114" s="139"/>
      <c r="OXP114" s="139"/>
      <c r="OXQ114" s="139"/>
      <c r="OXR114" s="139"/>
      <c r="OXS114" s="139"/>
      <c r="OXT114" s="139"/>
      <c r="OXU114" s="139"/>
      <c r="OXV114" s="139"/>
      <c r="OXW114" s="139"/>
      <c r="OXX114" s="139"/>
      <c r="OXY114" s="139"/>
      <c r="OXZ114" s="139"/>
      <c r="OYA114" s="139"/>
      <c r="OYB114" s="139"/>
      <c r="OYC114" s="139"/>
      <c r="OYD114" s="139"/>
      <c r="OYE114" s="139"/>
      <c r="OYF114" s="139"/>
      <c r="OYG114" s="139"/>
      <c r="OYH114" s="139"/>
      <c r="OYI114" s="139"/>
      <c r="OYJ114" s="139"/>
      <c r="OYK114" s="139"/>
      <c r="OYL114" s="139"/>
      <c r="OYM114" s="139"/>
      <c r="OYN114" s="139"/>
      <c r="OYO114" s="139"/>
      <c r="OYP114" s="139"/>
      <c r="OYQ114" s="139"/>
      <c r="OYR114" s="139"/>
      <c r="OYS114" s="139"/>
      <c r="OYT114" s="139"/>
      <c r="OYU114" s="139"/>
      <c r="OYV114" s="139"/>
      <c r="OYW114" s="139"/>
      <c r="OYX114" s="139"/>
      <c r="OYY114" s="139"/>
      <c r="OYZ114" s="139"/>
      <c r="OZA114" s="139"/>
      <c r="OZB114" s="139"/>
      <c r="OZC114" s="139"/>
      <c r="OZD114" s="139"/>
      <c r="OZE114" s="139"/>
      <c r="OZF114" s="139"/>
      <c r="OZG114" s="139"/>
      <c r="OZH114" s="139"/>
      <c r="OZI114" s="139"/>
      <c r="OZJ114" s="139"/>
      <c r="OZK114" s="139"/>
      <c r="OZL114" s="139"/>
      <c r="OZM114" s="139"/>
      <c r="OZN114" s="139"/>
      <c r="OZO114" s="139"/>
      <c r="OZP114" s="139"/>
      <c r="OZQ114" s="139"/>
      <c r="OZR114" s="139"/>
      <c r="OZS114" s="139"/>
      <c r="OZT114" s="139"/>
      <c r="OZU114" s="139"/>
      <c r="OZV114" s="139"/>
      <c r="OZW114" s="139"/>
      <c r="OZX114" s="139"/>
      <c r="OZY114" s="139"/>
      <c r="OZZ114" s="139"/>
      <c r="PAA114" s="139"/>
      <c r="PAB114" s="139"/>
      <c r="PAC114" s="139"/>
      <c r="PAD114" s="139"/>
      <c r="PAE114" s="139"/>
      <c r="PAF114" s="139"/>
      <c r="PAG114" s="139"/>
      <c r="PAH114" s="139"/>
      <c r="PAI114" s="139"/>
      <c r="PAJ114" s="139"/>
      <c r="PAK114" s="139"/>
      <c r="PAL114" s="139"/>
      <c r="PAM114" s="139"/>
      <c r="PAN114" s="139"/>
      <c r="PAO114" s="139"/>
      <c r="PAP114" s="139"/>
      <c r="PAQ114" s="139"/>
      <c r="PAR114" s="139"/>
      <c r="PAS114" s="139"/>
      <c r="PAT114" s="139"/>
      <c r="PAU114" s="139"/>
      <c r="PAV114" s="139"/>
      <c r="PAW114" s="139"/>
      <c r="PAX114" s="139"/>
      <c r="PAY114" s="139"/>
      <c r="PAZ114" s="139"/>
      <c r="PBA114" s="139"/>
      <c r="PBB114" s="139"/>
      <c r="PBC114" s="139"/>
      <c r="PBD114" s="139"/>
      <c r="PBE114" s="139"/>
      <c r="PBF114" s="139"/>
      <c r="PBG114" s="139"/>
      <c r="PBH114" s="139"/>
      <c r="PBI114" s="139"/>
      <c r="PBJ114" s="139"/>
      <c r="PBK114" s="139"/>
      <c r="PBL114" s="139"/>
      <c r="PBM114" s="139"/>
      <c r="PBN114" s="139"/>
      <c r="PBO114" s="139"/>
      <c r="PBP114" s="139"/>
      <c r="PBQ114" s="139"/>
      <c r="PBR114" s="139"/>
      <c r="PBS114" s="139"/>
      <c r="PBT114" s="139"/>
      <c r="PBU114" s="139"/>
      <c r="PBV114" s="139"/>
      <c r="PBW114" s="139"/>
      <c r="PBX114" s="139"/>
      <c r="PBY114" s="139"/>
      <c r="PBZ114" s="139"/>
      <c r="PCA114" s="139"/>
      <c r="PCB114" s="139"/>
      <c r="PCC114" s="139"/>
      <c r="PCD114" s="139"/>
      <c r="PCE114" s="139"/>
      <c r="PCF114" s="139"/>
      <c r="PCG114" s="139"/>
      <c r="PCH114" s="139"/>
      <c r="PCI114" s="139"/>
      <c r="PCJ114" s="139"/>
      <c r="PCK114" s="139"/>
      <c r="PCL114" s="139"/>
      <c r="PCM114" s="139"/>
      <c r="PCN114" s="139"/>
      <c r="PCO114" s="139"/>
      <c r="PCP114" s="139"/>
      <c r="PCQ114" s="139"/>
      <c r="PCR114" s="139"/>
      <c r="PCS114" s="139"/>
      <c r="PCT114" s="139"/>
      <c r="PCU114" s="139"/>
      <c r="PCV114" s="139"/>
      <c r="PCW114" s="139"/>
      <c r="PCX114" s="139"/>
      <c r="PCY114" s="139"/>
      <c r="PCZ114" s="139"/>
      <c r="PDA114" s="139"/>
      <c r="PDB114" s="139"/>
      <c r="PDC114" s="139"/>
      <c r="PDD114" s="139"/>
      <c r="PDE114" s="139"/>
      <c r="PDF114" s="139"/>
      <c r="PDG114" s="139"/>
      <c r="PDH114" s="139"/>
      <c r="PDI114" s="139"/>
      <c r="PDJ114" s="139"/>
      <c r="PDK114" s="139"/>
      <c r="PDL114" s="139"/>
      <c r="PDM114" s="139"/>
      <c r="PDN114" s="139"/>
      <c r="PDO114" s="139"/>
      <c r="PDP114" s="139"/>
      <c r="PDQ114" s="139"/>
      <c r="PDR114" s="139"/>
      <c r="PDS114" s="139"/>
      <c r="PDT114" s="139"/>
      <c r="PDU114" s="139"/>
      <c r="PDV114" s="139"/>
      <c r="PDW114" s="139"/>
      <c r="PDX114" s="139"/>
      <c r="PDY114" s="139"/>
      <c r="PDZ114" s="139"/>
      <c r="PEA114" s="139"/>
      <c r="PEB114" s="139"/>
      <c r="PEC114" s="139"/>
      <c r="PED114" s="139"/>
      <c r="PEE114" s="139"/>
      <c r="PEF114" s="139"/>
      <c r="PEG114" s="139"/>
      <c r="PEH114" s="139"/>
      <c r="PEI114" s="139"/>
      <c r="PEJ114" s="139"/>
      <c r="PEK114" s="139"/>
      <c r="PEL114" s="139"/>
      <c r="PEM114" s="139"/>
      <c r="PEN114" s="139"/>
      <c r="PEO114" s="139"/>
      <c r="PEP114" s="139"/>
      <c r="PEQ114" s="139"/>
      <c r="PER114" s="139"/>
      <c r="PES114" s="139"/>
      <c r="PET114" s="139"/>
      <c r="PEU114" s="139"/>
      <c r="PEV114" s="139"/>
      <c r="PEW114" s="139"/>
      <c r="PEX114" s="139"/>
      <c r="PEY114" s="139"/>
      <c r="PEZ114" s="139"/>
      <c r="PFA114" s="139"/>
      <c r="PFB114" s="139"/>
      <c r="PFC114" s="139"/>
      <c r="PFD114" s="139"/>
      <c r="PFE114" s="139"/>
      <c r="PFF114" s="139"/>
      <c r="PFG114" s="139"/>
      <c r="PFH114" s="139"/>
      <c r="PFI114" s="139"/>
      <c r="PFJ114" s="139"/>
      <c r="PFK114" s="139"/>
      <c r="PFL114" s="139"/>
      <c r="PFM114" s="139"/>
      <c r="PFN114" s="139"/>
      <c r="PFO114" s="139"/>
      <c r="PFP114" s="139"/>
      <c r="PFQ114" s="139"/>
      <c r="PFR114" s="139"/>
      <c r="PFS114" s="139"/>
      <c r="PFT114" s="139"/>
      <c r="PFU114" s="139"/>
      <c r="PFV114" s="139"/>
      <c r="PFW114" s="139"/>
      <c r="PFX114" s="139"/>
      <c r="PFY114" s="139"/>
      <c r="PFZ114" s="139"/>
      <c r="PGA114" s="139"/>
      <c r="PGB114" s="139"/>
      <c r="PGC114" s="139"/>
      <c r="PGD114" s="139"/>
      <c r="PGE114" s="139"/>
      <c r="PGF114" s="139"/>
      <c r="PGG114" s="139"/>
      <c r="PGH114" s="139"/>
      <c r="PGI114" s="139"/>
      <c r="PGJ114" s="139"/>
      <c r="PGK114" s="139"/>
      <c r="PGL114" s="139"/>
      <c r="PGM114" s="139"/>
      <c r="PGN114" s="139"/>
      <c r="PGO114" s="139"/>
      <c r="PGP114" s="139"/>
      <c r="PGQ114" s="139"/>
      <c r="PGR114" s="139"/>
      <c r="PGS114" s="139"/>
      <c r="PGT114" s="139"/>
      <c r="PGU114" s="139"/>
      <c r="PGV114" s="139"/>
      <c r="PGW114" s="139"/>
      <c r="PGX114" s="139"/>
      <c r="PGY114" s="139"/>
      <c r="PGZ114" s="139"/>
      <c r="PHA114" s="139"/>
      <c r="PHB114" s="139"/>
      <c r="PHC114" s="139"/>
      <c r="PHD114" s="139"/>
      <c r="PHE114" s="139"/>
      <c r="PHF114" s="139"/>
      <c r="PHG114" s="139"/>
      <c r="PHH114" s="139"/>
      <c r="PHI114" s="139"/>
      <c r="PHJ114" s="139"/>
      <c r="PHK114" s="139"/>
      <c r="PHL114" s="139"/>
      <c r="PHM114" s="139"/>
      <c r="PHN114" s="139"/>
      <c r="PHO114" s="139"/>
      <c r="PHP114" s="139"/>
      <c r="PHQ114" s="139"/>
      <c r="PHR114" s="139"/>
      <c r="PHS114" s="139"/>
      <c r="PHT114" s="139"/>
      <c r="PHU114" s="139"/>
      <c r="PHV114" s="139"/>
      <c r="PHW114" s="139"/>
      <c r="PHX114" s="139"/>
      <c r="PHY114" s="139"/>
      <c r="PHZ114" s="139"/>
      <c r="PIA114" s="139"/>
      <c r="PIB114" s="139"/>
      <c r="PIC114" s="139"/>
      <c r="PID114" s="139"/>
      <c r="PIE114" s="139"/>
      <c r="PIF114" s="139"/>
      <c r="PIG114" s="139"/>
      <c r="PIH114" s="139"/>
      <c r="PII114" s="139"/>
      <c r="PIJ114" s="139"/>
      <c r="PIK114" s="139"/>
      <c r="PIL114" s="139"/>
      <c r="PIM114" s="139"/>
      <c r="PIN114" s="139"/>
      <c r="PIO114" s="139"/>
      <c r="PIP114" s="139"/>
      <c r="PIQ114" s="139"/>
      <c r="PIR114" s="139"/>
      <c r="PIS114" s="139"/>
      <c r="PIT114" s="139"/>
      <c r="PIU114" s="139"/>
      <c r="PIV114" s="139"/>
      <c r="PIW114" s="139"/>
      <c r="PIX114" s="139"/>
      <c r="PIY114" s="139"/>
      <c r="PIZ114" s="139"/>
      <c r="PJA114" s="139"/>
      <c r="PJB114" s="139"/>
      <c r="PJC114" s="139"/>
      <c r="PJD114" s="139"/>
      <c r="PJE114" s="139"/>
      <c r="PJF114" s="139"/>
      <c r="PJG114" s="139"/>
      <c r="PJH114" s="139"/>
      <c r="PJI114" s="139"/>
      <c r="PJJ114" s="139"/>
      <c r="PJK114" s="139"/>
      <c r="PJL114" s="139"/>
      <c r="PJM114" s="139"/>
      <c r="PJN114" s="139"/>
      <c r="PJO114" s="139"/>
      <c r="PJP114" s="139"/>
      <c r="PJQ114" s="139"/>
      <c r="PJR114" s="139"/>
      <c r="PJS114" s="139"/>
      <c r="PJT114" s="139"/>
      <c r="PJU114" s="139"/>
      <c r="PJV114" s="139"/>
      <c r="PJW114" s="139"/>
      <c r="PJX114" s="139"/>
      <c r="PJY114" s="139"/>
      <c r="PJZ114" s="139"/>
      <c r="PKA114" s="139"/>
      <c r="PKB114" s="139"/>
      <c r="PKC114" s="139"/>
      <c r="PKD114" s="139"/>
      <c r="PKE114" s="139"/>
      <c r="PKF114" s="139"/>
      <c r="PKG114" s="139"/>
      <c r="PKH114" s="139"/>
      <c r="PKI114" s="139"/>
      <c r="PKJ114" s="139"/>
      <c r="PKK114" s="139"/>
      <c r="PKL114" s="139"/>
      <c r="PKM114" s="139"/>
      <c r="PKN114" s="139"/>
      <c r="PKO114" s="139"/>
      <c r="PKP114" s="139"/>
      <c r="PKQ114" s="139"/>
      <c r="PKR114" s="139"/>
      <c r="PKS114" s="139"/>
      <c r="PKT114" s="139"/>
      <c r="PKU114" s="139"/>
      <c r="PKV114" s="139"/>
      <c r="PKW114" s="139"/>
      <c r="PKX114" s="139"/>
      <c r="PKY114" s="139"/>
      <c r="PKZ114" s="139"/>
      <c r="PLA114" s="139"/>
      <c r="PLB114" s="139"/>
      <c r="PLC114" s="139"/>
      <c r="PLD114" s="139"/>
      <c r="PLE114" s="139"/>
      <c r="PLF114" s="139"/>
      <c r="PLG114" s="139"/>
      <c r="PLH114" s="139"/>
      <c r="PLI114" s="139"/>
      <c r="PLJ114" s="139"/>
      <c r="PLK114" s="139"/>
      <c r="PLL114" s="139"/>
      <c r="PLM114" s="139"/>
      <c r="PLN114" s="139"/>
      <c r="PLO114" s="139"/>
      <c r="PLP114" s="139"/>
      <c r="PLQ114" s="139"/>
      <c r="PLR114" s="139"/>
      <c r="PLS114" s="139"/>
      <c r="PLT114" s="139"/>
      <c r="PLU114" s="139"/>
      <c r="PLV114" s="139"/>
      <c r="PLW114" s="139"/>
      <c r="PLX114" s="139"/>
      <c r="PLY114" s="139"/>
      <c r="PLZ114" s="139"/>
      <c r="PMA114" s="139"/>
      <c r="PMB114" s="139"/>
      <c r="PMC114" s="139"/>
      <c r="PMD114" s="139"/>
      <c r="PME114" s="139"/>
      <c r="PMF114" s="139"/>
      <c r="PMG114" s="139"/>
      <c r="PMH114" s="139"/>
      <c r="PMI114" s="139"/>
      <c r="PMJ114" s="139"/>
      <c r="PMK114" s="139"/>
      <c r="PML114" s="139"/>
      <c r="PMM114" s="139"/>
      <c r="PMN114" s="139"/>
      <c r="PMO114" s="139"/>
      <c r="PMP114" s="139"/>
      <c r="PMQ114" s="139"/>
      <c r="PMR114" s="139"/>
      <c r="PMS114" s="139"/>
      <c r="PMT114" s="139"/>
      <c r="PMU114" s="139"/>
      <c r="PMV114" s="139"/>
      <c r="PMW114" s="139"/>
      <c r="PMX114" s="139"/>
      <c r="PMY114" s="139"/>
      <c r="PMZ114" s="139"/>
      <c r="PNA114" s="139"/>
      <c r="PNB114" s="139"/>
      <c r="PNC114" s="139"/>
      <c r="PND114" s="139"/>
      <c r="PNE114" s="139"/>
      <c r="PNF114" s="139"/>
      <c r="PNG114" s="139"/>
      <c r="PNH114" s="139"/>
      <c r="PNI114" s="139"/>
      <c r="PNJ114" s="139"/>
      <c r="PNK114" s="139"/>
      <c r="PNL114" s="139"/>
      <c r="PNM114" s="139"/>
      <c r="PNN114" s="139"/>
      <c r="PNO114" s="139"/>
      <c r="PNP114" s="139"/>
      <c r="PNQ114" s="139"/>
      <c r="PNR114" s="139"/>
      <c r="PNS114" s="139"/>
      <c r="PNT114" s="139"/>
      <c r="PNU114" s="139"/>
      <c r="PNV114" s="139"/>
      <c r="PNW114" s="139"/>
      <c r="PNX114" s="139"/>
      <c r="PNY114" s="139"/>
      <c r="PNZ114" s="139"/>
      <c r="POA114" s="139"/>
      <c r="POB114" s="139"/>
      <c r="POC114" s="139"/>
      <c r="POD114" s="139"/>
      <c r="POE114" s="139"/>
      <c r="POF114" s="139"/>
      <c r="POG114" s="139"/>
      <c r="POH114" s="139"/>
      <c r="POI114" s="139"/>
      <c r="POJ114" s="139"/>
      <c r="POK114" s="139"/>
      <c r="POL114" s="139"/>
      <c r="POM114" s="139"/>
      <c r="PON114" s="139"/>
      <c r="POO114" s="139"/>
      <c r="POP114" s="139"/>
      <c r="POQ114" s="139"/>
      <c r="POR114" s="139"/>
      <c r="POS114" s="139"/>
      <c r="POT114" s="139"/>
      <c r="POU114" s="139"/>
      <c r="POV114" s="139"/>
      <c r="POW114" s="139"/>
      <c r="POX114" s="139"/>
      <c r="POY114" s="139"/>
      <c r="POZ114" s="139"/>
      <c r="PPA114" s="139"/>
      <c r="PPB114" s="139"/>
      <c r="PPC114" s="139"/>
      <c r="PPD114" s="139"/>
      <c r="PPE114" s="139"/>
      <c r="PPF114" s="139"/>
      <c r="PPG114" s="139"/>
      <c r="PPH114" s="139"/>
      <c r="PPI114" s="139"/>
      <c r="PPJ114" s="139"/>
      <c r="PPK114" s="139"/>
      <c r="PPL114" s="139"/>
      <c r="PPM114" s="139"/>
      <c r="PPN114" s="139"/>
      <c r="PPO114" s="139"/>
      <c r="PPP114" s="139"/>
      <c r="PPQ114" s="139"/>
      <c r="PPR114" s="139"/>
      <c r="PPS114" s="139"/>
      <c r="PPT114" s="139"/>
      <c r="PPU114" s="139"/>
      <c r="PPV114" s="139"/>
      <c r="PPW114" s="139"/>
      <c r="PPX114" s="139"/>
      <c r="PPY114" s="139"/>
      <c r="PPZ114" s="139"/>
      <c r="PQA114" s="139"/>
      <c r="PQB114" s="139"/>
      <c r="PQC114" s="139"/>
      <c r="PQD114" s="139"/>
      <c r="PQE114" s="139"/>
      <c r="PQF114" s="139"/>
      <c r="PQG114" s="139"/>
      <c r="PQH114" s="139"/>
      <c r="PQI114" s="139"/>
      <c r="PQJ114" s="139"/>
      <c r="PQK114" s="139"/>
      <c r="PQL114" s="139"/>
      <c r="PQM114" s="139"/>
      <c r="PQN114" s="139"/>
      <c r="PQO114" s="139"/>
      <c r="PQP114" s="139"/>
      <c r="PQQ114" s="139"/>
      <c r="PQR114" s="139"/>
      <c r="PQS114" s="139"/>
      <c r="PQT114" s="139"/>
      <c r="PQU114" s="139"/>
      <c r="PQV114" s="139"/>
      <c r="PQW114" s="139"/>
      <c r="PQX114" s="139"/>
      <c r="PQY114" s="139"/>
      <c r="PQZ114" s="139"/>
      <c r="PRA114" s="139"/>
      <c r="PRB114" s="139"/>
      <c r="PRC114" s="139"/>
      <c r="PRD114" s="139"/>
      <c r="PRE114" s="139"/>
      <c r="PRF114" s="139"/>
      <c r="PRG114" s="139"/>
      <c r="PRH114" s="139"/>
      <c r="PRI114" s="139"/>
      <c r="PRJ114" s="139"/>
      <c r="PRK114" s="139"/>
      <c r="PRL114" s="139"/>
      <c r="PRM114" s="139"/>
      <c r="PRN114" s="139"/>
      <c r="PRO114" s="139"/>
      <c r="PRP114" s="139"/>
      <c r="PRQ114" s="139"/>
      <c r="PRR114" s="139"/>
      <c r="PRS114" s="139"/>
      <c r="PRT114" s="139"/>
      <c r="PRU114" s="139"/>
      <c r="PRV114" s="139"/>
      <c r="PRW114" s="139"/>
      <c r="PRX114" s="139"/>
      <c r="PRY114" s="139"/>
      <c r="PRZ114" s="139"/>
      <c r="PSA114" s="139"/>
      <c r="PSB114" s="139"/>
      <c r="PSC114" s="139"/>
      <c r="PSD114" s="139"/>
      <c r="PSE114" s="139"/>
      <c r="PSF114" s="139"/>
      <c r="PSG114" s="139"/>
      <c r="PSH114" s="139"/>
      <c r="PSI114" s="139"/>
      <c r="PSJ114" s="139"/>
      <c r="PSK114" s="139"/>
      <c r="PSL114" s="139"/>
      <c r="PSM114" s="139"/>
      <c r="PSN114" s="139"/>
      <c r="PSO114" s="139"/>
      <c r="PSP114" s="139"/>
      <c r="PSQ114" s="139"/>
      <c r="PSR114" s="139"/>
      <c r="PSS114" s="139"/>
      <c r="PST114" s="139"/>
      <c r="PSU114" s="139"/>
      <c r="PSV114" s="139"/>
      <c r="PSW114" s="139"/>
      <c r="PSX114" s="139"/>
      <c r="PSY114" s="139"/>
      <c r="PSZ114" s="139"/>
      <c r="PTA114" s="139"/>
      <c r="PTB114" s="139"/>
      <c r="PTC114" s="139"/>
      <c r="PTD114" s="139"/>
      <c r="PTE114" s="139"/>
      <c r="PTF114" s="139"/>
      <c r="PTG114" s="139"/>
      <c r="PTH114" s="139"/>
      <c r="PTI114" s="139"/>
      <c r="PTJ114" s="139"/>
      <c r="PTK114" s="139"/>
      <c r="PTL114" s="139"/>
      <c r="PTM114" s="139"/>
      <c r="PTN114" s="139"/>
      <c r="PTO114" s="139"/>
      <c r="PTP114" s="139"/>
      <c r="PTQ114" s="139"/>
      <c r="PTR114" s="139"/>
      <c r="PTS114" s="139"/>
      <c r="PTT114" s="139"/>
      <c r="PTU114" s="139"/>
      <c r="PTV114" s="139"/>
      <c r="PTW114" s="139"/>
      <c r="PTX114" s="139"/>
      <c r="PTY114" s="139"/>
      <c r="PTZ114" s="139"/>
      <c r="PUA114" s="139"/>
      <c r="PUB114" s="139"/>
      <c r="PUC114" s="139"/>
      <c r="PUD114" s="139"/>
      <c r="PUE114" s="139"/>
      <c r="PUF114" s="139"/>
      <c r="PUG114" s="139"/>
      <c r="PUH114" s="139"/>
      <c r="PUI114" s="139"/>
      <c r="PUJ114" s="139"/>
      <c r="PUK114" s="139"/>
      <c r="PUL114" s="139"/>
      <c r="PUM114" s="139"/>
      <c r="PUN114" s="139"/>
      <c r="PUO114" s="139"/>
      <c r="PUP114" s="139"/>
      <c r="PUQ114" s="139"/>
      <c r="PUR114" s="139"/>
      <c r="PUS114" s="139"/>
      <c r="PUT114" s="139"/>
      <c r="PUU114" s="139"/>
      <c r="PUV114" s="139"/>
      <c r="PUW114" s="139"/>
      <c r="PUX114" s="139"/>
      <c r="PUY114" s="139"/>
      <c r="PUZ114" s="139"/>
      <c r="PVA114" s="139"/>
      <c r="PVB114" s="139"/>
      <c r="PVC114" s="139"/>
      <c r="PVD114" s="139"/>
      <c r="PVE114" s="139"/>
      <c r="PVF114" s="139"/>
      <c r="PVG114" s="139"/>
      <c r="PVH114" s="139"/>
      <c r="PVI114" s="139"/>
      <c r="PVJ114" s="139"/>
      <c r="PVK114" s="139"/>
      <c r="PVL114" s="139"/>
      <c r="PVM114" s="139"/>
      <c r="PVN114" s="139"/>
      <c r="PVO114" s="139"/>
      <c r="PVP114" s="139"/>
      <c r="PVQ114" s="139"/>
      <c r="PVR114" s="139"/>
      <c r="PVS114" s="139"/>
      <c r="PVT114" s="139"/>
      <c r="PVU114" s="139"/>
      <c r="PVV114" s="139"/>
      <c r="PVW114" s="139"/>
      <c r="PVX114" s="139"/>
      <c r="PVY114" s="139"/>
      <c r="PVZ114" s="139"/>
      <c r="PWA114" s="139"/>
      <c r="PWB114" s="139"/>
      <c r="PWC114" s="139"/>
      <c r="PWD114" s="139"/>
      <c r="PWE114" s="139"/>
      <c r="PWF114" s="139"/>
      <c r="PWG114" s="139"/>
      <c r="PWH114" s="139"/>
      <c r="PWI114" s="139"/>
      <c r="PWJ114" s="139"/>
      <c r="PWK114" s="139"/>
      <c r="PWL114" s="139"/>
      <c r="PWM114" s="139"/>
      <c r="PWN114" s="139"/>
      <c r="PWO114" s="139"/>
      <c r="PWP114" s="139"/>
      <c r="PWQ114" s="139"/>
      <c r="PWR114" s="139"/>
      <c r="PWS114" s="139"/>
      <c r="PWT114" s="139"/>
      <c r="PWU114" s="139"/>
      <c r="PWV114" s="139"/>
      <c r="PWW114" s="139"/>
      <c r="PWX114" s="139"/>
      <c r="PWY114" s="139"/>
      <c r="PWZ114" s="139"/>
      <c r="PXA114" s="139"/>
      <c r="PXB114" s="139"/>
      <c r="PXC114" s="139"/>
      <c r="PXD114" s="139"/>
      <c r="PXE114" s="139"/>
      <c r="PXF114" s="139"/>
      <c r="PXG114" s="139"/>
      <c r="PXH114" s="139"/>
      <c r="PXI114" s="139"/>
      <c r="PXJ114" s="139"/>
      <c r="PXK114" s="139"/>
      <c r="PXL114" s="139"/>
      <c r="PXM114" s="139"/>
      <c r="PXN114" s="139"/>
      <c r="PXO114" s="139"/>
      <c r="PXP114" s="139"/>
      <c r="PXQ114" s="139"/>
      <c r="PXR114" s="139"/>
      <c r="PXS114" s="139"/>
      <c r="PXT114" s="139"/>
      <c r="PXU114" s="139"/>
      <c r="PXV114" s="139"/>
      <c r="PXW114" s="139"/>
      <c r="PXX114" s="139"/>
      <c r="PXY114" s="139"/>
      <c r="PXZ114" s="139"/>
      <c r="PYA114" s="139"/>
      <c r="PYB114" s="139"/>
      <c r="PYC114" s="139"/>
      <c r="PYD114" s="139"/>
      <c r="PYE114" s="139"/>
      <c r="PYF114" s="139"/>
      <c r="PYG114" s="139"/>
      <c r="PYH114" s="139"/>
      <c r="PYI114" s="139"/>
      <c r="PYJ114" s="139"/>
      <c r="PYK114" s="139"/>
      <c r="PYL114" s="139"/>
      <c r="PYM114" s="139"/>
      <c r="PYN114" s="139"/>
      <c r="PYO114" s="139"/>
      <c r="PYP114" s="139"/>
      <c r="PYQ114" s="139"/>
      <c r="PYR114" s="139"/>
      <c r="PYS114" s="139"/>
      <c r="PYT114" s="139"/>
      <c r="PYU114" s="139"/>
      <c r="PYV114" s="139"/>
      <c r="PYW114" s="139"/>
      <c r="PYX114" s="139"/>
      <c r="PYY114" s="139"/>
      <c r="PYZ114" s="139"/>
      <c r="PZA114" s="139"/>
      <c r="PZB114" s="139"/>
      <c r="PZC114" s="139"/>
      <c r="PZD114" s="139"/>
      <c r="PZE114" s="139"/>
      <c r="PZF114" s="139"/>
      <c r="PZG114" s="139"/>
      <c r="PZH114" s="139"/>
      <c r="PZI114" s="139"/>
      <c r="PZJ114" s="139"/>
      <c r="PZK114" s="139"/>
      <c r="PZL114" s="139"/>
      <c r="PZM114" s="139"/>
      <c r="PZN114" s="139"/>
      <c r="PZO114" s="139"/>
      <c r="PZP114" s="139"/>
      <c r="PZQ114" s="139"/>
      <c r="PZR114" s="139"/>
      <c r="PZS114" s="139"/>
      <c r="PZT114" s="139"/>
      <c r="PZU114" s="139"/>
      <c r="PZV114" s="139"/>
      <c r="PZW114" s="139"/>
      <c r="PZX114" s="139"/>
      <c r="PZY114" s="139"/>
      <c r="PZZ114" s="139"/>
      <c r="QAA114" s="139"/>
      <c r="QAB114" s="139"/>
      <c r="QAC114" s="139"/>
      <c r="QAD114" s="139"/>
      <c r="QAE114" s="139"/>
      <c r="QAF114" s="139"/>
      <c r="QAG114" s="139"/>
      <c r="QAH114" s="139"/>
      <c r="QAI114" s="139"/>
      <c r="QAJ114" s="139"/>
      <c r="QAK114" s="139"/>
      <c r="QAL114" s="139"/>
      <c r="QAM114" s="139"/>
      <c r="QAN114" s="139"/>
      <c r="QAO114" s="139"/>
      <c r="QAP114" s="139"/>
      <c r="QAQ114" s="139"/>
      <c r="QAR114" s="139"/>
      <c r="QAS114" s="139"/>
      <c r="QAT114" s="139"/>
      <c r="QAU114" s="139"/>
      <c r="QAV114" s="139"/>
      <c r="QAW114" s="139"/>
      <c r="QAX114" s="139"/>
      <c r="QAY114" s="139"/>
      <c r="QAZ114" s="139"/>
      <c r="QBA114" s="139"/>
      <c r="QBB114" s="139"/>
      <c r="QBC114" s="139"/>
      <c r="QBD114" s="139"/>
      <c r="QBE114" s="139"/>
      <c r="QBF114" s="139"/>
      <c r="QBG114" s="139"/>
      <c r="QBH114" s="139"/>
      <c r="QBI114" s="139"/>
      <c r="QBJ114" s="139"/>
      <c r="QBK114" s="139"/>
      <c r="QBL114" s="139"/>
      <c r="QBM114" s="139"/>
      <c r="QBN114" s="139"/>
      <c r="QBO114" s="139"/>
      <c r="QBP114" s="139"/>
      <c r="QBQ114" s="139"/>
      <c r="QBR114" s="139"/>
      <c r="QBS114" s="139"/>
      <c r="QBT114" s="139"/>
      <c r="QBU114" s="139"/>
      <c r="QBV114" s="139"/>
      <c r="QBW114" s="139"/>
      <c r="QBX114" s="139"/>
      <c r="QBY114" s="139"/>
      <c r="QBZ114" s="139"/>
      <c r="QCA114" s="139"/>
      <c r="QCB114" s="139"/>
      <c r="QCC114" s="139"/>
      <c r="QCD114" s="139"/>
      <c r="QCE114" s="139"/>
      <c r="QCF114" s="139"/>
      <c r="QCG114" s="139"/>
      <c r="QCH114" s="139"/>
      <c r="QCI114" s="139"/>
      <c r="QCJ114" s="139"/>
      <c r="QCK114" s="139"/>
      <c r="QCL114" s="139"/>
      <c r="QCM114" s="139"/>
      <c r="QCN114" s="139"/>
      <c r="QCO114" s="139"/>
      <c r="QCP114" s="139"/>
      <c r="QCQ114" s="139"/>
      <c r="QCR114" s="139"/>
      <c r="QCS114" s="139"/>
      <c r="QCT114" s="139"/>
      <c r="QCU114" s="139"/>
      <c r="QCV114" s="139"/>
      <c r="QCW114" s="139"/>
      <c r="QCX114" s="139"/>
      <c r="QCY114" s="139"/>
      <c r="QCZ114" s="139"/>
      <c r="QDA114" s="139"/>
      <c r="QDB114" s="139"/>
      <c r="QDC114" s="139"/>
      <c r="QDD114" s="139"/>
      <c r="QDE114" s="139"/>
      <c r="QDF114" s="139"/>
      <c r="QDG114" s="139"/>
      <c r="QDH114" s="139"/>
      <c r="QDI114" s="139"/>
      <c r="QDJ114" s="139"/>
      <c r="QDK114" s="139"/>
      <c r="QDL114" s="139"/>
      <c r="QDM114" s="139"/>
      <c r="QDN114" s="139"/>
      <c r="QDO114" s="139"/>
      <c r="QDP114" s="139"/>
      <c r="QDQ114" s="139"/>
      <c r="QDR114" s="139"/>
      <c r="QDS114" s="139"/>
      <c r="QDT114" s="139"/>
      <c r="QDU114" s="139"/>
      <c r="QDV114" s="139"/>
      <c r="QDW114" s="139"/>
      <c r="QDX114" s="139"/>
      <c r="QDY114" s="139"/>
      <c r="QDZ114" s="139"/>
      <c r="QEA114" s="139"/>
      <c r="QEB114" s="139"/>
      <c r="QEC114" s="139"/>
      <c r="QED114" s="139"/>
      <c r="QEE114" s="139"/>
      <c r="QEF114" s="139"/>
      <c r="QEG114" s="139"/>
      <c r="QEH114" s="139"/>
      <c r="QEI114" s="139"/>
      <c r="QEJ114" s="139"/>
      <c r="QEK114" s="139"/>
      <c r="QEL114" s="139"/>
      <c r="QEM114" s="139"/>
      <c r="QEN114" s="139"/>
      <c r="QEO114" s="139"/>
      <c r="QEP114" s="139"/>
      <c r="QEQ114" s="139"/>
      <c r="QER114" s="139"/>
      <c r="QES114" s="139"/>
      <c r="QET114" s="139"/>
      <c r="QEU114" s="139"/>
      <c r="QEV114" s="139"/>
      <c r="QEW114" s="139"/>
      <c r="QEX114" s="139"/>
      <c r="QEY114" s="139"/>
      <c r="QEZ114" s="139"/>
      <c r="QFA114" s="139"/>
      <c r="QFB114" s="139"/>
      <c r="QFC114" s="139"/>
      <c r="QFD114" s="139"/>
      <c r="QFE114" s="139"/>
      <c r="QFF114" s="139"/>
      <c r="QFG114" s="139"/>
      <c r="QFH114" s="139"/>
      <c r="QFI114" s="139"/>
      <c r="QFJ114" s="139"/>
      <c r="QFK114" s="139"/>
      <c r="QFL114" s="139"/>
      <c r="QFM114" s="139"/>
      <c r="QFN114" s="139"/>
      <c r="QFO114" s="139"/>
      <c r="QFP114" s="139"/>
      <c r="QFQ114" s="139"/>
      <c r="QFR114" s="139"/>
      <c r="QFS114" s="139"/>
      <c r="QFT114" s="139"/>
      <c r="QFU114" s="139"/>
      <c r="QFV114" s="139"/>
      <c r="QFW114" s="139"/>
      <c r="QFX114" s="139"/>
      <c r="QFY114" s="139"/>
      <c r="QFZ114" s="139"/>
      <c r="QGA114" s="139"/>
      <c r="QGB114" s="139"/>
      <c r="QGC114" s="139"/>
      <c r="QGD114" s="139"/>
      <c r="QGE114" s="139"/>
      <c r="QGF114" s="139"/>
      <c r="QGG114" s="139"/>
      <c r="QGH114" s="139"/>
      <c r="QGI114" s="139"/>
      <c r="QGJ114" s="139"/>
      <c r="QGK114" s="139"/>
      <c r="QGL114" s="139"/>
      <c r="QGM114" s="139"/>
      <c r="QGN114" s="139"/>
      <c r="QGO114" s="139"/>
      <c r="QGP114" s="139"/>
      <c r="QGQ114" s="139"/>
      <c r="QGR114" s="139"/>
      <c r="QGS114" s="139"/>
      <c r="QGT114" s="139"/>
      <c r="QGU114" s="139"/>
      <c r="QGV114" s="139"/>
      <c r="QGW114" s="139"/>
      <c r="QGX114" s="139"/>
      <c r="QGY114" s="139"/>
      <c r="QGZ114" s="139"/>
      <c r="QHA114" s="139"/>
      <c r="QHB114" s="139"/>
      <c r="QHC114" s="139"/>
      <c r="QHD114" s="139"/>
      <c r="QHE114" s="139"/>
      <c r="QHF114" s="139"/>
      <c r="QHG114" s="139"/>
      <c r="QHH114" s="139"/>
      <c r="QHI114" s="139"/>
      <c r="QHJ114" s="139"/>
      <c r="QHK114" s="139"/>
      <c r="QHL114" s="139"/>
      <c r="QHM114" s="139"/>
      <c r="QHN114" s="139"/>
      <c r="QHO114" s="139"/>
      <c r="QHP114" s="139"/>
      <c r="QHQ114" s="139"/>
      <c r="QHR114" s="139"/>
      <c r="QHS114" s="139"/>
      <c r="QHT114" s="139"/>
      <c r="QHU114" s="139"/>
      <c r="QHV114" s="139"/>
      <c r="QHW114" s="139"/>
      <c r="QHX114" s="139"/>
      <c r="QHY114" s="139"/>
      <c r="QHZ114" s="139"/>
      <c r="QIA114" s="139"/>
      <c r="QIB114" s="139"/>
      <c r="QIC114" s="139"/>
      <c r="QID114" s="139"/>
      <c r="QIE114" s="139"/>
      <c r="QIF114" s="139"/>
      <c r="QIG114" s="139"/>
      <c r="QIH114" s="139"/>
      <c r="QII114" s="139"/>
      <c r="QIJ114" s="139"/>
      <c r="QIK114" s="139"/>
      <c r="QIL114" s="139"/>
      <c r="QIM114" s="139"/>
      <c r="QIN114" s="139"/>
      <c r="QIO114" s="139"/>
      <c r="QIP114" s="139"/>
      <c r="QIQ114" s="139"/>
      <c r="QIR114" s="139"/>
      <c r="QIS114" s="139"/>
      <c r="QIT114" s="139"/>
      <c r="QIU114" s="139"/>
      <c r="QIV114" s="139"/>
      <c r="QIW114" s="139"/>
      <c r="QIX114" s="139"/>
      <c r="QIY114" s="139"/>
      <c r="QIZ114" s="139"/>
      <c r="QJA114" s="139"/>
      <c r="QJB114" s="139"/>
      <c r="QJC114" s="139"/>
      <c r="QJD114" s="139"/>
      <c r="QJE114" s="139"/>
      <c r="QJF114" s="139"/>
      <c r="QJG114" s="139"/>
      <c r="QJH114" s="139"/>
      <c r="QJI114" s="139"/>
      <c r="QJJ114" s="139"/>
      <c r="QJK114" s="139"/>
      <c r="QJL114" s="139"/>
      <c r="QJM114" s="139"/>
      <c r="QJN114" s="139"/>
      <c r="QJO114" s="139"/>
      <c r="QJP114" s="139"/>
      <c r="QJQ114" s="139"/>
      <c r="QJR114" s="139"/>
      <c r="QJS114" s="139"/>
      <c r="QJT114" s="139"/>
      <c r="QJU114" s="139"/>
      <c r="QJV114" s="139"/>
      <c r="QJW114" s="139"/>
      <c r="QJX114" s="139"/>
      <c r="QJY114" s="139"/>
      <c r="QJZ114" s="139"/>
      <c r="QKA114" s="139"/>
      <c r="QKB114" s="139"/>
      <c r="QKC114" s="139"/>
      <c r="QKD114" s="139"/>
      <c r="QKE114" s="139"/>
      <c r="QKF114" s="139"/>
      <c r="QKG114" s="139"/>
      <c r="QKH114" s="139"/>
      <c r="QKI114" s="139"/>
      <c r="QKJ114" s="139"/>
      <c r="QKK114" s="139"/>
      <c r="QKL114" s="139"/>
      <c r="QKM114" s="139"/>
      <c r="QKN114" s="139"/>
      <c r="QKO114" s="139"/>
      <c r="QKP114" s="139"/>
      <c r="QKQ114" s="139"/>
      <c r="QKR114" s="139"/>
      <c r="QKS114" s="139"/>
      <c r="QKT114" s="139"/>
      <c r="QKU114" s="139"/>
      <c r="QKV114" s="139"/>
      <c r="QKW114" s="139"/>
      <c r="QKX114" s="139"/>
      <c r="QKY114" s="139"/>
      <c r="QKZ114" s="139"/>
      <c r="QLA114" s="139"/>
      <c r="QLB114" s="139"/>
      <c r="QLC114" s="139"/>
      <c r="QLD114" s="139"/>
      <c r="QLE114" s="139"/>
      <c r="QLF114" s="139"/>
      <c r="QLG114" s="139"/>
      <c r="QLH114" s="139"/>
      <c r="QLI114" s="139"/>
      <c r="QLJ114" s="139"/>
      <c r="QLK114" s="139"/>
      <c r="QLL114" s="139"/>
      <c r="QLM114" s="139"/>
      <c r="QLN114" s="139"/>
      <c r="QLO114" s="139"/>
      <c r="QLP114" s="139"/>
      <c r="QLQ114" s="139"/>
      <c r="QLR114" s="139"/>
      <c r="QLS114" s="139"/>
      <c r="QLT114" s="139"/>
      <c r="QLU114" s="139"/>
      <c r="QLV114" s="139"/>
      <c r="QLW114" s="139"/>
      <c r="QLX114" s="139"/>
      <c r="QLY114" s="139"/>
      <c r="QLZ114" s="139"/>
      <c r="QMA114" s="139"/>
      <c r="QMB114" s="139"/>
      <c r="QMC114" s="139"/>
      <c r="QMD114" s="139"/>
      <c r="QME114" s="139"/>
      <c r="QMF114" s="139"/>
      <c r="QMG114" s="139"/>
      <c r="QMH114" s="139"/>
      <c r="QMI114" s="139"/>
      <c r="QMJ114" s="139"/>
      <c r="QMK114" s="139"/>
      <c r="QML114" s="139"/>
      <c r="QMM114" s="139"/>
      <c r="QMN114" s="139"/>
      <c r="QMO114" s="139"/>
      <c r="QMP114" s="139"/>
      <c r="QMQ114" s="139"/>
      <c r="QMR114" s="139"/>
      <c r="QMS114" s="139"/>
      <c r="QMT114" s="139"/>
      <c r="QMU114" s="139"/>
      <c r="QMV114" s="139"/>
      <c r="QMW114" s="139"/>
      <c r="QMX114" s="139"/>
      <c r="QMY114" s="139"/>
      <c r="QMZ114" s="139"/>
      <c r="QNA114" s="139"/>
      <c r="QNB114" s="139"/>
      <c r="QNC114" s="139"/>
      <c r="QND114" s="139"/>
      <c r="QNE114" s="139"/>
      <c r="QNF114" s="139"/>
      <c r="QNG114" s="139"/>
      <c r="QNH114" s="139"/>
      <c r="QNI114" s="139"/>
      <c r="QNJ114" s="139"/>
      <c r="QNK114" s="139"/>
      <c r="QNL114" s="139"/>
      <c r="QNM114" s="139"/>
      <c r="QNN114" s="139"/>
      <c r="QNO114" s="139"/>
      <c r="QNP114" s="139"/>
      <c r="QNQ114" s="139"/>
      <c r="QNR114" s="139"/>
      <c r="QNS114" s="139"/>
      <c r="QNT114" s="139"/>
      <c r="QNU114" s="139"/>
      <c r="QNV114" s="139"/>
      <c r="QNW114" s="139"/>
      <c r="QNX114" s="139"/>
      <c r="QNY114" s="139"/>
      <c r="QNZ114" s="139"/>
      <c r="QOA114" s="139"/>
      <c r="QOB114" s="139"/>
      <c r="QOC114" s="139"/>
      <c r="QOD114" s="139"/>
      <c r="QOE114" s="139"/>
      <c r="QOF114" s="139"/>
      <c r="QOG114" s="139"/>
      <c r="QOH114" s="139"/>
      <c r="QOI114" s="139"/>
      <c r="QOJ114" s="139"/>
      <c r="QOK114" s="139"/>
      <c r="QOL114" s="139"/>
      <c r="QOM114" s="139"/>
      <c r="QON114" s="139"/>
      <c r="QOO114" s="139"/>
      <c r="QOP114" s="139"/>
      <c r="QOQ114" s="139"/>
      <c r="QOR114" s="139"/>
      <c r="QOS114" s="139"/>
      <c r="QOT114" s="139"/>
      <c r="QOU114" s="139"/>
      <c r="QOV114" s="139"/>
      <c r="QOW114" s="139"/>
      <c r="QOX114" s="139"/>
      <c r="QOY114" s="139"/>
      <c r="QOZ114" s="139"/>
      <c r="QPA114" s="139"/>
      <c r="QPB114" s="139"/>
      <c r="QPC114" s="139"/>
      <c r="QPD114" s="139"/>
      <c r="QPE114" s="139"/>
      <c r="QPF114" s="139"/>
      <c r="QPG114" s="139"/>
      <c r="QPH114" s="139"/>
      <c r="QPI114" s="139"/>
      <c r="QPJ114" s="139"/>
      <c r="QPK114" s="139"/>
      <c r="QPL114" s="139"/>
      <c r="QPM114" s="139"/>
      <c r="QPN114" s="139"/>
      <c r="QPO114" s="139"/>
      <c r="QPP114" s="139"/>
      <c r="QPQ114" s="139"/>
      <c r="QPR114" s="139"/>
      <c r="QPS114" s="139"/>
      <c r="QPT114" s="139"/>
      <c r="QPU114" s="139"/>
      <c r="QPV114" s="139"/>
      <c r="QPW114" s="139"/>
      <c r="QPX114" s="139"/>
      <c r="QPY114" s="139"/>
      <c r="QPZ114" s="139"/>
      <c r="QQA114" s="139"/>
      <c r="QQB114" s="139"/>
      <c r="QQC114" s="139"/>
      <c r="QQD114" s="139"/>
      <c r="QQE114" s="139"/>
      <c r="QQF114" s="139"/>
      <c r="QQG114" s="139"/>
      <c r="QQH114" s="139"/>
      <c r="QQI114" s="139"/>
      <c r="QQJ114" s="139"/>
      <c r="QQK114" s="139"/>
      <c r="QQL114" s="139"/>
      <c r="QQM114" s="139"/>
      <c r="QQN114" s="139"/>
      <c r="QQO114" s="139"/>
      <c r="QQP114" s="139"/>
      <c r="QQQ114" s="139"/>
      <c r="QQR114" s="139"/>
      <c r="QQS114" s="139"/>
      <c r="QQT114" s="139"/>
      <c r="QQU114" s="139"/>
      <c r="QQV114" s="139"/>
      <c r="QQW114" s="139"/>
      <c r="QQX114" s="139"/>
      <c r="QQY114" s="139"/>
      <c r="QQZ114" s="139"/>
      <c r="QRA114" s="139"/>
      <c r="QRB114" s="139"/>
      <c r="QRC114" s="139"/>
      <c r="QRD114" s="139"/>
      <c r="QRE114" s="139"/>
      <c r="QRF114" s="139"/>
      <c r="QRG114" s="139"/>
      <c r="QRH114" s="139"/>
      <c r="QRI114" s="139"/>
      <c r="QRJ114" s="139"/>
      <c r="QRK114" s="139"/>
      <c r="QRL114" s="139"/>
      <c r="QRM114" s="139"/>
      <c r="QRN114" s="139"/>
      <c r="QRO114" s="139"/>
      <c r="QRP114" s="139"/>
      <c r="QRQ114" s="139"/>
      <c r="QRR114" s="139"/>
      <c r="QRS114" s="139"/>
      <c r="QRT114" s="139"/>
      <c r="QRU114" s="139"/>
      <c r="QRV114" s="139"/>
      <c r="QRW114" s="139"/>
      <c r="QRX114" s="139"/>
      <c r="QRY114" s="139"/>
      <c r="QRZ114" s="139"/>
      <c r="QSA114" s="139"/>
      <c r="QSB114" s="139"/>
      <c r="QSC114" s="139"/>
      <c r="QSD114" s="139"/>
      <c r="QSE114" s="139"/>
      <c r="QSF114" s="139"/>
      <c r="QSG114" s="139"/>
      <c r="QSH114" s="139"/>
      <c r="QSI114" s="139"/>
      <c r="QSJ114" s="139"/>
      <c r="QSK114" s="139"/>
      <c r="QSL114" s="139"/>
      <c r="QSM114" s="139"/>
      <c r="QSN114" s="139"/>
      <c r="QSO114" s="139"/>
      <c r="QSP114" s="139"/>
      <c r="QSQ114" s="139"/>
      <c r="QSR114" s="139"/>
      <c r="QSS114" s="139"/>
      <c r="QST114" s="139"/>
      <c r="QSU114" s="139"/>
      <c r="QSV114" s="139"/>
      <c r="QSW114" s="139"/>
      <c r="QSX114" s="139"/>
      <c r="QSY114" s="139"/>
      <c r="QSZ114" s="139"/>
      <c r="QTA114" s="139"/>
      <c r="QTB114" s="139"/>
      <c r="QTC114" s="139"/>
      <c r="QTD114" s="139"/>
      <c r="QTE114" s="139"/>
      <c r="QTF114" s="139"/>
      <c r="QTG114" s="139"/>
      <c r="QTH114" s="139"/>
      <c r="QTI114" s="139"/>
      <c r="QTJ114" s="139"/>
      <c r="QTK114" s="139"/>
      <c r="QTL114" s="139"/>
      <c r="QTM114" s="139"/>
      <c r="QTN114" s="139"/>
      <c r="QTO114" s="139"/>
      <c r="QTP114" s="139"/>
      <c r="QTQ114" s="139"/>
      <c r="QTR114" s="139"/>
      <c r="QTS114" s="139"/>
      <c r="QTT114" s="139"/>
      <c r="QTU114" s="139"/>
      <c r="QTV114" s="139"/>
      <c r="QTW114" s="139"/>
      <c r="QTX114" s="139"/>
      <c r="QTY114" s="139"/>
      <c r="QTZ114" s="139"/>
      <c r="QUA114" s="139"/>
      <c r="QUB114" s="139"/>
      <c r="QUC114" s="139"/>
      <c r="QUD114" s="139"/>
      <c r="QUE114" s="139"/>
      <c r="QUF114" s="139"/>
      <c r="QUG114" s="139"/>
      <c r="QUH114" s="139"/>
      <c r="QUI114" s="139"/>
      <c r="QUJ114" s="139"/>
      <c r="QUK114" s="139"/>
      <c r="QUL114" s="139"/>
      <c r="QUM114" s="139"/>
      <c r="QUN114" s="139"/>
      <c r="QUO114" s="139"/>
      <c r="QUP114" s="139"/>
      <c r="QUQ114" s="139"/>
      <c r="QUR114" s="139"/>
      <c r="QUS114" s="139"/>
      <c r="QUT114" s="139"/>
      <c r="QUU114" s="139"/>
      <c r="QUV114" s="139"/>
      <c r="QUW114" s="139"/>
      <c r="QUX114" s="139"/>
      <c r="QUY114" s="139"/>
      <c r="QUZ114" s="139"/>
      <c r="QVA114" s="139"/>
      <c r="QVB114" s="139"/>
      <c r="QVC114" s="139"/>
      <c r="QVD114" s="139"/>
      <c r="QVE114" s="139"/>
      <c r="QVF114" s="139"/>
      <c r="QVG114" s="139"/>
      <c r="QVH114" s="139"/>
      <c r="QVI114" s="139"/>
      <c r="QVJ114" s="139"/>
      <c r="QVK114" s="139"/>
      <c r="QVL114" s="139"/>
      <c r="QVM114" s="139"/>
      <c r="QVN114" s="139"/>
      <c r="QVO114" s="139"/>
      <c r="QVP114" s="139"/>
      <c r="QVQ114" s="139"/>
      <c r="QVR114" s="139"/>
      <c r="QVS114" s="139"/>
      <c r="QVT114" s="139"/>
      <c r="QVU114" s="139"/>
      <c r="QVV114" s="139"/>
      <c r="QVW114" s="139"/>
      <c r="QVX114" s="139"/>
      <c r="QVY114" s="139"/>
      <c r="QVZ114" s="139"/>
      <c r="QWA114" s="139"/>
      <c r="QWB114" s="139"/>
      <c r="QWC114" s="139"/>
      <c r="QWD114" s="139"/>
      <c r="QWE114" s="139"/>
      <c r="QWF114" s="139"/>
      <c r="QWG114" s="139"/>
      <c r="QWH114" s="139"/>
      <c r="QWI114" s="139"/>
      <c r="QWJ114" s="139"/>
      <c r="QWK114" s="139"/>
      <c r="QWL114" s="139"/>
      <c r="QWM114" s="139"/>
      <c r="QWN114" s="139"/>
      <c r="QWO114" s="139"/>
      <c r="QWP114" s="139"/>
      <c r="QWQ114" s="139"/>
      <c r="QWR114" s="139"/>
      <c r="QWS114" s="139"/>
      <c r="QWT114" s="139"/>
      <c r="QWU114" s="139"/>
      <c r="QWV114" s="139"/>
      <c r="QWW114" s="139"/>
      <c r="QWX114" s="139"/>
      <c r="QWY114" s="139"/>
      <c r="QWZ114" s="139"/>
      <c r="QXA114" s="139"/>
      <c r="QXB114" s="139"/>
      <c r="QXC114" s="139"/>
      <c r="QXD114" s="139"/>
      <c r="QXE114" s="139"/>
      <c r="QXF114" s="139"/>
      <c r="QXG114" s="139"/>
      <c r="QXH114" s="139"/>
      <c r="QXI114" s="139"/>
      <c r="QXJ114" s="139"/>
      <c r="QXK114" s="139"/>
      <c r="QXL114" s="139"/>
      <c r="QXM114" s="139"/>
      <c r="QXN114" s="139"/>
      <c r="QXO114" s="139"/>
      <c r="QXP114" s="139"/>
      <c r="QXQ114" s="139"/>
      <c r="QXR114" s="139"/>
      <c r="QXS114" s="139"/>
      <c r="QXT114" s="139"/>
      <c r="QXU114" s="139"/>
      <c r="QXV114" s="139"/>
      <c r="QXW114" s="139"/>
      <c r="QXX114" s="139"/>
      <c r="QXY114" s="139"/>
      <c r="QXZ114" s="139"/>
      <c r="QYA114" s="139"/>
      <c r="QYB114" s="139"/>
      <c r="QYC114" s="139"/>
      <c r="QYD114" s="139"/>
      <c r="QYE114" s="139"/>
      <c r="QYF114" s="139"/>
      <c r="QYG114" s="139"/>
      <c r="QYH114" s="139"/>
      <c r="QYI114" s="139"/>
      <c r="QYJ114" s="139"/>
      <c r="QYK114" s="139"/>
      <c r="QYL114" s="139"/>
      <c r="QYM114" s="139"/>
      <c r="QYN114" s="139"/>
      <c r="QYO114" s="139"/>
      <c r="QYP114" s="139"/>
      <c r="QYQ114" s="139"/>
      <c r="QYR114" s="139"/>
      <c r="QYS114" s="139"/>
      <c r="QYT114" s="139"/>
      <c r="QYU114" s="139"/>
      <c r="QYV114" s="139"/>
      <c r="QYW114" s="139"/>
      <c r="QYX114" s="139"/>
      <c r="QYY114" s="139"/>
      <c r="QYZ114" s="139"/>
      <c r="QZA114" s="139"/>
      <c r="QZB114" s="139"/>
      <c r="QZC114" s="139"/>
      <c r="QZD114" s="139"/>
      <c r="QZE114" s="139"/>
      <c r="QZF114" s="139"/>
      <c r="QZG114" s="139"/>
      <c r="QZH114" s="139"/>
      <c r="QZI114" s="139"/>
      <c r="QZJ114" s="139"/>
      <c r="QZK114" s="139"/>
      <c r="QZL114" s="139"/>
      <c r="QZM114" s="139"/>
      <c r="QZN114" s="139"/>
      <c r="QZO114" s="139"/>
      <c r="QZP114" s="139"/>
      <c r="QZQ114" s="139"/>
      <c r="QZR114" s="139"/>
      <c r="QZS114" s="139"/>
      <c r="QZT114" s="139"/>
      <c r="QZU114" s="139"/>
      <c r="QZV114" s="139"/>
      <c r="QZW114" s="139"/>
      <c r="QZX114" s="139"/>
      <c r="QZY114" s="139"/>
      <c r="QZZ114" s="139"/>
      <c r="RAA114" s="139"/>
      <c r="RAB114" s="139"/>
      <c r="RAC114" s="139"/>
      <c r="RAD114" s="139"/>
      <c r="RAE114" s="139"/>
      <c r="RAF114" s="139"/>
      <c r="RAG114" s="139"/>
      <c r="RAH114" s="139"/>
      <c r="RAI114" s="139"/>
      <c r="RAJ114" s="139"/>
      <c r="RAK114" s="139"/>
      <c r="RAL114" s="139"/>
      <c r="RAM114" s="139"/>
      <c r="RAN114" s="139"/>
      <c r="RAO114" s="139"/>
      <c r="RAP114" s="139"/>
      <c r="RAQ114" s="139"/>
      <c r="RAR114" s="139"/>
      <c r="RAS114" s="139"/>
      <c r="RAT114" s="139"/>
      <c r="RAU114" s="139"/>
      <c r="RAV114" s="139"/>
      <c r="RAW114" s="139"/>
      <c r="RAX114" s="139"/>
      <c r="RAY114" s="139"/>
      <c r="RAZ114" s="139"/>
      <c r="RBA114" s="139"/>
      <c r="RBB114" s="139"/>
      <c r="RBC114" s="139"/>
      <c r="RBD114" s="139"/>
      <c r="RBE114" s="139"/>
      <c r="RBF114" s="139"/>
      <c r="RBG114" s="139"/>
      <c r="RBH114" s="139"/>
      <c r="RBI114" s="139"/>
      <c r="RBJ114" s="139"/>
      <c r="RBK114" s="139"/>
      <c r="RBL114" s="139"/>
      <c r="RBM114" s="139"/>
      <c r="RBN114" s="139"/>
      <c r="RBO114" s="139"/>
      <c r="RBP114" s="139"/>
      <c r="RBQ114" s="139"/>
      <c r="RBR114" s="139"/>
      <c r="RBS114" s="139"/>
      <c r="RBT114" s="139"/>
      <c r="RBU114" s="139"/>
      <c r="RBV114" s="139"/>
      <c r="RBW114" s="139"/>
      <c r="RBX114" s="139"/>
      <c r="RBY114" s="139"/>
      <c r="RBZ114" s="139"/>
      <c r="RCA114" s="139"/>
      <c r="RCB114" s="139"/>
      <c r="RCC114" s="139"/>
      <c r="RCD114" s="139"/>
      <c r="RCE114" s="139"/>
      <c r="RCF114" s="139"/>
      <c r="RCG114" s="139"/>
      <c r="RCH114" s="139"/>
      <c r="RCI114" s="139"/>
      <c r="RCJ114" s="139"/>
      <c r="RCK114" s="139"/>
      <c r="RCL114" s="139"/>
      <c r="RCM114" s="139"/>
      <c r="RCN114" s="139"/>
      <c r="RCO114" s="139"/>
      <c r="RCP114" s="139"/>
      <c r="RCQ114" s="139"/>
      <c r="RCR114" s="139"/>
      <c r="RCS114" s="139"/>
      <c r="RCT114" s="139"/>
      <c r="RCU114" s="139"/>
      <c r="RCV114" s="139"/>
      <c r="RCW114" s="139"/>
      <c r="RCX114" s="139"/>
      <c r="RCY114" s="139"/>
      <c r="RCZ114" s="139"/>
      <c r="RDA114" s="139"/>
      <c r="RDB114" s="139"/>
      <c r="RDC114" s="139"/>
      <c r="RDD114" s="139"/>
      <c r="RDE114" s="139"/>
      <c r="RDF114" s="139"/>
      <c r="RDG114" s="139"/>
      <c r="RDH114" s="139"/>
      <c r="RDI114" s="139"/>
      <c r="RDJ114" s="139"/>
      <c r="RDK114" s="139"/>
      <c r="RDL114" s="139"/>
      <c r="RDM114" s="139"/>
      <c r="RDN114" s="139"/>
      <c r="RDO114" s="139"/>
      <c r="RDP114" s="139"/>
      <c r="RDQ114" s="139"/>
      <c r="RDR114" s="139"/>
      <c r="RDS114" s="139"/>
      <c r="RDT114" s="139"/>
      <c r="RDU114" s="139"/>
      <c r="RDV114" s="139"/>
      <c r="RDW114" s="139"/>
      <c r="RDX114" s="139"/>
      <c r="RDY114" s="139"/>
      <c r="RDZ114" s="139"/>
      <c r="REA114" s="139"/>
      <c r="REB114" s="139"/>
      <c r="REC114" s="139"/>
      <c r="RED114" s="139"/>
      <c r="REE114" s="139"/>
      <c r="REF114" s="139"/>
      <c r="REG114" s="139"/>
      <c r="REH114" s="139"/>
      <c r="REI114" s="139"/>
      <c r="REJ114" s="139"/>
      <c r="REK114" s="139"/>
      <c r="REL114" s="139"/>
      <c r="REM114" s="139"/>
      <c r="REN114" s="139"/>
      <c r="REO114" s="139"/>
      <c r="REP114" s="139"/>
      <c r="REQ114" s="139"/>
      <c r="RER114" s="139"/>
      <c r="RES114" s="139"/>
      <c r="RET114" s="139"/>
      <c r="REU114" s="139"/>
      <c r="REV114" s="139"/>
      <c r="REW114" s="139"/>
      <c r="REX114" s="139"/>
      <c r="REY114" s="139"/>
      <c r="REZ114" s="139"/>
      <c r="RFA114" s="139"/>
      <c r="RFB114" s="139"/>
      <c r="RFC114" s="139"/>
      <c r="RFD114" s="139"/>
      <c r="RFE114" s="139"/>
      <c r="RFF114" s="139"/>
      <c r="RFG114" s="139"/>
      <c r="RFH114" s="139"/>
      <c r="RFI114" s="139"/>
      <c r="RFJ114" s="139"/>
      <c r="RFK114" s="139"/>
      <c r="RFL114" s="139"/>
      <c r="RFM114" s="139"/>
      <c r="RFN114" s="139"/>
      <c r="RFO114" s="139"/>
      <c r="RFP114" s="139"/>
      <c r="RFQ114" s="139"/>
      <c r="RFR114" s="139"/>
      <c r="RFS114" s="139"/>
      <c r="RFT114" s="139"/>
      <c r="RFU114" s="139"/>
      <c r="RFV114" s="139"/>
      <c r="RFW114" s="139"/>
      <c r="RFX114" s="139"/>
      <c r="RFY114" s="139"/>
      <c r="RFZ114" s="139"/>
      <c r="RGA114" s="139"/>
      <c r="RGB114" s="139"/>
      <c r="RGC114" s="139"/>
      <c r="RGD114" s="139"/>
      <c r="RGE114" s="139"/>
      <c r="RGF114" s="139"/>
      <c r="RGG114" s="139"/>
      <c r="RGH114" s="139"/>
      <c r="RGI114" s="139"/>
      <c r="RGJ114" s="139"/>
      <c r="RGK114" s="139"/>
      <c r="RGL114" s="139"/>
      <c r="RGM114" s="139"/>
      <c r="RGN114" s="139"/>
      <c r="RGO114" s="139"/>
      <c r="RGP114" s="139"/>
      <c r="RGQ114" s="139"/>
      <c r="RGR114" s="139"/>
      <c r="RGS114" s="139"/>
      <c r="RGT114" s="139"/>
      <c r="RGU114" s="139"/>
      <c r="RGV114" s="139"/>
      <c r="RGW114" s="139"/>
      <c r="RGX114" s="139"/>
      <c r="RGY114" s="139"/>
      <c r="RGZ114" s="139"/>
      <c r="RHA114" s="139"/>
      <c r="RHB114" s="139"/>
      <c r="RHC114" s="139"/>
      <c r="RHD114" s="139"/>
      <c r="RHE114" s="139"/>
      <c r="RHF114" s="139"/>
      <c r="RHG114" s="139"/>
      <c r="RHH114" s="139"/>
      <c r="RHI114" s="139"/>
      <c r="RHJ114" s="139"/>
      <c r="RHK114" s="139"/>
      <c r="RHL114" s="139"/>
      <c r="RHM114" s="139"/>
      <c r="RHN114" s="139"/>
      <c r="RHO114" s="139"/>
      <c r="RHP114" s="139"/>
      <c r="RHQ114" s="139"/>
      <c r="RHR114" s="139"/>
      <c r="RHS114" s="139"/>
      <c r="RHT114" s="139"/>
      <c r="RHU114" s="139"/>
      <c r="RHV114" s="139"/>
      <c r="RHW114" s="139"/>
      <c r="RHX114" s="139"/>
      <c r="RHY114" s="139"/>
      <c r="RHZ114" s="139"/>
      <c r="RIA114" s="139"/>
      <c r="RIB114" s="139"/>
      <c r="RIC114" s="139"/>
      <c r="RID114" s="139"/>
      <c r="RIE114" s="139"/>
      <c r="RIF114" s="139"/>
      <c r="RIG114" s="139"/>
      <c r="RIH114" s="139"/>
      <c r="RII114" s="139"/>
      <c r="RIJ114" s="139"/>
      <c r="RIK114" s="139"/>
      <c r="RIL114" s="139"/>
      <c r="RIM114" s="139"/>
      <c r="RIN114" s="139"/>
      <c r="RIO114" s="139"/>
      <c r="RIP114" s="139"/>
      <c r="RIQ114" s="139"/>
      <c r="RIR114" s="139"/>
      <c r="RIS114" s="139"/>
      <c r="RIT114" s="139"/>
      <c r="RIU114" s="139"/>
      <c r="RIV114" s="139"/>
      <c r="RIW114" s="139"/>
      <c r="RIX114" s="139"/>
      <c r="RIY114" s="139"/>
      <c r="RIZ114" s="139"/>
      <c r="RJA114" s="139"/>
      <c r="RJB114" s="139"/>
      <c r="RJC114" s="139"/>
      <c r="RJD114" s="139"/>
      <c r="RJE114" s="139"/>
      <c r="RJF114" s="139"/>
      <c r="RJG114" s="139"/>
      <c r="RJH114" s="139"/>
      <c r="RJI114" s="139"/>
      <c r="RJJ114" s="139"/>
      <c r="RJK114" s="139"/>
      <c r="RJL114" s="139"/>
      <c r="RJM114" s="139"/>
      <c r="RJN114" s="139"/>
      <c r="RJO114" s="139"/>
      <c r="RJP114" s="139"/>
      <c r="RJQ114" s="139"/>
      <c r="RJR114" s="139"/>
      <c r="RJS114" s="139"/>
      <c r="RJT114" s="139"/>
      <c r="RJU114" s="139"/>
      <c r="RJV114" s="139"/>
      <c r="RJW114" s="139"/>
      <c r="RJX114" s="139"/>
      <c r="RJY114" s="139"/>
      <c r="RJZ114" s="139"/>
      <c r="RKA114" s="139"/>
      <c r="RKB114" s="139"/>
      <c r="RKC114" s="139"/>
      <c r="RKD114" s="139"/>
      <c r="RKE114" s="139"/>
      <c r="RKF114" s="139"/>
      <c r="RKG114" s="139"/>
      <c r="RKH114" s="139"/>
      <c r="RKI114" s="139"/>
      <c r="RKJ114" s="139"/>
      <c r="RKK114" s="139"/>
      <c r="RKL114" s="139"/>
      <c r="RKM114" s="139"/>
      <c r="RKN114" s="139"/>
      <c r="RKO114" s="139"/>
      <c r="RKP114" s="139"/>
      <c r="RKQ114" s="139"/>
      <c r="RKR114" s="139"/>
      <c r="RKS114" s="139"/>
      <c r="RKT114" s="139"/>
      <c r="RKU114" s="139"/>
      <c r="RKV114" s="139"/>
      <c r="RKW114" s="139"/>
      <c r="RKX114" s="139"/>
      <c r="RKY114" s="139"/>
      <c r="RKZ114" s="139"/>
      <c r="RLA114" s="139"/>
      <c r="RLB114" s="139"/>
      <c r="RLC114" s="139"/>
      <c r="RLD114" s="139"/>
      <c r="RLE114" s="139"/>
      <c r="RLF114" s="139"/>
      <c r="RLG114" s="139"/>
      <c r="RLH114" s="139"/>
      <c r="RLI114" s="139"/>
      <c r="RLJ114" s="139"/>
      <c r="RLK114" s="139"/>
      <c r="RLL114" s="139"/>
      <c r="RLM114" s="139"/>
      <c r="RLN114" s="139"/>
      <c r="RLO114" s="139"/>
      <c r="RLP114" s="139"/>
      <c r="RLQ114" s="139"/>
      <c r="RLR114" s="139"/>
      <c r="RLS114" s="139"/>
      <c r="RLT114" s="139"/>
      <c r="RLU114" s="139"/>
      <c r="RLV114" s="139"/>
      <c r="RLW114" s="139"/>
      <c r="RLX114" s="139"/>
      <c r="RLY114" s="139"/>
      <c r="RLZ114" s="139"/>
      <c r="RMA114" s="139"/>
      <c r="RMB114" s="139"/>
      <c r="RMC114" s="139"/>
      <c r="RMD114" s="139"/>
      <c r="RME114" s="139"/>
      <c r="RMF114" s="139"/>
      <c r="RMG114" s="139"/>
      <c r="RMH114" s="139"/>
      <c r="RMI114" s="139"/>
      <c r="RMJ114" s="139"/>
      <c r="RMK114" s="139"/>
      <c r="RML114" s="139"/>
      <c r="RMM114" s="139"/>
      <c r="RMN114" s="139"/>
      <c r="RMO114" s="139"/>
      <c r="RMP114" s="139"/>
      <c r="RMQ114" s="139"/>
      <c r="RMR114" s="139"/>
      <c r="RMS114" s="139"/>
      <c r="RMT114" s="139"/>
      <c r="RMU114" s="139"/>
      <c r="RMV114" s="139"/>
      <c r="RMW114" s="139"/>
      <c r="RMX114" s="139"/>
      <c r="RMY114" s="139"/>
      <c r="RMZ114" s="139"/>
      <c r="RNA114" s="139"/>
      <c r="RNB114" s="139"/>
      <c r="RNC114" s="139"/>
      <c r="RND114" s="139"/>
      <c r="RNE114" s="139"/>
      <c r="RNF114" s="139"/>
      <c r="RNG114" s="139"/>
      <c r="RNH114" s="139"/>
      <c r="RNI114" s="139"/>
      <c r="RNJ114" s="139"/>
      <c r="RNK114" s="139"/>
      <c r="RNL114" s="139"/>
      <c r="RNM114" s="139"/>
      <c r="RNN114" s="139"/>
      <c r="RNO114" s="139"/>
      <c r="RNP114" s="139"/>
      <c r="RNQ114" s="139"/>
      <c r="RNR114" s="139"/>
      <c r="RNS114" s="139"/>
      <c r="RNT114" s="139"/>
      <c r="RNU114" s="139"/>
      <c r="RNV114" s="139"/>
      <c r="RNW114" s="139"/>
      <c r="RNX114" s="139"/>
      <c r="RNY114" s="139"/>
      <c r="RNZ114" s="139"/>
      <c r="ROA114" s="139"/>
      <c r="ROB114" s="139"/>
      <c r="ROC114" s="139"/>
      <c r="ROD114" s="139"/>
      <c r="ROE114" s="139"/>
      <c r="ROF114" s="139"/>
      <c r="ROG114" s="139"/>
      <c r="ROH114" s="139"/>
      <c r="ROI114" s="139"/>
      <c r="ROJ114" s="139"/>
      <c r="ROK114" s="139"/>
      <c r="ROL114" s="139"/>
      <c r="ROM114" s="139"/>
      <c r="RON114" s="139"/>
      <c r="ROO114" s="139"/>
      <c r="ROP114" s="139"/>
      <c r="ROQ114" s="139"/>
      <c r="ROR114" s="139"/>
      <c r="ROS114" s="139"/>
      <c r="ROT114" s="139"/>
      <c r="ROU114" s="139"/>
      <c r="ROV114" s="139"/>
      <c r="ROW114" s="139"/>
      <c r="ROX114" s="139"/>
      <c r="ROY114" s="139"/>
      <c r="ROZ114" s="139"/>
      <c r="RPA114" s="139"/>
      <c r="RPB114" s="139"/>
      <c r="RPC114" s="139"/>
      <c r="RPD114" s="139"/>
      <c r="RPE114" s="139"/>
      <c r="RPF114" s="139"/>
      <c r="RPG114" s="139"/>
      <c r="RPH114" s="139"/>
      <c r="RPI114" s="139"/>
      <c r="RPJ114" s="139"/>
      <c r="RPK114" s="139"/>
      <c r="RPL114" s="139"/>
      <c r="RPM114" s="139"/>
      <c r="RPN114" s="139"/>
      <c r="RPO114" s="139"/>
      <c r="RPP114" s="139"/>
      <c r="RPQ114" s="139"/>
      <c r="RPR114" s="139"/>
      <c r="RPS114" s="139"/>
      <c r="RPT114" s="139"/>
      <c r="RPU114" s="139"/>
      <c r="RPV114" s="139"/>
      <c r="RPW114" s="139"/>
      <c r="RPX114" s="139"/>
      <c r="RPY114" s="139"/>
      <c r="RPZ114" s="139"/>
      <c r="RQA114" s="139"/>
      <c r="RQB114" s="139"/>
      <c r="RQC114" s="139"/>
      <c r="RQD114" s="139"/>
      <c r="RQE114" s="139"/>
      <c r="RQF114" s="139"/>
      <c r="RQG114" s="139"/>
      <c r="RQH114" s="139"/>
      <c r="RQI114" s="139"/>
      <c r="RQJ114" s="139"/>
      <c r="RQK114" s="139"/>
      <c r="RQL114" s="139"/>
      <c r="RQM114" s="139"/>
      <c r="RQN114" s="139"/>
      <c r="RQO114" s="139"/>
      <c r="RQP114" s="139"/>
      <c r="RQQ114" s="139"/>
      <c r="RQR114" s="139"/>
      <c r="RQS114" s="139"/>
      <c r="RQT114" s="139"/>
      <c r="RQU114" s="139"/>
      <c r="RQV114" s="139"/>
      <c r="RQW114" s="139"/>
      <c r="RQX114" s="139"/>
      <c r="RQY114" s="139"/>
      <c r="RQZ114" s="139"/>
      <c r="RRA114" s="139"/>
      <c r="RRB114" s="139"/>
      <c r="RRC114" s="139"/>
      <c r="RRD114" s="139"/>
      <c r="RRE114" s="139"/>
      <c r="RRF114" s="139"/>
      <c r="RRG114" s="139"/>
      <c r="RRH114" s="139"/>
      <c r="RRI114" s="139"/>
      <c r="RRJ114" s="139"/>
      <c r="RRK114" s="139"/>
      <c r="RRL114" s="139"/>
      <c r="RRM114" s="139"/>
      <c r="RRN114" s="139"/>
      <c r="RRO114" s="139"/>
      <c r="RRP114" s="139"/>
      <c r="RRQ114" s="139"/>
      <c r="RRR114" s="139"/>
      <c r="RRS114" s="139"/>
      <c r="RRT114" s="139"/>
      <c r="RRU114" s="139"/>
      <c r="RRV114" s="139"/>
      <c r="RRW114" s="139"/>
      <c r="RRX114" s="139"/>
      <c r="RRY114" s="139"/>
      <c r="RRZ114" s="139"/>
      <c r="RSA114" s="139"/>
      <c r="RSB114" s="139"/>
      <c r="RSC114" s="139"/>
      <c r="RSD114" s="139"/>
      <c r="RSE114" s="139"/>
      <c r="RSF114" s="139"/>
      <c r="RSG114" s="139"/>
      <c r="RSH114" s="139"/>
      <c r="RSI114" s="139"/>
      <c r="RSJ114" s="139"/>
      <c r="RSK114" s="139"/>
      <c r="RSL114" s="139"/>
      <c r="RSM114" s="139"/>
      <c r="RSN114" s="139"/>
      <c r="RSO114" s="139"/>
      <c r="RSP114" s="139"/>
      <c r="RSQ114" s="139"/>
      <c r="RSR114" s="139"/>
      <c r="RSS114" s="139"/>
      <c r="RST114" s="139"/>
      <c r="RSU114" s="139"/>
      <c r="RSV114" s="139"/>
      <c r="RSW114" s="139"/>
      <c r="RSX114" s="139"/>
      <c r="RSY114" s="139"/>
      <c r="RSZ114" s="139"/>
      <c r="RTA114" s="139"/>
      <c r="RTB114" s="139"/>
      <c r="RTC114" s="139"/>
      <c r="RTD114" s="139"/>
      <c r="RTE114" s="139"/>
      <c r="RTF114" s="139"/>
      <c r="RTG114" s="139"/>
      <c r="RTH114" s="139"/>
      <c r="RTI114" s="139"/>
      <c r="RTJ114" s="139"/>
      <c r="RTK114" s="139"/>
      <c r="RTL114" s="139"/>
      <c r="RTM114" s="139"/>
      <c r="RTN114" s="139"/>
      <c r="RTO114" s="139"/>
      <c r="RTP114" s="139"/>
      <c r="RTQ114" s="139"/>
      <c r="RTR114" s="139"/>
      <c r="RTS114" s="139"/>
      <c r="RTT114" s="139"/>
      <c r="RTU114" s="139"/>
      <c r="RTV114" s="139"/>
      <c r="RTW114" s="139"/>
      <c r="RTX114" s="139"/>
      <c r="RTY114" s="139"/>
      <c r="RTZ114" s="139"/>
      <c r="RUA114" s="139"/>
      <c r="RUB114" s="139"/>
      <c r="RUC114" s="139"/>
      <c r="RUD114" s="139"/>
      <c r="RUE114" s="139"/>
      <c r="RUF114" s="139"/>
      <c r="RUG114" s="139"/>
      <c r="RUH114" s="139"/>
      <c r="RUI114" s="139"/>
      <c r="RUJ114" s="139"/>
      <c r="RUK114" s="139"/>
      <c r="RUL114" s="139"/>
      <c r="RUM114" s="139"/>
      <c r="RUN114" s="139"/>
      <c r="RUO114" s="139"/>
      <c r="RUP114" s="139"/>
      <c r="RUQ114" s="139"/>
      <c r="RUR114" s="139"/>
      <c r="RUS114" s="139"/>
      <c r="RUT114" s="139"/>
      <c r="RUU114" s="139"/>
      <c r="RUV114" s="139"/>
      <c r="RUW114" s="139"/>
      <c r="RUX114" s="139"/>
      <c r="RUY114" s="139"/>
      <c r="RUZ114" s="139"/>
      <c r="RVA114" s="139"/>
      <c r="RVB114" s="139"/>
      <c r="RVC114" s="139"/>
      <c r="RVD114" s="139"/>
      <c r="RVE114" s="139"/>
      <c r="RVF114" s="139"/>
      <c r="RVG114" s="139"/>
      <c r="RVH114" s="139"/>
      <c r="RVI114" s="139"/>
      <c r="RVJ114" s="139"/>
      <c r="RVK114" s="139"/>
      <c r="RVL114" s="139"/>
      <c r="RVM114" s="139"/>
      <c r="RVN114" s="139"/>
      <c r="RVO114" s="139"/>
      <c r="RVP114" s="139"/>
      <c r="RVQ114" s="139"/>
      <c r="RVR114" s="139"/>
      <c r="RVS114" s="139"/>
      <c r="RVT114" s="139"/>
      <c r="RVU114" s="139"/>
      <c r="RVV114" s="139"/>
      <c r="RVW114" s="139"/>
      <c r="RVX114" s="139"/>
      <c r="RVY114" s="139"/>
      <c r="RVZ114" s="139"/>
      <c r="RWA114" s="139"/>
      <c r="RWB114" s="139"/>
      <c r="RWC114" s="139"/>
      <c r="RWD114" s="139"/>
      <c r="RWE114" s="139"/>
      <c r="RWF114" s="139"/>
      <c r="RWG114" s="139"/>
      <c r="RWH114" s="139"/>
      <c r="RWI114" s="139"/>
      <c r="RWJ114" s="139"/>
      <c r="RWK114" s="139"/>
      <c r="RWL114" s="139"/>
      <c r="RWM114" s="139"/>
      <c r="RWN114" s="139"/>
      <c r="RWO114" s="139"/>
      <c r="RWP114" s="139"/>
      <c r="RWQ114" s="139"/>
      <c r="RWR114" s="139"/>
      <c r="RWS114" s="139"/>
      <c r="RWT114" s="139"/>
      <c r="RWU114" s="139"/>
      <c r="RWV114" s="139"/>
      <c r="RWW114" s="139"/>
      <c r="RWX114" s="139"/>
      <c r="RWY114" s="139"/>
      <c r="RWZ114" s="139"/>
      <c r="RXA114" s="139"/>
      <c r="RXB114" s="139"/>
      <c r="RXC114" s="139"/>
      <c r="RXD114" s="139"/>
      <c r="RXE114" s="139"/>
      <c r="RXF114" s="139"/>
      <c r="RXG114" s="139"/>
      <c r="RXH114" s="139"/>
      <c r="RXI114" s="139"/>
      <c r="RXJ114" s="139"/>
      <c r="RXK114" s="139"/>
      <c r="RXL114" s="139"/>
      <c r="RXM114" s="139"/>
      <c r="RXN114" s="139"/>
      <c r="RXO114" s="139"/>
      <c r="RXP114" s="139"/>
      <c r="RXQ114" s="139"/>
      <c r="RXR114" s="139"/>
      <c r="RXS114" s="139"/>
      <c r="RXT114" s="139"/>
      <c r="RXU114" s="139"/>
      <c r="RXV114" s="139"/>
      <c r="RXW114" s="139"/>
      <c r="RXX114" s="139"/>
      <c r="RXY114" s="139"/>
      <c r="RXZ114" s="139"/>
      <c r="RYA114" s="139"/>
      <c r="RYB114" s="139"/>
      <c r="RYC114" s="139"/>
      <c r="RYD114" s="139"/>
      <c r="RYE114" s="139"/>
      <c r="RYF114" s="139"/>
      <c r="RYG114" s="139"/>
      <c r="RYH114" s="139"/>
      <c r="RYI114" s="139"/>
      <c r="RYJ114" s="139"/>
      <c r="RYK114" s="139"/>
      <c r="RYL114" s="139"/>
      <c r="RYM114" s="139"/>
      <c r="RYN114" s="139"/>
      <c r="RYO114" s="139"/>
      <c r="RYP114" s="139"/>
      <c r="RYQ114" s="139"/>
      <c r="RYR114" s="139"/>
      <c r="RYS114" s="139"/>
      <c r="RYT114" s="139"/>
      <c r="RYU114" s="139"/>
      <c r="RYV114" s="139"/>
      <c r="RYW114" s="139"/>
      <c r="RYX114" s="139"/>
      <c r="RYY114" s="139"/>
      <c r="RYZ114" s="139"/>
      <c r="RZA114" s="139"/>
      <c r="RZB114" s="139"/>
      <c r="RZC114" s="139"/>
      <c r="RZD114" s="139"/>
      <c r="RZE114" s="139"/>
      <c r="RZF114" s="139"/>
      <c r="RZG114" s="139"/>
      <c r="RZH114" s="139"/>
      <c r="RZI114" s="139"/>
      <c r="RZJ114" s="139"/>
      <c r="RZK114" s="139"/>
      <c r="RZL114" s="139"/>
      <c r="RZM114" s="139"/>
      <c r="RZN114" s="139"/>
      <c r="RZO114" s="139"/>
      <c r="RZP114" s="139"/>
      <c r="RZQ114" s="139"/>
      <c r="RZR114" s="139"/>
      <c r="RZS114" s="139"/>
      <c r="RZT114" s="139"/>
      <c r="RZU114" s="139"/>
      <c r="RZV114" s="139"/>
      <c r="RZW114" s="139"/>
      <c r="RZX114" s="139"/>
      <c r="RZY114" s="139"/>
      <c r="RZZ114" s="139"/>
      <c r="SAA114" s="139"/>
      <c r="SAB114" s="139"/>
      <c r="SAC114" s="139"/>
      <c r="SAD114" s="139"/>
      <c r="SAE114" s="139"/>
      <c r="SAF114" s="139"/>
      <c r="SAG114" s="139"/>
      <c r="SAH114" s="139"/>
      <c r="SAI114" s="139"/>
      <c r="SAJ114" s="139"/>
      <c r="SAK114" s="139"/>
      <c r="SAL114" s="139"/>
      <c r="SAM114" s="139"/>
      <c r="SAN114" s="139"/>
      <c r="SAO114" s="139"/>
      <c r="SAP114" s="139"/>
      <c r="SAQ114" s="139"/>
      <c r="SAR114" s="139"/>
      <c r="SAS114" s="139"/>
      <c r="SAT114" s="139"/>
      <c r="SAU114" s="139"/>
      <c r="SAV114" s="139"/>
      <c r="SAW114" s="139"/>
      <c r="SAX114" s="139"/>
      <c r="SAY114" s="139"/>
      <c r="SAZ114" s="139"/>
      <c r="SBA114" s="139"/>
      <c r="SBB114" s="139"/>
      <c r="SBC114" s="139"/>
      <c r="SBD114" s="139"/>
      <c r="SBE114" s="139"/>
      <c r="SBF114" s="139"/>
      <c r="SBG114" s="139"/>
      <c r="SBH114" s="139"/>
      <c r="SBI114" s="139"/>
      <c r="SBJ114" s="139"/>
      <c r="SBK114" s="139"/>
      <c r="SBL114" s="139"/>
      <c r="SBM114" s="139"/>
      <c r="SBN114" s="139"/>
      <c r="SBO114" s="139"/>
      <c r="SBP114" s="139"/>
      <c r="SBQ114" s="139"/>
      <c r="SBR114" s="139"/>
      <c r="SBS114" s="139"/>
      <c r="SBT114" s="139"/>
      <c r="SBU114" s="139"/>
      <c r="SBV114" s="139"/>
      <c r="SBW114" s="139"/>
      <c r="SBX114" s="139"/>
      <c r="SBY114" s="139"/>
      <c r="SBZ114" s="139"/>
      <c r="SCA114" s="139"/>
      <c r="SCB114" s="139"/>
      <c r="SCC114" s="139"/>
      <c r="SCD114" s="139"/>
      <c r="SCE114" s="139"/>
      <c r="SCF114" s="139"/>
      <c r="SCG114" s="139"/>
      <c r="SCH114" s="139"/>
      <c r="SCI114" s="139"/>
      <c r="SCJ114" s="139"/>
      <c r="SCK114" s="139"/>
      <c r="SCL114" s="139"/>
      <c r="SCM114" s="139"/>
      <c r="SCN114" s="139"/>
      <c r="SCO114" s="139"/>
      <c r="SCP114" s="139"/>
      <c r="SCQ114" s="139"/>
      <c r="SCR114" s="139"/>
      <c r="SCS114" s="139"/>
      <c r="SCT114" s="139"/>
      <c r="SCU114" s="139"/>
      <c r="SCV114" s="139"/>
      <c r="SCW114" s="139"/>
      <c r="SCX114" s="139"/>
      <c r="SCY114" s="139"/>
      <c r="SCZ114" s="139"/>
      <c r="SDA114" s="139"/>
      <c r="SDB114" s="139"/>
      <c r="SDC114" s="139"/>
      <c r="SDD114" s="139"/>
      <c r="SDE114" s="139"/>
      <c r="SDF114" s="139"/>
      <c r="SDG114" s="139"/>
      <c r="SDH114" s="139"/>
      <c r="SDI114" s="139"/>
      <c r="SDJ114" s="139"/>
      <c r="SDK114" s="139"/>
      <c r="SDL114" s="139"/>
      <c r="SDM114" s="139"/>
      <c r="SDN114" s="139"/>
      <c r="SDO114" s="139"/>
      <c r="SDP114" s="139"/>
      <c r="SDQ114" s="139"/>
      <c r="SDR114" s="139"/>
      <c r="SDS114" s="139"/>
      <c r="SDT114" s="139"/>
      <c r="SDU114" s="139"/>
      <c r="SDV114" s="139"/>
      <c r="SDW114" s="139"/>
      <c r="SDX114" s="139"/>
      <c r="SDY114" s="139"/>
      <c r="SDZ114" s="139"/>
      <c r="SEA114" s="139"/>
      <c r="SEB114" s="139"/>
      <c r="SEC114" s="139"/>
      <c r="SED114" s="139"/>
      <c r="SEE114" s="139"/>
      <c r="SEF114" s="139"/>
      <c r="SEG114" s="139"/>
      <c r="SEH114" s="139"/>
      <c r="SEI114" s="139"/>
      <c r="SEJ114" s="139"/>
      <c r="SEK114" s="139"/>
      <c r="SEL114" s="139"/>
      <c r="SEM114" s="139"/>
      <c r="SEN114" s="139"/>
      <c r="SEO114" s="139"/>
      <c r="SEP114" s="139"/>
      <c r="SEQ114" s="139"/>
      <c r="SER114" s="139"/>
      <c r="SES114" s="139"/>
      <c r="SET114" s="139"/>
      <c r="SEU114" s="139"/>
      <c r="SEV114" s="139"/>
      <c r="SEW114" s="139"/>
      <c r="SEX114" s="139"/>
      <c r="SEY114" s="139"/>
      <c r="SEZ114" s="139"/>
      <c r="SFA114" s="139"/>
      <c r="SFB114" s="139"/>
      <c r="SFC114" s="139"/>
      <c r="SFD114" s="139"/>
      <c r="SFE114" s="139"/>
      <c r="SFF114" s="139"/>
      <c r="SFG114" s="139"/>
      <c r="SFH114" s="139"/>
      <c r="SFI114" s="139"/>
      <c r="SFJ114" s="139"/>
      <c r="SFK114" s="139"/>
      <c r="SFL114" s="139"/>
      <c r="SFM114" s="139"/>
      <c r="SFN114" s="139"/>
      <c r="SFO114" s="139"/>
      <c r="SFP114" s="139"/>
      <c r="SFQ114" s="139"/>
      <c r="SFR114" s="139"/>
      <c r="SFS114" s="139"/>
      <c r="SFT114" s="139"/>
      <c r="SFU114" s="139"/>
      <c r="SFV114" s="139"/>
      <c r="SFW114" s="139"/>
      <c r="SFX114" s="139"/>
      <c r="SFY114" s="139"/>
      <c r="SFZ114" s="139"/>
      <c r="SGA114" s="139"/>
      <c r="SGB114" s="139"/>
      <c r="SGC114" s="139"/>
      <c r="SGD114" s="139"/>
      <c r="SGE114" s="139"/>
      <c r="SGF114" s="139"/>
      <c r="SGG114" s="139"/>
      <c r="SGH114" s="139"/>
      <c r="SGI114" s="139"/>
      <c r="SGJ114" s="139"/>
      <c r="SGK114" s="139"/>
      <c r="SGL114" s="139"/>
      <c r="SGM114" s="139"/>
      <c r="SGN114" s="139"/>
      <c r="SGO114" s="139"/>
      <c r="SGP114" s="139"/>
      <c r="SGQ114" s="139"/>
      <c r="SGR114" s="139"/>
      <c r="SGS114" s="139"/>
      <c r="SGT114" s="139"/>
      <c r="SGU114" s="139"/>
      <c r="SGV114" s="139"/>
      <c r="SGW114" s="139"/>
      <c r="SGX114" s="139"/>
      <c r="SGY114" s="139"/>
      <c r="SGZ114" s="139"/>
      <c r="SHA114" s="139"/>
      <c r="SHB114" s="139"/>
      <c r="SHC114" s="139"/>
      <c r="SHD114" s="139"/>
      <c r="SHE114" s="139"/>
      <c r="SHF114" s="139"/>
      <c r="SHG114" s="139"/>
      <c r="SHH114" s="139"/>
      <c r="SHI114" s="139"/>
      <c r="SHJ114" s="139"/>
      <c r="SHK114" s="139"/>
      <c r="SHL114" s="139"/>
      <c r="SHM114" s="139"/>
      <c r="SHN114" s="139"/>
      <c r="SHO114" s="139"/>
      <c r="SHP114" s="139"/>
      <c r="SHQ114" s="139"/>
      <c r="SHR114" s="139"/>
      <c r="SHS114" s="139"/>
      <c r="SHT114" s="139"/>
      <c r="SHU114" s="139"/>
      <c r="SHV114" s="139"/>
      <c r="SHW114" s="139"/>
      <c r="SHX114" s="139"/>
      <c r="SHY114" s="139"/>
      <c r="SHZ114" s="139"/>
      <c r="SIA114" s="139"/>
      <c r="SIB114" s="139"/>
      <c r="SIC114" s="139"/>
      <c r="SID114" s="139"/>
      <c r="SIE114" s="139"/>
      <c r="SIF114" s="139"/>
      <c r="SIG114" s="139"/>
      <c r="SIH114" s="139"/>
      <c r="SII114" s="139"/>
      <c r="SIJ114" s="139"/>
      <c r="SIK114" s="139"/>
      <c r="SIL114" s="139"/>
      <c r="SIM114" s="139"/>
      <c r="SIN114" s="139"/>
      <c r="SIO114" s="139"/>
      <c r="SIP114" s="139"/>
      <c r="SIQ114" s="139"/>
      <c r="SIR114" s="139"/>
      <c r="SIS114" s="139"/>
      <c r="SIT114" s="139"/>
      <c r="SIU114" s="139"/>
      <c r="SIV114" s="139"/>
      <c r="SIW114" s="139"/>
      <c r="SIX114" s="139"/>
      <c r="SIY114" s="139"/>
      <c r="SIZ114" s="139"/>
      <c r="SJA114" s="139"/>
      <c r="SJB114" s="139"/>
      <c r="SJC114" s="139"/>
      <c r="SJD114" s="139"/>
      <c r="SJE114" s="139"/>
      <c r="SJF114" s="139"/>
      <c r="SJG114" s="139"/>
      <c r="SJH114" s="139"/>
      <c r="SJI114" s="139"/>
      <c r="SJJ114" s="139"/>
      <c r="SJK114" s="139"/>
      <c r="SJL114" s="139"/>
      <c r="SJM114" s="139"/>
      <c r="SJN114" s="139"/>
      <c r="SJO114" s="139"/>
      <c r="SJP114" s="139"/>
      <c r="SJQ114" s="139"/>
      <c r="SJR114" s="139"/>
      <c r="SJS114" s="139"/>
      <c r="SJT114" s="139"/>
      <c r="SJU114" s="139"/>
      <c r="SJV114" s="139"/>
      <c r="SJW114" s="139"/>
      <c r="SJX114" s="139"/>
      <c r="SJY114" s="139"/>
      <c r="SJZ114" s="139"/>
      <c r="SKA114" s="139"/>
      <c r="SKB114" s="139"/>
      <c r="SKC114" s="139"/>
      <c r="SKD114" s="139"/>
      <c r="SKE114" s="139"/>
      <c r="SKF114" s="139"/>
      <c r="SKG114" s="139"/>
      <c r="SKH114" s="139"/>
      <c r="SKI114" s="139"/>
      <c r="SKJ114" s="139"/>
      <c r="SKK114" s="139"/>
      <c r="SKL114" s="139"/>
      <c r="SKM114" s="139"/>
      <c r="SKN114" s="139"/>
      <c r="SKO114" s="139"/>
      <c r="SKP114" s="139"/>
      <c r="SKQ114" s="139"/>
      <c r="SKR114" s="139"/>
      <c r="SKS114" s="139"/>
      <c r="SKT114" s="139"/>
      <c r="SKU114" s="139"/>
      <c r="SKV114" s="139"/>
      <c r="SKW114" s="139"/>
      <c r="SKX114" s="139"/>
      <c r="SKY114" s="139"/>
      <c r="SKZ114" s="139"/>
      <c r="SLA114" s="139"/>
      <c r="SLB114" s="139"/>
      <c r="SLC114" s="139"/>
      <c r="SLD114" s="139"/>
      <c r="SLE114" s="139"/>
      <c r="SLF114" s="139"/>
      <c r="SLG114" s="139"/>
      <c r="SLH114" s="139"/>
      <c r="SLI114" s="139"/>
      <c r="SLJ114" s="139"/>
      <c r="SLK114" s="139"/>
      <c r="SLL114" s="139"/>
      <c r="SLM114" s="139"/>
      <c r="SLN114" s="139"/>
      <c r="SLO114" s="139"/>
      <c r="SLP114" s="139"/>
      <c r="SLQ114" s="139"/>
      <c r="SLR114" s="139"/>
      <c r="SLS114" s="139"/>
      <c r="SLT114" s="139"/>
      <c r="SLU114" s="139"/>
      <c r="SLV114" s="139"/>
      <c r="SLW114" s="139"/>
      <c r="SLX114" s="139"/>
      <c r="SLY114" s="139"/>
      <c r="SLZ114" s="139"/>
      <c r="SMA114" s="139"/>
      <c r="SMB114" s="139"/>
      <c r="SMC114" s="139"/>
      <c r="SMD114" s="139"/>
      <c r="SME114" s="139"/>
      <c r="SMF114" s="139"/>
      <c r="SMG114" s="139"/>
      <c r="SMH114" s="139"/>
      <c r="SMI114" s="139"/>
      <c r="SMJ114" s="139"/>
      <c r="SMK114" s="139"/>
      <c r="SML114" s="139"/>
      <c r="SMM114" s="139"/>
      <c r="SMN114" s="139"/>
      <c r="SMO114" s="139"/>
      <c r="SMP114" s="139"/>
      <c r="SMQ114" s="139"/>
      <c r="SMR114" s="139"/>
      <c r="SMS114" s="139"/>
      <c r="SMT114" s="139"/>
      <c r="SMU114" s="139"/>
      <c r="SMV114" s="139"/>
      <c r="SMW114" s="139"/>
      <c r="SMX114" s="139"/>
      <c r="SMY114" s="139"/>
      <c r="SMZ114" s="139"/>
      <c r="SNA114" s="139"/>
      <c r="SNB114" s="139"/>
      <c r="SNC114" s="139"/>
      <c r="SND114" s="139"/>
      <c r="SNE114" s="139"/>
      <c r="SNF114" s="139"/>
      <c r="SNG114" s="139"/>
      <c r="SNH114" s="139"/>
      <c r="SNI114" s="139"/>
      <c r="SNJ114" s="139"/>
      <c r="SNK114" s="139"/>
      <c r="SNL114" s="139"/>
      <c r="SNM114" s="139"/>
      <c r="SNN114" s="139"/>
      <c r="SNO114" s="139"/>
      <c r="SNP114" s="139"/>
      <c r="SNQ114" s="139"/>
      <c r="SNR114" s="139"/>
      <c r="SNS114" s="139"/>
      <c r="SNT114" s="139"/>
      <c r="SNU114" s="139"/>
      <c r="SNV114" s="139"/>
      <c r="SNW114" s="139"/>
      <c r="SNX114" s="139"/>
      <c r="SNY114" s="139"/>
      <c r="SNZ114" s="139"/>
      <c r="SOA114" s="139"/>
      <c r="SOB114" s="139"/>
      <c r="SOC114" s="139"/>
      <c r="SOD114" s="139"/>
      <c r="SOE114" s="139"/>
      <c r="SOF114" s="139"/>
      <c r="SOG114" s="139"/>
      <c r="SOH114" s="139"/>
      <c r="SOI114" s="139"/>
      <c r="SOJ114" s="139"/>
      <c r="SOK114" s="139"/>
      <c r="SOL114" s="139"/>
      <c r="SOM114" s="139"/>
      <c r="SON114" s="139"/>
      <c r="SOO114" s="139"/>
      <c r="SOP114" s="139"/>
      <c r="SOQ114" s="139"/>
      <c r="SOR114" s="139"/>
      <c r="SOS114" s="139"/>
      <c r="SOT114" s="139"/>
      <c r="SOU114" s="139"/>
      <c r="SOV114" s="139"/>
      <c r="SOW114" s="139"/>
      <c r="SOX114" s="139"/>
      <c r="SOY114" s="139"/>
      <c r="SOZ114" s="139"/>
      <c r="SPA114" s="139"/>
      <c r="SPB114" s="139"/>
      <c r="SPC114" s="139"/>
      <c r="SPD114" s="139"/>
      <c r="SPE114" s="139"/>
      <c r="SPF114" s="139"/>
      <c r="SPG114" s="139"/>
      <c r="SPH114" s="139"/>
      <c r="SPI114" s="139"/>
      <c r="SPJ114" s="139"/>
      <c r="SPK114" s="139"/>
      <c r="SPL114" s="139"/>
      <c r="SPM114" s="139"/>
      <c r="SPN114" s="139"/>
      <c r="SPO114" s="139"/>
      <c r="SPP114" s="139"/>
      <c r="SPQ114" s="139"/>
      <c r="SPR114" s="139"/>
      <c r="SPS114" s="139"/>
      <c r="SPT114" s="139"/>
      <c r="SPU114" s="139"/>
      <c r="SPV114" s="139"/>
      <c r="SPW114" s="139"/>
      <c r="SPX114" s="139"/>
      <c r="SPY114" s="139"/>
      <c r="SPZ114" s="139"/>
      <c r="SQA114" s="139"/>
      <c r="SQB114" s="139"/>
      <c r="SQC114" s="139"/>
      <c r="SQD114" s="139"/>
      <c r="SQE114" s="139"/>
      <c r="SQF114" s="139"/>
      <c r="SQG114" s="139"/>
      <c r="SQH114" s="139"/>
      <c r="SQI114" s="139"/>
      <c r="SQJ114" s="139"/>
      <c r="SQK114" s="139"/>
      <c r="SQL114" s="139"/>
      <c r="SQM114" s="139"/>
      <c r="SQN114" s="139"/>
      <c r="SQO114" s="139"/>
      <c r="SQP114" s="139"/>
      <c r="SQQ114" s="139"/>
      <c r="SQR114" s="139"/>
      <c r="SQS114" s="139"/>
      <c r="SQT114" s="139"/>
      <c r="SQU114" s="139"/>
      <c r="SQV114" s="139"/>
      <c r="SQW114" s="139"/>
      <c r="SQX114" s="139"/>
      <c r="SQY114" s="139"/>
      <c r="SQZ114" s="139"/>
      <c r="SRA114" s="139"/>
      <c r="SRB114" s="139"/>
      <c r="SRC114" s="139"/>
      <c r="SRD114" s="139"/>
      <c r="SRE114" s="139"/>
      <c r="SRF114" s="139"/>
      <c r="SRG114" s="139"/>
      <c r="SRH114" s="139"/>
      <c r="SRI114" s="139"/>
      <c r="SRJ114" s="139"/>
      <c r="SRK114" s="139"/>
      <c r="SRL114" s="139"/>
      <c r="SRM114" s="139"/>
      <c r="SRN114" s="139"/>
      <c r="SRO114" s="139"/>
      <c r="SRP114" s="139"/>
      <c r="SRQ114" s="139"/>
      <c r="SRR114" s="139"/>
      <c r="SRS114" s="139"/>
      <c r="SRT114" s="139"/>
      <c r="SRU114" s="139"/>
      <c r="SRV114" s="139"/>
      <c r="SRW114" s="139"/>
      <c r="SRX114" s="139"/>
      <c r="SRY114" s="139"/>
      <c r="SRZ114" s="139"/>
      <c r="SSA114" s="139"/>
      <c r="SSB114" s="139"/>
      <c r="SSC114" s="139"/>
      <c r="SSD114" s="139"/>
      <c r="SSE114" s="139"/>
      <c r="SSF114" s="139"/>
      <c r="SSG114" s="139"/>
      <c r="SSH114" s="139"/>
      <c r="SSI114" s="139"/>
      <c r="SSJ114" s="139"/>
      <c r="SSK114" s="139"/>
      <c r="SSL114" s="139"/>
      <c r="SSM114" s="139"/>
      <c r="SSN114" s="139"/>
      <c r="SSO114" s="139"/>
      <c r="SSP114" s="139"/>
      <c r="SSQ114" s="139"/>
      <c r="SSR114" s="139"/>
      <c r="SSS114" s="139"/>
      <c r="SST114" s="139"/>
      <c r="SSU114" s="139"/>
      <c r="SSV114" s="139"/>
      <c r="SSW114" s="139"/>
      <c r="SSX114" s="139"/>
      <c r="SSY114" s="139"/>
      <c r="SSZ114" s="139"/>
      <c r="STA114" s="139"/>
      <c r="STB114" s="139"/>
      <c r="STC114" s="139"/>
      <c r="STD114" s="139"/>
      <c r="STE114" s="139"/>
      <c r="STF114" s="139"/>
      <c r="STG114" s="139"/>
      <c r="STH114" s="139"/>
      <c r="STI114" s="139"/>
      <c r="STJ114" s="139"/>
      <c r="STK114" s="139"/>
      <c r="STL114" s="139"/>
      <c r="STM114" s="139"/>
      <c r="STN114" s="139"/>
      <c r="STO114" s="139"/>
      <c r="STP114" s="139"/>
      <c r="STQ114" s="139"/>
      <c r="STR114" s="139"/>
      <c r="STS114" s="139"/>
      <c r="STT114" s="139"/>
      <c r="STU114" s="139"/>
      <c r="STV114" s="139"/>
      <c r="STW114" s="139"/>
      <c r="STX114" s="139"/>
      <c r="STY114" s="139"/>
      <c r="STZ114" s="139"/>
      <c r="SUA114" s="139"/>
      <c r="SUB114" s="139"/>
      <c r="SUC114" s="139"/>
      <c r="SUD114" s="139"/>
      <c r="SUE114" s="139"/>
      <c r="SUF114" s="139"/>
      <c r="SUG114" s="139"/>
      <c r="SUH114" s="139"/>
      <c r="SUI114" s="139"/>
      <c r="SUJ114" s="139"/>
      <c r="SUK114" s="139"/>
      <c r="SUL114" s="139"/>
      <c r="SUM114" s="139"/>
      <c r="SUN114" s="139"/>
      <c r="SUO114" s="139"/>
      <c r="SUP114" s="139"/>
      <c r="SUQ114" s="139"/>
      <c r="SUR114" s="139"/>
      <c r="SUS114" s="139"/>
      <c r="SUT114" s="139"/>
      <c r="SUU114" s="139"/>
      <c r="SUV114" s="139"/>
      <c r="SUW114" s="139"/>
      <c r="SUX114" s="139"/>
      <c r="SUY114" s="139"/>
      <c r="SUZ114" s="139"/>
      <c r="SVA114" s="139"/>
      <c r="SVB114" s="139"/>
      <c r="SVC114" s="139"/>
      <c r="SVD114" s="139"/>
      <c r="SVE114" s="139"/>
      <c r="SVF114" s="139"/>
      <c r="SVG114" s="139"/>
      <c r="SVH114" s="139"/>
      <c r="SVI114" s="139"/>
      <c r="SVJ114" s="139"/>
      <c r="SVK114" s="139"/>
      <c r="SVL114" s="139"/>
      <c r="SVM114" s="139"/>
      <c r="SVN114" s="139"/>
      <c r="SVO114" s="139"/>
      <c r="SVP114" s="139"/>
      <c r="SVQ114" s="139"/>
      <c r="SVR114" s="139"/>
      <c r="SVS114" s="139"/>
      <c r="SVT114" s="139"/>
      <c r="SVU114" s="139"/>
      <c r="SVV114" s="139"/>
      <c r="SVW114" s="139"/>
      <c r="SVX114" s="139"/>
      <c r="SVY114" s="139"/>
      <c r="SVZ114" s="139"/>
      <c r="SWA114" s="139"/>
      <c r="SWB114" s="139"/>
      <c r="SWC114" s="139"/>
      <c r="SWD114" s="139"/>
      <c r="SWE114" s="139"/>
      <c r="SWF114" s="139"/>
      <c r="SWG114" s="139"/>
      <c r="SWH114" s="139"/>
      <c r="SWI114" s="139"/>
      <c r="SWJ114" s="139"/>
      <c r="SWK114" s="139"/>
      <c r="SWL114" s="139"/>
      <c r="SWM114" s="139"/>
      <c r="SWN114" s="139"/>
      <c r="SWO114" s="139"/>
      <c r="SWP114" s="139"/>
      <c r="SWQ114" s="139"/>
      <c r="SWR114" s="139"/>
      <c r="SWS114" s="139"/>
      <c r="SWT114" s="139"/>
      <c r="SWU114" s="139"/>
      <c r="SWV114" s="139"/>
      <c r="SWW114" s="139"/>
      <c r="SWX114" s="139"/>
      <c r="SWY114" s="139"/>
      <c r="SWZ114" s="139"/>
      <c r="SXA114" s="139"/>
      <c r="SXB114" s="139"/>
      <c r="SXC114" s="139"/>
      <c r="SXD114" s="139"/>
      <c r="SXE114" s="139"/>
      <c r="SXF114" s="139"/>
      <c r="SXG114" s="139"/>
      <c r="SXH114" s="139"/>
      <c r="SXI114" s="139"/>
      <c r="SXJ114" s="139"/>
      <c r="SXK114" s="139"/>
      <c r="SXL114" s="139"/>
      <c r="SXM114" s="139"/>
      <c r="SXN114" s="139"/>
      <c r="SXO114" s="139"/>
      <c r="SXP114" s="139"/>
      <c r="SXQ114" s="139"/>
      <c r="SXR114" s="139"/>
      <c r="SXS114" s="139"/>
      <c r="SXT114" s="139"/>
      <c r="SXU114" s="139"/>
      <c r="SXV114" s="139"/>
      <c r="SXW114" s="139"/>
      <c r="SXX114" s="139"/>
      <c r="SXY114" s="139"/>
      <c r="SXZ114" s="139"/>
      <c r="SYA114" s="139"/>
      <c r="SYB114" s="139"/>
      <c r="SYC114" s="139"/>
      <c r="SYD114" s="139"/>
      <c r="SYE114" s="139"/>
      <c r="SYF114" s="139"/>
      <c r="SYG114" s="139"/>
      <c r="SYH114" s="139"/>
      <c r="SYI114" s="139"/>
      <c r="SYJ114" s="139"/>
      <c r="SYK114" s="139"/>
      <c r="SYL114" s="139"/>
      <c r="SYM114" s="139"/>
      <c r="SYN114" s="139"/>
      <c r="SYO114" s="139"/>
      <c r="SYP114" s="139"/>
      <c r="SYQ114" s="139"/>
      <c r="SYR114" s="139"/>
      <c r="SYS114" s="139"/>
      <c r="SYT114" s="139"/>
      <c r="SYU114" s="139"/>
      <c r="SYV114" s="139"/>
      <c r="SYW114" s="139"/>
      <c r="SYX114" s="139"/>
      <c r="SYY114" s="139"/>
      <c r="SYZ114" s="139"/>
      <c r="SZA114" s="139"/>
      <c r="SZB114" s="139"/>
      <c r="SZC114" s="139"/>
      <c r="SZD114" s="139"/>
      <c r="SZE114" s="139"/>
      <c r="SZF114" s="139"/>
      <c r="SZG114" s="139"/>
      <c r="SZH114" s="139"/>
      <c r="SZI114" s="139"/>
      <c r="SZJ114" s="139"/>
      <c r="SZK114" s="139"/>
      <c r="SZL114" s="139"/>
      <c r="SZM114" s="139"/>
      <c r="SZN114" s="139"/>
      <c r="SZO114" s="139"/>
      <c r="SZP114" s="139"/>
      <c r="SZQ114" s="139"/>
      <c r="SZR114" s="139"/>
      <c r="SZS114" s="139"/>
      <c r="SZT114" s="139"/>
      <c r="SZU114" s="139"/>
      <c r="SZV114" s="139"/>
      <c r="SZW114" s="139"/>
      <c r="SZX114" s="139"/>
      <c r="SZY114" s="139"/>
      <c r="SZZ114" s="139"/>
      <c r="TAA114" s="139"/>
      <c r="TAB114" s="139"/>
      <c r="TAC114" s="139"/>
      <c r="TAD114" s="139"/>
      <c r="TAE114" s="139"/>
      <c r="TAF114" s="139"/>
      <c r="TAG114" s="139"/>
      <c r="TAH114" s="139"/>
      <c r="TAI114" s="139"/>
      <c r="TAJ114" s="139"/>
      <c r="TAK114" s="139"/>
      <c r="TAL114" s="139"/>
      <c r="TAM114" s="139"/>
      <c r="TAN114" s="139"/>
      <c r="TAO114" s="139"/>
      <c r="TAP114" s="139"/>
      <c r="TAQ114" s="139"/>
      <c r="TAR114" s="139"/>
      <c r="TAS114" s="139"/>
      <c r="TAT114" s="139"/>
      <c r="TAU114" s="139"/>
      <c r="TAV114" s="139"/>
      <c r="TAW114" s="139"/>
      <c r="TAX114" s="139"/>
      <c r="TAY114" s="139"/>
      <c r="TAZ114" s="139"/>
      <c r="TBA114" s="139"/>
      <c r="TBB114" s="139"/>
      <c r="TBC114" s="139"/>
      <c r="TBD114" s="139"/>
      <c r="TBE114" s="139"/>
      <c r="TBF114" s="139"/>
      <c r="TBG114" s="139"/>
      <c r="TBH114" s="139"/>
      <c r="TBI114" s="139"/>
      <c r="TBJ114" s="139"/>
      <c r="TBK114" s="139"/>
      <c r="TBL114" s="139"/>
      <c r="TBM114" s="139"/>
      <c r="TBN114" s="139"/>
      <c r="TBO114" s="139"/>
      <c r="TBP114" s="139"/>
      <c r="TBQ114" s="139"/>
      <c r="TBR114" s="139"/>
      <c r="TBS114" s="139"/>
      <c r="TBT114" s="139"/>
      <c r="TBU114" s="139"/>
      <c r="TBV114" s="139"/>
      <c r="TBW114" s="139"/>
      <c r="TBX114" s="139"/>
      <c r="TBY114" s="139"/>
      <c r="TBZ114" s="139"/>
      <c r="TCA114" s="139"/>
      <c r="TCB114" s="139"/>
      <c r="TCC114" s="139"/>
      <c r="TCD114" s="139"/>
      <c r="TCE114" s="139"/>
      <c r="TCF114" s="139"/>
      <c r="TCG114" s="139"/>
      <c r="TCH114" s="139"/>
      <c r="TCI114" s="139"/>
      <c r="TCJ114" s="139"/>
      <c r="TCK114" s="139"/>
      <c r="TCL114" s="139"/>
      <c r="TCM114" s="139"/>
      <c r="TCN114" s="139"/>
      <c r="TCO114" s="139"/>
      <c r="TCP114" s="139"/>
      <c r="TCQ114" s="139"/>
      <c r="TCR114" s="139"/>
      <c r="TCS114" s="139"/>
      <c r="TCT114" s="139"/>
      <c r="TCU114" s="139"/>
      <c r="TCV114" s="139"/>
      <c r="TCW114" s="139"/>
      <c r="TCX114" s="139"/>
      <c r="TCY114" s="139"/>
      <c r="TCZ114" s="139"/>
      <c r="TDA114" s="139"/>
      <c r="TDB114" s="139"/>
      <c r="TDC114" s="139"/>
      <c r="TDD114" s="139"/>
      <c r="TDE114" s="139"/>
      <c r="TDF114" s="139"/>
      <c r="TDG114" s="139"/>
      <c r="TDH114" s="139"/>
      <c r="TDI114" s="139"/>
      <c r="TDJ114" s="139"/>
      <c r="TDK114" s="139"/>
      <c r="TDL114" s="139"/>
      <c r="TDM114" s="139"/>
      <c r="TDN114" s="139"/>
      <c r="TDO114" s="139"/>
      <c r="TDP114" s="139"/>
      <c r="TDQ114" s="139"/>
      <c r="TDR114" s="139"/>
      <c r="TDS114" s="139"/>
      <c r="TDT114" s="139"/>
      <c r="TDU114" s="139"/>
      <c r="TDV114" s="139"/>
      <c r="TDW114" s="139"/>
      <c r="TDX114" s="139"/>
      <c r="TDY114" s="139"/>
      <c r="TDZ114" s="139"/>
      <c r="TEA114" s="139"/>
      <c r="TEB114" s="139"/>
      <c r="TEC114" s="139"/>
      <c r="TED114" s="139"/>
      <c r="TEE114" s="139"/>
      <c r="TEF114" s="139"/>
      <c r="TEG114" s="139"/>
      <c r="TEH114" s="139"/>
      <c r="TEI114" s="139"/>
      <c r="TEJ114" s="139"/>
      <c r="TEK114" s="139"/>
      <c r="TEL114" s="139"/>
      <c r="TEM114" s="139"/>
      <c r="TEN114" s="139"/>
      <c r="TEO114" s="139"/>
      <c r="TEP114" s="139"/>
      <c r="TEQ114" s="139"/>
      <c r="TER114" s="139"/>
      <c r="TES114" s="139"/>
      <c r="TET114" s="139"/>
      <c r="TEU114" s="139"/>
      <c r="TEV114" s="139"/>
      <c r="TEW114" s="139"/>
      <c r="TEX114" s="139"/>
      <c r="TEY114" s="139"/>
      <c r="TEZ114" s="139"/>
      <c r="TFA114" s="139"/>
      <c r="TFB114" s="139"/>
      <c r="TFC114" s="139"/>
      <c r="TFD114" s="139"/>
      <c r="TFE114" s="139"/>
      <c r="TFF114" s="139"/>
      <c r="TFG114" s="139"/>
      <c r="TFH114" s="139"/>
      <c r="TFI114" s="139"/>
      <c r="TFJ114" s="139"/>
      <c r="TFK114" s="139"/>
      <c r="TFL114" s="139"/>
      <c r="TFM114" s="139"/>
      <c r="TFN114" s="139"/>
      <c r="TFO114" s="139"/>
      <c r="TFP114" s="139"/>
      <c r="TFQ114" s="139"/>
      <c r="TFR114" s="139"/>
      <c r="TFS114" s="139"/>
      <c r="TFT114" s="139"/>
      <c r="TFU114" s="139"/>
      <c r="TFV114" s="139"/>
      <c r="TFW114" s="139"/>
      <c r="TFX114" s="139"/>
      <c r="TFY114" s="139"/>
      <c r="TFZ114" s="139"/>
      <c r="TGA114" s="139"/>
      <c r="TGB114" s="139"/>
      <c r="TGC114" s="139"/>
      <c r="TGD114" s="139"/>
      <c r="TGE114" s="139"/>
      <c r="TGF114" s="139"/>
      <c r="TGG114" s="139"/>
      <c r="TGH114" s="139"/>
      <c r="TGI114" s="139"/>
      <c r="TGJ114" s="139"/>
      <c r="TGK114" s="139"/>
      <c r="TGL114" s="139"/>
      <c r="TGM114" s="139"/>
      <c r="TGN114" s="139"/>
      <c r="TGO114" s="139"/>
      <c r="TGP114" s="139"/>
      <c r="TGQ114" s="139"/>
      <c r="TGR114" s="139"/>
      <c r="TGS114" s="139"/>
      <c r="TGT114" s="139"/>
      <c r="TGU114" s="139"/>
      <c r="TGV114" s="139"/>
      <c r="TGW114" s="139"/>
      <c r="TGX114" s="139"/>
      <c r="TGY114" s="139"/>
      <c r="TGZ114" s="139"/>
      <c r="THA114" s="139"/>
      <c r="THB114" s="139"/>
      <c r="THC114" s="139"/>
      <c r="THD114" s="139"/>
      <c r="THE114" s="139"/>
      <c r="THF114" s="139"/>
      <c r="THG114" s="139"/>
      <c r="THH114" s="139"/>
      <c r="THI114" s="139"/>
      <c r="THJ114" s="139"/>
      <c r="THK114" s="139"/>
      <c r="THL114" s="139"/>
      <c r="THM114" s="139"/>
      <c r="THN114" s="139"/>
      <c r="THO114" s="139"/>
      <c r="THP114" s="139"/>
      <c r="THQ114" s="139"/>
      <c r="THR114" s="139"/>
      <c r="THS114" s="139"/>
      <c r="THT114" s="139"/>
      <c r="THU114" s="139"/>
      <c r="THV114" s="139"/>
      <c r="THW114" s="139"/>
      <c r="THX114" s="139"/>
      <c r="THY114" s="139"/>
      <c r="THZ114" s="139"/>
      <c r="TIA114" s="139"/>
      <c r="TIB114" s="139"/>
      <c r="TIC114" s="139"/>
      <c r="TID114" s="139"/>
      <c r="TIE114" s="139"/>
      <c r="TIF114" s="139"/>
      <c r="TIG114" s="139"/>
      <c r="TIH114" s="139"/>
      <c r="TII114" s="139"/>
      <c r="TIJ114" s="139"/>
      <c r="TIK114" s="139"/>
      <c r="TIL114" s="139"/>
      <c r="TIM114" s="139"/>
      <c r="TIN114" s="139"/>
      <c r="TIO114" s="139"/>
      <c r="TIP114" s="139"/>
      <c r="TIQ114" s="139"/>
      <c r="TIR114" s="139"/>
      <c r="TIS114" s="139"/>
      <c r="TIT114" s="139"/>
      <c r="TIU114" s="139"/>
      <c r="TIV114" s="139"/>
      <c r="TIW114" s="139"/>
      <c r="TIX114" s="139"/>
      <c r="TIY114" s="139"/>
      <c r="TIZ114" s="139"/>
      <c r="TJA114" s="139"/>
      <c r="TJB114" s="139"/>
      <c r="TJC114" s="139"/>
      <c r="TJD114" s="139"/>
      <c r="TJE114" s="139"/>
      <c r="TJF114" s="139"/>
      <c r="TJG114" s="139"/>
      <c r="TJH114" s="139"/>
      <c r="TJI114" s="139"/>
      <c r="TJJ114" s="139"/>
      <c r="TJK114" s="139"/>
      <c r="TJL114" s="139"/>
      <c r="TJM114" s="139"/>
      <c r="TJN114" s="139"/>
      <c r="TJO114" s="139"/>
      <c r="TJP114" s="139"/>
      <c r="TJQ114" s="139"/>
      <c r="TJR114" s="139"/>
      <c r="TJS114" s="139"/>
      <c r="TJT114" s="139"/>
      <c r="TJU114" s="139"/>
      <c r="TJV114" s="139"/>
      <c r="TJW114" s="139"/>
      <c r="TJX114" s="139"/>
      <c r="TJY114" s="139"/>
      <c r="TJZ114" s="139"/>
      <c r="TKA114" s="139"/>
      <c r="TKB114" s="139"/>
      <c r="TKC114" s="139"/>
      <c r="TKD114" s="139"/>
      <c r="TKE114" s="139"/>
      <c r="TKF114" s="139"/>
      <c r="TKG114" s="139"/>
      <c r="TKH114" s="139"/>
      <c r="TKI114" s="139"/>
      <c r="TKJ114" s="139"/>
      <c r="TKK114" s="139"/>
      <c r="TKL114" s="139"/>
      <c r="TKM114" s="139"/>
      <c r="TKN114" s="139"/>
      <c r="TKO114" s="139"/>
      <c r="TKP114" s="139"/>
      <c r="TKQ114" s="139"/>
      <c r="TKR114" s="139"/>
      <c r="TKS114" s="139"/>
      <c r="TKT114" s="139"/>
      <c r="TKU114" s="139"/>
      <c r="TKV114" s="139"/>
      <c r="TKW114" s="139"/>
      <c r="TKX114" s="139"/>
      <c r="TKY114" s="139"/>
      <c r="TKZ114" s="139"/>
      <c r="TLA114" s="139"/>
      <c r="TLB114" s="139"/>
      <c r="TLC114" s="139"/>
      <c r="TLD114" s="139"/>
      <c r="TLE114" s="139"/>
      <c r="TLF114" s="139"/>
      <c r="TLG114" s="139"/>
      <c r="TLH114" s="139"/>
      <c r="TLI114" s="139"/>
      <c r="TLJ114" s="139"/>
      <c r="TLK114" s="139"/>
      <c r="TLL114" s="139"/>
      <c r="TLM114" s="139"/>
      <c r="TLN114" s="139"/>
      <c r="TLO114" s="139"/>
      <c r="TLP114" s="139"/>
      <c r="TLQ114" s="139"/>
      <c r="TLR114" s="139"/>
      <c r="TLS114" s="139"/>
      <c r="TLT114" s="139"/>
      <c r="TLU114" s="139"/>
      <c r="TLV114" s="139"/>
      <c r="TLW114" s="139"/>
      <c r="TLX114" s="139"/>
      <c r="TLY114" s="139"/>
      <c r="TLZ114" s="139"/>
      <c r="TMA114" s="139"/>
      <c r="TMB114" s="139"/>
      <c r="TMC114" s="139"/>
      <c r="TMD114" s="139"/>
      <c r="TME114" s="139"/>
      <c r="TMF114" s="139"/>
      <c r="TMG114" s="139"/>
      <c r="TMH114" s="139"/>
      <c r="TMI114" s="139"/>
      <c r="TMJ114" s="139"/>
      <c r="TMK114" s="139"/>
      <c r="TML114" s="139"/>
      <c r="TMM114" s="139"/>
      <c r="TMN114" s="139"/>
      <c r="TMO114" s="139"/>
      <c r="TMP114" s="139"/>
      <c r="TMQ114" s="139"/>
      <c r="TMR114" s="139"/>
      <c r="TMS114" s="139"/>
      <c r="TMT114" s="139"/>
      <c r="TMU114" s="139"/>
      <c r="TMV114" s="139"/>
      <c r="TMW114" s="139"/>
      <c r="TMX114" s="139"/>
      <c r="TMY114" s="139"/>
      <c r="TMZ114" s="139"/>
      <c r="TNA114" s="139"/>
      <c r="TNB114" s="139"/>
      <c r="TNC114" s="139"/>
      <c r="TND114" s="139"/>
      <c r="TNE114" s="139"/>
      <c r="TNF114" s="139"/>
      <c r="TNG114" s="139"/>
      <c r="TNH114" s="139"/>
      <c r="TNI114" s="139"/>
      <c r="TNJ114" s="139"/>
      <c r="TNK114" s="139"/>
      <c r="TNL114" s="139"/>
      <c r="TNM114" s="139"/>
      <c r="TNN114" s="139"/>
      <c r="TNO114" s="139"/>
      <c r="TNP114" s="139"/>
      <c r="TNQ114" s="139"/>
      <c r="TNR114" s="139"/>
      <c r="TNS114" s="139"/>
      <c r="TNT114" s="139"/>
      <c r="TNU114" s="139"/>
      <c r="TNV114" s="139"/>
      <c r="TNW114" s="139"/>
      <c r="TNX114" s="139"/>
      <c r="TNY114" s="139"/>
      <c r="TNZ114" s="139"/>
      <c r="TOA114" s="139"/>
      <c r="TOB114" s="139"/>
      <c r="TOC114" s="139"/>
      <c r="TOD114" s="139"/>
      <c r="TOE114" s="139"/>
      <c r="TOF114" s="139"/>
      <c r="TOG114" s="139"/>
      <c r="TOH114" s="139"/>
      <c r="TOI114" s="139"/>
      <c r="TOJ114" s="139"/>
      <c r="TOK114" s="139"/>
      <c r="TOL114" s="139"/>
      <c r="TOM114" s="139"/>
      <c r="TON114" s="139"/>
      <c r="TOO114" s="139"/>
      <c r="TOP114" s="139"/>
      <c r="TOQ114" s="139"/>
      <c r="TOR114" s="139"/>
      <c r="TOS114" s="139"/>
      <c r="TOT114" s="139"/>
      <c r="TOU114" s="139"/>
      <c r="TOV114" s="139"/>
      <c r="TOW114" s="139"/>
      <c r="TOX114" s="139"/>
      <c r="TOY114" s="139"/>
      <c r="TOZ114" s="139"/>
      <c r="TPA114" s="139"/>
      <c r="TPB114" s="139"/>
      <c r="TPC114" s="139"/>
      <c r="TPD114" s="139"/>
      <c r="TPE114" s="139"/>
      <c r="TPF114" s="139"/>
      <c r="TPG114" s="139"/>
      <c r="TPH114" s="139"/>
      <c r="TPI114" s="139"/>
      <c r="TPJ114" s="139"/>
      <c r="TPK114" s="139"/>
      <c r="TPL114" s="139"/>
      <c r="TPM114" s="139"/>
      <c r="TPN114" s="139"/>
      <c r="TPO114" s="139"/>
      <c r="TPP114" s="139"/>
      <c r="TPQ114" s="139"/>
      <c r="TPR114" s="139"/>
      <c r="TPS114" s="139"/>
      <c r="TPT114" s="139"/>
      <c r="TPU114" s="139"/>
      <c r="TPV114" s="139"/>
      <c r="TPW114" s="139"/>
      <c r="TPX114" s="139"/>
      <c r="TPY114" s="139"/>
      <c r="TPZ114" s="139"/>
      <c r="TQA114" s="139"/>
      <c r="TQB114" s="139"/>
      <c r="TQC114" s="139"/>
      <c r="TQD114" s="139"/>
      <c r="TQE114" s="139"/>
      <c r="TQF114" s="139"/>
      <c r="TQG114" s="139"/>
      <c r="TQH114" s="139"/>
      <c r="TQI114" s="139"/>
      <c r="TQJ114" s="139"/>
      <c r="TQK114" s="139"/>
      <c r="TQL114" s="139"/>
      <c r="TQM114" s="139"/>
      <c r="TQN114" s="139"/>
      <c r="TQO114" s="139"/>
      <c r="TQP114" s="139"/>
      <c r="TQQ114" s="139"/>
      <c r="TQR114" s="139"/>
      <c r="TQS114" s="139"/>
      <c r="TQT114" s="139"/>
      <c r="TQU114" s="139"/>
      <c r="TQV114" s="139"/>
      <c r="TQW114" s="139"/>
      <c r="TQX114" s="139"/>
      <c r="TQY114" s="139"/>
      <c r="TQZ114" s="139"/>
      <c r="TRA114" s="139"/>
      <c r="TRB114" s="139"/>
      <c r="TRC114" s="139"/>
      <c r="TRD114" s="139"/>
      <c r="TRE114" s="139"/>
      <c r="TRF114" s="139"/>
      <c r="TRG114" s="139"/>
      <c r="TRH114" s="139"/>
      <c r="TRI114" s="139"/>
      <c r="TRJ114" s="139"/>
      <c r="TRK114" s="139"/>
      <c r="TRL114" s="139"/>
      <c r="TRM114" s="139"/>
      <c r="TRN114" s="139"/>
      <c r="TRO114" s="139"/>
      <c r="TRP114" s="139"/>
      <c r="TRQ114" s="139"/>
      <c r="TRR114" s="139"/>
      <c r="TRS114" s="139"/>
      <c r="TRT114" s="139"/>
      <c r="TRU114" s="139"/>
      <c r="TRV114" s="139"/>
      <c r="TRW114" s="139"/>
      <c r="TRX114" s="139"/>
      <c r="TRY114" s="139"/>
      <c r="TRZ114" s="139"/>
      <c r="TSA114" s="139"/>
      <c r="TSB114" s="139"/>
      <c r="TSC114" s="139"/>
      <c r="TSD114" s="139"/>
      <c r="TSE114" s="139"/>
      <c r="TSF114" s="139"/>
      <c r="TSG114" s="139"/>
      <c r="TSH114" s="139"/>
      <c r="TSI114" s="139"/>
      <c r="TSJ114" s="139"/>
      <c r="TSK114" s="139"/>
      <c r="TSL114" s="139"/>
      <c r="TSM114" s="139"/>
      <c r="TSN114" s="139"/>
      <c r="TSO114" s="139"/>
      <c r="TSP114" s="139"/>
      <c r="TSQ114" s="139"/>
      <c r="TSR114" s="139"/>
      <c r="TSS114" s="139"/>
      <c r="TST114" s="139"/>
      <c r="TSU114" s="139"/>
      <c r="TSV114" s="139"/>
      <c r="TSW114" s="139"/>
      <c r="TSX114" s="139"/>
      <c r="TSY114" s="139"/>
      <c r="TSZ114" s="139"/>
      <c r="TTA114" s="139"/>
      <c r="TTB114" s="139"/>
      <c r="TTC114" s="139"/>
      <c r="TTD114" s="139"/>
      <c r="TTE114" s="139"/>
      <c r="TTF114" s="139"/>
      <c r="TTG114" s="139"/>
      <c r="TTH114" s="139"/>
      <c r="TTI114" s="139"/>
      <c r="TTJ114" s="139"/>
      <c r="TTK114" s="139"/>
      <c r="TTL114" s="139"/>
      <c r="TTM114" s="139"/>
      <c r="TTN114" s="139"/>
      <c r="TTO114" s="139"/>
      <c r="TTP114" s="139"/>
      <c r="TTQ114" s="139"/>
      <c r="TTR114" s="139"/>
      <c r="TTS114" s="139"/>
      <c r="TTT114" s="139"/>
      <c r="TTU114" s="139"/>
      <c r="TTV114" s="139"/>
      <c r="TTW114" s="139"/>
      <c r="TTX114" s="139"/>
      <c r="TTY114" s="139"/>
      <c r="TTZ114" s="139"/>
      <c r="TUA114" s="139"/>
      <c r="TUB114" s="139"/>
      <c r="TUC114" s="139"/>
      <c r="TUD114" s="139"/>
      <c r="TUE114" s="139"/>
      <c r="TUF114" s="139"/>
      <c r="TUG114" s="139"/>
      <c r="TUH114" s="139"/>
      <c r="TUI114" s="139"/>
      <c r="TUJ114" s="139"/>
      <c r="TUK114" s="139"/>
      <c r="TUL114" s="139"/>
      <c r="TUM114" s="139"/>
      <c r="TUN114" s="139"/>
      <c r="TUO114" s="139"/>
      <c r="TUP114" s="139"/>
      <c r="TUQ114" s="139"/>
      <c r="TUR114" s="139"/>
      <c r="TUS114" s="139"/>
      <c r="TUT114" s="139"/>
      <c r="TUU114" s="139"/>
      <c r="TUV114" s="139"/>
      <c r="TUW114" s="139"/>
      <c r="TUX114" s="139"/>
      <c r="TUY114" s="139"/>
      <c r="TUZ114" s="139"/>
      <c r="TVA114" s="139"/>
      <c r="TVB114" s="139"/>
      <c r="TVC114" s="139"/>
      <c r="TVD114" s="139"/>
      <c r="TVE114" s="139"/>
      <c r="TVF114" s="139"/>
      <c r="TVG114" s="139"/>
      <c r="TVH114" s="139"/>
      <c r="TVI114" s="139"/>
      <c r="TVJ114" s="139"/>
      <c r="TVK114" s="139"/>
      <c r="TVL114" s="139"/>
      <c r="TVM114" s="139"/>
      <c r="TVN114" s="139"/>
      <c r="TVO114" s="139"/>
      <c r="TVP114" s="139"/>
      <c r="TVQ114" s="139"/>
      <c r="TVR114" s="139"/>
      <c r="TVS114" s="139"/>
      <c r="TVT114" s="139"/>
      <c r="TVU114" s="139"/>
      <c r="TVV114" s="139"/>
      <c r="TVW114" s="139"/>
      <c r="TVX114" s="139"/>
      <c r="TVY114" s="139"/>
      <c r="TVZ114" s="139"/>
      <c r="TWA114" s="139"/>
      <c r="TWB114" s="139"/>
      <c r="TWC114" s="139"/>
      <c r="TWD114" s="139"/>
      <c r="TWE114" s="139"/>
      <c r="TWF114" s="139"/>
      <c r="TWG114" s="139"/>
      <c r="TWH114" s="139"/>
      <c r="TWI114" s="139"/>
      <c r="TWJ114" s="139"/>
      <c r="TWK114" s="139"/>
      <c r="TWL114" s="139"/>
      <c r="TWM114" s="139"/>
      <c r="TWN114" s="139"/>
      <c r="TWO114" s="139"/>
      <c r="TWP114" s="139"/>
      <c r="TWQ114" s="139"/>
      <c r="TWR114" s="139"/>
      <c r="TWS114" s="139"/>
      <c r="TWT114" s="139"/>
      <c r="TWU114" s="139"/>
      <c r="TWV114" s="139"/>
      <c r="TWW114" s="139"/>
      <c r="TWX114" s="139"/>
      <c r="TWY114" s="139"/>
      <c r="TWZ114" s="139"/>
      <c r="TXA114" s="139"/>
      <c r="TXB114" s="139"/>
      <c r="TXC114" s="139"/>
      <c r="TXD114" s="139"/>
      <c r="TXE114" s="139"/>
      <c r="TXF114" s="139"/>
      <c r="TXG114" s="139"/>
      <c r="TXH114" s="139"/>
      <c r="TXI114" s="139"/>
      <c r="TXJ114" s="139"/>
      <c r="TXK114" s="139"/>
      <c r="TXL114" s="139"/>
      <c r="TXM114" s="139"/>
      <c r="TXN114" s="139"/>
      <c r="TXO114" s="139"/>
      <c r="TXP114" s="139"/>
      <c r="TXQ114" s="139"/>
      <c r="TXR114" s="139"/>
      <c r="TXS114" s="139"/>
      <c r="TXT114" s="139"/>
      <c r="TXU114" s="139"/>
      <c r="TXV114" s="139"/>
      <c r="TXW114" s="139"/>
      <c r="TXX114" s="139"/>
      <c r="TXY114" s="139"/>
      <c r="TXZ114" s="139"/>
      <c r="TYA114" s="139"/>
      <c r="TYB114" s="139"/>
      <c r="TYC114" s="139"/>
      <c r="TYD114" s="139"/>
      <c r="TYE114" s="139"/>
      <c r="TYF114" s="139"/>
      <c r="TYG114" s="139"/>
      <c r="TYH114" s="139"/>
      <c r="TYI114" s="139"/>
      <c r="TYJ114" s="139"/>
      <c r="TYK114" s="139"/>
      <c r="TYL114" s="139"/>
      <c r="TYM114" s="139"/>
      <c r="TYN114" s="139"/>
      <c r="TYO114" s="139"/>
      <c r="TYP114" s="139"/>
      <c r="TYQ114" s="139"/>
      <c r="TYR114" s="139"/>
      <c r="TYS114" s="139"/>
      <c r="TYT114" s="139"/>
      <c r="TYU114" s="139"/>
      <c r="TYV114" s="139"/>
      <c r="TYW114" s="139"/>
      <c r="TYX114" s="139"/>
      <c r="TYY114" s="139"/>
      <c r="TYZ114" s="139"/>
      <c r="TZA114" s="139"/>
      <c r="TZB114" s="139"/>
      <c r="TZC114" s="139"/>
      <c r="TZD114" s="139"/>
      <c r="TZE114" s="139"/>
      <c r="TZF114" s="139"/>
      <c r="TZG114" s="139"/>
      <c r="TZH114" s="139"/>
      <c r="TZI114" s="139"/>
      <c r="TZJ114" s="139"/>
      <c r="TZK114" s="139"/>
      <c r="TZL114" s="139"/>
      <c r="TZM114" s="139"/>
      <c r="TZN114" s="139"/>
      <c r="TZO114" s="139"/>
      <c r="TZP114" s="139"/>
      <c r="TZQ114" s="139"/>
      <c r="TZR114" s="139"/>
      <c r="TZS114" s="139"/>
      <c r="TZT114" s="139"/>
      <c r="TZU114" s="139"/>
      <c r="TZV114" s="139"/>
      <c r="TZW114" s="139"/>
      <c r="TZX114" s="139"/>
      <c r="TZY114" s="139"/>
      <c r="TZZ114" s="139"/>
      <c r="UAA114" s="139"/>
      <c r="UAB114" s="139"/>
      <c r="UAC114" s="139"/>
      <c r="UAD114" s="139"/>
      <c r="UAE114" s="139"/>
      <c r="UAF114" s="139"/>
      <c r="UAG114" s="139"/>
      <c r="UAH114" s="139"/>
      <c r="UAI114" s="139"/>
      <c r="UAJ114" s="139"/>
      <c r="UAK114" s="139"/>
      <c r="UAL114" s="139"/>
      <c r="UAM114" s="139"/>
      <c r="UAN114" s="139"/>
      <c r="UAO114" s="139"/>
      <c r="UAP114" s="139"/>
      <c r="UAQ114" s="139"/>
      <c r="UAR114" s="139"/>
      <c r="UAS114" s="139"/>
      <c r="UAT114" s="139"/>
      <c r="UAU114" s="139"/>
      <c r="UAV114" s="139"/>
      <c r="UAW114" s="139"/>
      <c r="UAX114" s="139"/>
      <c r="UAY114" s="139"/>
      <c r="UAZ114" s="139"/>
      <c r="UBA114" s="139"/>
      <c r="UBB114" s="139"/>
      <c r="UBC114" s="139"/>
      <c r="UBD114" s="139"/>
      <c r="UBE114" s="139"/>
      <c r="UBF114" s="139"/>
      <c r="UBG114" s="139"/>
      <c r="UBH114" s="139"/>
      <c r="UBI114" s="139"/>
      <c r="UBJ114" s="139"/>
      <c r="UBK114" s="139"/>
      <c r="UBL114" s="139"/>
      <c r="UBM114" s="139"/>
      <c r="UBN114" s="139"/>
      <c r="UBO114" s="139"/>
      <c r="UBP114" s="139"/>
      <c r="UBQ114" s="139"/>
      <c r="UBR114" s="139"/>
      <c r="UBS114" s="139"/>
      <c r="UBT114" s="139"/>
      <c r="UBU114" s="139"/>
      <c r="UBV114" s="139"/>
      <c r="UBW114" s="139"/>
      <c r="UBX114" s="139"/>
      <c r="UBY114" s="139"/>
      <c r="UBZ114" s="139"/>
      <c r="UCA114" s="139"/>
      <c r="UCB114" s="139"/>
      <c r="UCC114" s="139"/>
      <c r="UCD114" s="139"/>
      <c r="UCE114" s="139"/>
      <c r="UCF114" s="139"/>
      <c r="UCG114" s="139"/>
      <c r="UCH114" s="139"/>
      <c r="UCI114" s="139"/>
      <c r="UCJ114" s="139"/>
      <c r="UCK114" s="139"/>
      <c r="UCL114" s="139"/>
      <c r="UCM114" s="139"/>
      <c r="UCN114" s="139"/>
      <c r="UCO114" s="139"/>
      <c r="UCP114" s="139"/>
      <c r="UCQ114" s="139"/>
      <c r="UCR114" s="139"/>
      <c r="UCS114" s="139"/>
      <c r="UCT114" s="139"/>
      <c r="UCU114" s="139"/>
      <c r="UCV114" s="139"/>
      <c r="UCW114" s="139"/>
      <c r="UCX114" s="139"/>
      <c r="UCY114" s="139"/>
      <c r="UCZ114" s="139"/>
      <c r="UDA114" s="139"/>
      <c r="UDB114" s="139"/>
      <c r="UDC114" s="139"/>
      <c r="UDD114" s="139"/>
      <c r="UDE114" s="139"/>
      <c r="UDF114" s="139"/>
      <c r="UDG114" s="139"/>
      <c r="UDH114" s="139"/>
      <c r="UDI114" s="139"/>
      <c r="UDJ114" s="139"/>
      <c r="UDK114" s="139"/>
      <c r="UDL114" s="139"/>
      <c r="UDM114" s="139"/>
      <c r="UDN114" s="139"/>
      <c r="UDO114" s="139"/>
      <c r="UDP114" s="139"/>
      <c r="UDQ114" s="139"/>
      <c r="UDR114" s="139"/>
      <c r="UDS114" s="139"/>
      <c r="UDT114" s="139"/>
      <c r="UDU114" s="139"/>
      <c r="UDV114" s="139"/>
      <c r="UDW114" s="139"/>
      <c r="UDX114" s="139"/>
      <c r="UDY114" s="139"/>
      <c r="UDZ114" s="139"/>
      <c r="UEA114" s="139"/>
      <c r="UEB114" s="139"/>
      <c r="UEC114" s="139"/>
      <c r="UED114" s="139"/>
      <c r="UEE114" s="139"/>
      <c r="UEF114" s="139"/>
      <c r="UEG114" s="139"/>
      <c r="UEH114" s="139"/>
      <c r="UEI114" s="139"/>
      <c r="UEJ114" s="139"/>
      <c r="UEK114" s="139"/>
      <c r="UEL114" s="139"/>
      <c r="UEM114" s="139"/>
      <c r="UEN114" s="139"/>
      <c r="UEO114" s="139"/>
      <c r="UEP114" s="139"/>
      <c r="UEQ114" s="139"/>
      <c r="UER114" s="139"/>
      <c r="UES114" s="139"/>
      <c r="UET114" s="139"/>
      <c r="UEU114" s="139"/>
      <c r="UEV114" s="139"/>
      <c r="UEW114" s="139"/>
      <c r="UEX114" s="139"/>
      <c r="UEY114" s="139"/>
      <c r="UEZ114" s="139"/>
      <c r="UFA114" s="139"/>
      <c r="UFB114" s="139"/>
      <c r="UFC114" s="139"/>
      <c r="UFD114" s="139"/>
      <c r="UFE114" s="139"/>
      <c r="UFF114" s="139"/>
      <c r="UFG114" s="139"/>
      <c r="UFH114" s="139"/>
      <c r="UFI114" s="139"/>
      <c r="UFJ114" s="139"/>
      <c r="UFK114" s="139"/>
      <c r="UFL114" s="139"/>
      <c r="UFM114" s="139"/>
      <c r="UFN114" s="139"/>
      <c r="UFO114" s="139"/>
      <c r="UFP114" s="139"/>
      <c r="UFQ114" s="139"/>
      <c r="UFR114" s="139"/>
      <c r="UFS114" s="139"/>
      <c r="UFT114" s="139"/>
      <c r="UFU114" s="139"/>
      <c r="UFV114" s="139"/>
      <c r="UFW114" s="139"/>
      <c r="UFX114" s="139"/>
      <c r="UFY114" s="139"/>
      <c r="UFZ114" s="139"/>
      <c r="UGA114" s="139"/>
      <c r="UGB114" s="139"/>
      <c r="UGC114" s="139"/>
      <c r="UGD114" s="139"/>
      <c r="UGE114" s="139"/>
      <c r="UGF114" s="139"/>
      <c r="UGG114" s="139"/>
      <c r="UGH114" s="139"/>
      <c r="UGI114" s="139"/>
      <c r="UGJ114" s="139"/>
      <c r="UGK114" s="139"/>
      <c r="UGL114" s="139"/>
      <c r="UGM114" s="139"/>
      <c r="UGN114" s="139"/>
      <c r="UGO114" s="139"/>
      <c r="UGP114" s="139"/>
      <c r="UGQ114" s="139"/>
      <c r="UGR114" s="139"/>
      <c r="UGS114" s="139"/>
      <c r="UGT114" s="139"/>
      <c r="UGU114" s="139"/>
      <c r="UGV114" s="139"/>
      <c r="UGW114" s="139"/>
      <c r="UGX114" s="139"/>
      <c r="UGY114" s="139"/>
      <c r="UGZ114" s="139"/>
      <c r="UHA114" s="139"/>
      <c r="UHB114" s="139"/>
      <c r="UHC114" s="139"/>
      <c r="UHD114" s="139"/>
      <c r="UHE114" s="139"/>
      <c r="UHF114" s="139"/>
      <c r="UHG114" s="139"/>
      <c r="UHH114" s="139"/>
      <c r="UHI114" s="139"/>
      <c r="UHJ114" s="139"/>
      <c r="UHK114" s="139"/>
      <c r="UHL114" s="139"/>
      <c r="UHM114" s="139"/>
      <c r="UHN114" s="139"/>
      <c r="UHO114" s="139"/>
      <c r="UHP114" s="139"/>
      <c r="UHQ114" s="139"/>
      <c r="UHR114" s="139"/>
      <c r="UHS114" s="139"/>
      <c r="UHT114" s="139"/>
      <c r="UHU114" s="139"/>
      <c r="UHV114" s="139"/>
      <c r="UHW114" s="139"/>
      <c r="UHX114" s="139"/>
      <c r="UHY114" s="139"/>
      <c r="UHZ114" s="139"/>
      <c r="UIA114" s="139"/>
      <c r="UIB114" s="139"/>
      <c r="UIC114" s="139"/>
      <c r="UID114" s="139"/>
      <c r="UIE114" s="139"/>
      <c r="UIF114" s="139"/>
      <c r="UIG114" s="139"/>
      <c r="UIH114" s="139"/>
      <c r="UII114" s="139"/>
      <c r="UIJ114" s="139"/>
      <c r="UIK114" s="139"/>
      <c r="UIL114" s="139"/>
      <c r="UIM114" s="139"/>
      <c r="UIN114" s="139"/>
      <c r="UIO114" s="139"/>
      <c r="UIP114" s="139"/>
      <c r="UIQ114" s="139"/>
      <c r="UIR114" s="139"/>
      <c r="UIS114" s="139"/>
      <c r="UIT114" s="139"/>
      <c r="UIU114" s="139"/>
      <c r="UIV114" s="139"/>
      <c r="UIW114" s="139"/>
      <c r="UIX114" s="139"/>
      <c r="UIY114" s="139"/>
      <c r="UIZ114" s="139"/>
      <c r="UJA114" s="139"/>
      <c r="UJB114" s="139"/>
      <c r="UJC114" s="139"/>
      <c r="UJD114" s="139"/>
      <c r="UJE114" s="139"/>
      <c r="UJF114" s="139"/>
      <c r="UJG114" s="139"/>
      <c r="UJH114" s="139"/>
      <c r="UJI114" s="139"/>
      <c r="UJJ114" s="139"/>
      <c r="UJK114" s="139"/>
      <c r="UJL114" s="139"/>
      <c r="UJM114" s="139"/>
      <c r="UJN114" s="139"/>
      <c r="UJO114" s="139"/>
      <c r="UJP114" s="139"/>
      <c r="UJQ114" s="139"/>
      <c r="UJR114" s="139"/>
      <c r="UJS114" s="139"/>
      <c r="UJT114" s="139"/>
      <c r="UJU114" s="139"/>
      <c r="UJV114" s="139"/>
      <c r="UJW114" s="139"/>
      <c r="UJX114" s="139"/>
      <c r="UJY114" s="139"/>
      <c r="UJZ114" s="139"/>
      <c r="UKA114" s="139"/>
      <c r="UKB114" s="139"/>
      <c r="UKC114" s="139"/>
      <c r="UKD114" s="139"/>
      <c r="UKE114" s="139"/>
      <c r="UKF114" s="139"/>
      <c r="UKG114" s="139"/>
      <c r="UKH114" s="139"/>
      <c r="UKI114" s="139"/>
      <c r="UKJ114" s="139"/>
      <c r="UKK114" s="139"/>
      <c r="UKL114" s="139"/>
      <c r="UKM114" s="139"/>
      <c r="UKN114" s="139"/>
      <c r="UKO114" s="139"/>
      <c r="UKP114" s="139"/>
      <c r="UKQ114" s="139"/>
      <c r="UKR114" s="139"/>
      <c r="UKS114" s="139"/>
      <c r="UKT114" s="139"/>
      <c r="UKU114" s="139"/>
      <c r="UKV114" s="139"/>
      <c r="UKW114" s="139"/>
      <c r="UKX114" s="139"/>
      <c r="UKY114" s="139"/>
      <c r="UKZ114" s="139"/>
      <c r="ULA114" s="139"/>
      <c r="ULB114" s="139"/>
      <c r="ULC114" s="139"/>
      <c r="ULD114" s="139"/>
      <c r="ULE114" s="139"/>
      <c r="ULF114" s="139"/>
      <c r="ULG114" s="139"/>
      <c r="ULH114" s="139"/>
      <c r="ULI114" s="139"/>
      <c r="ULJ114" s="139"/>
      <c r="ULK114" s="139"/>
      <c r="ULL114" s="139"/>
      <c r="ULM114" s="139"/>
      <c r="ULN114" s="139"/>
      <c r="ULO114" s="139"/>
      <c r="ULP114" s="139"/>
      <c r="ULQ114" s="139"/>
      <c r="ULR114" s="139"/>
      <c r="ULS114" s="139"/>
      <c r="ULT114" s="139"/>
      <c r="ULU114" s="139"/>
      <c r="ULV114" s="139"/>
      <c r="ULW114" s="139"/>
      <c r="ULX114" s="139"/>
      <c r="ULY114" s="139"/>
      <c r="ULZ114" s="139"/>
      <c r="UMA114" s="139"/>
      <c r="UMB114" s="139"/>
      <c r="UMC114" s="139"/>
      <c r="UMD114" s="139"/>
      <c r="UME114" s="139"/>
      <c r="UMF114" s="139"/>
      <c r="UMG114" s="139"/>
      <c r="UMH114" s="139"/>
      <c r="UMI114" s="139"/>
      <c r="UMJ114" s="139"/>
      <c r="UMK114" s="139"/>
      <c r="UML114" s="139"/>
      <c r="UMM114" s="139"/>
      <c r="UMN114" s="139"/>
      <c r="UMO114" s="139"/>
      <c r="UMP114" s="139"/>
      <c r="UMQ114" s="139"/>
      <c r="UMR114" s="139"/>
      <c r="UMS114" s="139"/>
      <c r="UMT114" s="139"/>
      <c r="UMU114" s="139"/>
      <c r="UMV114" s="139"/>
      <c r="UMW114" s="139"/>
      <c r="UMX114" s="139"/>
      <c r="UMY114" s="139"/>
      <c r="UMZ114" s="139"/>
      <c r="UNA114" s="139"/>
      <c r="UNB114" s="139"/>
      <c r="UNC114" s="139"/>
      <c r="UND114" s="139"/>
      <c r="UNE114" s="139"/>
      <c r="UNF114" s="139"/>
      <c r="UNG114" s="139"/>
      <c r="UNH114" s="139"/>
      <c r="UNI114" s="139"/>
      <c r="UNJ114" s="139"/>
      <c r="UNK114" s="139"/>
      <c r="UNL114" s="139"/>
      <c r="UNM114" s="139"/>
      <c r="UNN114" s="139"/>
      <c r="UNO114" s="139"/>
      <c r="UNP114" s="139"/>
      <c r="UNQ114" s="139"/>
      <c r="UNR114" s="139"/>
      <c r="UNS114" s="139"/>
      <c r="UNT114" s="139"/>
      <c r="UNU114" s="139"/>
      <c r="UNV114" s="139"/>
      <c r="UNW114" s="139"/>
      <c r="UNX114" s="139"/>
      <c r="UNY114" s="139"/>
      <c r="UNZ114" s="139"/>
      <c r="UOA114" s="139"/>
      <c r="UOB114" s="139"/>
      <c r="UOC114" s="139"/>
      <c r="UOD114" s="139"/>
      <c r="UOE114" s="139"/>
      <c r="UOF114" s="139"/>
      <c r="UOG114" s="139"/>
      <c r="UOH114" s="139"/>
      <c r="UOI114" s="139"/>
      <c r="UOJ114" s="139"/>
      <c r="UOK114" s="139"/>
      <c r="UOL114" s="139"/>
      <c r="UOM114" s="139"/>
      <c r="UON114" s="139"/>
      <c r="UOO114" s="139"/>
      <c r="UOP114" s="139"/>
      <c r="UOQ114" s="139"/>
      <c r="UOR114" s="139"/>
      <c r="UOS114" s="139"/>
      <c r="UOT114" s="139"/>
      <c r="UOU114" s="139"/>
      <c r="UOV114" s="139"/>
      <c r="UOW114" s="139"/>
      <c r="UOX114" s="139"/>
      <c r="UOY114" s="139"/>
      <c r="UOZ114" s="139"/>
      <c r="UPA114" s="139"/>
      <c r="UPB114" s="139"/>
      <c r="UPC114" s="139"/>
      <c r="UPD114" s="139"/>
      <c r="UPE114" s="139"/>
      <c r="UPF114" s="139"/>
      <c r="UPG114" s="139"/>
      <c r="UPH114" s="139"/>
      <c r="UPI114" s="139"/>
      <c r="UPJ114" s="139"/>
      <c r="UPK114" s="139"/>
      <c r="UPL114" s="139"/>
      <c r="UPM114" s="139"/>
      <c r="UPN114" s="139"/>
      <c r="UPO114" s="139"/>
      <c r="UPP114" s="139"/>
      <c r="UPQ114" s="139"/>
      <c r="UPR114" s="139"/>
      <c r="UPS114" s="139"/>
      <c r="UPT114" s="139"/>
      <c r="UPU114" s="139"/>
      <c r="UPV114" s="139"/>
      <c r="UPW114" s="139"/>
      <c r="UPX114" s="139"/>
      <c r="UPY114" s="139"/>
      <c r="UPZ114" s="139"/>
      <c r="UQA114" s="139"/>
      <c r="UQB114" s="139"/>
      <c r="UQC114" s="139"/>
      <c r="UQD114" s="139"/>
      <c r="UQE114" s="139"/>
      <c r="UQF114" s="139"/>
      <c r="UQG114" s="139"/>
      <c r="UQH114" s="139"/>
      <c r="UQI114" s="139"/>
      <c r="UQJ114" s="139"/>
      <c r="UQK114" s="139"/>
      <c r="UQL114" s="139"/>
      <c r="UQM114" s="139"/>
      <c r="UQN114" s="139"/>
      <c r="UQO114" s="139"/>
      <c r="UQP114" s="139"/>
      <c r="UQQ114" s="139"/>
      <c r="UQR114" s="139"/>
      <c r="UQS114" s="139"/>
      <c r="UQT114" s="139"/>
      <c r="UQU114" s="139"/>
      <c r="UQV114" s="139"/>
      <c r="UQW114" s="139"/>
      <c r="UQX114" s="139"/>
      <c r="UQY114" s="139"/>
      <c r="UQZ114" s="139"/>
      <c r="URA114" s="139"/>
      <c r="URB114" s="139"/>
      <c r="URC114" s="139"/>
      <c r="URD114" s="139"/>
      <c r="URE114" s="139"/>
      <c r="URF114" s="139"/>
      <c r="URG114" s="139"/>
      <c r="URH114" s="139"/>
      <c r="URI114" s="139"/>
      <c r="URJ114" s="139"/>
      <c r="URK114" s="139"/>
      <c r="URL114" s="139"/>
      <c r="URM114" s="139"/>
      <c r="URN114" s="139"/>
      <c r="URO114" s="139"/>
      <c r="URP114" s="139"/>
      <c r="URQ114" s="139"/>
      <c r="URR114" s="139"/>
      <c r="URS114" s="139"/>
      <c r="URT114" s="139"/>
      <c r="URU114" s="139"/>
      <c r="URV114" s="139"/>
      <c r="URW114" s="139"/>
      <c r="URX114" s="139"/>
      <c r="URY114" s="139"/>
      <c r="URZ114" s="139"/>
      <c r="USA114" s="139"/>
      <c r="USB114" s="139"/>
      <c r="USC114" s="139"/>
      <c r="USD114" s="139"/>
      <c r="USE114" s="139"/>
      <c r="USF114" s="139"/>
      <c r="USG114" s="139"/>
      <c r="USH114" s="139"/>
      <c r="USI114" s="139"/>
      <c r="USJ114" s="139"/>
      <c r="USK114" s="139"/>
      <c r="USL114" s="139"/>
      <c r="USM114" s="139"/>
      <c r="USN114" s="139"/>
      <c r="USO114" s="139"/>
      <c r="USP114" s="139"/>
      <c r="USQ114" s="139"/>
      <c r="USR114" s="139"/>
      <c r="USS114" s="139"/>
      <c r="UST114" s="139"/>
      <c r="USU114" s="139"/>
      <c r="USV114" s="139"/>
      <c r="USW114" s="139"/>
      <c r="USX114" s="139"/>
      <c r="USY114" s="139"/>
      <c r="USZ114" s="139"/>
      <c r="UTA114" s="139"/>
      <c r="UTB114" s="139"/>
      <c r="UTC114" s="139"/>
      <c r="UTD114" s="139"/>
      <c r="UTE114" s="139"/>
      <c r="UTF114" s="139"/>
      <c r="UTG114" s="139"/>
      <c r="UTH114" s="139"/>
      <c r="UTI114" s="139"/>
      <c r="UTJ114" s="139"/>
      <c r="UTK114" s="139"/>
      <c r="UTL114" s="139"/>
      <c r="UTM114" s="139"/>
      <c r="UTN114" s="139"/>
      <c r="UTO114" s="139"/>
      <c r="UTP114" s="139"/>
      <c r="UTQ114" s="139"/>
      <c r="UTR114" s="139"/>
      <c r="UTS114" s="139"/>
      <c r="UTT114" s="139"/>
      <c r="UTU114" s="139"/>
      <c r="UTV114" s="139"/>
      <c r="UTW114" s="139"/>
      <c r="UTX114" s="139"/>
      <c r="UTY114" s="139"/>
      <c r="UTZ114" s="139"/>
      <c r="UUA114" s="139"/>
      <c r="UUB114" s="139"/>
      <c r="UUC114" s="139"/>
      <c r="UUD114" s="139"/>
      <c r="UUE114" s="139"/>
      <c r="UUF114" s="139"/>
      <c r="UUG114" s="139"/>
      <c r="UUH114" s="139"/>
      <c r="UUI114" s="139"/>
      <c r="UUJ114" s="139"/>
      <c r="UUK114" s="139"/>
      <c r="UUL114" s="139"/>
      <c r="UUM114" s="139"/>
      <c r="UUN114" s="139"/>
      <c r="UUO114" s="139"/>
      <c r="UUP114" s="139"/>
      <c r="UUQ114" s="139"/>
      <c r="UUR114" s="139"/>
      <c r="UUS114" s="139"/>
      <c r="UUT114" s="139"/>
      <c r="UUU114" s="139"/>
      <c r="UUV114" s="139"/>
      <c r="UUW114" s="139"/>
      <c r="UUX114" s="139"/>
      <c r="UUY114" s="139"/>
      <c r="UUZ114" s="139"/>
      <c r="UVA114" s="139"/>
      <c r="UVB114" s="139"/>
      <c r="UVC114" s="139"/>
      <c r="UVD114" s="139"/>
      <c r="UVE114" s="139"/>
      <c r="UVF114" s="139"/>
      <c r="UVG114" s="139"/>
      <c r="UVH114" s="139"/>
      <c r="UVI114" s="139"/>
      <c r="UVJ114" s="139"/>
      <c r="UVK114" s="139"/>
      <c r="UVL114" s="139"/>
      <c r="UVM114" s="139"/>
      <c r="UVN114" s="139"/>
      <c r="UVO114" s="139"/>
      <c r="UVP114" s="139"/>
      <c r="UVQ114" s="139"/>
      <c r="UVR114" s="139"/>
      <c r="UVS114" s="139"/>
      <c r="UVT114" s="139"/>
      <c r="UVU114" s="139"/>
      <c r="UVV114" s="139"/>
      <c r="UVW114" s="139"/>
      <c r="UVX114" s="139"/>
      <c r="UVY114" s="139"/>
      <c r="UVZ114" s="139"/>
      <c r="UWA114" s="139"/>
      <c r="UWB114" s="139"/>
      <c r="UWC114" s="139"/>
      <c r="UWD114" s="139"/>
      <c r="UWE114" s="139"/>
      <c r="UWF114" s="139"/>
      <c r="UWG114" s="139"/>
      <c r="UWH114" s="139"/>
      <c r="UWI114" s="139"/>
      <c r="UWJ114" s="139"/>
      <c r="UWK114" s="139"/>
      <c r="UWL114" s="139"/>
      <c r="UWM114" s="139"/>
      <c r="UWN114" s="139"/>
      <c r="UWO114" s="139"/>
      <c r="UWP114" s="139"/>
      <c r="UWQ114" s="139"/>
      <c r="UWR114" s="139"/>
      <c r="UWS114" s="139"/>
      <c r="UWT114" s="139"/>
      <c r="UWU114" s="139"/>
      <c r="UWV114" s="139"/>
      <c r="UWW114" s="139"/>
      <c r="UWX114" s="139"/>
      <c r="UWY114" s="139"/>
      <c r="UWZ114" s="139"/>
      <c r="UXA114" s="139"/>
      <c r="UXB114" s="139"/>
      <c r="UXC114" s="139"/>
      <c r="UXD114" s="139"/>
      <c r="UXE114" s="139"/>
      <c r="UXF114" s="139"/>
      <c r="UXG114" s="139"/>
      <c r="UXH114" s="139"/>
      <c r="UXI114" s="139"/>
      <c r="UXJ114" s="139"/>
      <c r="UXK114" s="139"/>
      <c r="UXL114" s="139"/>
      <c r="UXM114" s="139"/>
      <c r="UXN114" s="139"/>
      <c r="UXO114" s="139"/>
      <c r="UXP114" s="139"/>
      <c r="UXQ114" s="139"/>
      <c r="UXR114" s="139"/>
      <c r="UXS114" s="139"/>
      <c r="UXT114" s="139"/>
      <c r="UXU114" s="139"/>
      <c r="UXV114" s="139"/>
      <c r="UXW114" s="139"/>
      <c r="UXX114" s="139"/>
      <c r="UXY114" s="139"/>
      <c r="UXZ114" s="139"/>
      <c r="UYA114" s="139"/>
      <c r="UYB114" s="139"/>
      <c r="UYC114" s="139"/>
      <c r="UYD114" s="139"/>
      <c r="UYE114" s="139"/>
      <c r="UYF114" s="139"/>
      <c r="UYG114" s="139"/>
      <c r="UYH114" s="139"/>
      <c r="UYI114" s="139"/>
      <c r="UYJ114" s="139"/>
      <c r="UYK114" s="139"/>
      <c r="UYL114" s="139"/>
      <c r="UYM114" s="139"/>
      <c r="UYN114" s="139"/>
      <c r="UYO114" s="139"/>
      <c r="UYP114" s="139"/>
      <c r="UYQ114" s="139"/>
      <c r="UYR114" s="139"/>
      <c r="UYS114" s="139"/>
      <c r="UYT114" s="139"/>
      <c r="UYU114" s="139"/>
      <c r="UYV114" s="139"/>
      <c r="UYW114" s="139"/>
      <c r="UYX114" s="139"/>
      <c r="UYY114" s="139"/>
      <c r="UYZ114" s="139"/>
      <c r="UZA114" s="139"/>
      <c r="UZB114" s="139"/>
      <c r="UZC114" s="139"/>
      <c r="UZD114" s="139"/>
      <c r="UZE114" s="139"/>
      <c r="UZF114" s="139"/>
      <c r="UZG114" s="139"/>
      <c r="UZH114" s="139"/>
      <c r="UZI114" s="139"/>
      <c r="UZJ114" s="139"/>
      <c r="UZK114" s="139"/>
      <c r="UZL114" s="139"/>
      <c r="UZM114" s="139"/>
      <c r="UZN114" s="139"/>
      <c r="UZO114" s="139"/>
      <c r="UZP114" s="139"/>
      <c r="UZQ114" s="139"/>
      <c r="UZR114" s="139"/>
      <c r="UZS114" s="139"/>
      <c r="UZT114" s="139"/>
      <c r="UZU114" s="139"/>
      <c r="UZV114" s="139"/>
      <c r="UZW114" s="139"/>
      <c r="UZX114" s="139"/>
      <c r="UZY114" s="139"/>
      <c r="UZZ114" s="139"/>
      <c r="VAA114" s="139"/>
      <c r="VAB114" s="139"/>
      <c r="VAC114" s="139"/>
      <c r="VAD114" s="139"/>
      <c r="VAE114" s="139"/>
      <c r="VAF114" s="139"/>
      <c r="VAG114" s="139"/>
      <c r="VAH114" s="139"/>
      <c r="VAI114" s="139"/>
      <c r="VAJ114" s="139"/>
      <c r="VAK114" s="139"/>
      <c r="VAL114" s="139"/>
      <c r="VAM114" s="139"/>
      <c r="VAN114" s="139"/>
      <c r="VAO114" s="139"/>
      <c r="VAP114" s="139"/>
      <c r="VAQ114" s="139"/>
      <c r="VAR114" s="139"/>
      <c r="VAS114" s="139"/>
      <c r="VAT114" s="139"/>
      <c r="VAU114" s="139"/>
      <c r="VAV114" s="139"/>
      <c r="VAW114" s="139"/>
      <c r="VAX114" s="139"/>
      <c r="VAY114" s="139"/>
      <c r="VAZ114" s="139"/>
      <c r="VBA114" s="139"/>
      <c r="VBB114" s="139"/>
      <c r="VBC114" s="139"/>
      <c r="VBD114" s="139"/>
      <c r="VBE114" s="139"/>
      <c r="VBF114" s="139"/>
      <c r="VBG114" s="139"/>
      <c r="VBH114" s="139"/>
      <c r="VBI114" s="139"/>
      <c r="VBJ114" s="139"/>
      <c r="VBK114" s="139"/>
      <c r="VBL114" s="139"/>
      <c r="VBM114" s="139"/>
      <c r="VBN114" s="139"/>
      <c r="VBO114" s="139"/>
      <c r="VBP114" s="139"/>
      <c r="VBQ114" s="139"/>
      <c r="VBR114" s="139"/>
      <c r="VBS114" s="139"/>
      <c r="VBT114" s="139"/>
      <c r="VBU114" s="139"/>
      <c r="VBV114" s="139"/>
      <c r="VBW114" s="139"/>
      <c r="VBX114" s="139"/>
      <c r="VBY114" s="139"/>
      <c r="VBZ114" s="139"/>
      <c r="VCA114" s="139"/>
      <c r="VCB114" s="139"/>
      <c r="VCC114" s="139"/>
      <c r="VCD114" s="139"/>
      <c r="VCE114" s="139"/>
      <c r="VCF114" s="139"/>
      <c r="VCG114" s="139"/>
      <c r="VCH114" s="139"/>
      <c r="VCI114" s="139"/>
      <c r="VCJ114" s="139"/>
      <c r="VCK114" s="139"/>
      <c r="VCL114" s="139"/>
      <c r="VCM114" s="139"/>
      <c r="VCN114" s="139"/>
      <c r="VCO114" s="139"/>
      <c r="VCP114" s="139"/>
      <c r="VCQ114" s="139"/>
      <c r="VCR114" s="139"/>
      <c r="VCS114" s="139"/>
      <c r="VCT114" s="139"/>
      <c r="VCU114" s="139"/>
      <c r="VCV114" s="139"/>
      <c r="VCW114" s="139"/>
      <c r="VCX114" s="139"/>
      <c r="VCY114" s="139"/>
      <c r="VCZ114" s="139"/>
      <c r="VDA114" s="139"/>
      <c r="VDB114" s="139"/>
      <c r="VDC114" s="139"/>
      <c r="VDD114" s="139"/>
      <c r="VDE114" s="139"/>
      <c r="VDF114" s="139"/>
      <c r="VDG114" s="139"/>
      <c r="VDH114" s="139"/>
      <c r="VDI114" s="139"/>
      <c r="VDJ114" s="139"/>
      <c r="VDK114" s="139"/>
      <c r="VDL114" s="139"/>
      <c r="VDM114" s="139"/>
      <c r="VDN114" s="139"/>
      <c r="VDO114" s="139"/>
      <c r="VDP114" s="139"/>
      <c r="VDQ114" s="139"/>
      <c r="VDR114" s="139"/>
      <c r="VDS114" s="139"/>
      <c r="VDT114" s="139"/>
      <c r="VDU114" s="139"/>
      <c r="VDV114" s="139"/>
      <c r="VDW114" s="139"/>
      <c r="VDX114" s="139"/>
      <c r="VDY114" s="139"/>
      <c r="VDZ114" s="139"/>
      <c r="VEA114" s="139"/>
      <c r="VEB114" s="139"/>
      <c r="VEC114" s="139"/>
      <c r="VED114" s="139"/>
      <c r="VEE114" s="139"/>
      <c r="VEF114" s="139"/>
      <c r="VEG114" s="139"/>
      <c r="VEH114" s="139"/>
      <c r="VEI114" s="139"/>
      <c r="VEJ114" s="139"/>
      <c r="VEK114" s="139"/>
      <c r="VEL114" s="139"/>
      <c r="VEM114" s="139"/>
      <c r="VEN114" s="139"/>
      <c r="VEO114" s="139"/>
      <c r="VEP114" s="139"/>
      <c r="VEQ114" s="139"/>
      <c r="VER114" s="139"/>
      <c r="VES114" s="139"/>
      <c r="VET114" s="139"/>
      <c r="VEU114" s="139"/>
      <c r="VEV114" s="139"/>
      <c r="VEW114" s="139"/>
      <c r="VEX114" s="139"/>
      <c r="VEY114" s="139"/>
      <c r="VEZ114" s="139"/>
      <c r="VFA114" s="139"/>
      <c r="VFB114" s="139"/>
      <c r="VFC114" s="139"/>
      <c r="VFD114" s="139"/>
      <c r="VFE114" s="139"/>
      <c r="VFF114" s="139"/>
      <c r="VFG114" s="139"/>
      <c r="VFH114" s="139"/>
      <c r="VFI114" s="139"/>
      <c r="VFJ114" s="139"/>
      <c r="VFK114" s="139"/>
      <c r="VFL114" s="139"/>
      <c r="VFM114" s="139"/>
      <c r="VFN114" s="139"/>
      <c r="VFO114" s="139"/>
      <c r="VFP114" s="139"/>
      <c r="VFQ114" s="139"/>
      <c r="VFR114" s="139"/>
      <c r="VFS114" s="139"/>
      <c r="VFT114" s="139"/>
      <c r="VFU114" s="139"/>
      <c r="VFV114" s="139"/>
      <c r="VFW114" s="139"/>
      <c r="VFX114" s="139"/>
      <c r="VFY114" s="139"/>
      <c r="VFZ114" s="139"/>
      <c r="VGA114" s="139"/>
      <c r="VGB114" s="139"/>
      <c r="VGC114" s="139"/>
      <c r="VGD114" s="139"/>
      <c r="VGE114" s="139"/>
      <c r="VGF114" s="139"/>
      <c r="VGG114" s="139"/>
      <c r="VGH114" s="139"/>
      <c r="VGI114" s="139"/>
      <c r="VGJ114" s="139"/>
      <c r="VGK114" s="139"/>
      <c r="VGL114" s="139"/>
      <c r="VGM114" s="139"/>
      <c r="VGN114" s="139"/>
      <c r="VGO114" s="139"/>
      <c r="VGP114" s="139"/>
      <c r="VGQ114" s="139"/>
      <c r="VGR114" s="139"/>
      <c r="VGS114" s="139"/>
      <c r="VGT114" s="139"/>
      <c r="VGU114" s="139"/>
      <c r="VGV114" s="139"/>
      <c r="VGW114" s="139"/>
      <c r="VGX114" s="139"/>
      <c r="VGY114" s="139"/>
      <c r="VGZ114" s="139"/>
      <c r="VHA114" s="139"/>
      <c r="VHB114" s="139"/>
      <c r="VHC114" s="139"/>
      <c r="VHD114" s="139"/>
      <c r="VHE114" s="139"/>
      <c r="VHF114" s="139"/>
      <c r="VHG114" s="139"/>
      <c r="VHH114" s="139"/>
      <c r="VHI114" s="139"/>
      <c r="VHJ114" s="139"/>
      <c r="VHK114" s="139"/>
      <c r="VHL114" s="139"/>
      <c r="VHM114" s="139"/>
      <c r="VHN114" s="139"/>
      <c r="VHO114" s="139"/>
      <c r="VHP114" s="139"/>
      <c r="VHQ114" s="139"/>
      <c r="VHR114" s="139"/>
      <c r="VHS114" s="139"/>
      <c r="VHT114" s="139"/>
      <c r="VHU114" s="139"/>
      <c r="VHV114" s="139"/>
      <c r="VHW114" s="139"/>
      <c r="VHX114" s="139"/>
      <c r="VHY114" s="139"/>
      <c r="VHZ114" s="139"/>
      <c r="VIA114" s="139"/>
      <c r="VIB114" s="139"/>
      <c r="VIC114" s="139"/>
      <c r="VID114" s="139"/>
      <c r="VIE114" s="139"/>
      <c r="VIF114" s="139"/>
      <c r="VIG114" s="139"/>
      <c r="VIH114" s="139"/>
      <c r="VII114" s="139"/>
      <c r="VIJ114" s="139"/>
      <c r="VIK114" s="139"/>
      <c r="VIL114" s="139"/>
      <c r="VIM114" s="139"/>
      <c r="VIN114" s="139"/>
      <c r="VIO114" s="139"/>
      <c r="VIP114" s="139"/>
      <c r="VIQ114" s="139"/>
      <c r="VIR114" s="139"/>
      <c r="VIS114" s="139"/>
      <c r="VIT114" s="139"/>
      <c r="VIU114" s="139"/>
      <c r="VIV114" s="139"/>
      <c r="VIW114" s="139"/>
      <c r="VIX114" s="139"/>
      <c r="VIY114" s="139"/>
      <c r="VIZ114" s="139"/>
      <c r="VJA114" s="139"/>
      <c r="VJB114" s="139"/>
      <c r="VJC114" s="139"/>
      <c r="VJD114" s="139"/>
      <c r="VJE114" s="139"/>
      <c r="VJF114" s="139"/>
      <c r="VJG114" s="139"/>
      <c r="VJH114" s="139"/>
      <c r="VJI114" s="139"/>
      <c r="VJJ114" s="139"/>
      <c r="VJK114" s="139"/>
      <c r="VJL114" s="139"/>
      <c r="VJM114" s="139"/>
      <c r="VJN114" s="139"/>
      <c r="VJO114" s="139"/>
      <c r="VJP114" s="139"/>
      <c r="VJQ114" s="139"/>
      <c r="VJR114" s="139"/>
      <c r="VJS114" s="139"/>
      <c r="VJT114" s="139"/>
      <c r="VJU114" s="139"/>
      <c r="VJV114" s="139"/>
      <c r="VJW114" s="139"/>
      <c r="VJX114" s="139"/>
      <c r="VJY114" s="139"/>
      <c r="VJZ114" s="139"/>
      <c r="VKA114" s="139"/>
      <c r="VKB114" s="139"/>
      <c r="VKC114" s="139"/>
      <c r="VKD114" s="139"/>
      <c r="VKE114" s="139"/>
      <c r="VKF114" s="139"/>
      <c r="VKG114" s="139"/>
      <c r="VKH114" s="139"/>
      <c r="VKI114" s="139"/>
      <c r="VKJ114" s="139"/>
      <c r="VKK114" s="139"/>
      <c r="VKL114" s="139"/>
      <c r="VKM114" s="139"/>
      <c r="VKN114" s="139"/>
      <c r="VKO114" s="139"/>
      <c r="VKP114" s="139"/>
      <c r="VKQ114" s="139"/>
      <c r="VKR114" s="139"/>
      <c r="VKS114" s="139"/>
      <c r="VKT114" s="139"/>
      <c r="VKU114" s="139"/>
      <c r="VKV114" s="139"/>
      <c r="VKW114" s="139"/>
      <c r="VKX114" s="139"/>
      <c r="VKY114" s="139"/>
      <c r="VKZ114" s="139"/>
      <c r="VLA114" s="139"/>
      <c r="VLB114" s="139"/>
      <c r="VLC114" s="139"/>
      <c r="VLD114" s="139"/>
      <c r="VLE114" s="139"/>
      <c r="VLF114" s="139"/>
      <c r="VLG114" s="139"/>
      <c r="VLH114" s="139"/>
      <c r="VLI114" s="139"/>
      <c r="VLJ114" s="139"/>
      <c r="VLK114" s="139"/>
      <c r="VLL114" s="139"/>
      <c r="VLM114" s="139"/>
      <c r="VLN114" s="139"/>
      <c r="VLO114" s="139"/>
      <c r="VLP114" s="139"/>
      <c r="VLQ114" s="139"/>
      <c r="VLR114" s="139"/>
      <c r="VLS114" s="139"/>
      <c r="VLT114" s="139"/>
      <c r="VLU114" s="139"/>
      <c r="VLV114" s="139"/>
      <c r="VLW114" s="139"/>
      <c r="VLX114" s="139"/>
      <c r="VLY114" s="139"/>
      <c r="VLZ114" s="139"/>
      <c r="VMA114" s="139"/>
      <c r="VMB114" s="139"/>
      <c r="VMC114" s="139"/>
      <c r="VMD114" s="139"/>
      <c r="VME114" s="139"/>
      <c r="VMF114" s="139"/>
      <c r="VMG114" s="139"/>
      <c r="VMH114" s="139"/>
      <c r="VMI114" s="139"/>
      <c r="VMJ114" s="139"/>
      <c r="VMK114" s="139"/>
      <c r="VML114" s="139"/>
      <c r="VMM114" s="139"/>
      <c r="VMN114" s="139"/>
      <c r="VMO114" s="139"/>
      <c r="VMP114" s="139"/>
      <c r="VMQ114" s="139"/>
      <c r="VMR114" s="139"/>
      <c r="VMS114" s="139"/>
      <c r="VMT114" s="139"/>
      <c r="VMU114" s="139"/>
      <c r="VMV114" s="139"/>
      <c r="VMW114" s="139"/>
      <c r="VMX114" s="139"/>
      <c r="VMY114" s="139"/>
      <c r="VMZ114" s="139"/>
      <c r="VNA114" s="139"/>
      <c r="VNB114" s="139"/>
      <c r="VNC114" s="139"/>
      <c r="VND114" s="139"/>
      <c r="VNE114" s="139"/>
      <c r="VNF114" s="139"/>
      <c r="VNG114" s="139"/>
      <c r="VNH114" s="139"/>
      <c r="VNI114" s="139"/>
      <c r="VNJ114" s="139"/>
      <c r="VNK114" s="139"/>
      <c r="VNL114" s="139"/>
      <c r="VNM114" s="139"/>
      <c r="VNN114" s="139"/>
      <c r="VNO114" s="139"/>
      <c r="VNP114" s="139"/>
      <c r="VNQ114" s="139"/>
      <c r="VNR114" s="139"/>
      <c r="VNS114" s="139"/>
      <c r="VNT114" s="139"/>
      <c r="VNU114" s="139"/>
      <c r="VNV114" s="139"/>
      <c r="VNW114" s="139"/>
      <c r="VNX114" s="139"/>
      <c r="VNY114" s="139"/>
      <c r="VNZ114" s="139"/>
      <c r="VOA114" s="139"/>
      <c r="VOB114" s="139"/>
      <c r="VOC114" s="139"/>
      <c r="VOD114" s="139"/>
      <c r="VOE114" s="139"/>
      <c r="VOF114" s="139"/>
      <c r="VOG114" s="139"/>
      <c r="VOH114" s="139"/>
      <c r="VOI114" s="139"/>
      <c r="VOJ114" s="139"/>
      <c r="VOK114" s="139"/>
      <c r="VOL114" s="139"/>
      <c r="VOM114" s="139"/>
      <c r="VON114" s="139"/>
      <c r="VOO114" s="139"/>
      <c r="VOP114" s="139"/>
      <c r="VOQ114" s="139"/>
      <c r="VOR114" s="139"/>
      <c r="VOS114" s="139"/>
      <c r="VOT114" s="139"/>
      <c r="VOU114" s="139"/>
      <c r="VOV114" s="139"/>
      <c r="VOW114" s="139"/>
      <c r="VOX114" s="139"/>
      <c r="VOY114" s="139"/>
      <c r="VOZ114" s="139"/>
      <c r="VPA114" s="139"/>
      <c r="VPB114" s="139"/>
      <c r="VPC114" s="139"/>
      <c r="VPD114" s="139"/>
      <c r="VPE114" s="139"/>
      <c r="VPF114" s="139"/>
      <c r="VPG114" s="139"/>
      <c r="VPH114" s="139"/>
      <c r="VPI114" s="139"/>
      <c r="VPJ114" s="139"/>
      <c r="VPK114" s="139"/>
      <c r="VPL114" s="139"/>
      <c r="VPM114" s="139"/>
      <c r="VPN114" s="139"/>
      <c r="VPO114" s="139"/>
      <c r="VPP114" s="139"/>
      <c r="VPQ114" s="139"/>
      <c r="VPR114" s="139"/>
      <c r="VPS114" s="139"/>
      <c r="VPT114" s="139"/>
      <c r="VPU114" s="139"/>
      <c r="VPV114" s="139"/>
      <c r="VPW114" s="139"/>
      <c r="VPX114" s="139"/>
      <c r="VPY114" s="139"/>
      <c r="VPZ114" s="139"/>
      <c r="VQA114" s="139"/>
      <c r="VQB114" s="139"/>
      <c r="VQC114" s="139"/>
      <c r="VQD114" s="139"/>
      <c r="VQE114" s="139"/>
      <c r="VQF114" s="139"/>
      <c r="VQG114" s="139"/>
      <c r="VQH114" s="139"/>
      <c r="VQI114" s="139"/>
      <c r="VQJ114" s="139"/>
      <c r="VQK114" s="139"/>
      <c r="VQL114" s="139"/>
      <c r="VQM114" s="139"/>
      <c r="VQN114" s="139"/>
      <c r="VQO114" s="139"/>
      <c r="VQP114" s="139"/>
      <c r="VQQ114" s="139"/>
      <c r="VQR114" s="139"/>
      <c r="VQS114" s="139"/>
      <c r="VQT114" s="139"/>
      <c r="VQU114" s="139"/>
      <c r="VQV114" s="139"/>
      <c r="VQW114" s="139"/>
      <c r="VQX114" s="139"/>
      <c r="VQY114" s="139"/>
      <c r="VQZ114" s="139"/>
      <c r="VRA114" s="139"/>
      <c r="VRB114" s="139"/>
      <c r="VRC114" s="139"/>
      <c r="VRD114" s="139"/>
      <c r="VRE114" s="139"/>
      <c r="VRF114" s="139"/>
      <c r="VRG114" s="139"/>
      <c r="VRH114" s="139"/>
      <c r="VRI114" s="139"/>
      <c r="VRJ114" s="139"/>
      <c r="VRK114" s="139"/>
      <c r="VRL114" s="139"/>
      <c r="VRM114" s="139"/>
      <c r="VRN114" s="139"/>
      <c r="VRO114" s="139"/>
      <c r="VRP114" s="139"/>
      <c r="VRQ114" s="139"/>
      <c r="VRR114" s="139"/>
      <c r="VRS114" s="139"/>
      <c r="VRT114" s="139"/>
      <c r="VRU114" s="139"/>
      <c r="VRV114" s="139"/>
      <c r="VRW114" s="139"/>
      <c r="VRX114" s="139"/>
      <c r="VRY114" s="139"/>
      <c r="VRZ114" s="139"/>
      <c r="VSA114" s="139"/>
      <c r="VSB114" s="139"/>
      <c r="VSC114" s="139"/>
      <c r="VSD114" s="139"/>
      <c r="VSE114" s="139"/>
      <c r="VSF114" s="139"/>
      <c r="VSG114" s="139"/>
      <c r="VSH114" s="139"/>
      <c r="VSI114" s="139"/>
      <c r="VSJ114" s="139"/>
      <c r="VSK114" s="139"/>
      <c r="VSL114" s="139"/>
      <c r="VSM114" s="139"/>
      <c r="VSN114" s="139"/>
      <c r="VSO114" s="139"/>
      <c r="VSP114" s="139"/>
      <c r="VSQ114" s="139"/>
      <c r="VSR114" s="139"/>
      <c r="VSS114" s="139"/>
      <c r="VST114" s="139"/>
      <c r="VSU114" s="139"/>
      <c r="VSV114" s="139"/>
      <c r="VSW114" s="139"/>
      <c r="VSX114" s="139"/>
      <c r="VSY114" s="139"/>
      <c r="VSZ114" s="139"/>
      <c r="VTA114" s="139"/>
      <c r="VTB114" s="139"/>
      <c r="VTC114" s="139"/>
      <c r="VTD114" s="139"/>
      <c r="VTE114" s="139"/>
      <c r="VTF114" s="139"/>
      <c r="VTG114" s="139"/>
      <c r="VTH114" s="139"/>
      <c r="VTI114" s="139"/>
      <c r="VTJ114" s="139"/>
      <c r="VTK114" s="139"/>
      <c r="VTL114" s="139"/>
      <c r="VTM114" s="139"/>
      <c r="VTN114" s="139"/>
      <c r="VTO114" s="139"/>
      <c r="VTP114" s="139"/>
      <c r="VTQ114" s="139"/>
      <c r="VTR114" s="139"/>
      <c r="VTS114" s="139"/>
      <c r="VTT114" s="139"/>
      <c r="VTU114" s="139"/>
      <c r="VTV114" s="139"/>
      <c r="VTW114" s="139"/>
      <c r="VTX114" s="139"/>
      <c r="VTY114" s="139"/>
      <c r="VTZ114" s="139"/>
      <c r="VUA114" s="139"/>
      <c r="VUB114" s="139"/>
      <c r="VUC114" s="139"/>
      <c r="VUD114" s="139"/>
      <c r="VUE114" s="139"/>
      <c r="VUF114" s="139"/>
      <c r="VUG114" s="139"/>
      <c r="VUH114" s="139"/>
      <c r="VUI114" s="139"/>
      <c r="VUJ114" s="139"/>
      <c r="VUK114" s="139"/>
      <c r="VUL114" s="139"/>
      <c r="VUM114" s="139"/>
      <c r="VUN114" s="139"/>
      <c r="VUO114" s="139"/>
      <c r="VUP114" s="139"/>
      <c r="VUQ114" s="139"/>
      <c r="VUR114" s="139"/>
      <c r="VUS114" s="139"/>
      <c r="VUT114" s="139"/>
      <c r="VUU114" s="139"/>
      <c r="VUV114" s="139"/>
      <c r="VUW114" s="139"/>
      <c r="VUX114" s="139"/>
      <c r="VUY114" s="139"/>
      <c r="VUZ114" s="139"/>
      <c r="VVA114" s="139"/>
      <c r="VVB114" s="139"/>
      <c r="VVC114" s="139"/>
      <c r="VVD114" s="139"/>
      <c r="VVE114" s="139"/>
      <c r="VVF114" s="139"/>
      <c r="VVG114" s="139"/>
      <c r="VVH114" s="139"/>
      <c r="VVI114" s="139"/>
      <c r="VVJ114" s="139"/>
      <c r="VVK114" s="139"/>
      <c r="VVL114" s="139"/>
      <c r="VVM114" s="139"/>
      <c r="VVN114" s="139"/>
      <c r="VVO114" s="139"/>
      <c r="VVP114" s="139"/>
      <c r="VVQ114" s="139"/>
      <c r="VVR114" s="139"/>
      <c r="VVS114" s="139"/>
      <c r="VVT114" s="139"/>
      <c r="VVU114" s="139"/>
      <c r="VVV114" s="139"/>
      <c r="VVW114" s="139"/>
      <c r="VVX114" s="139"/>
      <c r="VVY114" s="139"/>
      <c r="VVZ114" s="139"/>
      <c r="VWA114" s="139"/>
      <c r="VWB114" s="139"/>
      <c r="VWC114" s="139"/>
      <c r="VWD114" s="139"/>
      <c r="VWE114" s="139"/>
      <c r="VWF114" s="139"/>
      <c r="VWG114" s="139"/>
      <c r="VWH114" s="139"/>
      <c r="VWI114" s="139"/>
      <c r="VWJ114" s="139"/>
      <c r="VWK114" s="139"/>
      <c r="VWL114" s="139"/>
      <c r="VWM114" s="139"/>
      <c r="VWN114" s="139"/>
      <c r="VWO114" s="139"/>
      <c r="VWP114" s="139"/>
      <c r="VWQ114" s="139"/>
      <c r="VWR114" s="139"/>
      <c r="VWS114" s="139"/>
      <c r="VWT114" s="139"/>
      <c r="VWU114" s="139"/>
      <c r="VWV114" s="139"/>
      <c r="VWW114" s="139"/>
      <c r="VWX114" s="139"/>
      <c r="VWY114" s="139"/>
      <c r="VWZ114" s="139"/>
      <c r="VXA114" s="139"/>
      <c r="VXB114" s="139"/>
      <c r="VXC114" s="139"/>
      <c r="VXD114" s="139"/>
      <c r="VXE114" s="139"/>
      <c r="VXF114" s="139"/>
      <c r="VXG114" s="139"/>
      <c r="VXH114" s="139"/>
      <c r="VXI114" s="139"/>
      <c r="VXJ114" s="139"/>
      <c r="VXK114" s="139"/>
      <c r="VXL114" s="139"/>
      <c r="VXM114" s="139"/>
      <c r="VXN114" s="139"/>
      <c r="VXO114" s="139"/>
      <c r="VXP114" s="139"/>
      <c r="VXQ114" s="139"/>
      <c r="VXR114" s="139"/>
      <c r="VXS114" s="139"/>
      <c r="VXT114" s="139"/>
      <c r="VXU114" s="139"/>
      <c r="VXV114" s="139"/>
      <c r="VXW114" s="139"/>
      <c r="VXX114" s="139"/>
      <c r="VXY114" s="139"/>
      <c r="VXZ114" s="139"/>
      <c r="VYA114" s="139"/>
      <c r="VYB114" s="139"/>
      <c r="VYC114" s="139"/>
      <c r="VYD114" s="139"/>
      <c r="VYE114" s="139"/>
      <c r="VYF114" s="139"/>
      <c r="VYG114" s="139"/>
      <c r="VYH114" s="139"/>
      <c r="VYI114" s="139"/>
      <c r="VYJ114" s="139"/>
      <c r="VYK114" s="139"/>
      <c r="VYL114" s="139"/>
      <c r="VYM114" s="139"/>
      <c r="VYN114" s="139"/>
      <c r="VYO114" s="139"/>
      <c r="VYP114" s="139"/>
      <c r="VYQ114" s="139"/>
      <c r="VYR114" s="139"/>
      <c r="VYS114" s="139"/>
      <c r="VYT114" s="139"/>
      <c r="VYU114" s="139"/>
      <c r="VYV114" s="139"/>
      <c r="VYW114" s="139"/>
      <c r="VYX114" s="139"/>
      <c r="VYY114" s="139"/>
      <c r="VYZ114" s="139"/>
      <c r="VZA114" s="139"/>
      <c r="VZB114" s="139"/>
      <c r="VZC114" s="139"/>
      <c r="VZD114" s="139"/>
      <c r="VZE114" s="139"/>
      <c r="VZF114" s="139"/>
      <c r="VZG114" s="139"/>
      <c r="VZH114" s="139"/>
      <c r="VZI114" s="139"/>
      <c r="VZJ114" s="139"/>
      <c r="VZK114" s="139"/>
      <c r="VZL114" s="139"/>
      <c r="VZM114" s="139"/>
      <c r="VZN114" s="139"/>
      <c r="VZO114" s="139"/>
      <c r="VZP114" s="139"/>
      <c r="VZQ114" s="139"/>
      <c r="VZR114" s="139"/>
      <c r="VZS114" s="139"/>
      <c r="VZT114" s="139"/>
      <c r="VZU114" s="139"/>
      <c r="VZV114" s="139"/>
      <c r="VZW114" s="139"/>
      <c r="VZX114" s="139"/>
      <c r="VZY114" s="139"/>
      <c r="VZZ114" s="139"/>
      <c r="WAA114" s="139"/>
      <c r="WAB114" s="139"/>
      <c r="WAC114" s="139"/>
      <c r="WAD114" s="139"/>
      <c r="WAE114" s="139"/>
      <c r="WAF114" s="139"/>
      <c r="WAG114" s="139"/>
      <c r="WAH114" s="139"/>
      <c r="WAI114" s="139"/>
      <c r="WAJ114" s="139"/>
      <c r="WAK114" s="139"/>
      <c r="WAL114" s="139"/>
      <c r="WAM114" s="139"/>
      <c r="WAN114" s="139"/>
      <c r="WAO114" s="139"/>
      <c r="WAP114" s="139"/>
      <c r="WAQ114" s="139"/>
      <c r="WAR114" s="139"/>
      <c r="WAS114" s="139"/>
      <c r="WAT114" s="139"/>
      <c r="WAU114" s="139"/>
      <c r="WAV114" s="139"/>
      <c r="WAW114" s="139"/>
      <c r="WAX114" s="139"/>
      <c r="WAY114" s="139"/>
      <c r="WAZ114" s="139"/>
      <c r="WBA114" s="139"/>
      <c r="WBB114" s="139"/>
      <c r="WBC114" s="139"/>
      <c r="WBD114" s="139"/>
      <c r="WBE114" s="139"/>
      <c r="WBF114" s="139"/>
      <c r="WBG114" s="139"/>
      <c r="WBH114" s="139"/>
      <c r="WBI114" s="139"/>
      <c r="WBJ114" s="139"/>
      <c r="WBK114" s="139"/>
      <c r="WBL114" s="139"/>
      <c r="WBM114" s="139"/>
      <c r="WBN114" s="139"/>
      <c r="WBO114" s="139"/>
      <c r="WBP114" s="139"/>
      <c r="WBQ114" s="139"/>
      <c r="WBR114" s="139"/>
      <c r="WBS114" s="139"/>
      <c r="WBT114" s="139"/>
      <c r="WBU114" s="139"/>
      <c r="WBV114" s="139"/>
      <c r="WBW114" s="139"/>
      <c r="WBX114" s="139"/>
      <c r="WBY114" s="139"/>
      <c r="WBZ114" s="139"/>
      <c r="WCA114" s="139"/>
      <c r="WCB114" s="139"/>
      <c r="WCC114" s="139"/>
      <c r="WCD114" s="139"/>
      <c r="WCE114" s="139"/>
      <c r="WCF114" s="139"/>
      <c r="WCG114" s="139"/>
      <c r="WCH114" s="139"/>
      <c r="WCI114" s="139"/>
      <c r="WCJ114" s="139"/>
      <c r="WCK114" s="139"/>
      <c r="WCL114" s="139"/>
      <c r="WCM114" s="139"/>
      <c r="WCN114" s="139"/>
      <c r="WCO114" s="139"/>
      <c r="WCP114" s="139"/>
      <c r="WCQ114" s="139"/>
      <c r="WCR114" s="139"/>
      <c r="WCS114" s="139"/>
      <c r="WCT114" s="139"/>
      <c r="WCU114" s="139"/>
      <c r="WCV114" s="139"/>
      <c r="WCW114" s="139"/>
      <c r="WCX114" s="139"/>
      <c r="WCY114" s="139"/>
      <c r="WCZ114" s="139"/>
      <c r="WDA114" s="139"/>
      <c r="WDB114" s="139"/>
      <c r="WDC114" s="139"/>
      <c r="WDD114" s="139"/>
      <c r="WDE114" s="139"/>
      <c r="WDF114" s="139"/>
      <c r="WDG114" s="139"/>
      <c r="WDH114" s="139"/>
      <c r="WDI114" s="139"/>
      <c r="WDJ114" s="139"/>
      <c r="WDK114" s="139"/>
      <c r="WDL114" s="139"/>
      <c r="WDM114" s="139"/>
      <c r="WDN114" s="139"/>
      <c r="WDO114" s="139"/>
      <c r="WDP114" s="139"/>
      <c r="WDQ114" s="139"/>
      <c r="WDR114" s="139"/>
      <c r="WDS114" s="139"/>
      <c r="WDT114" s="139"/>
      <c r="WDU114" s="139"/>
      <c r="WDV114" s="139"/>
      <c r="WDW114" s="139"/>
      <c r="WDX114" s="139"/>
      <c r="WDY114" s="139"/>
      <c r="WDZ114" s="139"/>
      <c r="WEA114" s="139"/>
      <c r="WEB114" s="139"/>
      <c r="WEC114" s="139"/>
      <c r="WED114" s="139"/>
      <c r="WEE114" s="139"/>
      <c r="WEF114" s="139"/>
      <c r="WEG114" s="139"/>
      <c r="WEH114" s="139"/>
      <c r="WEI114" s="139"/>
      <c r="WEJ114" s="139"/>
      <c r="WEK114" s="139"/>
      <c r="WEL114" s="139"/>
      <c r="WEM114" s="139"/>
      <c r="WEN114" s="139"/>
      <c r="WEO114" s="139"/>
      <c r="WEP114" s="139"/>
      <c r="WEQ114" s="139"/>
      <c r="WER114" s="139"/>
      <c r="WES114" s="139"/>
      <c r="WET114" s="139"/>
      <c r="WEU114" s="139"/>
      <c r="WEV114" s="139"/>
      <c r="WEW114" s="139"/>
      <c r="WEX114" s="139"/>
      <c r="WEY114" s="139"/>
      <c r="WEZ114" s="139"/>
      <c r="WFA114" s="139"/>
      <c r="WFB114" s="139"/>
      <c r="WFC114" s="139"/>
      <c r="WFD114" s="139"/>
      <c r="WFE114" s="139"/>
      <c r="WFF114" s="139"/>
      <c r="WFG114" s="139"/>
      <c r="WFH114" s="139"/>
      <c r="WFI114" s="139"/>
      <c r="WFJ114" s="139"/>
      <c r="WFK114" s="139"/>
      <c r="WFL114" s="139"/>
      <c r="WFM114" s="139"/>
      <c r="WFN114" s="139"/>
      <c r="WFO114" s="139"/>
      <c r="WFP114" s="139"/>
      <c r="WFQ114" s="139"/>
      <c r="WFR114" s="139"/>
      <c r="WFS114" s="139"/>
      <c r="WFT114" s="139"/>
      <c r="WFU114" s="139"/>
      <c r="WFV114" s="139"/>
      <c r="WFW114" s="139"/>
      <c r="WFX114" s="139"/>
      <c r="WFY114" s="139"/>
      <c r="WFZ114" s="139"/>
      <c r="WGA114" s="139"/>
      <c r="WGB114" s="139"/>
      <c r="WGC114" s="139"/>
      <c r="WGD114" s="139"/>
      <c r="WGE114" s="139"/>
      <c r="WGF114" s="139"/>
      <c r="WGG114" s="139"/>
      <c r="WGH114" s="139"/>
      <c r="WGI114" s="139"/>
      <c r="WGJ114" s="139"/>
      <c r="WGK114" s="139"/>
      <c r="WGL114" s="139"/>
      <c r="WGM114" s="139"/>
      <c r="WGN114" s="139"/>
      <c r="WGO114" s="139"/>
      <c r="WGP114" s="139"/>
      <c r="WGQ114" s="139"/>
      <c r="WGR114" s="139"/>
      <c r="WGS114" s="139"/>
      <c r="WGT114" s="139"/>
      <c r="WGU114" s="139"/>
      <c r="WGV114" s="139"/>
      <c r="WGW114" s="139"/>
      <c r="WGX114" s="139"/>
      <c r="WGY114" s="139"/>
      <c r="WGZ114" s="139"/>
      <c r="WHA114" s="139"/>
      <c r="WHB114" s="139"/>
      <c r="WHC114" s="139"/>
      <c r="WHD114" s="139"/>
      <c r="WHE114" s="139"/>
      <c r="WHF114" s="139"/>
      <c r="WHG114" s="139"/>
      <c r="WHH114" s="139"/>
      <c r="WHI114" s="139"/>
      <c r="WHJ114" s="139"/>
      <c r="WHK114" s="139"/>
      <c r="WHL114" s="139"/>
      <c r="WHM114" s="139"/>
      <c r="WHN114" s="139"/>
      <c r="WHO114" s="139"/>
      <c r="WHP114" s="139"/>
      <c r="WHQ114" s="139"/>
      <c r="WHR114" s="139"/>
      <c r="WHS114" s="139"/>
      <c r="WHT114" s="139"/>
      <c r="WHU114" s="139"/>
      <c r="WHV114" s="139"/>
      <c r="WHW114" s="139"/>
      <c r="WHX114" s="139"/>
      <c r="WHY114" s="139"/>
      <c r="WHZ114" s="139"/>
      <c r="WIA114" s="139"/>
      <c r="WIB114" s="139"/>
      <c r="WIC114" s="139"/>
      <c r="WID114" s="139"/>
      <c r="WIE114" s="139"/>
      <c r="WIF114" s="139"/>
      <c r="WIG114" s="139"/>
      <c r="WIH114" s="139"/>
      <c r="WII114" s="139"/>
      <c r="WIJ114" s="139"/>
      <c r="WIK114" s="139"/>
      <c r="WIL114" s="139"/>
      <c r="WIM114" s="139"/>
      <c r="WIN114" s="139"/>
      <c r="WIO114" s="139"/>
      <c r="WIP114" s="139"/>
      <c r="WIQ114" s="139"/>
      <c r="WIR114" s="139"/>
      <c r="WIS114" s="139"/>
      <c r="WIT114" s="139"/>
      <c r="WIU114" s="139"/>
      <c r="WIV114" s="139"/>
      <c r="WIW114" s="139"/>
      <c r="WIX114" s="139"/>
      <c r="WIY114" s="139"/>
      <c r="WIZ114" s="139"/>
      <c r="WJA114" s="139"/>
      <c r="WJB114" s="139"/>
      <c r="WJC114" s="139"/>
      <c r="WJD114" s="139"/>
      <c r="WJE114" s="139"/>
      <c r="WJF114" s="139"/>
      <c r="WJG114" s="139"/>
      <c r="WJH114" s="139"/>
      <c r="WJI114" s="139"/>
      <c r="WJJ114" s="139"/>
      <c r="WJK114" s="139"/>
      <c r="WJL114" s="139"/>
      <c r="WJM114" s="139"/>
      <c r="WJN114" s="139"/>
      <c r="WJO114" s="139"/>
      <c r="WJP114" s="139"/>
      <c r="WJQ114" s="139"/>
      <c r="WJR114" s="139"/>
      <c r="WJS114" s="139"/>
      <c r="WJT114" s="139"/>
      <c r="WJU114" s="139"/>
      <c r="WJV114" s="139"/>
      <c r="WJW114" s="139"/>
      <c r="WJX114" s="139"/>
      <c r="WJY114" s="139"/>
      <c r="WJZ114" s="139"/>
      <c r="WKA114" s="139"/>
      <c r="WKB114" s="139"/>
      <c r="WKC114" s="139"/>
      <c r="WKD114" s="139"/>
      <c r="WKE114" s="139"/>
      <c r="WKF114" s="139"/>
      <c r="WKG114" s="139"/>
      <c r="WKH114" s="139"/>
      <c r="WKI114" s="139"/>
      <c r="WKJ114" s="139"/>
      <c r="WKK114" s="139"/>
      <c r="WKL114" s="139"/>
      <c r="WKM114" s="139"/>
      <c r="WKN114" s="139"/>
      <c r="WKO114" s="139"/>
      <c r="WKP114" s="139"/>
      <c r="WKQ114" s="139"/>
      <c r="WKR114" s="139"/>
      <c r="WKS114" s="139"/>
      <c r="WKT114" s="139"/>
      <c r="WKU114" s="139"/>
      <c r="WKV114" s="139"/>
      <c r="WKW114" s="139"/>
      <c r="WKX114" s="139"/>
      <c r="WKY114" s="139"/>
      <c r="WKZ114" s="139"/>
      <c r="WLA114" s="139"/>
      <c r="WLB114" s="139"/>
      <c r="WLC114" s="139"/>
      <c r="WLD114" s="139"/>
      <c r="WLE114" s="139"/>
      <c r="WLF114" s="139"/>
      <c r="WLG114" s="139"/>
      <c r="WLH114" s="139"/>
      <c r="WLI114" s="139"/>
      <c r="WLJ114" s="139"/>
      <c r="WLK114" s="139"/>
      <c r="WLL114" s="139"/>
      <c r="WLM114" s="139"/>
      <c r="WLN114" s="139"/>
      <c r="WLO114" s="139"/>
      <c r="WLP114" s="139"/>
      <c r="WLQ114" s="139"/>
      <c r="WLR114" s="139"/>
      <c r="WLS114" s="139"/>
      <c r="WLT114" s="139"/>
      <c r="WLU114" s="139"/>
      <c r="WLV114" s="139"/>
      <c r="WLW114" s="139"/>
      <c r="WLX114" s="139"/>
      <c r="WLY114" s="139"/>
      <c r="WLZ114" s="139"/>
      <c r="WMA114" s="139"/>
      <c r="WMB114" s="139"/>
      <c r="WMC114" s="139"/>
      <c r="WMD114" s="139"/>
      <c r="WME114" s="139"/>
      <c r="WMF114" s="139"/>
      <c r="WMG114" s="139"/>
      <c r="WMH114" s="139"/>
      <c r="WMI114" s="139"/>
      <c r="WMJ114" s="139"/>
      <c r="WMK114" s="139"/>
      <c r="WML114" s="139"/>
      <c r="WMM114" s="139"/>
      <c r="WMN114" s="139"/>
      <c r="WMO114" s="139"/>
      <c r="WMP114" s="139"/>
      <c r="WMQ114" s="139"/>
      <c r="WMR114" s="139"/>
      <c r="WMS114" s="139"/>
      <c r="WMT114" s="139"/>
      <c r="WMU114" s="139"/>
      <c r="WMV114" s="139"/>
      <c r="WMW114" s="139"/>
      <c r="WMX114" s="139"/>
      <c r="WMY114" s="139"/>
      <c r="WMZ114" s="139"/>
      <c r="WNA114" s="139"/>
      <c r="WNB114" s="139"/>
      <c r="WNC114" s="139"/>
      <c r="WND114" s="139"/>
      <c r="WNE114" s="139"/>
      <c r="WNF114" s="139"/>
      <c r="WNG114" s="139"/>
      <c r="WNH114" s="139"/>
      <c r="WNI114" s="139"/>
      <c r="WNJ114" s="139"/>
      <c r="WNK114" s="139"/>
      <c r="WNL114" s="139"/>
      <c r="WNM114" s="139"/>
      <c r="WNN114" s="139"/>
      <c r="WNO114" s="139"/>
      <c r="WNP114" s="139"/>
      <c r="WNQ114" s="139"/>
      <c r="WNR114" s="139"/>
      <c r="WNS114" s="139"/>
      <c r="WNT114" s="139"/>
      <c r="WNU114" s="139"/>
      <c r="WNV114" s="139"/>
      <c r="WNW114" s="139"/>
      <c r="WNX114" s="139"/>
      <c r="WNY114" s="139"/>
      <c r="WNZ114" s="139"/>
      <c r="WOA114" s="139"/>
      <c r="WOB114" s="139"/>
      <c r="WOC114" s="139"/>
      <c r="WOD114" s="139"/>
      <c r="WOE114" s="139"/>
      <c r="WOF114" s="139"/>
      <c r="WOG114" s="139"/>
      <c r="WOH114" s="139"/>
      <c r="WOI114" s="139"/>
      <c r="WOJ114" s="139"/>
      <c r="WOK114" s="139"/>
      <c r="WOL114" s="139"/>
      <c r="WOM114" s="139"/>
      <c r="WON114" s="139"/>
      <c r="WOO114" s="139"/>
      <c r="WOP114" s="139"/>
      <c r="WOQ114" s="139"/>
      <c r="WOR114" s="139"/>
      <c r="WOS114" s="139"/>
      <c r="WOT114" s="139"/>
      <c r="WOU114" s="139"/>
      <c r="WOV114" s="139"/>
      <c r="WOW114" s="139"/>
      <c r="WOX114" s="139"/>
      <c r="WOY114" s="139"/>
      <c r="WOZ114" s="139"/>
      <c r="WPA114" s="139"/>
      <c r="WPB114" s="139"/>
      <c r="WPC114" s="139"/>
      <c r="WPD114" s="139"/>
      <c r="WPE114" s="139"/>
      <c r="WPF114" s="139"/>
      <c r="WPG114" s="139"/>
      <c r="WPH114" s="139"/>
      <c r="WPI114" s="139"/>
      <c r="WPJ114" s="139"/>
      <c r="WPK114" s="139"/>
      <c r="WPL114" s="139"/>
      <c r="WPM114" s="139"/>
      <c r="WPN114" s="139"/>
      <c r="WPO114" s="139"/>
      <c r="WPP114" s="139"/>
      <c r="WPQ114" s="139"/>
      <c r="WPR114" s="139"/>
      <c r="WPS114" s="139"/>
      <c r="WPT114" s="139"/>
      <c r="WPU114" s="139"/>
      <c r="WPV114" s="139"/>
      <c r="WPW114" s="139"/>
      <c r="WPX114" s="139"/>
      <c r="WPY114" s="139"/>
      <c r="WPZ114" s="139"/>
      <c r="WQA114" s="139"/>
      <c r="WQB114" s="139"/>
      <c r="WQC114" s="139"/>
      <c r="WQD114" s="139"/>
      <c r="WQE114" s="139"/>
      <c r="WQF114" s="139"/>
      <c r="WQG114" s="139"/>
      <c r="WQH114" s="139"/>
      <c r="WQI114" s="139"/>
      <c r="WQJ114" s="139"/>
      <c r="WQK114" s="139"/>
      <c r="WQL114" s="139"/>
      <c r="WQM114" s="139"/>
      <c r="WQN114" s="139"/>
      <c r="WQO114" s="139"/>
      <c r="WQP114" s="139"/>
      <c r="WQQ114" s="139"/>
      <c r="WQR114" s="139"/>
      <c r="WQS114" s="139"/>
      <c r="WQT114" s="139"/>
      <c r="WQU114" s="139"/>
      <c r="WQV114" s="139"/>
      <c r="WQW114" s="139"/>
      <c r="WQX114" s="139"/>
      <c r="WQY114" s="139"/>
      <c r="WQZ114" s="139"/>
      <c r="WRA114" s="139"/>
      <c r="WRB114" s="139"/>
      <c r="WRC114" s="139"/>
      <c r="WRD114" s="139"/>
      <c r="WRE114" s="139"/>
      <c r="WRF114" s="139"/>
      <c r="WRG114" s="139"/>
      <c r="WRH114" s="139"/>
      <c r="WRI114" s="139"/>
      <c r="WRJ114" s="139"/>
      <c r="WRK114" s="139"/>
      <c r="WRL114" s="139"/>
      <c r="WRM114" s="139"/>
      <c r="WRN114" s="139"/>
      <c r="WRO114" s="139"/>
      <c r="WRP114" s="139"/>
      <c r="WRQ114" s="139"/>
      <c r="WRR114" s="139"/>
      <c r="WRS114" s="139"/>
      <c r="WRT114" s="139"/>
      <c r="WRU114" s="139"/>
      <c r="WRV114" s="139"/>
      <c r="WRW114" s="139"/>
      <c r="WRX114" s="139"/>
      <c r="WRY114" s="139"/>
      <c r="WRZ114" s="139"/>
      <c r="WSA114" s="139"/>
      <c r="WSB114" s="139"/>
      <c r="WSC114" s="139"/>
      <c r="WSD114" s="139"/>
      <c r="WSE114" s="139"/>
      <c r="WSF114" s="139"/>
      <c r="WSG114" s="139"/>
      <c r="WSH114" s="139"/>
      <c r="WSI114" s="139"/>
      <c r="WSJ114" s="139"/>
      <c r="WSK114" s="139"/>
      <c r="WSL114" s="139"/>
      <c r="WSM114" s="139"/>
      <c r="WSN114" s="139"/>
      <c r="WSO114" s="139"/>
      <c r="WSP114" s="139"/>
      <c r="WSQ114" s="139"/>
      <c r="WSR114" s="139"/>
      <c r="WSS114" s="139"/>
      <c r="WST114" s="139"/>
      <c r="WSU114" s="139"/>
      <c r="WSV114" s="139"/>
      <c r="WSW114" s="139"/>
      <c r="WSX114" s="139"/>
      <c r="WSY114" s="139"/>
      <c r="WSZ114" s="139"/>
      <c r="WTA114" s="139"/>
      <c r="WTB114" s="139"/>
      <c r="WTC114" s="139"/>
      <c r="WTD114" s="139"/>
      <c r="WTE114" s="139"/>
      <c r="WTF114" s="139"/>
      <c r="WTG114" s="139"/>
      <c r="WTH114" s="139"/>
      <c r="WTI114" s="139"/>
      <c r="WTJ114" s="139"/>
      <c r="WTK114" s="139"/>
      <c r="WTL114" s="139"/>
      <c r="WTM114" s="139"/>
      <c r="WTN114" s="139"/>
      <c r="WTO114" s="139"/>
      <c r="WTP114" s="139"/>
      <c r="WTQ114" s="139"/>
      <c r="WTR114" s="139"/>
      <c r="WTS114" s="139"/>
      <c r="WTT114" s="139"/>
      <c r="WTU114" s="139"/>
      <c r="WTV114" s="139"/>
      <c r="WTW114" s="139"/>
      <c r="WTX114" s="139"/>
      <c r="WTY114" s="139"/>
      <c r="WTZ114" s="139"/>
      <c r="WUA114" s="139"/>
      <c r="WUB114" s="139"/>
      <c r="WUC114" s="139"/>
      <c r="WUD114" s="139"/>
      <c r="WUE114" s="139"/>
      <c r="WUF114" s="139"/>
      <c r="WUG114" s="139"/>
      <c r="WUH114" s="139"/>
      <c r="WUI114" s="139"/>
      <c r="WUJ114" s="139"/>
      <c r="WUK114" s="139"/>
      <c r="WUL114" s="139"/>
      <c r="WUM114" s="139"/>
      <c r="WUN114" s="139"/>
      <c r="WUO114" s="139"/>
      <c r="WUP114" s="139"/>
      <c r="WUQ114" s="139"/>
      <c r="WUR114" s="139"/>
      <c r="WUS114" s="139"/>
      <c r="WUT114" s="139"/>
      <c r="WUU114" s="139"/>
      <c r="WUV114" s="139"/>
      <c r="WUW114" s="139"/>
      <c r="WUX114" s="139"/>
      <c r="WUY114" s="139"/>
      <c r="WUZ114" s="139"/>
      <c r="WVA114" s="139"/>
      <c r="WVB114" s="139"/>
      <c r="WVC114" s="139"/>
      <c r="WVD114" s="139"/>
      <c r="WVE114" s="139"/>
      <c r="WVF114" s="139"/>
      <c r="WVG114" s="139"/>
      <c r="WVH114" s="139"/>
      <c r="WVI114" s="139"/>
      <c r="WVJ114" s="139"/>
      <c r="WVK114" s="139"/>
      <c r="WVL114" s="139"/>
      <c r="WVM114" s="139"/>
      <c r="WVN114" s="139"/>
      <c r="WVO114" s="139"/>
      <c r="WVP114" s="139"/>
      <c r="WVQ114" s="139"/>
      <c r="WVR114" s="139"/>
      <c r="WVS114" s="139"/>
      <c r="WVT114" s="139"/>
      <c r="WVU114" s="139"/>
      <c r="WVV114" s="139"/>
      <c r="WVW114" s="139"/>
    </row>
    <row r="115" spans="1:16143" s="140" customFormat="1" x14ac:dyDescent="0.2">
      <c r="A115" s="139"/>
      <c r="B115" s="636" t="s">
        <v>362</v>
      </c>
      <c r="C115" s="339" t="str">
        <f t="shared" ref="C115:N115" si="33">+IF(C10&lt;&gt;0,"Ok","")</f>
        <v>Ok</v>
      </c>
      <c r="D115" s="859" t="str">
        <f t="shared" si="33"/>
        <v/>
      </c>
      <c r="E115" s="859" t="str">
        <f t="shared" si="33"/>
        <v/>
      </c>
      <c r="F115" s="859" t="str">
        <f t="shared" si="33"/>
        <v/>
      </c>
      <c r="G115" s="339" t="str">
        <f t="shared" si="33"/>
        <v>Ok</v>
      </c>
      <c r="H115" s="339" t="str">
        <f t="shared" si="33"/>
        <v>Ok</v>
      </c>
      <c r="I115" s="339" t="str">
        <f t="shared" si="33"/>
        <v>Ok</v>
      </c>
      <c r="J115" s="339" t="str">
        <f t="shared" si="33"/>
        <v>Ok</v>
      </c>
      <c r="K115" s="339" t="str">
        <f t="shared" si="33"/>
        <v/>
      </c>
      <c r="L115" s="339" t="str">
        <f t="shared" si="33"/>
        <v/>
      </c>
      <c r="M115" s="339" t="str">
        <f t="shared" si="33"/>
        <v/>
      </c>
      <c r="N115" s="339" t="str">
        <f t="shared" si="33"/>
        <v/>
      </c>
      <c r="Q115" s="171"/>
      <c r="R115" s="171"/>
      <c r="S115" s="139"/>
      <c r="T115" s="139"/>
      <c r="U115" s="139"/>
      <c r="V115" s="139"/>
      <c r="W115" s="139"/>
      <c r="X115" s="139"/>
      <c r="Y115" s="139"/>
      <c r="Z115" s="139"/>
      <c r="AA115" s="139"/>
      <c r="AB115" s="139"/>
      <c r="AC115" s="139"/>
      <c r="AD115" s="139"/>
      <c r="AE115" s="139"/>
      <c r="AF115" s="139"/>
      <c r="AG115" s="139"/>
      <c r="AH115" s="139"/>
      <c r="AI115" s="139"/>
      <c r="AJ115" s="139"/>
      <c r="AK115" s="139"/>
      <c r="AL115" s="139"/>
      <c r="AM115" s="139"/>
      <c r="AN115" s="139"/>
      <c r="AO115" s="139"/>
      <c r="AP115" s="139"/>
      <c r="AQ115" s="139"/>
      <c r="AR115" s="139"/>
      <c r="AS115" s="139"/>
      <c r="AT115" s="139"/>
      <c r="AU115" s="139"/>
      <c r="AV115" s="139"/>
      <c r="AW115" s="139"/>
      <c r="AX115" s="139"/>
      <c r="AY115" s="139"/>
      <c r="AZ115" s="139"/>
      <c r="BA115" s="139"/>
      <c r="BB115" s="139"/>
      <c r="BC115" s="139"/>
      <c r="BD115" s="139"/>
      <c r="BE115" s="139"/>
      <c r="BF115" s="139"/>
      <c r="BG115" s="139"/>
      <c r="BH115" s="139"/>
      <c r="BI115" s="139"/>
      <c r="BJ115" s="139"/>
      <c r="BK115" s="139"/>
      <c r="BL115" s="139"/>
      <c r="BM115" s="139"/>
      <c r="BN115" s="139"/>
      <c r="BO115" s="139"/>
      <c r="BP115" s="139"/>
      <c r="BQ115" s="139"/>
      <c r="BR115" s="139"/>
      <c r="BS115" s="139"/>
      <c r="BT115" s="139"/>
      <c r="BU115" s="139"/>
      <c r="BV115" s="139"/>
      <c r="BW115" s="139"/>
      <c r="BX115" s="139"/>
      <c r="BY115" s="139"/>
      <c r="BZ115" s="139"/>
      <c r="CA115" s="139"/>
      <c r="CB115" s="139"/>
      <c r="CC115" s="139"/>
      <c r="CD115" s="139"/>
      <c r="CE115" s="139"/>
      <c r="CF115" s="139"/>
      <c r="CG115" s="139"/>
      <c r="CH115" s="139"/>
      <c r="CI115" s="139"/>
      <c r="CJ115" s="139"/>
      <c r="CK115" s="139"/>
      <c r="CL115" s="139"/>
      <c r="CM115" s="139"/>
      <c r="CN115" s="139"/>
      <c r="CO115" s="139"/>
      <c r="CP115" s="139"/>
      <c r="CQ115" s="139"/>
      <c r="CR115" s="139"/>
      <c r="CS115" s="139"/>
      <c r="CT115" s="139"/>
      <c r="CU115" s="139"/>
      <c r="CV115" s="139"/>
      <c r="CW115" s="139"/>
      <c r="CX115" s="139"/>
      <c r="CY115" s="139"/>
      <c r="CZ115" s="139"/>
      <c r="DA115" s="139"/>
      <c r="DB115" s="139"/>
      <c r="DC115" s="139"/>
      <c r="DD115" s="139"/>
      <c r="DE115" s="139"/>
      <c r="DF115" s="139"/>
      <c r="DG115" s="139"/>
      <c r="DH115" s="139"/>
      <c r="DI115" s="139"/>
      <c r="DJ115" s="139"/>
      <c r="DK115" s="139"/>
      <c r="DL115" s="139"/>
      <c r="DM115" s="139"/>
      <c r="DN115" s="139"/>
      <c r="DO115" s="139"/>
      <c r="DP115" s="139"/>
      <c r="DQ115" s="139"/>
      <c r="DR115" s="139"/>
      <c r="DS115" s="139"/>
      <c r="DT115" s="139"/>
      <c r="DU115" s="139"/>
      <c r="DV115" s="139"/>
      <c r="DW115" s="139"/>
      <c r="DX115" s="139"/>
      <c r="DY115" s="139"/>
      <c r="DZ115" s="139"/>
      <c r="EA115" s="139"/>
      <c r="EB115" s="139"/>
      <c r="EC115" s="139"/>
      <c r="ED115" s="139"/>
      <c r="EE115" s="139"/>
      <c r="EF115" s="139"/>
      <c r="EG115" s="139"/>
      <c r="EH115" s="139"/>
      <c r="EI115" s="139"/>
      <c r="EJ115" s="139"/>
      <c r="EK115" s="139"/>
      <c r="EL115" s="139"/>
      <c r="EM115" s="139"/>
      <c r="EN115" s="139"/>
      <c r="EO115" s="139"/>
      <c r="EP115" s="139"/>
      <c r="EQ115" s="139"/>
      <c r="ER115" s="139"/>
      <c r="ES115" s="139"/>
      <c r="ET115" s="139"/>
      <c r="EU115" s="139"/>
      <c r="EV115" s="139"/>
      <c r="EW115" s="139"/>
      <c r="EX115" s="139"/>
      <c r="EY115" s="139"/>
      <c r="EZ115" s="139"/>
      <c r="FA115" s="139"/>
      <c r="FB115" s="139"/>
      <c r="FC115" s="139"/>
      <c r="FD115" s="139"/>
      <c r="FE115" s="139"/>
      <c r="FF115" s="139"/>
      <c r="FG115" s="139"/>
      <c r="FH115" s="139"/>
      <c r="FI115" s="139"/>
      <c r="FJ115" s="139"/>
      <c r="FK115" s="139"/>
      <c r="FL115" s="139"/>
      <c r="FM115" s="139"/>
      <c r="FN115" s="139"/>
      <c r="FO115" s="139"/>
      <c r="FP115" s="139"/>
      <c r="FQ115" s="139"/>
      <c r="FR115" s="139"/>
      <c r="FS115" s="139"/>
      <c r="FT115" s="139"/>
      <c r="FU115" s="139"/>
      <c r="FV115" s="139"/>
      <c r="FW115" s="139"/>
      <c r="FX115" s="139"/>
      <c r="FY115" s="139"/>
      <c r="FZ115" s="139"/>
      <c r="GA115" s="139"/>
      <c r="GB115" s="139"/>
      <c r="GC115" s="139"/>
      <c r="GD115" s="139"/>
      <c r="GE115" s="139"/>
      <c r="GF115" s="139"/>
      <c r="GG115" s="139"/>
      <c r="GH115" s="139"/>
      <c r="GI115" s="139"/>
      <c r="GJ115" s="139"/>
      <c r="GK115" s="139"/>
      <c r="GL115" s="139"/>
      <c r="GM115" s="139"/>
      <c r="GN115" s="139"/>
      <c r="GO115" s="139"/>
      <c r="GP115" s="139"/>
      <c r="GQ115" s="139"/>
      <c r="GR115" s="139"/>
      <c r="GS115" s="139"/>
      <c r="GT115" s="139"/>
      <c r="GU115" s="139"/>
      <c r="GV115" s="139"/>
      <c r="GW115" s="139"/>
      <c r="GX115" s="139"/>
      <c r="GY115" s="139"/>
      <c r="GZ115" s="139"/>
      <c r="HA115" s="139"/>
      <c r="HB115" s="139"/>
      <c r="HC115" s="139"/>
      <c r="HD115" s="139"/>
      <c r="HE115" s="139"/>
      <c r="HF115" s="139"/>
      <c r="HG115" s="139"/>
      <c r="HH115" s="139"/>
      <c r="HI115" s="139"/>
      <c r="HJ115" s="139"/>
      <c r="HK115" s="139"/>
      <c r="HL115" s="139"/>
      <c r="HM115" s="139"/>
      <c r="HN115" s="139"/>
      <c r="HO115" s="139"/>
      <c r="HP115" s="139"/>
      <c r="HQ115" s="139"/>
      <c r="HR115" s="139"/>
      <c r="HS115" s="139"/>
      <c r="HT115" s="139"/>
      <c r="HU115" s="139"/>
      <c r="HV115" s="139"/>
      <c r="HW115" s="139"/>
      <c r="HX115" s="139"/>
      <c r="HY115" s="139"/>
      <c r="HZ115" s="139"/>
      <c r="IA115" s="139"/>
      <c r="IB115" s="139"/>
      <c r="IC115" s="139"/>
      <c r="ID115" s="139"/>
      <c r="IE115" s="139"/>
      <c r="IF115" s="139"/>
      <c r="IG115" s="139"/>
      <c r="IH115" s="139"/>
      <c r="II115" s="139"/>
      <c r="IJ115" s="139"/>
      <c r="IK115" s="139"/>
      <c r="IL115" s="139"/>
      <c r="IM115" s="139"/>
      <c r="IN115" s="139"/>
      <c r="IO115" s="139"/>
      <c r="IP115" s="139"/>
      <c r="IQ115" s="139"/>
      <c r="IR115" s="139"/>
      <c r="IS115" s="139"/>
      <c r="IT115" s="139"/>
      <c r="IU115" s="139"/>
      <c r="IV115" s="139"/>
      <c r="IW115" s="139"/>
      <c r="IX115" s="139"/>
      <c r="IY115" s="139"/>
      <c r="IZ115" s="139"/>
      <c r="JA115" s="139"/>
      <c r="JB115" s="139"/>
      <c r="JC115" s="139"/>
      <c r="JD115" s="139"/>
      <c r="JE115" s="139"/>
      <c r="JF115" s="139"/>
      <c r="JG115" s="139"/>
      <c r="JH115" s="139"/>
      <c r="JI115" s="139"/>
      <c r="JJ115" s="139"/>
      <c r="JK115" s="139"/>
      <c r="JL115" s="139"/>
      <c r="JM115" s="139"/>
      <c r="JN115" s="139"/>
      <c r="JO115" s="139"/>
      <c r="JP115" s="139"/>
      <c r="JQ115" s="139"/>
      <c r="JR115" s="139"/>
      <c r="JS115" s="139"/>
      <c r="JT115" s="139"/>
      <c r="JU115" s="139"/>
      <c r="JV115" s="139"/>
      <c r="JW115" s="139"/>
      <c r="JX115" s="139"/>
      <c r="JY115" s="139"/>
      <c r="JZ115" s="139"/>
      <c r="KA115" s="139"/>
      <c r="KB115" s="139"/>
      <c r="KC115" s="139"/>
      <c r="KD115" s="139"/>
      <c r="KE115" s="139"/>
      <c r="KF115" s="139"/>
      <c r="KG115" s="139"/>
      <c r="KH115" s="139"/>
      <c r="KI115" s="139"/>
      <c r="KJ115" s="139"/>
      <c r="KK115" s="139"/>
      <c r="KL115" s="139"/>
      <c r="KM115" s="139"/>
      <c r="KN115" s="139"/>
      <c r="KO115" s="139"/>
      <c r="KP115" s="139"/>
      <c r="KQ115" s="139"/>
      <c r="KR115" s="139"/>
      <c r="KS115" s="139"/>
      <c r="KT115" s="139"/>
      <c r="KU115" s="139"/>
      <c r="KV115" s="139"/>
      <c r="KW115" s="139"/>
      <c r="KX115" s="139"/>
      <c r="KY115" s="139"/>
      <c r="KZ115" s="139"/>
      <c r="LA115" s="139"/>
      <c r="LB115" s="139"/>
      <c r="LC115" s="139"/>
      <c r="LD115" s="139"/>
      <c r="LE115" s="139"/>
      <c r="LF115" s="139"/>
      <c r="LG115" s="139"/>
      <c r="LH115" s="139"/>
      <c r="LI115" s="139"/>
      <c r="LJ115" s="139"/>
      <c r="LK115" s="139"/>
      <c r="LL115" s="139"/>
      <c r="LM115" s="139"/>
      <c r="LN115" s="139"/>
      <c r="LO115" s="139"/>
      <c r="LP115" s="139"/>
      <c r="LQ115" s="139"/>
      <c r="LR115" s="139"/>
      <c r="LS115" s="139"/>
      <c r="LT115" s="139"/>
      <c r="LU115" s="139"/>
      <c r="LV115" s="139"/>
      <c r="LW115" s="139"/>
      <c r="LX115" s="139"/>
      <c r="LY115" s="139"/>
      <c r="LZ115" s="139"/>
      <c r="MA115" s="139"/>
      <c r="MB115" s="139"/>
      <c r="MC115" s="139"/>
      <c r="MD115" s="139"/>
      <c r="ME115" s="139"/>
      <c r="MF115" s="139"/>
      <c r="MG115" s="139"/>
      <c r="MH115" s="139"/>
      <c r="MI115" s="139"/>
      <c r="MJ115" s="139"/>
      <c r="MK115" s="139"/>
      <c r="ML115" s="139"/>
      <c r="MM115" s="139"/>
      <c r="MN115" s="139"/>
      <c r="MO115" s="139"/>
      <c r="MP115" s="139"/>
      <c r="MQ115" s="139"/>
      <c r="MR115" s="139"/>
      <c r="MS115" s="139"/>
      <c r="MT115" s="139"/>
      <c r="MU115" s="139"/>
      <c r="MV115" s="139"/>
      <c r="MW115" s="139"/>
      <c r="MX115" s="139"/>
      <c r="MY115" s="139"/>
      <c r="MZ115" s="139"/>
      <c r="NA115" s="139"/>
      <c r="NB115" s="139"/>
      <c r="NC115" s="139"/>
      <c r="ND115" s="139"/>
      <c r="NE115" s="139"/>
      <c r="NF115" s="139"/>
      <c r="NG115" s="139"/>
      <c r="NH115" s="139"/>
      <c r="NI115" s="139"/>
      <c r="NJ115" s="139"/>
      <c r="NK115" s="139"/>
      <c r="NL115" s="139"/>
      <c r="NM115" s="139"/>
      <c r="NN115" s="139"/>
      <c r="NO115" s="139"/>
      <c r="NP115" s="139"/>
      <c r="NQ115" s="139"/>
      <c r="NR115" s="139"/>
      <c r="NS115" s="139"/>
      <c r="NT115" s="139"/>
      <c r="NU115" s="139"/>
      <c r="NV115" s="139"/>
      <c r="NW115" s="139"/>
      <c r="NX115" s="139"/>
      <c r="NY115" s="139"/>
      <c r="NZ115" s="139"/>
      <c r="OA115" s="139"/>
      <c r="OB115" s="139"/>
      <c r="OC115" s="139"/>
      <c r="OD115" s="139"/>
      <c r="OE115" s="139"/>
      <c r="OF115" s="139"/>
      <c r="OG115" s="139"/>
      <c r="OH115" s="139"/>
      <c r="OI115" s="139"/>
      <c r="OJ115" s="139"/>
      <c r="OK115" s="139"/>
      <c r="OL115" s="139"/>
      <c r="OM115" s="139"/>
      <c r="ON115" s="139"/>
      <c r="OO115" s="139"/>
      <c r="OP115" s="139"/>
      <c r="OQ115" s="139"/>
      <c r="OR115" s="139"/>
      <c r="OS115" s="139"/>
      <c r="OT115" s="139"/>
      <c r="OU115" s="139"/>
      <c r="OV115" s="139"/>
      <c r="OW115" s="139"/>
      <c r="OX115" s="139"/>
      <c r="OY115" s="139"/>
      <c r="OZ115" s="139"/>
      <c r="PA115" s="139"/>
      <c r="PB115" s="139"/>
      <c r="PC115" s="139"/>
      <c r="PD115" s="139"/>
      <c r="PE115" s="139"/>
      <c r="PF115" s="139"/>
      <c r="PG115" s="139"/>
      <c r="PH115" s="139"/>
      <c r="PI115" s="139"/>
      <c r="PJ115" s="139"/>
      <c r="PK115" s="139"/>
      <c r="PL115" s="139"/>
      <c r="PM115" s="139"/>
      <c r="PN115" s="139"/>
      <c r="PO115" s="139"/>
      <c r="PP115" s="139"/>
      <c r="PQ115" s="139"/>
      <c r="PR115" s="139"/>
      <c r="PS115" s="139"/>
      <c r="PT115" s="139"/>
      <c r="PU115" s="139"/>
      <c r="PV115" s="139"/>
      <c r="PW115" s="139"/>
      <c r="PX115" s="139"/>
      <c r="PY115" s="139"/>
      <c r="PZ115" s="139"/>
      <c r="QA115" s="139"/>
      <c r="QB115" s="139"/>
      <c r="QC115" s="139"/>
      <c r="QD115" s="139"/>
      <c r="QE115" s="139"/>
      <c r="QF115" s="139"/>
      <c r="QG115" s="139"/>
      <c r="QH115" s="139"/>
      <c r="QI115" s="139"/>
      <c r="QJ115" s="139"/>
      <c r="QK115" s="139"/>
      <c r="QL115" s="139"/>
      <c r="QM115" s="139"/>
      <c r="QN115" s="139"/>
      <c r="QO115" s="139"/>
      <c r="QP115" s="139"/>
      <c r="QQ115" s="139"/>
      <c r="QR115" s="139"/>
      <c r="QS115" s="139"/>
      <c r="QT115" s="139"/>
      <c r="QU115" s="139"/>
      <c r="QV115" s="139"/>
      <c r="QW115" s="139"/>
      <c r="QX115" s="139"/>
      <c r="QY115" s="139"/>
      <c r="QZ115" s="139"/>
      <c r="RA115" s="139"/>
      <c r="RB115" s="139"/>
      <c r="RC115" s="139"/>
      <c r="RD115" s="139"/>
      <c r="RE115" s="139"/>
      <c r="RF115" s="139"/>
      <c r="RG115" s="139"/>
      <c r="RH115" s="139"/>
      <c r="RI115" s="139"/>
      <c r="RJ115" s="139"/>
      <c r="RK115" s="139"/>
      <c r="RL115" s="139"/>
      <c r="RM115" s="139"/>
      <c r="RN115" s="139"/>
      <c r="RO115" s="139"/>
      <c r="RP115" s="139"/>
      <c r="RQ115" s="139"/>
      <c r="RR115" s="139"/>
      <c r="RS115" s="139"/>
      <c r="RT115" s="139"/>
      <c r="RU115" s="139"/>
      <c r="RV115" s="139"/>
      <c r="RW115" s="139"/>
      <c r="RX115" s="139"/>
      <c r="RY115" s="139"/>
      <c r="RZ115" s="139"/>
      <c r="SA115" s="139"/>
      <c r="SB115" s="139"/>
      <c r="SC115" s="139"/>
      <c r="SD115" s="139"/>
      <c r="SE115" s="139"/>
      <c r="SF115" s="139"/>
      <c r="SG115" s="139"/>
      <c r="SH115" s="139"/>
      <c r="SI115" s="139"/>
      <c r="SJ115" s="139"/>
      <c r="SK115" s="139"/>
      <c r="SL115" s="139"/>
      <c r="SM115" s="139"/>
      <c r="SN115" s="139"/>
      <c r="SO115" s="139"/>
      <c r="SP115" s="139"/>
      <c r="SQ115" s="139"/>
      <c r="SR115" s="139"/>
      <c r="SS115" s="139"/>
      <c r="ST115" s="139"/>
      <c r="SU115" s="139"/>
      <c r="SV115" s="139"/>
      <c r="SW115" s="139"/>
      <c r="SX115" s="139"/>
      <c r="SY115" s="139"/>
      <c r="SZ115" s="139"/>
      <c r="TA115" s="139"/>
      <c r="TB115" s="139"/>
      <c r="TC115" s="139"/>
      <c r="TD115" s="139"/>
      <c r="TE115" s="139"/>
      <c r="TF115" s="139"/>
      <c r="TG115" s="139"/>
      <c r="TH115" s="139"/>
      <c r="TI115" s="139"/>
      <c r="TJ115" s="139"/>
      <c r="TK115" s="139"/>
      <c r="TL115" s="139"/>
      <c r="TM115" s="139"/>
      <c r="TN115" s="139"/>
      <c r="TO115" s="139"/>
      <c r="TP115" s="139"/>
      <c r="TQ115" s="139"/>
      <c r="TR115" s="139"/>
      <c r="TS115" s="139"/>
      <c r="TT115" s="139"/>
      <c r="TU115" s="139"/>
      <c r="TV115" s="139"/>
      <c r="TW115" s="139"/>
      <c r="TX115" s="139"/>
      <c r="TY115" s="139"/>
      <c r="TZ115" s="139"/>
      <c r="UA115" s="139"/>
      <c r="UB115" s="139"/>
      <c r="UC115" s="139"/>
      <c r="UD115" s="139"/>
      <c r="UE115" s="139"/>
      <c r="UF115" s="139"/>
      <c r="UG115" s="139"/>
      <c r="UH115" s="139"/>
      <c r="UI115" s="139"/>
      <c r="UJ115" s="139"/>
      <c r="UK115" s="139"/>
      <c r="UL115" s="139"/>
      <c r="UM115" s="139"/>
      <c r="UN115" s="139"/>
      <c r="UO115" s="139"/>
      <c r="UP115" s="139"/>
      <c r="UQ115" s="139"/>
      <c r="UR115" s="139"/>
      <c r="US115" s="139"/>
      <c r="UT115" s="139"/>
      <c r="UU115" s="139"/>
      <c r="UV115" s="139"/>
      <c r="UW115" s="139"/>
      <c r="UX115" s="139"/>
      <c r="UY115" s="139"/>
      <c r="UZ115" s="139"/>
      <c r="VA115" s="139"/>
      <c r="VB115" s="139"/>
      <c r="VC115" s="139"/>
      <c r="VD115" s="139"/>
      <c r="VE115" s="139"/>
      <c r="VF115" s="139"/>
      <c r="VG115" s="139"/>
      <c r="VH115" s="139"/>
      <c r="VI115" s="139"/>
      <c r="VJ115" s="139"/>
      <c r="VK115" s="139"/>
      <c r="VL115" s="139"/>
      <c r="VM115" s="139"/>
      <c r="VN115" s="139"/>
      <c r="VO115" s="139"/>
      <c r="VP115" s="139"/>
      <c r="VQ115" s="139"/>
      <c r="VR115" s="139"/>
      <c r="VS115" s="139"/>
      <c r="VT115" s="139"/>
      <c r="VU115" s="139"/>
      <c r="VV115" s="139"/>
      <c r="VW115" s="139"/>
      <c r="VX115" s="139"/>
      <c r="VY115" s="139"/>
      <c r="VZ115" s="139"/>
      <c r="WA115" s="139"/>
      <c r="WB115" s="139"/>
      <c r="WC115" s="139"/>
      <c r="WD115" s="139"/>
      <c r="WE115" s="139"/>
      <c r="WF115" s="139"/>
      <c r="WG115" s="139"/>
      <c r="WH115" s="139"/>
      <c r="WI115" s="139"/>
      <c r="WJ115" s="139"/>
      <c r="WK115" s="139"/>
      <c r="WL115" s="139"/>
      <c r="WM115" s="139"/>
      <c r="WN115" s="139"/>
      <c r="WO115" s="139"/>
      <c r="WP115" s="139"/>
      <c r="WQ115" s="139"/>
      <c r="WR115" s="139"/>
      <c r="WS115" s="139"/>
      <c r="WT115" s="139"/>
      <c r="WU115" s="139"/>
      <c r="WV115" s="139"/>
      <c r="WW115" s="139"/>
      <c r="WX115" s="139"/>
      <c r="WY115" s="139"/>
      <c r="WZ115" s="139"/>
      <c r="XA115" s="139"/>
      <c r="XB115" s="139"/>
      <c r="XC115" s="139"/>
      <c r="XD115" s="139"/>
      <c r="XE115" s="139"/>
      <c r="XF115" s="139"/>
      <c r="XG115" s="139"/>
      <c r="XH115" s="139"/>
      <c r="XI115" s="139"/>
      <c r="XJ115" s="139"/>
      <c r="XK115" s="139"/>
      <c r="XL115" s="139"/>
      <c r="XM115" s="139"/>
      <c r="XN115" s="139"/>
      <c r="XO115" s="139"/>
      <c r="XP115" s="139"/>
      <c r="XQ115" s="139"/>
      <c r="XR115" s="139"/>
      <c r="XS115" s="139"/>
      <c r="XT115" s="139"/>
      <c r="XU115" s="139"/>
      <c r="XV115" s="139"/>
      <c r="XW115" s="139"/>
      <c r="XX115" s="139"/>
      <c r="XY115" s="139"/>
      <c r="XZ115" s="139"/>
      <c r="YA115" s="139"/>
      <c r="YB115" s="139"/>
      <c r="YC115" s="139"/>
      <c r="YD115" s="139"/>
      <c r="YE115" s="139"/>
      <c r="YF115" s="139"/>
      <c r="YG115" s="139"/>
      <c r="YH115" s="139"/>
      <c r="YI115" s="139"/>
      <c r="YJ115" s="139"/>
      <c r="YK115" s="139"/>
      <c r="YL115" s="139"/>
      <c r="YM115" s="139"/>
      <c r="YN115" s="139"/>
      <c r="YO115" s="139"/>
      <c r="YP115" s="139"/>
      <c r="YQ115" s="139"/>
      <c r="YR115" s="139"/>
      <c r="YS115" s="139"/>
      <c r="YT115" s="139"/>
      <c r="YU115" s="139"/>
      <c r="YV115" s="139"/>
      <c r="YW115" s="139"/>
      <c r="YX115" s="139"/>
      <c r="YY115" s="139"/>
      <c r="YZ115" s="139"/>
      <c r="ZA115" s="139"/>
      <c r="ZB115" s="139"/>
      <c r="ZC115" s="139"/>
      <c r="ZD115" s="139"/>
      <c r="ZE115" s="139"/>
      <c r="ZF115" s="139"/>
      <c r="ZG115" s="139"/>
      <c r="ZH115" s="139"/>
      <c r="ZI115" s="139"/>
      <c r="ZJ115" s="139"/>
      <c r="ZK115" s="139"/>
      <c r="ZL115" s="139"/>
      <c r="ZM115" s="139"/>
      <c r="ZN115" s="139"/>
      <c r="ZO115" s="139"/>
      <c r="ZP115" s="139"/>
      <c r="ZQ115" s="139"/>
      <c r="ZR115" s="139"/>
      <c r="ZS115" s="139"/>
      <c r="ZT115" s="139"/>
      <c r="ZU115" s="139"/>
      <c r="ZV115" s="139"/>
      <c r="ZW115" s="139"/>
      <c r="ZX115" s="139"/>
      <c r="ZY115" s="139"/>
      <c r="ZZ115" s="139"/>
      <c r="AAA115" s="139"/>
      <c r="AAB115" s="139"/>
      <c r="AAC115" s="139"/>
      <c r="AAD115" s="139"/>
      <c r="AAE115" s="139"/>
      <c r="AAF115" s="139"/>
      <c r="AAG115" s="139"/>
      <c r="AAH115" s="139"/>
      <c r="AAI115" s="139"/>
      <c r="AAJ115" s="139"/>
      <c r="AAK115" s="139"/>
      <c r="AAL115" s="139"/>
      <c r="AAM115" s="139"/>
      <c r="AAN115" s="139"/>
      <c r="AAO115" s="139"/>
      <c r="AAP115" s="139"/>
      <c r="AAQ115" s="139"/>
      <c r="AAR115" s="139"/>
      <c r="AAS115" s="139"/>
      <c r="AAT115" s="139"/>
      <c r="AAU115" s="139"/>
      <c r="AAV115" s="139"/>
      <c r="AAW115" s="139"/>
      <c r="AAX115" s="139"/>
      <c r="AAY115" s="139"/>
      <c r="AAZ115" s="139"/>
      <c r="ABA115" s="139"/>
      <c r="ABB115" s="139"/>
      <c r="ABC115" s="139"/>
      <c r="ABD115" s="139"/>
      <c r="ABE115" s="139"/>
      <c r="ABF115" s="139"/>
      <c r="ABG115" s="139"/>
      <c r="ABH115" s="139"/>
      <c r="ABI115" s="139"/>
      <c r="ABJ115" s="139"/>
      <c r="ABK115" s="139"/>
      <c r="ABL115" s="139"/>
      <c r="ABM115" s="139"/>
      <c r="ABN115" s="139"/>
      <c r="ABO115" s="139"/>
      <c r="ABP115" s="139"/>
      <c r="ABQ115" s="139"/>
      <c r="ABR115" s="139"/>
      <c r="ABS115" s="139"/>
      <c r="ABT115" s="139"/>
      <c r="ABU115" s="139"/>
      <c r="ABV115" s="139"/>
      <c r="ABW115" s="139"/>
      <c r="ABX115" s="139"/>
      <c r="ABY115" s="139"/>
      <c r="ABZ115" s="139"/>
      <c r="ACA115" s="139"/>
      <c r="ACB115" s="139"/>
      <c r="ACC115" s="139"/>
      <c r="ACD115" s="139"/>
      <c r="ACE115" s="139"/>
      <c r="ACF115" s="139"/>
      <c r="ACG115" s="139"/>
      <c r="ACH115" s="139"/>
      <c r="ACI115" s="139"/>
      <c r="ACJ115" s="139"/>
      <c r="ACK115" s="139"/>
      <c r="ACL115" s="139"/>
      <c r="ACM115" s="139"/>
      <c r="ACN115" s="139"/>
      <c r="ACO115" s="139"/>
      <c r="ACP115" s="139"/>
      <c r="ACQ115" s="139"/>
      <c r="ACR115" s="139"/>
      <c r="ACS115" s="139"/>
      <c r="ACT115" s="139"/>
      <c r="ACU115" s="139"/>
      <c r="ACV115" s="139"/>
      <c r="ACW115" s="139"/>
      <c r="ACX115" s="139"/>
      <c r="ACY115" s="139"/>
      <c r="ACZ115" s="139"/>
      <c r="ADA115" s="139"/>
      <c r="ADB115" s="139"/>
      <c r="ADC115" s="139"/>
      <c r="ADD115" s="139"/>
      <c r="ADE115" s="139"/>
      <c r="ADF115" s="139"/>
      <c r="ADG115" s="139"/>
      <c r="ADH115" s="139"/>
      <c r="ADI115" s="139"/>
      <c r="ADJ115" s="139"/>
      <c r="ADK115" s="139"/>
      <c r="ADL115" s="139"/>
      <c r="ADM115" s="139"/>
      <c r="ADN115" s="139"/>
      <c r="ADO115" s="139"/>
      <c r="ADP115" s="139"/>
      <c r="ADQ115" s="139"/>
      <c r="ADR115" s="139"/>
      <c r="ADS115" s="139"/>
      <c r="ADT115" s="139"/>
      <c r="ADU115" s="139"/>
      <c r="ADV115" s="139"/>
      <c r="ADW115" s="139"/>
      <c r="ADX115" s="139"/>
      <c r="ADY115" s="139"/>
      <c r="ADZ115" s="139"/>
      <c r="AEA115" s="139"/>
      <c r="AEB115" s="139"/>
      <c r="AEC115" s="139"/>
      <c r="AED115" s="139"/>
      <c r="AEE115" s="139"/>
      <c r="AEF115" s="139"/>
      <c r="AEG115" s="139"/>
      <c r="AEH115" s="139"/>
      <c r="AEI115" s="139"/>
      <c r="AEJ115" s="139"/>
      <c r="AEK115" s="139"/>
      <c r="AEL115" s="139"/>
      <c r="AEM115" s="139"/>
      <c r="AEN115" s="139"/>
      <c r="AEO115" s="139"/>
      <c r="AEP115" s="139"/>
      <c r="AEQ115" s="139"/>
      <c r="AER115" s="139"/>
      <c r="AES115" s="139"/>
      <c r="AET115" s="139"/>
      <c r="AEU115" s="139"/>
      <c r="AEV115" s="139"/>
      <c r="AEW115" s="139"/>
      <c r="AEX115" s="139"/>
      <c r="AEY115" s="139"/>
      <c r="AEZ115" s="139"/>
      <c r="AFA115" s="139"/>
      <c r="AFB115" s="139"/>
      <c r="AFC115" s="139"/>
      <c r="AFD115" s="139"/>
      <c r="AFE115" s="139"/>
      <c r="AFF115" s="139"/>
      <c r="AFG115" s="139"/>
      <c r="AFH115" s="139"/>
      <c r="AFI115" s="139"/>
      <c r="AFJ115" s="139"/>
      <c r="AFK115" s="139"/>
      <c r="AFL115" s="139"/>
      <c r="AFM115" s="139"/>
      <c r="AFN115" s="139"/>
      <c r="AFO115" s="139"/>
      <c r="AFP115" s="139"/>
      <c r="AFQ115" s="139"/>
      <c r="AFR115" s="139"/>
      <c r="AFS115" s="139"/>
      <c r="AFT115" s="139"/>
      <c r="AFU115" s="139"/>
      <c r="AFV115" s="139"/>
      <c r="AFW115" s="139"/>
      <c r="AFX115" s="139"/>
      <c r="AFY115" s="139"/>
      <c r="AFZ115" s="139"/>
      <c r="AGA115" s="139"/>
      <c r="AGB115" s="139"/>
      <c r="AGC115" s="139"/>
      <c r="AGD115" s="139"/>
      <c r="AGE115" s="139"/>
      <c r="AGF115" s="139"/>
      <c r="AGG115" s="139"/>
      <c r="AGH115" s="139"/>
      <c r="AGI115" s="139"/>
      <c r="AGJ115" s="139"/>
      <c r="AGK115" s="139"/>
      <c r="AGL115" s="139"/>
      <c r="AGM115" s="139"/>
      <c r="AGN115" s="139"/>
      <c r="AGO115" s="139"/>
      <c r="AGP115" s="139"/>
      <c r="AGQ115" s="139"/>
      <c r="AGR115" s="139"/>
      <c r="AGS115" s="139"/>
      <c r="AGT115" s="139"/>
      <c r="AGU115" s="139"/>
      <c r="AGV115" s="139"/>
      <c r="AGW115" s="139"/>
      <c r="AGX115" s="139"/>
      <c r="AGY115" s="139"/>
      <c r="AGZ115" s="139"/>
      <c r="AHA115" s="139"/>
      <c r="AHB115" s="139"/>
      <c r="AHC115" s="139"/>
      <c r="AHD115" s="139"/>
      <c r="AHE115" s="139"/>
      <c r="AHF115" s="139"/>
      <c r="AHG115" s="139"/>
      <c r="AHH115" s="139"/>
      <c r="AHI115" s="139"/>
      <c r="AHJ115" s="139"/>
      <c r="AHK115" s="139"/>
      <c r="AHL115" s="139"/>
      <c r="AHM115" s="139"/>
      <c r="AHN115" s="139"/>
      <c r="AHO115" s="139"/>
      <c r="AHP115" s="139"/>
      <c r="AHQ115" s="139"/>
      <c r="AHR115" s="139"/>
      <c r="AHS115" s="139"/>
      <c r="AHT115" s="139"/>
      <c r="AHU115" s="139"/>
      <c r="AHV115" s="139"/>
      <c r="AHW115" s="139"/>
      <c r="AHX115" s="139"/>
      <c r="AHY115" s="139"/>
      <c r="AHZ115" s="139"/>
      <c r="AIA115" s="139"/>
      <c r="AIB115" s="139"/>
      <c r="AIC115" s="139"/>
      <c r="AID115" s="139"/>
      <c r="AIE115" s="139"/>
      <c r="AIF115" s="139"/>
      <c r="AIG115" s="139"/>
      <c r="AIH115" s="139"/>
      <c r="AII115" s="139"/>
      <c r="AIJ115" s="139"/>
      <c r="AIK115" s="139"/>
      <c r="AIL115" s="139"/>
      <c r="AIM115" s="139"/>
      <c r="AIN115" s="139"/>
      <c r="AIO115" s="139"/>
      <c r="AIP115" s="139"/>
      <c r="AIQ115" s="139"/>
      <c r="AIR115" s="139"/>
      <c r="AIS115" s="139"/>
      <c r="AIT115" s="139"/>
      <c r="AIU115" s="139"/>
      <c r="AIV115" s="139"/>
      <c r="AIW115" s="139"/>
      <c r="AIX115" s="139"/>
      <c r="AIY115" s="139"/>
      <c r="AIZ115" s="139"/>
      <c r="AJA115" s="139"/>
      <c r="AJB115" s="139"/>
      <c r="AJC115" s="139"/>
      <c r="AJD115" s="139"/>
      <c r="AJE115" s="139"/>
      <c r="AJF115" s="139"/>
      <c r="AJG115" s="139"/>
      <c r="AJH115" s="139"/>
      <c r="AJI115" s="139"/>
      <c r="AJJ115" s="139"/>
      <c r="AJK115" s="139"/>
      <c r="AJL115" s="139"/>
      <c r="AJM115" s="139"/>
      <c r="AJN115" s="139"/>
      <c r="AJO115" s="139"/>
      <c r="AJP115" s="139"/>
      <c r="AJQ115" s="139"/>
      <c r="AJR115" s="139"/>
      <c r="AJS115" s="139"/>
      <c r="AJT115" s="139"/>
      <c r="AJU115" s="139"/>
      <c r="AJV115" s="139"/>
      <c r="AJW115" s="139"/>
      <c r="AJX115" s="139"/>
      <c r="AJY115" s="139"/>
      <c r="AJZ115" s="139"/>
      <c r="AKA115" s="139"/>
      <c r="AKB115" s="139"/>
      <c r="AKC115" s="139"/>
      <c r="AKD115" s="139"/>
      <c r="AKE115" s="139"/>
      <c r="AKF115" s="139"/>
      <c r="AKG115" s="139"/>
      <c r="AKH115" s="139"/>
      <c r="AKI115" s="139"/>
      <c r="AKJ115" s="139"/>
      <c r="AKK115" s="139"/>
      <c r="AKL115" s="139"/>
      <c r="AKM115" s="139"/>
      <c r="AKN115" s="139"/>
      <c r="AKO115" s="139"/>
      <c r="AKP115" s="139"/>
      <c r="AKQ115" s="139"/>
      <c r="AKR115" s="139"/>
      <c r="AKS115" s="139"/>
      <c r="AKT115" s="139"/>
      <c r="AKU115" s="139"/>
      <c r="AKV115" s="139"/>
      <c r="AKW115" s="139"/>
      <c r="AKX115" s="139"/>
      <c r="AKY115" s="139"/>
      <c r="AKZ115" s="139"/>
      <c r="ALA115" s="139"/>
      <c r="ALB115" s="139"/>
      <c r="ALC115" s="139"/>
      <c r="ALD115" s="139"/>
      <c r="ALE115" s="139"/>
      <c r="ALF115" s="139"/>
      <c r="ALG115" s="139"/>
      <c r="ALH115" s="139"/>
      <c r="ALI115" s="139"/>
      <c r="ALJ115" s="139"/>
      <c r="ALK115" s="139"/>
      <c r="ALL115" s="139"/>
      <c r="ALM115" s="139"/>
      <c r="ALN115" s="139"/>
      <c r="ALO115" s="139"/>
      <c r="ALP115" s="139"/>
      <c r="ALQ115" s="139"/>
      <c r="ALR115" s="139"/>
      <c r="ALS115" s="139"/>
      <c r="ALT115" s="139"/>
      <c r="ALU115" s="139"/>
      <c r="ALV115" s="139"/>
      <c r="ALW115" s="139"/>
      <c r="ALX115" s="139"/>
      <c r="ALY115" s="139"/>
      <c r="ALZ115" s="139"/>
      <c r="AMA115" s="139"/>
      <c r="AMB115" s="139"/>
      <c r="AMC115" s="139"/>
      <c r="AMD115" s="139"/>
      <c r="AME115" s="139"/>
      <c r="AMF115" s="139"/>
      <c r="AMG115" s="139"/>
      <c r="AMH115" s="139"/>
      <c r="AMI115" s="139"/>
      <c r="AMJ115" s="139"/>
      <c r="AMK115" s="139"/>
      <c r="AML115" s="139"/>
      <c r="AMM115" s="139"/>
      <c r="AMN115" s="139"/>
      <c r="AMO115" s="139"/>
      <c r="AMP115" s="139"/>
      <c r="AMQ115" s="139"/>
      <c r="AMR115" s="139"/>
      <c r="AMS115" s="139"/>
      <c r="AMT115" s="139"/>
      <c r="AMU115" s="139"/>
      <c r="AMV115" s="139"/>
      <c r="AMW115" s="139"/>
      <c r="AMX115" s="139"/>
      <c r="AMY115" s="139"/>
      <c r="AMZ115" s="139"/>
      <c r="ANA115" s="139"/>
      <c r="ANB115" s="139"/>
      <c r="ANC115" s="139"/>
      <c r="AND115" s="139"/>
      <c r="ANE115" s="139"/>
      <c r="ANF115" s="139"/>
      <c r="ANG115" s="139"/>
      <c r="ANH115" s="139"/>
      <c r="ANI115" s="139"/>
      <c r="ANJ115" s="139"/>
      <c r="ANK115" s="139"/>
      <c r="ANL115" s="139"/>
      <c r="ANM115" s="139"/>
      <c r="ANN115" s="139"/>
      <c r="ANO115" s="139"/>
      <c r="ANP115" s="139"/>
      <c r="ANQ115" s="139"/>
      <c r="ANR115" s="139"/>
      <c r="ANS115" s="139"/>
      <c r="ANT115" s="139"/>
      <c r="ANU115" s="139"/>
      <c r="ANV115" s="139"/>
      <c r="ANW115" s="139"/>
      <c r="ANX115" s="139"/>
      <c r="ANY115" s="139"/>
      <c r="ANZ115" s="139"/>
      <c r="AOA115" s="139"/>
      <c r="AOB115" s="139"/>
      <c r="AOC115" s="139"/>
      <c r="AOD115" s="139"/>
      <c r="AOE115" s="139"/>
      <c r="AOF115" s="139"/>
      <c r="AOG115" s="139"/>
      <c r="AOH115" s="139"/>
      <c r="AOI115" s="139"/>
      <c r="AOJ115" s="139"/>
      <c r="AOK115" s="139"/>
      <c r="AOL115" s="139"/>
      <c r="AOM115" s="139"/>
      <c r="AON115" s="139"/>
      <c r="AOO115" s="139"/>
      <c r="AOP115" s="139"/>
      <c r="AOQ115" s="139"/>
      <c r="AOR115" s="139"/>
      <c r="AOS115" s="139"/>
      <c r="AOT115" s="139"/>
      <c r="AOU115" s="139"/>
      <c r="AOV115" s="139"/>
      <c r="AOW115" s="139"/>
      <c r="AOX115" s="139"/>
      <c r="AOY115" s="139"/>
      <c r="AOZ115" s="139"/>
      <c r="APA115" s="139"/>
      <c r="APB115" s="139"/>
      <c r="APC115" s="139"/>
      <c r="APD115" s="139"/>
      <c r="APE115" s="139"/>
      <c r="APF115" s="139"/>
      <c r="APG115" s="139"/>
      <c r="APH115" s="139"/>
      <c r="API115" s="139"/>
      <c r="APJ115" s="139"/>
      <c r="APK115" s="139"/>
      <c r="APL115" s="139"/>
      <c r="APM115" s="139"/>
      <c r="APN115" s="139"/>
      <c r="APO115" s="139"/>
      <c r="APP115" s="139"/>
      <c r="APQ115" s="139"/>
      <c r="APR115" s="139"/>
      <c r="APS115" s="139"/>
      <c r="APT115" s="139"/>
      <c r="APU115" s="139"/>
      <c r="APV115" s="139"/>
      <c r="APW115" s="139"/>
      <c r="APX115" s="139"/>
      <c r="APY115" s="139"/>
      <c r="APZ115" s="139"/>
      <c r="AQA115" s="139"/>
      <c r="AQB115" s="139"/>
      <c r="AQC115" s="139"/>
      <c r="AQD115" s="139"/>
      <c r="AQE115" s="139"/>
      <c r="AQF115" s="139"/>
      <c r="AQG115" s="139"/>
      <c r="AQH115" s="139"/>
      <c r="AQI115" s="139"/>
      <c r="AQJ115" s="139"/>
      <c r="AQK115" s="139"/>
      <c r="AQL115" s="139"/>
      <c r="AQM115" s="139"/>
      <c r="AQN115" s="139"/>
      <c r="AQO115" s="139"/>
      <c r="AQP115" s="139"/>
      <c r="AQQ115" s="139"/>
      <c r="AQR115" s="139"/>
      <c r="AQS115" s="139"/>
      <c r="AQT115" s="139"/>
      <c r="AQU115" s="139"/>
      <c r="AQV115" s="139"/>
      <c r="AQW115" s="139"/>
      <c r="AQX115" s="139"/>
      <c r="AQY115" s="139"/>
      <c r="AQZ115" s="139"/>
      <c r="ARA115" s="139"/>
      <c r="ARB115" s="139"/>
      <c r="ARC115" s="139"/>
      <c r="ARD115" s="139"/>
      <c r="ARE115" s="139"/>
      <c r="ARF115" s="139"/>
      <c r="ARG115" s="139"/>
      <c r="ARH115" s="139"/>
      <c r="ARI115" s="139"/>
      <c r="ARJ115" s="139"/>
      <c r="ARK115" s="139"/>
      <c r="ARL115" s="139"/>
      <c r="ARM115" s="139"/>
      <c r="ARN115" s="139"/>
      <c r="ARO115" s="139"/>
      <c r="ARP115" s="139"/>
      <c r="ARQ115" s="139"/>
      <c r="ARR115" s="139"/>
      <c r="ARS115" s="139"/>
      <c r="ART115" s="139"/>
      <c r="ARU115" s="139"/>
      <c r="ARV115" s="139"/>
      <c r="ARW115" s="139"/>
      <c r="ARX115" s="139"/>
      <c r="ARY115" s="139"/>
      <c r="ARZ115" s="139"/>
      <c r="ASA115" s="139"/>
      <c r="ASB115" s="139"/>
      <c r="ASC115" s="139"/>
      <c r="ASD115" s="139"/>
      <c r="ASE115" s="139"/>
      <c r="ASF115" s="139"/>
      <c r="ASG115" s="139"/>
      <c r="ASH115" s="139"/>
      <c r="ASI115" s="139"/>
      <c r="ASJ115" s="139"/>
      <c r="ASK115" s="139"/>
      <c r="ASL115" s="139"/>
      <c r="ASM115" s="139"/>
      <c r="ASN115" s="139"/>
      <c r="ASO115" s="139"/>
      <c r="ASP115" s="139"/>
      <c r="ASQ115" s="139"/>
      <c r="ASR115" s="139"/>
      <c r="ASS115" s="139"/>
      <c r="AST115" s="139"/>
      <c r="ASU115" s="139"/>
      <c r="ASV115" s="139"/>
      <c r="ASW115" s="139"/>
      <c r="ASX115" s="139"/>
      <c r="ASY115" s="139"/>
      <c r="ASZ115" s="139"/>
      <c r="ATA115" s="139"/>
      <c r="ATB115" s="139"/>
      <c r="ATC115" s="139"/>
      <c r="ATD115" s="139"/>
      <c r="ATE115" s="139"/>
      <c r="ATF115" s="139"/>
      <c r="ATG115" s="139"/>
      <c r="ATH115" s="139"/>
      <c r="ATI115" s="139"/>
      <c r="ATJ115" s="139"/>
      <c r="ATK115" s="139"/>
      <c r="ATL115" s="139"/>
      <c r="ATM115" s="139"/>
      <c r="ATN115" s="139"/>
      <c r="ATO115" s="139"/>
      <c r="ATP115" s="139"/>
      <c r="ATQ115" s="139"/>
      <c r="ATR115" s="139"/>
      <c r="ATS115" s="139"/>
      <c r="ATT115" s="139"/>
      <c r="ATU115" s="139"/>
      <c r="ATV115" s="139"/>
      <c r="ATW115" s="139"/>
      <c r="ATX115" s="139"/>
      <c r="ATY115" s="139"/>
      <c r="ATZ115" s="139"/>
      <c r="AUA115" s="139"/>
      <c r="AUB115" s="139"/>
      <c r="AUC115" s="139"/>
      <c r="AUD115" s="139"/>
      <c r="AUE115" s="139"/>
      <c r="AUF115" s="139"/>
      <c r="AUG115" s="139"/>
      <c r="AUH115" s="139"/>
      <c r="AUI115" s="139"/>
      <c r="AUJ115" s="139"/>
      <c r="AUK115" s="139"/>
      <c r="AUL115" s="139"/>
      <c r="AUM115" s="139"/>
      <c r="AUN115" s="139"/>
      <c r="AUO115" s="139"/>
      <c r="AUP115" s="139"/>
      <c r="AUQ115" s="139"/>
      <c r="AUR115" s="139"/>
      <c r="AUS115" s="139"/>
      <c r="AUT115" s="139"/>
      <c r="AUU115" s="139"/>
      <c r="AUV115" s="139"/>
      <c r="AUW115" s="139"/>
      <c r="AUX115" s="139"/>
      <c r="AUY115" s="139"/>
      <c r="AUZ115" s="139"/>
      <c r="AVA115" s="139"/>
      <c r="AVB115" s="139"/>
      <c r="AVC115" s="139"/>
      <c r="AVD115" s="139"/>
      <c r="AVE115" s="139"/>
      <c r="AVF115" s="139"/>
      <c r="AVG115" s="139"/>
      <c r="AVH115" s="139"/>
      <c r="AVI115" s="139"/>
      <c r="AVJ115" s="139"/>
      <c r="AVK115" s="139"/>
      <c r="AVL115" s="139"/>
      <c r="AVM115" s="139"/>
      <c r="AVN115" s="139"/>
      <c r="AVO115" s="139"/>
      <c r="AVP115" s="139"/>
      <c r="AVQ115" s="139"/>
      <c r="AVR115" s="139"/>
      <c r="AVS115" s="139"/>
      <c r="AVT115" s="139"/>
      <c r="AVU115" s="139"/>
      <c r="AVV115" s="139"/>
      <c r="AVW115" s="139"/>
      <c r="AVX115" s="139"/>
      <c r="AVY115" s="139"/>
      <c r="AVZ115" s="139"/>
      <c r="AWA115" s="139"/>
      <c r="AWB115" s="139"/>
      <c r="AWC115" s="139"/>
      <c r="AWD115" s="139"/>
      <c r="AWE115" s="139"/>
      <c r="AWF115" s="139"/>
      <c r="AWG115" s="139"/>
      <c r="AWH115" s="139"/>
      <c r="AWI115" s="139"/>
      <c r="AWJ115" s="139"/>
      <c r="AWK115" s="139"/>
      <c r="AWL115" s="139"/>
      <c r="AWM115" s="139"/>
      <c r="AWN115" s="139"/>
      <c r="AWO115" s="139"/>
      <c r="AWP115" s="139"/>
      <c r="AWQ115" s="139"/>
      <c r="AWR115" s="139"/>
      <c r="AWS115" s="139"/>
      <c r="AWT115" s="139"/>
      <c r="AWU115" s="139"/>
      <c r="AWV115" s="139"/>
      <c r="AWW115" s="139"/>
      <c r="AWX115" s="139"/>
      <c r="AWY115" s="139"/>
      <c r="AWZ115" s="139"/>
      <c r="AXA115" s="139"/>
      <c r="AXB115" s="139"/>
      <c r="AXC115" s="139"/>
      <c r="AXD115" s="139"/>
      <c r="AXE115" s="139"/>
      <c r="AXF115" s="139"/>
      <c r="AXG115" s="139"/>
      <c r="AXH115" s="139"/>
      <c r="AXI115" s="139"/>
      <c r="AXJ115" s="139"/>
      <c r="AXK115" s="139"/>
      <c r="AXL115" s="139"/>
      <c r="AXM115" s="139"/>
      <c r="AXN115" s="139"/>
      <c r="AXO115" s="139"/>
      <c r="AXP115" s="139"/>
      <c r="AXQ115" s="139"/>
      <c r="AXR115" s="139"/>
      <c r="AXS115" s="139"/>
      <c r="AXT115" s="139"/>
      <c r="AXU115" s="139"/>
      <c r="AXV115" s="139"/>
      <c r="AXW115" s="139"/>
      <c r="AXX115" s="139"/>
      <c r="AXY115" s="139"/>
      <c r="AXZ115" s="139"/>
      <c r="AYA115" s="139"/>
      <c r="AYB115" s="139"/>
      <c r="AYC115" s="139"/>
      <c r="AYD115" s="139"/>
      <c r="AYE115" s="139"/>
      <c r="AYF115" s="139"/>
      <c r="AYG115" s="139"/>
      <c r="AYH115" s="139"/>
      <c r="AYI115" s="139"/>
      <c r="AYJ115" s="139"/>
      <c r="AYK115" s="139"/>
      <c r="AYL115" s="139"/>
      <c r="AYM115" s="139"/>
      <c r="AYN115" s="139"/>
      <c r="AYO115" s="139"/>
      <c r="AYP115" s="139"/>
      <c r="AYQ115" s="139"/>
      <c r="AYR115" s="139"/>
      <c r="AYS115" s="139"/>
      <c r="AYT115" s="139"/>
      <c r="AYU115" s="139"/>
      <c r="AYV115" s="139"/>
      <c r="AYW115" s="139"/>
      <c r="AYX115" s="139"/>
      <c r="AYY115" s="139"/>
      <c r="AYZ115" s="139"/>
      <c r="AZA115" s="139"/>
      <c r="AZB115" s="139"/>
      <c r="AZC115" s="139"/>
      <c r="AZD115" s="139"/>
      <c r="AZE115" s="139"/>
      <c r="AZF115" s="139"/>
      <c r="AZG115" s="139"/>
      <c r="AZH115" s="139"/>
      <c r="AZI115" s="139"/>
      <c r="AZJ115" s="139"/>
      <c r="AZK115" s="139"/>
      <c r="AZL115" s="139"/>
      <c r="AZM115" s="139"/>
      <c r="AZN115" s="139"/>
      <c r="AZO115" s="139"/>
      <c r="AZP115" s="139"/>
      <c r="AZQ115" s="139"/>
      <c r="AZR115" s="139"/>
      <c r="AZS115" s="139"/>
      <c r="AZT115" s="139"/>
      <c r="AZU115" s="139"/>
      <c r="AZV115" s="139"/>
      <c r="AZW115" s="139"/>
      <c r="AZX115" s="139"/>
      <c r="AZY115" s="139"/>
      <c r="AZZ115" s="139"/>
      <c r="BAA115" s="139"/>
      <c r="BAB115" s="139"/>
      <c r="BAC115" s="139"/>
      <c r="BAD115" s="139"/>
      <c r="BAE115" s="139"/>
      <c r="BAF115" s="139"/>
      <c r="BAG115" s="139"/>
      <c r="BAH115" s="139"/>
      <c r="BAI115" s="139"/>
      <c r="BAJ115" s="139"/>
      <c r="BAK115" s="139"/>
      <c r="BAL115" s="139"/>
      <c r="BAM115" s="139"/>
      <c r="BAN115" s="139"/>
      <c r="BAO115" s="139"/>
      <c r="BAP115" s="139"/>
      <c r="BAQ115" s="139"/>
      <c r="BAR115" s="139"/>
      <c r="BAS115" s="139"/>
      <c r="BAT115" s="139"/>
      <c r="BAU115" s="139"/>
      <c r="BAV115" s="139"/>
      <c r="BAW115" s="139"/>
      <c r="BAX115" s="139"/>
      <c r="BAY115" s="139"/>
      <c r="BAZ115" s="139"/>
      <c r="BBA115" s="139"/>
      <c r="BBB115" s="139"/>
      <c r="BBC115" s="139"/>
      <c r="BBD115" s="139"/>
      <c r="BBE115" s="139"/>
      <c r="BBF115" s="139"/>
      <c r="BBG115" s="139"/>
      <c r="BBH115" s="139"/>
      <c r="BBI115" s="139"/>
      <c r="BBJ115" s="139"/>
      <c r="BBK115" s="139"/>
      <c r="BBL115" s="139"/>
      <c r="BBM115" s="139"/>
      <c r="BBN115" s="139"/>
      <c r="BBO115" s="139"/>
      <c r="BBP115" s="139"/>
      <c r="BBQ115" s="139"/>
      <c r="BBR115" s="139"/>
      <c r="BBS115" s="139"/>
      <c r="BBT115" s="139"/>
      <c r="BBU115" s="139"/>
      <c r="BBV115" s="139"/>
      <c r="BBW115" s="139"/>
      <c r="BBX115" s="139"/>
      <c r="BBY115" s="139"/>
      <c r="BBZ115" s="139"/>
      <c r="BCA115" s="139"/>
      <c r="BCB115" s="139"/>
      <c r="BCC115" s="139"/>
      <c r="BCD115" s="139"/>
      <c r="BCE115" s="139"/>
      <c r="BCF115" s="139"/>
      <c r="BCG115" s="139"/>
      <c r="BCH115" s="139"/>
      <c r="BCI115" s="139"/>
      <c r="BCJ115" s="139"/>
      <c r="BCK115" s="139"/>
      <c r="BCL115" s="139"/>
      <c r="BCM115" s="139"/>
      <c r="BCN115" s="139"/>
      <c r="BCO115" s="139"/>
      <c r="BCP115" s="139"/>
      <c r="BCQ115" s="139"/>
      <c r="BCR115" s="139"/>
      <c r="BCS115" s="139"/>
      <c r="BCT115" s="139"/>
      <c r="BCU115" s="139"/>
      <c r="BCV115" s="139"/>
      <c r="BCW115" s="139"/>
      <c r="BCX115" s="139"/>
      <c r="BCY115" s="139"/>
      <c r="BCZ115" s="139"/>
      <c r="BDA115" s="139"/>
      <c r="BDB115" s="139"/>
      <c r="BDC115" s="139"/>
      <c r="BDD115" s="139"/>
      <c r="BDE115" s="139"/>
      <c r="BDF115" s="139"/>
      <c r="BDG115" s="139"/>
      <c r="BDH115" s="139"/>
      <c r="BDI115" s="139"/>
      <c r="BDJ115" s="139"/>
      <c r="BDK115" s="139"/>
      <c r="BDL115" s="139"/>
      <c r="BDM115" s="139"/>
      <c r="BDN115" s="139"/>
      <c r="BDO115" s="139"/>
      <c r="BDP115" s="139"/>
      <c r="BDQ115" s="139"/>
      <c r="BDR115" s="139"/>
      <c r="BDS115" s="139"/>
      <c r="BDT115" s="139"/>
      <c r="BDU115" s="139"/>
      <c r="BDV115" s="139"/>
      <c r="BDW115" s="139"/>
      <c r="BDX115" s="139"/>
      <c r="BDY115" s="139"/>
      <c r="BDZ115" s="139"/>
      <c r="BEA115" s="139"/>
      <c r="BEB115" s="139"/>
      <c r="BEC115" s="139"/>
      <c r="BED115" s="139"/>
      <c r="BEE115" s="139"/>
      <c r="BEF115" s="139"/>
      <c r="BEG115" s="139"/>
      <c r="BEH115" s="139"/>
      <c r="BEI115" s="139"/>
      <c r="BEJ115" s="139"/>
      <c r="BEK115" s="139"/>
      <c r="BEL115" s="139"/>
      <c r="BEM115" s="139"/>
      <c r="BEN115" s="139"/>
      <c r="BEO115" s="139"/>
      <c r="BEP115" s="139"/>
      <c r="BEQ115" s="139"/>
      <c r="BER115" s="139"/>
      <c r="BES115" s="139"/>
      <c r="BET115" s="139"/>
      <c r="BEU115" s="139"/>
      <c r="BEV115" s="139"/>
      <c r="BEW115" s="139"/>
      <c r="BEX115" s="139"/>
      <c r="BEY115" s="139"/>
      <c r="BEZ115" s="139"/>
      <c r="BFA115" s="139"/>
      <c r="BFB115" s="139"/>
      <c r="BFC115" s="139"/>
      <c r="BFD115" s="139"/>
      <c r="BFE115" s="139"/>
      <c r="BFF115" s="139"/>
      <c r="BFG115" s="139"/>
      <c r="BFH115" s="139"/>
      <c r="BFI115" s="139"/>
      <c r="BFJ115" s="139"/>
      <c r="BFK115" s="139"/>
      <c r="BFL115" s="139"/>
      <c r="BFM115" s="139"/>
      <c r="BFN115" s="139"/>
      <c r="BFO115" s="139"/>
      <c r="BFP115" s="139"/>
      <c r="BFQ115" s="139"/>
      <c r="BFR115" s="139"/>
      <c r="BFS115" s="139"/>
      <c r="BFT115" s="139"/>
      <c r="BFU115" s="139"/>
      <c r="BFV115" s="139"/>
      <c r="BFW115" s="139"/>
      <c r="BFX115" s="139"/>
      <c r="BFY115" s="139"/>
      <c r="BFZ115" s="139"/>
      <c r="BGA115" s="139"/>
      <c r="BGB115" s="139"/>
      <c r="BGC115" s="139"/>
      <c r="BGD115" s="139"/>
      <c r="BGE115" s="139"/>
      <c r="BGF115" s="139"/>
      <c r="BGG115" s="139"/>
      <c r="BGH115" s="139"/>
      <c r="BGI115" s="139"/>
      <c r="BGJ115" s="139"/>
      <c r="BGK115" s="139"/>
      <c r="BGL115" s="139"/>
      <c r="BGM115" s="139"/>
      <c r="BGN115" s="139"/>
      <c r="BGO115" s="139"/>
      <c r="BGP115" s="139"/>
      <c r="BGQ115" s="139"/>
      <c r="BGR115" s="139"/>
      <c r="BGS115" s="139"/>
      <c r="BGT115" s="139"/>
      <c r="BGU115" s="139"/>
      <c r="BGV115" s="139"/>
      <c r="BGW115" s="139"/>
      <c r="BGX115" s="139"/>
      <c r="BGY115" s="139"/>
      <c r="BGZ115" s="139"/>
      <c r="BHA115" s="139"/>
      <c r="BHB115" s="139"/>
      <c r="BHC115" s="139"/>
      <c r="BHD115" s="139"/>
      <c r="BHE115" s="139"/>
      <c r="BHF115" s="139"/>
      <c r="BHG115" s="139"/>
      <c r="BHH115" s="139"/>
      <c r="BHI115" s="139"/>
      <c r="BHJ115" s="139"/>
      <c r="BHK115" s="139"/>
      <c r="BHL115" s="139"/>
      <c r="BHM115" s="139"/>
      <c r="BHN115" s="139"/>
      <c r="BHO115" s="139"/>
      <c r="BHP115" s="139"/>
      <c r="BHQ115" s="139"/>
      <c r="BHR115" s="139"/>
      <c r="BHS115" s="139"/>
      <c r="BHT115" s="139"/>
      <c r="BHU115" s="139"/>
      <c r="BHV115" s="139"/>
      <c r="BHW115" s="139"/>
      <c r="BHX115" s="139"/>
      <c r="BHY115" s="139"/>
      <c r="BHZ115" s="139"/>
      <c r="BIA115" s="139"/>
      <c r="BIB115" s="139"/>
      <c r="BIC115" s="139"/>
      <c r="BID115" s="139"/>
      <c r="BIE115" s="139"/>
      <c r="BIF115" s="139"/>
      <c r="BIG115" s="139"/>
      <c r="BIH115" s="139"/>
      <c r="BII115" s="139"/>
      <c r="BIJ115" s="139"/>
      <c r="BIK115" s="139"/>
      <c r="BIL115" s="139"/>
      <c r="BIM115" s="139"/>
      <c r="BIN115" s="139"/>
      <c r="BIO115" s="139"/>
      <c r="BIP115" s="139"/>
      <c r="BIQ115" s="139"/>
      <c r="BIR115" s="139"/>
      <c r="BIS115" s="139"/>
      <c r="BIT115" s="139"/>
      <c r="BIU115" s="139"/>
      <c r="BIV115" s="139"/>
      <c r="BIW115" s="139"/>
      <c r="BIX115" s="139"/>
      <c r="BIY115" s="139"/>
      <c r="BIZ115" s="139"/>
      <c r="BJA115" s="139"/>
      <c r="BJB115" s="139"/>
      <c r="BJC115" s="139"/>
      <c r="BJD115" s="139"/>
      <c r="BJE115" s="139"/>
      <c r="BJF115" s="139"/>
      <c r="BJG115" s="139"/>
      <c r="BJH115" s="139"/>
      <c r="BJI115" s="139"/>
      <c r="BJJ115" s="139"/>
      <c r="BJK115" s="139"/>
      <c r="BJL115" s="139"/>
      <c r="BJM115" s="139"/>
      <c r="BJN115" s="139"/>
      <c r="BJO115" s="139"/>
      <c r="BJP115" s="139"/>
      <c r="BJQ115" s="139"/>
      <c r="BJR115" s="139"/>
      <c r="BJS115" s="139"/>
      <c r="BJT115" s="139"/>
      <c r="BJU115" s="139"/>
      <c r="BJV115" s="139"/>
      <c r="BJW115" s="139"/>
      <c r="BJX115" s="139"/>
      <c r="BJY115" s="139"/>
      <c r="BJZ115" s="139"/>
      <c r="BKA115" s="139"/>
      <c r="BKB115" s="139"/>
      <c r="BKC115" s="139"/>
      <c r="BKD115" s="139"/>
      <c r="BKE115" s="139"/>
      <c r="BKF115" s="139"/>
      <c r="BKG115" s="139"/>
      <c r="BKH115" s="139"/>
      <c r="BKI115" s="139"/>
      <c r="BKJ115" s="139"/>
      <c r="BKK115" s="139"/>
      <c r="BKL115" s="139"/>
      <c r="BKM115" s="139"/>
      <c r="BKN115" s="139"/>
      <c r="BKO115" s="139"/>
      <c r="BKP115" s="139"/>
      <c r="BKQ115" s="139"/>
      <c r="BKR115" s="139"/>
      <c r="BKS115" s="139"/>
      <c r="BKT115" s="139"/>
      <c r="BKU115" s="139"/>
      <c r="BKV115" s="139"/>
      <c r="BKW115" s="139"/>
      <c r="BKX115" s="139"/>
      <c r="BKY115" s="139"/>
      <c r="BKZ115" s="139"/>
      <c r="BLA115" s="139"/>
      <c r="BLB115" s="139"/>
      <c r="BLC115" s="139"/>
      <c r="BLD115" s="139"/>
      <c r="BLE115" s="139"/>
      <c r="BLF115" s="139"/>
      <c r="BLG115" s="139"/>
      <c r="BLH115" s="139"/>
      <c r="BLI115" s="139"/>
      <c r="BLJ115" s="139"/>
      <c r="BLK115" s="139"/>
      <c r="BLL115" s="139"/>
      <c r="BLM115" s="139"/>
      <c r="BLN115" s="139"/>
      <c r="BLO115" s="139"/>
      <c r="BLP115" s="139"/>
      <c r="BLQ115" s="139"/>
      <c r="BLR115" s="139"/>
      <c r="BLS115" s="139"/>
      <c r="BLT115" s="139"/>
      <c r="BLU115" s="139"/>
      <c r="BLV115" s="139"/>
      <c r="BLW115" s="139"/>
      <c r="BLX115" s="139"/>
      <c r="BLY115" s="139"/>
      <c r="BLZ115" s="139"/>
      <c r="BMA115" s="139"/>
      <c r="BMB115" s="139"/>
      <c r="BMC115" s="139"/>
      <c r="BMD115" s="139"/>
      <c r="BME115" s="139"/>
      <c r="BMF115" s="139"/>
      <c r="BMG115" s="139"/>
      <c r="BMH115" s="139"/>
      <c r="BMI115" s="139"/>
      <c r="BMJ115" s="139"/>
      <c r="BMK115" s="139"/>
      <c r="BML115" s="139"/>
      <c r="BMM115" s="139"/>
      <c r="BMN115" s="139"/>
      <c r="BMO115" s="139"/>
      <c r="BMP115" s="139"/>
      <c r="BMQ115" s="139"/>
      <c r="BMR115" s="139"/>
      <c r="BMS115" s="139"/>
      <c r="BMT115" s="139"/>
      <c r="BMU115" s="139"/>
      <c r="BMV115" s="139"/>
      <c r="BMW115" s="139"/>
      <c r="BMX115" s="139"/>
      <c r="BMY115" s="139"/>
      <c r="BMZ115" s="139"/>
      <c r="BNA115" s="139"/>
      <c r="BNB115" s="139"/>
      <c r="BNC115" s="139"/>
      <c r="BND115" s="139"/>
      <c r="BNE115" s="139"/>
      <c r="BNF115" s="139"/>
      <c r="BNG115" s="139"/>
      <c r="BNH115" s="139"/>
      <c r="BNI115" s="139"/>
      <c r="BNJ115" s="139"/>
      <c r="BNK115" s="139"/>
      <c r="BNL115" s="139"/>
      <c r="BNM115" s="139"/>
      <c r="BNN115" s="139"/>
      <c r="BNO115" s="139"/>
      <c r="BNP115" s="139"/>
      <c r="BNQ115" s="139"/>
      <c r="BNR115" s="139"/>
      <c r="BNS115" s="139"/>
      <c r="BNT115" s="139"/>
      <c r="BNU115" s="139"/>
      <c r="BNV115" s="139"/>
      <c r="BNW115" s="139"/>
      <c r="BNX115" s="139"/>
      <c r="BNY115" s="139"/>
      <c r="BNZ115" s="139"/>
      <c r="BOA115" s="139"/>
      <c r="BOB115" s="139"/>
      <c r="BOC115" s="139"/>
      <c r="BOD115" s="139"/>
      <c r="BOE115" s="139"/>
      <c r="BOF115" s="139"/>
      <c r="BOG115" s="139"/>
      <c r="BOH115" s="139"/>
      <c r="BOI115" s="139"/>
      <c r="BOJ115" s="139"/>
      <c r="BOK115" s="139"/>
      <c r="BOL115" s="139"/>
      <c r="BOM115" s="139"/>
      <c r="BON115" s="139"/>
      <c r="BOO115" s="139"/>
      <c r="BOP115" s="139"/>
      <c r="BOQ115" s="139"/>
      <c r="BOR115" s="139"/>
      <c r="BOS115" s="139"/>
      <c r="BOT115" s="139"/>
      <c r="BOU115" s="139"/>
      <c r="BOV115" s="139"/>
      <c r="BOW115" s="139"/>
      <c r="BOX115" s="139"/>
      <c r="BOY115" s="139"/>
      <c r="BOZ115" s="139"/>
      <c r="BPA115" s="139"/>
      <c r="BPB115" s="139"/>
      <c r="BPC115" s="139"/>
      <c r="BPD115" s="139"/>
      <c r="BPE115" s="139"/>
      <c r="BPF115" s="139"/>
      <c r="BPG115" s="139"/>
      <c r="BPH115" s="139"/>
      <c r="BPI115" s="139"/>
      <c r="BPJ115" s="139"/>
      <c r="BPK115" s="139"/>
      <c r="BPL115" s="139"/>
      <c r="BPM115" s="139"/>
      <c r="BPN115" s="139"/>
      <c r="BPO115" s="139"/>
      <c r="BPP115" s="139"/>
      <c r="BPQ115" s="139"/>
      <c r="BPR115" s="139"/>
      <c r="BPS115" s="139"/>
      <c r="BPT115" s="139"/>
      <c r="BPU115" s="139"/>
      <c r="BPV115" s="139"/>
      <c r="BPW115" s="139"/>
      <c r="BPX115" s="139"/>
      <c r="BPY115" s="139"/>
      <c r="BPZ115" s="139"/>
      <c r="BQA115" s="139"/>
      <c r="BQB115" s="139"/>
      <c r="BQC115" s="139"/>
      <c r="BQD115" s="139"/>
      <c r="BQE115" s="139"/>
      <c r="BQF115" s="139"/>
      <c r="BQG115" s="139"/>
      <c r="BQH115" s="139"/>
      <c r="BQI115" s="139"/>
      <c r="BQJ115" s="139"/>
      <c r="BQK115" s="139"/>
      <c r="BQL115" s="139"/>
      <c r="BQM115" s="139"/>
      <c r="BQN115" s="139"/>
      <c r="BQO115" s="139"/>
      <c r="BQP115" s="139"/>
      <c r="BQQ115" s="139"/>
      <c r="BQR115" s="139"/>
      <c r="BQS115" s="139"/>
      <c r="BQT115" s="139"/>
      <c r="BQU115" s="139"/>
      <c r="BQV115" s="139"/>
      <c r="BQW115" s="139"/>
      <c r="BQX115" s="139"/>
      <c r="BQY115" s="139"/>
      <c r="BQZ115" s="139"/>
      <c r="BRA115" s="139"/>
      <c r="BRB115" s="139"/>
      <c r="BRC115" s="139"/>
      <c r="BRD115" s="139"/>
      <c r="BRE115" s="139"/>
      <c r="BRF115" s="139"/>
      <c r="BRG115" s="139"/>
      <c r="BRH115" s="139"/>
      <c r="BRI115" s="139"/>
      <c r="BRJ115" s="139"/>
      <c r="BRK115" s="139"/>
      <c r="BRL115" s="139"/>
      <c r="BRM115" s="139"/>
      <c r="BRN115" s="139"/>
      <c r="BRO115" s="139"/>
      <c r="BRP115" s="139"/>
      <c r="BRQ115" s="139"/>
      <c r="BRR115" s="139"/>
      <c r="BRS115" s="139"/>
      <c r="BRT115" s="139"/>
      <c r="BRU115" s="139"/>
      <c r="BRV115" s="139"/>
      <c r="BRW115" s="139"/>
      <c r="BRX115" s="139"/>
      <c r="BRY115" s="139"/>
      <c r="BRZ115" s="139"/>
      <c r="BSA115" s="139"/>
      <c r="BSB115" s="139"/>
      <c r="BSC115" s="139"/>
      <c r="BSD115" s="139"/>
      <c r="BSE115" s="139"/>
      <c r="BSF115" s="139"/>
      <c r="BSG115" s="139"/>
      <c r="BSH115" s="139"/>
      <c r="BSI115" s="139"/>
      <c r="BSJ115" s="139"/>
      <c r="BSK115" s="139"/>
      <c r="BSL115" s="139"/>
      <c r="BSM115" s="139"/>
      <c r="BSN115" s="139"/>
      <c r="BSO115" s="139"/>
      <c r="BSP115" s="139"/>
      <c r="BSQ115" s="139"/>
      <c r="BSR115" s="139"/>
      <c r="BSS115" s="139"/>
      <c r="BST115" s="139"/>
      <c r="BSU115" s="139"/>
      <c r="BSV115" s="139"/>
      <c r="BSW115" s="139"/>
      <c r="BSX115" s="139"/>
      <c r="BSY115" s="139"/>
      <c r="BSZ115" s="139"/>
      <c r="BTA115" s="139"/>
      <c r="BTB115" s="139"/>
      <c r="BTC115" s="139"/>
      <c r="BTD115" s="139"/>
      <c r="BTE115" s="139"/>
      <c r="BTF115" s="139"/>
      <c r="BTG115" s="139"/>
      <c r="BTH115" s="139"/>
      <c r="BTI115" s="139"/>
      <c r="BTJ115" s="139"/>
      <c r="BTK115" s="139"/>
      <c r="BTL115" s="139"/>
      <c r="BTM115" s="139"/>
      <c r="BTN115" s="139"/>
      <c r="BTO115" s="139"/>
      <c r="BTP115" s="139"/>
      <c r="BTQ115" s="139"/>
      <c r="BTR115" s="139"/>
      <c r="BTS115" s="139"/>
      <c r="BTT115" s="139"/>
      <c r="BTU115" s="139"/>
      <c r="BTV115" s="139"/>
      <c r="BTW115" s="139"/>
      <c r="BTX115" s="139"/>
      <c r="BTY115" s="139"/>
      <c r="BTZ115" s="139"/>
      <c r="BUA115" s="139"/>
      <c r="BUB115" s="139"/>
      <c r="BUC115" s="139"/>
      <c r="BUD115" s="139"/>
      <c r="BUE115" s="139"/>
      <c r="BUF115" s="139"/>
      <c r="BUG115" s="139"/>
      <c r="BUH115" s="139"/>
      <c r="BUI115" s="139"/>
      <c r="BUJ115" s="139"/>
      <c r="BUK115" s="139"/>
      <c r="BUL115" s="139"/>
      <c r="BUM115" s="139"/>
      <c r="BUN115" s="139"/>
      <c r="BUO115" s="139"/>
      <c r="BUP115" s="139"/>
      <c r="BUQ115" s="139"/>
      <c r="BUR115" s="139"/>
      <c r="BUS115" s="139"/>
      <c r="BUT115" s="139"/>
      <c r="BUU115" s="139"/>
      <c r="BUV115" s="139"/>
      <c r="BUW115" s="139"/>
      <c r="BUX115" s="139"/>
      <c r="BUY115" s="139"/>
      <c r="BUZ115" s="139"/>
      <c r="BVA115" s="139"/>
      <c r="BVB115" s="139"/>
      <c r="BVC115" s="139"/>
      <c r="BVD115" s="139"/>
      <c r="BVE115" s="139"/>
      <c r="BVF115" s="139"/>
      <c r="BVG115" s="139"/>
      <c r="BVH115" s="139"/>
      <c r="BVI115" s="139"/>
      <c r="BVJ115" s="139"/>
      <c r="BVK115" s="139"/>
      <c r="BVL115" s="139"/>
      <c r="BVM115" s="139"/>
      <c r="BVN115" s="139"/>
      <c r="BVO115" s="139"/>
      <c r="BVP115" s="139"/>
      <c r="BVQ115" s="139"/>
      <c r="BVR115" s="139"/>
      <c r="BVS115" s="139"/>
      <c r="BVT115" s="139"/>
      <c r="BVU115" s="139"/>
      <c r="BVV115" s="139"/>
      <c r="BVW115" s="139"/>
      <c r="BVX115" s="139"/>
      <c r="BVY115" s="139"/>
      <c r="BVZ115" s="139"/>
      <c r="BWA115" s="139"/>
      <c r="BWB115" s="139"/>
      <c r="BWC115" s="139"/>
      <c r="BWD115" s="139"/>
      <c r="BWE115" s="139"/>
      <c r="BWF115" s="139"/>
      <c r="BWG115" s="139"/>
      <c r="BWH115" s="139"/>
      <c r="BWI115" s="139"/>
      <c r="BWJ115" s="139"/>
      <c r="BWK115" s="139"/>
      <c r="BWL115" s="139"/>
      <c r="BWM115" s="139"/>
      <c r="BWN115" s="139"/>
      <c r="BWO115" s="139"/>
      <c r="BWP115" s="139"/>
      <c r="BWQ115" s="139"/>
      <c r="BWR115" s="139"/>
      <c r="BWS115" s="139"/>
      <c r="BWT115" s="139"/>
      <c r="BWU115" s="139"/>
      <c r="BWV115" s="139"/>
      <c r="BWW115" s="139"/>
      <c r="BWX115" s="139"/>
      <c r="BWY115" s="139"/>
      <c r="BWZ115" s="139"/>
      <c r="BXA115" s="139"/>
      <c r="BXB115" s="139"/>
      <c r="BXC115" s="139"/>
      <c r="BXD115" s="139"/>
      <c r="BXE115" s="139"/>
      <c r="BXF115" s="139"/>
      <c r="BXG115" s="139"/>
      <c r="BXH115" s="139"/>
      <c r="BXI115" s="139"/>
      <c r="BXJ115" s="139"/>
      <c r="BXK115" s="139"/>
      <c r="BXL115" s="139"/>
      <c r="BXM115" s="139"/>
      <c r="BXN115" s="139"/>
      <c r="BXO115" s="139"/>
      <c r="BXP115" s="139"/>
      <c r="BXQ115" s="139"/>
      <c r="BXR115" s="139"/>
      <c r="BXS115" s="139"/>
      <c r="BXT115" s="139"/>
      <c r="BXU115" s="139"/>
      <c r="BXV115" s="139"/>
      <c r="BXW115" s="139"/>
      <c r="BXX115" s="139"/>
      <c r="BXY115" s="139"/>
      <c r="BXZ115" s="139"/>
      <c r="BYA115" s="139"/>
      <c r="BYB115" s="139"/>
      <c r="BYC115" s="139"/>
      <c r="BYD115" s="139"/>
      <c r="BYE115" s="139"/>
      <c r="BYF115" s="139"/>
      <c r="BYG115" s="139"/>
      <c r="BYH115" s="139"/>
      <c r="BYI115" s="139"/>
      <c r="BYJ115" s="139"/>
      <c r="BYK115" s="139"/>
      <c r="BYL115" s="139"/>
      <c r="BYM115" s="139"/>
      <c r="BYN115" s="139"/>
      <c r="BYO115" s="139"/>
      <c r="BYP115" s="139"/>
      <c r="BYQ115" s="139"/>
      <c r="BYR115" s="139"/>
      <c r="BYS115" s="139"/>
      <c r="BYT115" s="139"/>
      <c r="BYU115" s="139"/>
      <c r="BYV115" s="139"/>
      <c r="BYW115" s="139"/>
      <c r="BYX115" s="139"/>
      <c r="BYY115" s="139"/>
      <c r="BYZ115" s="139"/>
      <c r="BZA115" s="139"/>
      <c r="BZB115" s="139"/>
      <c r="BZC115" s="139"/>
      <c r="BZD115" s="139"/>
      <c r="BZE115" s="139"/>
      <c r="BZF115" s="139"/>
      <c r="BZG115" s="139"/>
      <c r="BZH115" s="139"/>
      <c r="BZI115" s="139"/>
      <c r="BZJ115" s="139"/>
      <c r="BZK115" s="139"/>
      <c r="BZL115" s="139"/>
      <c r="BZM115" s="139"/>
      <c r="BZN115" s="139"/>
      <c r="BZO115" s="139"/>
      <c r="BZP115" s="139"/>
      <c r="BZQ115" s="139"/>
      <c r="BZR115" s="139"/>
      <c r="BZS115" s="139"/>
      <c r="BZT115" s="139"/>
      <c r="BZU115" s="139"/>
      <c r="BZV115" s="139"/>
      <c r="BZW115" s="139"/>
      <c r="BZX115" s="139"/>
      <c r="BZY115" s="139"/>
      <c r="BZZ115" s="139"/>
      <c r="CAA115" s="139"/>
      <c r="CAB115" s="139"/>
      <c r="CAC115" s="139"/>
      <c r="CAD115" s="139"/>
      <c r="CAE115" s="139"/>
      <c r="CAF115" s="139"/>
      <c r="CAG115" s="139"/>
      <c r="CAH115" s="139"/>
      <c r="CAI115" s="139"/>
      <c r="CAJ115" s="139"/>
      <c r="CAK115" s="139"/>
      <c r="CAL115" s="139"/>
      <c r="CAM115" s="139"/>
      <c r="CAN115" s="139"/>
      <c r="CAO115" s="139"/>
      <c r="CAP115" s="139"/>
      <c r="CAQ115" s="139"/>
      <c r="CAR115" s="139"/>
      <c r="CAS115" s="139"/>
      <c r="CAT115" s="139"/>
      <c r="CAU115" s="139"/>
      <c r="CAV115" s="139"/>
      <c r="CAW115" s="139"/>
      <c r="CAX115" s="139"/>
      <c r="CAY115" s="139"/>
      <c r="CAZ115" s="139"/>
      <c r="CBA115" s="139"/>
      <c r="CBB115" s="139"/>
      <c r="CBC115" s="139"/>
      <c r="CBD115" s="139"/>
      <c r="CBE115" s="139"/>
      <c r="CBF115" s="139"/>
      <c r="CBG115" s="139"/>
      <c r="CBH115" s="139"/>
      <c r="CBI115" s="139"/>
      <c r="CBJ115" s="139"/>
      <c r="CBK115" s="139"/>
      <c r="CBL115" s="139"/>
      <c r="CBM115" s="139"/>
      <c r="CBN115" s="139"/>
      <c r="CBO115" s="139"/>
      <c r="CBP115" s="139"/>
      <c r="CBQ115" s="139"/>
      <c r="CBR115" s="139"/>
      <c r="CBS115" s="139"/>
      <c r="CBT115" s="139"/>
      <c r="CBU115" s="139"/>
      <c r="CBV115" s="139"/>
      <c r="CBW115" s="139"/>
      <c r="CBX115" s="139"/>
      <c r="CBY115" s="139"/>
      <c r="CBZ115" s="139"/>
      <c r="CCA115" s="139"/>
      <c r="CCB115" s="139"/>
      <c r="CCC115" s="139"/>
      <c r="CCD115" s="139"/>
      <c r="CCE115" s="139"/>
      <c r="CCF115" s="139"/>
      <c r="CCG115" s="139"/>
      <c r="CCH115" s="139"/>
      <c r="CCI115" s="139"/>
      <c r="CCJ115" s="139"/>
      <c r="CCK115" s="139"/>
      <c r="CCL115" s="139"/>
      <c r="CCM115" s="139"/>
      <c r="CCN115" s="139"/>
      <c r="CCO115" s="139"/>
      <c r="CCP115" s="139"/>
      <c r="CCQ115" s="139"/>
      <c r="CCR115" s="139"/>
      <c r="CCS115" s="139"/>
      <c r="CCT115" s="139"/>
      <c r="CCU115" s="139"/>
      <c r="CCV115" s="139"/>
      <c r="CCW115" s="139"/>
      <c r="CCX115" s="139"/>
      <c r="CCY115" s="139"/>
      <c r="CCZ115" s="139"/>
      <c r="CDA115" s="139"/>
      <c r="CDB115" s="139"/>
      <c r="CDC115" s="139"/>
      <c r="CDD115" s="139"/>
      <c r="CDE115" s="139"/>
      <c r="CDF115" s="139"/>
      <c r="CDG115" s="139"/>
      <c r="CDH115" s="139"/>
      <c r="CDI115" s="139"/>
      <c r="CDJ115" s="139"/>
      <c r="CDK115" s="139"/>
      <c r="CDL115" s="139"/>
      <c r="CDM115" s="139"/>
      <c r="CDN115" s="139"/>
      <c r="CDO115" s="139"/>
      <c r="CDP115" s="139"/>
      <c r="CDQ115" s="139"/>
      <c r="CDR115" s="139"/>
      <c r="CDS115" s="139"/>
      <c r="CDT115" s="139"/>
      <c r="CDU115" s="139"/>
      <c r="CDV115" s="139"/>
      <c r="CDW115" s="139"/>
      <c r="CDX115" s="139"/>
      <c r="CDY115" s="139"/>
      <c r="CDZ115" s="139"/>
      <c r="CEA115" s="139"/>
      <c r="CEB115" s="139"/>
      <c r="CEC115" s="139"/>
      <c r="CED115" s="139"/>
      <c r="CEE115" s="139"/>
      <c r="CEF115" s="139"/>
      <c r="CEG115" s="139"/>
      <c r="CEH115" s="139"/>
      <c r="CEI115" s="139"/>
      <c r="CEJ115" s="139"/>
      <c r="CEK115" s="139"/>
      <c r="CEL115" s="139"/>
      <c r="CEM115" s="139"/>
      <c r="CEN115" s="139"/>
      <c r="CEO115" s="139"/>
      <c r="CEP115" s="139"/>
      <c r="CEQ115" s="139"/>
      <c r="CER115" s="139"/>
      <c r="CES115" s="139"/>
      <c r="CET115" s="139"/>
      <c r="CEU115" s="139"/>
      <c r="CEV115" s="139"/>
      <c r="CEW115" s="139"/>
      <c r="CEX115" s="139"/>
      <c r="CEY115" s="139"/>
      <c r="CEZ115" s="139"/>
      <c r="CFA115" s="139"/>
      <c r="CFB115" s="139"/>
      <c r="CFC115" s="139"/>
      <c r="CFD115" s="139"/>
      <c r="CFE115" s="139"/>
      <c r="CFF115" s="139"/>
      <c r="CFG115" s="139"/>
      <c r="CFH115" s="139"/>
      <c r="CFI115" s="139"/>
      <c r="CFJ115" s="139"/>
      <c r="CFK115" s="139"/>
      <c r="CFL115" s="139"/>
      <c r="CFM115" s="139"/>
      <c r="CFN115" s="139"/>
      <c r="CFO115" s="139"/>
      <c r="CFP115" s="139"/>
      <c r="CFQ115" s="139"/>
      <c r="CFR115" s="139"/>
      <c r="CFS115" s="139"/>
      <c r="CFT115" s="139"/>
      <c r="CFU115" s="139"/>
      <c r="CFV115" s="139"/>
      <c r="CFW115" s="139"/>
      <c r="CFX115" s="139"/>
      <c r="CFY115" s="139"/>
      <c r="CFZ115" s="139"/>
      <c r="CGA115" s="139"/>
      <c r="CGB115" s="139"/>
      <c r="CGC115" s="139"/>
      <c r="CGD115" s="139"/>
      <c r="CGE115" s="139"/>
      <c r="CGF115" s="139"/>
      <c r="CGG115" s="139"/>
      <c r="CGH115" s="139"/>
      <c r="CGI115" s="139"/>
      <c r="CGJ115" s="139"/>
      <c r="CGK115" s="139"/>
      <c r="CGL115" s="139"/>
      <c r="CGM115" s="139"/>
      <c r="CGN115" s="139"/>
      <c r="CGO115" s="139"/>
      <c r="CGP115" s="139"/>
      <c r="CGQ115" s="139"/>
      <c r="CGR115" s="139"/>
      <c r="CGS115" s="139"/>
      <c r="CGT115" s="139"/>
      <c r="CGU115" s="139"/>
      <c r="CGV115" s="139"/>
      <c r="CGW115" s="139"/>
      <c r="CGX115" s="139"/>
      <c r="CGY115" s="139"/>
      <c r="CGZ115" s="139"/>
      <c r="CHA115" s="139"/>
      <c r="CHB115" s="139"/>
      <c r="CHC115" s="139"/>
      <c r="CHD115" s="139"/>
      <c r="CHE115" s="139"/>
      <c r="CHF115" s="139"/>
      <c r="CHG115" s="139"/>
      <c r="CHH115" s="139"/>
      <c r="CHI115" s="139"/>
      <c r="CHJ115" s="139"/>
      <c r="CHK115" s="139"/>
      <c r="CHL115" s="139"/>
      <c r="CHM115" s="139"/>
      <c r="CHN115" s="139"/>
      <c r="CHO115" s="139"/>
      <c r="CHP115" s="139"/>
      <c r="CHQ115" s="139"/>
      <c r="CHR115" s="139"/>
      <c r="CHS115" s="139"/>
      <c r="CHT115" s="139"/>
      <c r="CHU115" s="139"/>
      <c r="CHV115" s="139"/>
      <c r="CHW115" s="139"/>
      <c r="CHX115" s="139"/>
      <c r="CHY115" s="139"/>
      <c r="CHZ115" s="139"/>
      <c r="CIA115" s="139"/>
      <c r="CIB115" s="139"/>
      <c r="CIC115" s="139"/>
      <c r="CID115" s="139"/>
      <c r="CIE115" s="139"/>
      <c r="CIF115" s="139"/>
      <c r="CIG115" s="139"/>
      <c r="CIH115" s="139"/>
      <c r="CII115" s="139"/>
      <c r="CIJ115" s="139"/>
      <c r="CIK115" s="139"/>
      <c r="CIL115" s="139"/>
      <c r="CIM115" s="139"/>
      <c r="CIN115" s="139"/>
      <c r="CIO115" s="139"/>
      <c r="CIP115" s="139"/>
      <c r="CIQ115" s="139"/>
      <c r="CIR115" s="139"/>
      <c r="CIS115" s="139"/>
      <c r="CIT115" s="139"/>
      <c r="CIU115" s="139"/>
      <c r="CIV115" s="139"/>
      <c r="CIW115" s="139"/>
      <c r="CIX115" s="139"/>
      <c r="CIY115" s="139"/>
      <c r="CIZ115" s="139"/>
      <c r="CJA115" s="139"/>
      <c r="CJB115" s="139"/>
      <c r="CJC115" s="139"/>
      <c r="CJD115" s="139"/>
      <c r="CJE115" s="139"/>
      <c r="CJF115" s="139"/>
      <c r="CJG115" s="139"/>
      <c r="CJH115" s="139"/>
      <c r="CJI115" s="139"/>
      <c r="CJJ115" s="139"/>
      <c r="CJK115" s="139"/>
      <c r="CJL115" s="139"/>
      <c r="CJM115" s="139"/>
      <c r="CJN115" s="139"/>
      <c r="CJO115" s="139"/>
      <c r="CJP115" s="139"/>
      <c r="CJQ115" s="139"/>
      <c r="CJR115" s="139"/>
      <c r="CJS115" s="139"/>
      <c r="CJT115" s="139"/>
      <c r="CJU115" s="139"/>
      <c r="CJV115" s="139"/>
      <c r="CJW115" s="139"/>
      <c r="CJX115" s="139"/>
      <c r="CJY115" s="139"/>
      <c r="CJZ115" s="139"/>
      <c r="CKA115" s="139"/>
      <c r="CKB115" s="139"/>
      <c r="CKC115" s="139"/>
      <c r="CKD115" s="139"/>
      <c r="CKE115" s="139"/>
      <c r="CKF115" s="139"/>
      <c r="CKG115" s="139"/>
      <c r="CKH115" s="139"/>
      <c r="CKI115" s="139"/>
      <c r="CKJ115" s="139"/>
      <c r="CKK115" s="139"/>
      <c r="CKL115" s="139"/>
      <c r="CKM115" s="139"/>
      <c r="CKN115" s="139"/>
      <c r="CKO115" s="139"/>
      <c r="CKP115" s="139"/>
      <c r="CKQ115" s="139"/>
      <c r="CKR115" s="139"/>
      <c r="CKS115" s="139"/>
      <c r="CKT115" s="139"/>
      <c r="CKU115" s="139"/>
      <c r="CKV115" s="139"/>
      <c r="CKW115" s="139"/>
      <c r="CKX115" s="139"/>
      <c r="CKY115" s="139"/>
      <c r="CKZ115" s="139"/>
      <c r="CLA115" s="139"/>
      <c r="CLB115" s="139"/>
      <c r="CLC115" s="139"/>
      <c r="CLD115" s="139"/>
      <c r="CLE115" s="139"/>
      <c r="CLF115" s="139"/>
      <c r="CLG115" s="139"/>
      <c r="CLH115" s="139"/>
      <c r="CLI115" s="139"/>
      <c r="CLJ115" s="139"/>
      <c r="CLK115" s="139"/>
      <c r="CLL115" s="139"/>
      <c r="CLM115" s="139"/>
      <c r="CLN115" s="139"/>
      <c r="CLO115" s="139"/>
      <c r="CLP115" s="139"/>
      <c r="CLQ115" s="139"/>
      <c r="CLR115" s="139"/>
      <c r="CLS115" s="139"/>
      <c r="CLT115" s="139"/>
      <c r="CLU115" s="139"/>
      <c r="CLV115" s="139"/>
      <c r="CLW115" s="139"/>
      <c r="CLX115" s="139"/>
      <c r="CLY115" s="139"/>
      <c r="CLZ115" s="139"/>
      <c r="CMA115" s="139"/>
      <c r="CMB115" s="139"/>
      <c r="CMC115" s="139"/>
      <c r="CMD115" s="139"/>
      <c r="CME115" s="139"/>
      <c r="CMF115" s="139"/>
      <c r="CMG115" s="139"/>
      <c r="CMH115" s="139"/>
      <c r="CMI115" s="139"/>
      <c r="CMJ115" s="139"/>
      <c r="CMK115" s="139"/>
      <c r="CML115" s="139"/>
      <c r="CMM115" s="139"/>
      <c r="CMN115" s="139"/>
      <c r="CMO115" s="139"/>
      <c r="CMP115" s="139"/>
      <c r="CMQ115" s="139"/>
      <c r="CMR115" s="139"/>
      <c r="CMS115" s="139"/>
      <c r="CMT115" s="139"/>
      <c r="CMU115" s="139"/>
      <c r="CMV115" s="139"/>
      <c r="CMW115" s="139"/>
      <c r="CMX115" s="139"/>
      <c r="CMY115" s="139"/>
      <c r="CMZ115" s="139"/>
      <c r="CNA115" s="139"/>
      <c r="CNB115" s="139"/>
      <c r="CNC115" s="139"/>
      <c r="CND115" s="139"/>
      <c r="CNE115" s="139"/>
      <c r="CNF115" s="139"/>
      <c r="CNG115" s="139"/>
      <c r="CNH115" s="139"/>
      <c r="CNI115" s="139"/>
      <c r="CNJ115" s="139"/>
      <c r="CNK115" s="139"/>
      <c r="CNL115" s="139"/>
      <c r="CNM115" s="139"/>
      <c r="CNN115" s="139"/>
      <c r="CNO115" s="139"/>
      <c r="CNP115" s="139"/>
      <c r="CNQ115" s="139"/>
      <c r="CNR115" s="139"/>
      <c r="CNS115" s="139"/>
      <c r="CNT115" s="139"/>
      <c r="CNU115" s="139"/>
      <c r="CNV115" s="139"/>
      <c r="CNW115" s="139"/>
      <c r="CNX115" s="139"/>
      <c r="CNY115" s="139"/>
      <c r="CNZ115" s="139"/>
      <c r="COA115" s="139"/>
      <c r="COB115" s="139"/>
      <c r="COC115" s="139"/>
      <c r="COD115" s="139"/>
      <c r="COE115" s="139"/>
      <c r="COF115" s="139"/>
      <c r="COG115" s="139"/>
      <c r="COH115" s="139"/>
      <c r="COI115" s="139"/>
      <c r="COJ115" s="139"/>
      <c r="COK115" s="139"/>
      <c r="COL115" s="139"/>
      <c r="COM115" s="139"/>
      <c r="CON115" s="139"/>
      <c r="COO115" s="139"/>
      <c r="COP115" s="139"/>
      <c r="COQ115" s="139"/>
      <c r="COR115" s="139"/>
      <c r="COS115" s="139"/>
      <c r="COT115" s="139"/>
      <c r="COU115" s="139"/>
      <c r="COV115" s="139"/>
      <c r="COW115" s="139"/>
      <c r="COX115" s="139"/>
      <c r="COY115" s="139"/>
      <c r="COZ115" s="139"/>
      <c r="CPA115" s="139"/>
      <c r="CPB115" s="139"/>
      <c r="CPC115" s="139"/>
      <c r="CPD115" s="139"/>
      <c r="CPE115" s="139"/>
      <c r="CPF115" s="139"/>
      <c r="CPG115" s="139"/>
      <c r="CPH115" s="139"/>
      <c r="CPI115" s="139"/>
      <c r="CPJ115" s="139"/>
      <c r="CPK115" s="139"/>
      <c r="CPL115" s="139"/>
      <c r="CPM115" s="139"/>
      <c r="CPN115" s="139"/>
      <c r="CPO115" s="139"/>
      <c r="CPP115" s="139"/>
      <c r="CPQ115" s="139"/>
      <c r="CPR115" s="139"/>
      <c r="CPS115" s="139"/>
      <c r="CPT115" s="139"/>
      <c r="CPU115" s="139"/>
      <c r="CPV115" s="139"/>
      <c r="CPW115" s="139"/>
      <c r="CPX115" s="139"/>
      <c r="CPY115" s="139"/>
      <c r="CPZ115" s="139"/>
      <c r="CQA115" s="139"/>
      <c r="CQB115" s="139"/>
      <c r="CQC115" s="139"/>
      <c r="CQD115" s="139"/>
      <c r="CQE115" s="139"/>
      <c r="CQF115" s="139"/>
      <c r="CQG115" s="139"/>
      <c r="CQH115" s="139"/>
      <c r="CQI115" s="139"/>
      <c r="CQJ115" s="139"/>
      <c r="CQK115" s="139"/>
      <c r="CQL115" s="139"/>
      <c r="CQM115" s="139"/>
      <c r="CQN115" s="139"/>
      <c r="CQO115" s="139"/>
      <c r="CQP115" s="139"/>
      <c r="CQQ115" s="139"/>
      <c r="CQR115" s="139"/>
      <c r="CQS115" s="139"/>
      <c r="CQT115" s="139"/>
      <c r="CQU115" s="139"/>
      <c r="CQV115" s="139"/>
      <c r="CQW115" s="139"/>
      <c r="CQX115" s="139"/>
      <c r="CQY115" s="139"/>
      <c r="CQZ115" s="139"/>
      <c r="CRA115" s="139"/>
      <c r="CRB115" s="139"/>
      <c r="CRC115" s="139"/>
      <c r="CRD115" s="139"/>
      <c r="CRE115" s="139"/>
      <c r="CRF115" s="139"/>
      <c r="CRG115" s="139"/>
      <c r="CRH115" s="139"/>
      <c r="CRI115" s="139"/>
      <c r="CRJ115" s="139"/>
      <c r="CRK115" s="139"/>
      <c r="CRL115" s="139"/>
      <c r="CRM115" s="139"/>
      <c r="CRN115" s="139"/>
      <c r="CRO115" s="139"/>
      <c r="CRP115" s="139"/>
      <c r="CRQ115" s="139"/>
      <c r="CRR115" s="139"/>
      <c r="CRS115" s="139"/>
      <c r="CRT115" s="139"/>
      <c r="CRU115" s="139"/>
      <c r="CRV115" s="139"/>
      <c r="CRW115" s="139"/>
      <c r="CRX115" s="139"/>
      <c r="CRY115" s="139"/>
      <c r="CRZ115" s="139"/>
      <c r="CSA115" s="139"/>
      <c r="CSB115" s="139"/>
      <c r="CSC115" s="139"/>
      <c r="CSD115" s="139"/>
      <c r="CSE115" s="139"/>
      <c r="CSF115" s="139"/>
      <c r="CSG115" s="139"/>
      <c r="CSH115" s="139"/>
      <c r="CSI115" s="139"/>
      <c r="CSJ115" s="139"/>
      <c r="CSK115" s="139"/>
      <c r="CSL115" s="139"/>
      <c r="CSM115" s="139"/>
      <c r="CSN115" s="139"/>
      <c r="CSO115" s="139"/>
      <c r="CSP115" s="139"/>
      <c r="CSQ115" s="139"/>
      <c r="CSR115" s="139"/>
      <c r="CSS115" s="139"/>
      <c r="CST115" s="139"/>
      <c r="CSU115" s="139"/>
      <c r="CSV115" s="139"/>
      <c r="CSW115" s="139"/>
      <c r="CSX115" s="139"/>
      <c r="CSY115" s="139"/>
      <c r="CSZ115" s="139"/>
      <c r="CTA115" s="139"/>
      <c r="CTB115" s="139"/>
      <c r="CTC115" s="139"/>
      <c r="CTD115" s="139"/>
      <c r="CTE115" s="139"/>
      <c r="CTF115" s="139"/>
      <c r="CTG115" s="139"/>
      <c r="CTH115" s="139"/>
      <c r="CTI115" s="139"/>
      <c r="CTJ115" s="139"/>
      <c r="CTK115" s="139"/>
      <c r="CTL115" s="139"/>
      <c r="CTM115" s="139"/>
      <c r="CTN115" s="139"/>
      <c r="CTO115" s="139"/>
      <c r="CTP115" s="139"/>
      <c r="CTQ115" s="139"/>
      <c r="CTR115" s="139"/>
      <c r="CTS115" s="139"/>
      <c r="CTT115" s="139"/>
      <c r="CTU115" s="139"/>
      <c r="CTV115" s="139"/>
      <c r="CTW115" s="139"/>
      <c r="CTX115" s="139"/>
      <c r="CTY115" s="139"/>
      <c r="CTZ115" s="139"/>
      <c r="CUA115" s="139"/>
      <c r="CUB115" s="139"/>
      <c r="CUC115" s="139"/>
      <c r="CUD115" s="139"/>
      <c r="CUE115" s="139"/>
      <c r="CUF115" s="139"/>
      <c r="CUG115" s="139"/>
      <c r="CUH115" s="139"/>
      <c r="CUI115" s="139"/>
      <c r="CUJ115" s="139"/>
      <c r="CUK115" s="139"/>
      <c r="CUL115" s="139"/>
      <c r="CUM115" s="139"/>
      <c r="CUN115" s="139"/>
      <c r="CUO115" s="139"/>
      <c r="CUP115" s="139"/>
      <c r="CUQ115" s="139"/>
      <c r="CUR115" s="139"/>
      <c r="CUS115" s="139"/>
      <c r="CUT115" s="139"/>
      <c r="CUU115" s="139"/>
      <c r="CUV115" s="139"/>
      <c r="CUW115" s="139"/>
      <c r="CUX115" s="139"/>
      <c r="CUY115" s="139"/>
      <c r="CUZ115" s="139"/>
      <c r="CVA115" s="139"/>
      <c r="CVB115" s="139"/>
      <c r="CVC115" s="139"/>
      <c r="CVD115" s="139"/>
      <c r="CVE115" s="139"/>
      <c r="CVF115" s="139"/>
      <c r="CVG115" s="139"/>
      <c r="CVH115" s="139"/>
      <c r="CVI115" s="139"/>
      <c r="CVJ115" s="139"/>
      <c r="CVK115" s="139"/>
      <c r="CVL115" s="139"/>
      <c r="CVM115" s="139"/>
      <c r="CVN115" s="139"/>
      <c r="CVO115" s="139"/>
      <c r="CVP115" s="139"/>
      <c r="CVQ115" s="139"/>
      <c r="CVR115" s="139"/>
      <c r="CVS115" s="139"/>
      <c r="CVT115" s="139"/>
      <c r="CVU115" s="139"/>
      <c r="CVV115" s="139"/>
      <c r="CVW115" s="139"/>
      <c r="CVX115" s="139"/>
      <c r="CVY115" s="139"/>
      <c r="CVZ115" s="139"/>
      <c r="CWA115" s="139"/>
      <c r="CWB115" s="139"/>
      <c r="CWC115" s="139"/>
      <c r="CWD115" s="139"/>
      <c r="CWE115" s="139"/>
      <c r="CWF115" s="139"/>
      <c r="CWG115" s="139"/>
      <c r="CWH115" s="139"/>
      <c r="CWI115" s="139"/>
      <c r="CWJ115" s="139"/>
      <c r="CWK115" s="139"/>
      <c r="CWL115" s="139"/>
      <c r="CWM115" s="139"/>
      <c r="CWN115" s="139"/>
      <c r="CWO115" s="139"/>
      <c r="CWP115" s="139"/>
      <c r="CWQ115" s="139"/>
      <c r="CWR115" s="139"/>
      <c r="CWS115" s="139"/>
      <c r="CWT115" s="139"/>
      <c r="CWU115" s="139"/>
      <c r="CWV115" s="139"/>
      <c r="CWW115" s="139"/>
      <c r="CWX115" s="139"/>
      <c r="CWY115" s="139"/>
      <c r="CWZ115" s="139"/>
      <c r="CXA115" s="139"/>
      <c r="CXB115" s="139"/>
      <c r="CXC115" s="139"/>
      <c r="CXD115" s="139"/>
      <c r="CXE115" s="139"/>
      <c r="CXF115" s="139"/>
      <c r="CXG115" s="139"/>
      <c r="CXH115" s="139"/>
      <c r="CXI115" s="139"/>
      <c r="CXJ115" s="139"/>
      <c r="CXK115" s="139"/>
      <c r="CXL115" s="139"/>
      <c r="CXM115" s="139"/>
      <c r="CXN115" s="139"/>
      <c r="CXO115" s="139"/>
      <c r="CXP115" s="139"/>
      <c r="CXQ115" s="139"/>
      <c r="CXR115" s="139"/>
      <c r="CXS115" s="139"/>
      <c r="CXT115" s="139"/>
      <c r="CXU115" s="139"/>
      <c r="CXV115" s="139"/>
      <c r="CXW115" s="139"/>
      <c r="CXX115" s="139"/>
      <c r="CXY115" s="139"/>
      <c r="CXZ115" s="139"/>
      <c r="CYA115" s="139"/>
      <c r="CYB115" s="139"/>
      <c r="CYC115" s="139"/>
      <c r="CYD115" s="139"/>
      <c r="CYE115" s="139"/>
      <c r="CYF115" s="139"/>
      <c r="CYG115" s="139"/>
      <c r="CYH115" s="139"/>
      <c r="CYI115" s="139"/>
      <c r="CYJ115" s="139"/>
      <c r="CYK115" s="139"/>
      <c r="CYL115" s="139"/>
      <c r="CYM115" s="139"/>
      <c r="CYN115" s="139"/>
      <c r="CYO115" s="139"/>
      <c r="CYP115" s="139"/>
      <c r="CYQ115" s="139"/>
      <c r="CYR115" s="139"/>
      <c r="CYS115" s="139"/>
      <c r="CYT115" s="139"/>
      <c r="CYU115" s="139"/>
      <c r="CYV115" s="139"/>
      <c r="CYW115" s="139"/>
      <c r="CYX115" s="139"/>
      <c r="CYY115" s="139"/>
      <c r="CYZ115" s="139"/>
      <c r="CZA115" s="139"/>
      <c r="CZB115" s="139"/>
      <c r="CZC115" s="139"/>
      <c r="CZD115" s="139"/>
      <c r="CZE115" s="139"/>
      <c r="CZF115" s="139"/>
      <c r="CZG115" s="139"/>
      <c r="CZH115" s="139"/>
      <c r="CZI115" s="139"/>
      <c r="CZJ115" s="139"/>
      <c r="CZK115" s="139"/>
      <c r="CZL115" s="139"/>
      <c r="CZM115" s="139"/>
      <c r="CZN115" s="139"/>
      <c r="CZO115" s="139"/>
      <c r="CZP115" s="139"/>
      <c r="CZQ115" s="139"/>
      <c r="CZR115" s="139"/>
      <c r="CZS115" s="139"/>
      <c r="CZT115" s="139"/>
      <c r="CZU115" s="139"/>
      <c r="CZV115" s="139"/>
      <c r="CZW115" s="139"/>
      <c r="CZX115" s="139"/>
      <c r="CZY115" s="139"/>
      <c r="CZZ115" s="139"/>
      <c r="DAA115" s="139"/>
      <c r="DAB115" s="139"/>
      <c r="DAC115" s="139"/>
      <c r="DAD115" s="139"/>
      <c r="DAE115" s="139"/>
      <c r="DAF115" s="139"/>
      <c r="DAG115" s="139"/>
      <c r="DAH115" s="139"/>
      <c r="DAI115" s="139"/>
      <c r="DAJ115" s="139"/>
      <c r="DAK115" s="139"/>
      <c r="DAL115" s="139"/>
      <c r="DAM115" s="139"/>
      <c r="DAN115" s="139"/>
      <c r="DAO115" s="139"/>
      <c r="DAP115" s="139"/>
      <c r="DAQ115" s="139"/>
      <c r="DAR115" s="139"/>
      <c r="DAS115" s="139"/>
      <c r="DAT115" s="139"/>
      <c r="DAU115" s="139"/>
      <c r="DAV115" s="139"/>
      <c r="DAW115" s="139"/>
      <c r="DAX115" s="139"/>
      <c r="DAY115" s="139"/>
      <c r="DAZ115" s="139"/>
      <c r="DBA115" s="139"/>
      <c r="DBB115" s="139"/>
      <c r="DBC115" s="139"/>
      <c r="DBD115" s="139"/>
      <c r="DBE115" s="139"/>
      <c r="DBF115" s="139"/>
      <c r="DBG115" s="139"/>
      <c r="DBH115" s="139"/>
      <c r="DBI115" s="139"/>
      <c r="DBJ115" s="139"/>
      <c r="DBK115" s="139"/>
      <c r="DBL115" s="139"/>
      <c r="DBM115" s="139"/>
      <c r="DBN115" s="139"/>
      <c r="DBO115" s="139"/>
      <c r="DBP115" s="139"/>
      <c r="DBQ115" s="139"/>
      <c r="DBR115" s="139"/>
      <c r="DBS115" s="139"/>
      <c r="DBT115" s="139"/>
      <c r="DBU115" s="139"/>
      <c r="DBV115" s="139"/>
      <c r="DBW115" s="139"/>
      <c r="DBX115" s="139"/>
      <c r="DBY115" s="139"/>
      <c r="DBZ115" s="139"/>
      <c r="DCA115" s="139"/>
      <c r="DCB115" s="139"/>
      <c r="DCC115" s="139"/>
      <c r="DCD115" s="139"/>
      <c r="DCE115" s="139"/>
      <c r="DCF115" s="139"/>
      <c r="DCG115" s="139"/>
      <c r="DCH115" s="139"/>
      <c r="DCI115" s="139"/>
      <c r="DCJ115" s="139"/>
      <c r="DCK115" s="139"/>
      <c r="DCL115" s="139"/>
      <c r="DCM115" s="139"/>
      <c r="DCN115" s="139"/>
      <c r="DCO115" s="139"/>
      <c r="DCP115" s="139"/>
      <c r="DCQ115" s="139"/>
      <c r="DCR115" s="139"/>
      <c r="DCS115" s="139"/>
      <c r="DCT115" s="139"/>
      <c r="DCU115" s="139"/>
      <c r="DCV115" s="139"/>
      <c r="DCW115" s="139"/>
      <c r="DCX115" s="139"/>
      <c r="DCY115" s="139"/>
      <c r="DCZ115" s="139"/>
      <c r="DDA115" s="139"/>
      <c r="DDB115" s="139"/>
      <c r="DDC115" s="139"/>
      <c r="DDD115" s="139"/>
      <c r="DDE115" s="139"/>
      <c r="DDF115" s="139"/>
      <c r="DDG115" s="139"/>
      <c r="DDH115" s="139"/>
      <c r="DDI115" s="139"/>
      <c r="DDJ115" s="139"/>
      <c r="DDK115" s="139"/>
      <c r="DDL115" s="139"/>
      <c r="DDM115" s="139"/>
      <c r="DDN115" s="139"/>
      <c r="DDO115" s="139"/>
      <c r="DDP115" s="139"/>
      <c r="DDQ115" s="139"/>
      <c r="DDR115" s="139"/>
      <c r="DDS115" s="139"/>
      <c r="DDT115" s="139"/>
      <c r="DDU115" s="139"/>
      <c r="DDV115" s="139"/>
      <c r="DDW115" s="139"/>
      <c r="DDX115" s="139"/>
      <c r="DDY115" s="139"/>
      <c r="DDZ115" s="139"/>
      <c r="DEA115" s="139"/>
      <c r="DEB115" s="139"/>
      <c r="DEC115" s="139"/>
      <c r="DED115" s="139"/>
      <c r="DEE115" s="139"/>
      <c r="DEF115" s="139"/>
      <c r="DEG115" s="139"/>
      <c r="DEH115" s="139"/>
      <c r="DEI115" s="139"/>
      <c r="DEJ115" s="139"/>
      <c r="DEK115" s="139"/>
      <c r="DEL115" s="139"/>
      <c r="DEM115" s="139"/>
      <c r="DEN115" s="139"/>
      <c r="DEO115" s="139"/>
      <c r="DEP115" s="139"/>
      <c r="DEQ115" s="139"/>
      <c r="DER115" s="139"/>
      <c r="DES115" s="139"/>
      <c r="DET115" s="139"/>
      <c r="DEU115" s="139"/>
      <c r="DEV115" s="139"/>
      <c r="DEW115" s="139"/>
      <c r="DEX115" s="139"/>
      <c r="DEY115" s="139"/>
      <c r="DEZ115" s="139"/>
      <c r="DFA115" s="139"/>
      <c r="DFB115" s="139"/>
      <c r="DFC115" s="139"/>
      <c r="DFD115" s="139"/>
      <c r="DFE115" s="139"/>
      <c r="DFF115" s="139"/>
      <c r="DFG115" s="139"/>
      <c r="DFH115" s="139"/>
      <c r="DFI115" s="139"/>
      <c r="DFJ115" s="139"/>
      <c r="DFK115" s="139"/>
      <c r="DFL115" s="139"/>
      <c r="DFM115" s="139"/>
      <c r="DFN115" s="139"/>
      <c r="DFO115" s="139"/>
      <c r="DFP115" s="139"/>
      <c r="DFQ115" s="139"/>
      <c r="DFR115" s="139"/>
      <c r="DFS115" s="139"/>
      <c r="DFT115" s="139"/>
      <c r="DFU115" s="139"/>
      <c r="DFV115" s="139"/>
      <c r="DFW115" s="139"/>
      <c r="DFX115" s="139"/>
      <c r="DFY115" s="139"/>
      <c r="DFZ115" s="139"/>
      <c r="DGA115" s="139"/>
      <c r="DGB115" s="139"/>
      <c r="DGC115" s="139"/>
      <c r="DGD115" s="139"/>
      <c r="DGE115" s="139"/>
      <c r="DGF115" s="139"/>
      <c r="DGG115" s="139"/>
      <c r="DGH115" s="139"/>
      <c r="DGI115" s="139"/>
      <c r="DGJ115" s="139"/>
      <c r="DGK115" s="139"/>
      <c r="DGL115" s="139"/>
      <c r="DGM115" s="139"/>
      <c r="DGN115" s="139"/>
      <c r="DGO115" s="139"/>
      <c r="DGP115" s="139"/>
      <c r="DGQ115" s="139"/>
      <c r="DGR115" s="139"/>
      <c r="DGS115" s="139"/>
      <c r="DGT115" s="139"/>
      <c r="DGU115" s="139"/>
      <c r="DGV115" s="139"/>
      <c r="DGW115" s="139"/>
      <c r="DGX115" s="139"/>
      <c r="DGY115" s="139"/>
      <c r="DGZ115" s="139"/>
      <c r="DHA115" s="139"/>
      <c r="DHB115" s="139"/>
      <c r="DHC115" s="139"/>
      <c r="DHD115" s="139"/>
      <c r="DHE115" s="139"/>
      <c r="DHF115" s="139"/>
      <c r="DHG115" s="139"/>
      <c r="DHH115" s="139"/>
      <c r="DHI115" s="139"/>
      <c r="DHJ115" s="139"/>
      <c r="DHK115" s="139"/>
      <c r="DHL115" s="139"/>
      <c r="DHM115" s="139"/>
      <c r="DHN115" s="139"/>
      <c r="DHO115" s="139"/>
      <c r="DHP115" s="139"/>
      <c r="DHQ115" s="139"/>
      <c r="DHR115" s="139"/>
      <c r="DHS115" s="139"/>
      <c r="DHT115" s="139"/>
      <c r="DHU115" s="139"/>
      <c r="DHV115" s="139"/>
      <c r="DHW115" s="139"/>
      <c r="DHX115" s="139"/>
      <c r="DHY115" s="139"/>
      <c r="DHZ115" s="139"/>
      <c r="DIA115" s="139"/>
      <c r="DIB115" s="139"/>
      <c r="DIC115" s="139"/>
      <c r="DID115" s="139"/>
      <c r="DIE115" s="139"/>
      <c r="DIF115" s="139"/>
      <c r="DIG115" s="139"/>
      <c r="DIH115" s="139"/>
      <c r="DII115" s="139"/>
      <c r="DIJ115" s="139"/>
      <c r="DIK115" s="139"/>
      <c r="DIL115" s="139"/>
      <c r="DIM115" s="139"/>
      <c r="DIN115" s="139"/>
      <c r="DIO115" s="139"/>
      <c r="DIP115" s="139"/>
      <c r="DIQ115" s="139"/>
      <c r="DIR115" s="139"/>
      <c r="DIS115" s="139"/>
      <c r="DIT115" s="139"/>
      <c r="DIU115" s="139"/>
      <c r="DIV115" s="139"/>
      <c r="DIW115" s="139"/>
      <c r="DIX115" s="139"/>
      <c r="DIY115" s="139"/>
      <c r="DIZ115" s="139"/>
      <c r="DJA115" s="139"/>
      <c r="DJB115" s="139"/>
      <c r="DJC115" s="139"/>
      <c r="DJD115" s="139"/>
      <c r="DJE115" s="139"/>
      <c r="DJF115" s="139"/>
      <c r="DJG115" s="139"/>
      <c r="DJH115" s="139"/>
      <c r="DJI115" s="139"/>
      <c r="DJJ115" s="139"/>
      <c r="DJK115" s="139"/>
      <c r="DJL115" s="139"/>
      <c r="DJM115" s="139"/>
      <c r="DJN115" s="139"/>
      <c r="DJO115" s="139"/>
      <c r="DJP115" s="139"/>
      <c r="DJQ115" s="139"/>
      <c r="DJR115" s="139"/>
      <c r="DJS115" s="139"/>
      <c r="DJT115" s="139"/>
      <c r="DJU115" s="139"/>
      <c r="DJV115" s="139"/>
      <c r="DJW115" s="139"/>
      <c r="DJX115" s="139"/>
      <c r="DJY115" s="139"/>
      <c r="DJZ115" s="139"/>
      <c r="DKA115" s="139"/>
      <c r="DKB115" s="139"/>
      <c r="DKC115" s="139"/>
      <c r="DKD115" s="139"/>
      <c r="DKE115" s="139"/>
      <c r="DKF115" s="139"/>
      <c r="DKG115" s="139"/>
      <c r="DKH115" s="139"/>
      <c r="DKI115" s="139"/>
      <c r="DKJ115" s="139"/>
      <c r="DKK115" s="139"/>
      <c r="DKL115" s="139"/>
      <c r="DKM115" s="139"/>
      <c r="DKN115" s="139"/>
      <c r="DKO115" s="139"/>
      <c r="DKP115" s="139"/>
      <c r="DKQ115" s="139"/>
      <c r="DKR115" s="139"/>
      <c r="DKS115" s="139"/>
      <c r="DKT115" s="139"/>
      <c r="DKU115" s="139"/>
      <c r="DKV115" s="139"/>
      <c r="DKW115" s="139"/>
      <c r="DKX115" s="139"/>
      <c r="DKY115" s="139"/>
      <c r="DKZ115" s="139"/>
      <c r="DLA115" s="139"/>
      <c r="DLB115" s="139"/>
      <c r="DLC115" s="139"/>
      <c r="DLD115" s="139"/>
      <c r="DLE115" s="139"/>
      <c r="DLF115" s="139"/>
      <c r="DLG115" s="139"/>
      <c r="DLH115" s="139"/>
      <c r="DLI115" s="139"/>
      <c r="DLJ115" s="139"/>
      <c r="DLK115" s="139"/>
      <c r="DLL115" s="139"/>
      <c r="DLM115" s="139"/>
      <c r="DLN115" s="139"/>
      <c r="DLO115" s="139"/>
      <c r="DLP115" s="139"/>
      <c r="DLQ115" s="139"/>
      <c r="DLR115" s="139"/>
      <c r="DLS115" s="139"/>
      <c r="DLT115" s="139"/>
      <c r="DLU115" s="139"/>
      <c r="DLV115" s="139"/>
      <c r="DLW115" s="139"/>
      <c r="DLX115" s="139"/>
      <c r="DLY115" s="139"/>
      <c r="DLZ115" s="139"/>
      <c r="DMA115" s="139"/>
      <c r="DMB115" s="139"/>
      <c r="DMC115" s="139"/>
      <c r="DMD115" s="139"/>
      <c r="DME115" s="139"/>
      <c r="DMF115" s="139"/>
      <c r="DMG115" s="139"/>
      <c r="DMH115" s="139"/>
      <c r="DMI115" s="139"/>
      <c r="DMJ115" s="139"/>
      <c r="DMK115" s="139"/>
      <c r="DML115" s="139"/>
      <c r="DMM115" s="139"/>
      <c r="DMN115" s="139"/>
      <c r="DMO115" s="139"/>
      <c r="DMP115" s="139"/>
      <c r="DMQ115" s="139"/>
      <c r="DMR115" s="139"/>
      <c r="DMS115" s="139"/>
      <c r="DMT115" s="139"/>
      <c r="DMU115" s="139"/>
      <c r="DMV115" s="139"/>
      <c r="DMW115" s="139"/>
      <c r="DMX115" s="139"/>
      <c r="DMY115" s="139"/>
      <c r="DMZ115" s="139"/>
      <c r="DNA115" s="139"/>
      <c r="DNB115" s="139"/>
      <c r="DNC115" s="139"/>
      <c r="DND115" s="139"/>
      <c r="DNE115" s="139"/>
      <c r="DNF115" s="139"/>
      <c r="DNG115" s="139"/>
      <c r="DNH115" s="139"/>
      <c r="DNI115" s="139"/>
      <c r="DNJ115" s="139"/>
      <c r="DNK115" s="139"/>
      <c r="DNL115" s="139"/>
      <c r="DNM115" s="139"/>
      <c r="DNN115" s="139"/>
      <c r="DNO115" s="139"/>
      <c r="DNP115" s="139"/>
      <c r="DNQ115" s="139"/>
      <c r="DNR115" s="139"/>
      <c r="DNS115" s="139"/>
      <c r="DNT115" s="139"/>
      <c r="DNU115" s="139"/>
      <c r="DNV115" s="139"/>
      <c r="DNW115" s="139"/>
      <c r="DNX115" s="139"/>
      <c r="DNY115" s="139"/>
      <c r="DNZ115" s="139"/>
      <c r="DOA115" s="139"/>
      <c r="DOB115" s="139"/>
      <c r="DOC115" s="139"/>
      <c r="DOD115" s="139"/>
      <c r="DOE115" s="139"/>
      <c r="DOF115" s="139"/>
      <c r="DOG115" s="139"/>
      <c r="DOH115" s="139"/>
      <c r="DOI115" s="139"/>
      <c r="DOJ115" s="139"/>
      <c r="DOK115" s="139"/>
      <c r="DOL115" s="139"/>
      <c r="DOM115" s="139"/>
      <c r="DON115" s="139"/>
      <c r="DOO115" s="139"/>
      <c r="DOP115" s="139"/>
      <c r="DOQ115" s="139"/>
      <c r="DOR115" s="139"/>
      <c r="DOS115" s="139"/>
      <c r="DOT115" s="139"/>
      <c r="DOU115" s="139"/>
      <c r="DOV115" s="139"/>
      <c r="DOW115" s="139"/>
      <c r="DOX115" s="139"/>
      <c r="DOY115" s="139"/>
      <c r="DOZ115" s="139"/>
      <c r="DPA115" s="139"/>
      <c r="DPB115" s="139"/>
      <c r="DPC115" s="139"/>
      <c r="DPD115" s="139"/>
      <c r="DPE115" s="139"/>
      <c r="DPF115" s="139"/>
      <c r="DPG115" s="139"/>
      <c r="DPH115" s="139"/>
      <c r="DPI115" s="139"/>
      <c r="DPJ115" s="139"/>
      <c r="DPK115" s="139"/>
      <c r="DPL115" s="139"/>
      <c r="DPM115" s="139"/>
      <c r="DPN115" s="139"/>
      <c r="DPO115" s="139"/>
      <c r="DPP115" s="139"/>
      <c r="DPQ115" s="139"/>
      <c r="DPR115" s="139"/>
      <c r="DPS115" s="139"/>
      <c r="DPT115" s="139"/>
      <c r="DPU115" s="139"/>
      <c r="DPV115" s="139"/>
      <c r="DPW115" s="139"/>
      <c r="DPX115" s="139"/>
      <c r="DPY115" s="139"/>
      <c r="DPZ115" s="139"/>
      <c r="DQA115" s="139"/>
      <c r="DQB115" s="139"/>
      <c r="DQC115" s="139"/>
      <c r="DQD115" s="139"/>
      <c r="DQE115" s="139"/>
      <c r="DQF115" s="139"/>
      <c r="DQG115" s="139"/>
      <c r="DQH115" s="139"/>
      <c r="DQI115" s="139"/>
      <c r="DQJ115" s="139"/>
      <c r="DQK115" s="139"/>
      <c r="DQL115" s="139"/>
      <c r="DQM115" s="139"/>
      <c r="DQN115" s="139"/>
      <c r="DQO115" s="139"/>
      <c r="DQP115" s="139"/>
      <c r="DQQ115" s="139"/>
      <c r="DQR115" s="139"/>
      <c r="DQS115" s="139"/>
      <c r="DQT115" s="139"/>
      <c r="DQU115" s="139"/>
      <c r="DQV115" s="139"/>
      <c r="DQW115" s="139"/>
      <c r="DQX115" s="139"/>
      <c r="DQY115" s="139"/>
      <c r="DQZ115" s="139"/>
      <c r="DRA115" s="139"/>
      <c r="DRB115" s="139"/>
      <c r="DRC115" s="139"/>
      <c r="DRD115" s="139"/>
      <c r="DRE115" s="139"/>
      <c r="DRF115" s="139"/>
      <c r="DRG115" s="139"/>
      <c r="DRH115" s="139"/>
      <c r="DRI115" s="139"/>
      <c r="DRJ115" s="139"/>
      <c r="DRK115" s="139"/>
      <c r="DRL115" s="139"/>
      <c r="DRM115" s="139"/>
      <c r="DRN115" s="139"/>
      <c r="DRO115" s="139"/>
      <c r="DRP115" s="139"/>
      <c r="DRQ115" s="139"/>
      <c r="DRR115" s="139"/>
      <c r="DRS115" s="139"/>
      <c r="DRT115" s="139"/>
      <c r="DRU115" s="139"/>
      <c r="DRV115" s="139"/>
      <c r="DRW115" s="139"/>
      <c r="DRX115" s="139"/>
      <c r="DRY115" s="139"/>
      <c r="DRZ115" s="139"/>
      <c r="DSA115" s="139"/>
      <c r="DSB115" s="139"/>
      <c r="DSC115" s="139"/>
      <c r="DSD115" s="139"/>
      <c r="DSE115" s="139"/>
      <c r="DSF115" s="139"/>
      <c r="DSG115" s="139"/>
      <c r="DSH115" s="139"/>
      <c r="DSI115" s="139"/>
      <c r="DSJ115" s="139"/>
      <c r="DSK115" s="139"/>
      <c r="DSL115" s="139"/>
      <c r="DSM115" s="139"/>
      <c r="DSN115" s="139"/>
      <c r="DSO115" s="139"/>
      <c r="DSP115" s="139"/>
      <c r="DSQ115" s="139"/>
      <c r="DSR115" s="139"/>
      <c r="DSS115" s="139"/>
      <c r="DST115" s="139"/>
      <c r="DSU115" s="139"/>
      <c r="DSV115" s="139"/>
      <c r="DSW115" s="139"/>
      <c r="DSX115" s="139"/>
      <c r="DSY115" s="139"/>
      <c r="DSZ115" s="139"/>
      <c r="DTA115" s="139"/>
      <c r="DTB115" s="139"/>
      <c r="DTC115" s="139"/>
      <c r="DTD115" s="139"/>
      <c r="DTE115" s="139"/>
      <c r="DTF115" s="139"/>
      <c r="DTG115" s="139"/>
      <c r="DTH115" s="139"/>
      <c r="DTI115" s="139"/>
      <c r="DTJ115" s="139"/>
      <c r="DTK115" s="139"/>
      <c r="DTL115" s="139"/>
      <c r="DTM115" s="139"/>
      <c r="DTN115" s="139"/>
      <c r="DTO115" s="139"/>
      <c r="DTP115" s="139"/>
      <c r="DTQ115" s="139"/>
      <c r="DTR115" s="139"/>
      <c r="DTS115" s="139"/>
      <c r="DTT115" s="139"/>
      <c r="DTU115" s="139"/>
      <c r="DTV115" s="139"/>
      <c r="DTW115" s="139"/>
      <c r="DTX115" s="139"/>
      <c r="DTY115" s="139"/>
      <c r="DTZ115" s="139"/>
      <c r="DUA115" s="139"/>
      <c r="DUB115" s="139"/>
      <c r="DUC115" s="139"/>
      <c r="DUD115" s="139"/>
      <c r="DUE115" s="139"/>
      <c r="DUF115" s="139"/>
      <c r="DUG115" s="139"/>
      <c r="DUH115" s="139"/>
      <c r="DUI115" s="139"/>
      <c r="DUJ115" s="139"/>
      <c r="DUK115" s="139"/>
      <c r="DUL115" s="139"/>
      <c r="DUM115" s="139"/>
      <c r="DUN115" s="139"/>
      <c r="DUO115" s="139"/>
      <c r="DUP115" s="139"/>
      <c r="DUQ115" s="139"/>
      <c r="DUR115" s="139"/>
      <c r="DUS115" s="139"/>
      <c r="DUT115" s="139"/>
      <c r="DUU115" s="139"/>
      <c r="DUV115" s="139"/>
      <c r="DUW115" s="139"/>
      <c r="DUX115" s="139"/>
      <c r="DUY115" s="139"/>
      <c r="DUZ115" s="139"/>
      <c r="DVA115" s="139"/>
      <c r="DVB115" s="139"/>
      <c r="DVC115" s="139"/>
      <c r="DVD115" s="139"/>
      <c r="DVE115" s="139"/>
      <c r="DVF115" s="139"/>
      <c r="DVG115" s="139"/>
      <c r="DVH115" s="139"/>
      <c r="DVI115" s="139"/>
      <c r="DVJ115" s="139"/>
      <c r="DVK115" s="139"/>
      <c r="DVL115" s="139"/>
      <c r="DVM115" s="139"/>
      <c r="DVN115" s="139"/>
      <c r="DVO115" s="139"/>
      <c r="DVP115" s="139"/>
      <c r="DVQ115" s="139"/>
      <c r="DVR115" s="139"/>
      <c r="DVS115" s="139"/>
      <c r="DVT115" s="139"/>
      <c r="DVU115" s="139"/>
      <c r="DVV115" s="139"/>
      <c r="DVW115" s="139"/>
      <c r="DVX115" s="139"/>
      <c r="DVY115" s="139"/>
      <c r="DVZ115" s="139"/>
      <c r="DWA115" s="139"/>
      <c r="DWB115" s="139"/>
      <c r="DWC115" s="139"/>
      <c r="DWD115" s="139"/>
      <c r="DWE115" s="139"/>
      <c r="DWF115" s="139"/>
      <c r="DWG115" s="139"/>
      <c r="DWH115" s="139"/>
      <c r="DWI115" s="139"/>
      <c r="DWJ115" s="139"/>
      <c r="DWK115" s="139"/>
      <c r="DWL115" s="139"/>
      <c r="DWM115" s="139"/>
      <c r="DWN115" s="139"/>
      <c r="DWO115" s="139"/>
      <c r="DWP115" s="139"/>
      <c r="DWQ115" s="139"/>
      <c r="DWR115" s="139"/>
      <c r="DWS115" s="139"/>
      <c r="DWT115" s="139"/>
      <c r="DWU115" s="139"/>
      <c r="DWV115" s="139"/>
      <c r="DWW115" s="139"/>
      <c r="DWX115" s="139"/>
      <c r="DWY115" s="139"/>
      <c r="DWZ115" s="139"/>
      <c r="DXA115" s="139"/>
      <c r="DXB115" s="139"/>
      <c r="DXC115" s="139"/>
      <c r="DXD115" s="139"/>
      <c r="DXE115" s="139"/>
      <c r="DXF115" s="139"/>
      <c r="DXG115" s="139"/>
      <c r="DXH115" s="139"/>
      <c r="DXI115" s="139"/>
      <c r="DXJ115" s="139"/>
      <c r="DXK115" s="139"/>
      <c r="DXL115" s="139"/>
      <c r="DXM115" s="139"/>
      <c r="DXN115" s="139"/>
      <c r="DXO115" s="139"/>
      <c r="DXP115" s="139"/>
      <c r="DXQ115" s="139"/>
      <c r="DXR115" s="139"/>
      <c r="DXS115" s="139"/>
      <c r="DXT115" s="139"/>
      <c r="DXU115" s="139"/>
      <c r="DXV115" s="139"/>
      <c r="DXW115" s="139"/>
      <c r="DXX115" s="139"/>
      <c r="DXY115" s="139"/>
      <c r="DXZ115" s="139"/>
      <c r="DYA115" s="139"/>
      <c r="DYB115" s="139"/>
      <c r="DYC115" s="139"/>
      <c r="DYD115" s="139"/>
      <c r="DYE115" s="139"/>
      <c r="DYF115" s="139"/>
      <c r="DYG115" s="139"/>
      <c r="DYH115" s="139"/>
      <c r="DYI115" s="139"/>
      <c r="DYJ115" s="139"/>
      <c r="DYK115" s="139"/>
      <c r="DYL115" s="139"/>
      <c r="DYM115" s="139"/>
      <c r="DYN115" s="139"/>
      <c r="DYO115" s="139"/>
      <c r="DYP115" s="139"/>
      <c r="DYQ115" s="139"/>
      <c r="DYR115" s="139"/>
      <c r="DYS115" s="139"/>
      <c r="DYT115" s="139"/>
      <c r="DYU115" s="139"/>
      <c r="DYV115" s="139"/>
      <c r="DYW115" s="139"/>
      <c r="DYX115" s="139"/>
      <c r="DYY115" s="139"/>
      <c r="DYZ115" s="139"/>
      <c r="DZA115" s="139"/>
      <c r="DZB115" s="139"/>
      <c r="DZC115" s="139"/>
      <c r="DZD115" s="139"/>
      <c r="DZE115" s="139"/>
      <c r="DZF115" s="139"/>
      <c r="DZG115" s="139"/>
      <c r="DZH115" s="139"/>
      <c r="DZI115" s="139"/>
      <c r="DZJ115" s="139"/>
      <c r="DZK115" s="139"/>
      <c r="DZL115" s="139"/>
      <c r="DZM115" s="139"/>
      <c r="DZN115" s="139"/>
      <c r="DZO115" s="139"/>
      <c r="DZP115" s="139"/>
      <c r="DZQ115" s="139"/>
      <c r="DZR115" s="139"/>
      <c r="DZS115" s="139"/>
      <c r="DZT115" s="139"/>
      <c r="DZU115" s="139"/>
      <c r="DZV115" s="139"/>
      <c r="DZW115" s="139"/>
      <c r="DZX115" s="139"/>
      <c r="DZY115" s="139"/>
      <c r="DZZ115" s="139"/>
      <c r="EAA115" s="139"/>
      <c r="EAB115" s="139"/>
      <c r="EAC115" s="139"/>
      <c r="EAD115" s="139"/>
      <c r="EAE115" s="139"/>
      <c r="EAF115" s="139"/>
      <c r="EAG115" s="139"/>
      <c r="EAH115" s="139"/>
      <c r="EAI115" s="139"/>
      <c r="EAJ115" s="139"/>
      <c r="EAK115" s="139"/>
      <c r="EAL115" s="139"/>
      <c r="EAM115" s="139"/>
      <c r="EAN115" s="139"/>
      <c r="EAO115" s="139"/>
      <c r="EAP115" s="139"/>
      <c r="EAQ115" s="139"/>
      <c r="EAR115" s="139"/>
      <c r="EAS115" s="139"/>
      <c r="EAT115" s="139"/>
      <c r="EAU115" s="139"/>
      <c r="EAV115" s="139"/>
      <c r="EAW115" s="139"/>
      <c r="EAX115" s="139"/>
      <c r="EAY115" s="139"/>
      <c r="EAZ115" s="139"/>
      <c r="EBA115" s="139"/>
      <c r="EBB115" s="139"/>
      <c r="EBC115" s="139"/>
      <c r="EBD115" s="139"/>
      <c r="EBE115" s="139"/>
      <c r="EBF115" s="139"/>
      <c r="EBG115" s="139"/>
      <c r="EBH115" s="139"/>
      <c r="EBI115" s="139"/>
      <c r="EBJ115" s="139"/>
      <c r="EBK115" s="139"/>
      <c r="EBL115" s="139"/>
      <c r="EBM115" s="139"/>
      <c r="EBN115" s="139"/>
      <c r="EBO115" s="139"/>
      <c r="EBP115" s="139"/>
      <c r="EBQ115" s="139"/>
      <c r="EBR115" s="139"/>
      <c r="EBS115" s="139"/>
      <c r="EBT115" s="139"/>
      <c r="EBU115" s="139"/>
      <c r="EBV115" s="139"/>
      <c r="EBW115" s="139"/>
      <c r="EBX115" s="139"/>
      <c r="EBY115" s="139"/>
      <c r="EBZ115" s="139"/>
      <c r="ECA115" s="139"/>
      <c r="ECB115" s="139"/>
      <c r="ECC115" s="139"/>
      <c r="ECD115" s="139"/>
      <c r="ECE115" s="139"/>
      <c r="ECF115" s="139"/>
      <c r="ECG115" s="139"/>
      <c r="ECH115" s="139"/>
      <c r="ECI115" s="139"/>
      <c r="ECJ115" s="139"/>
      <c r="ECK115" s="139"/>
      <c r="ECL115" s="139"/>
      <c r="ECM115" s="139"/>
      <c r="ECN115" s="139"/>
      <c r="ECO115" s="139"/>
      <c r="ECP115" s="139"/>
      <c r="ECQ115" s="139"/>
      <c r="ECR115" s="139"/>
      <c r="ECS115" s="139"/>
      <c r="ECT115" s="139"/>
      <c r="ECU115" s="139"/>
      <c r="ECV115" s="139"/>
      <c r="ECW115" s="139"/>
      <c r="ECX115" s="139"/>
      <c r="ECY115" s="139"/>
      <c r="ECZ115" s="139"/>
      <c r="EDA115" s="139"/>
      <c r="EDB115" s="139"/>
      <c r="EDC115" s="139"/>
      <c r="EDD115" s="139"/>
      <c r="EDE115" s="139"/>
      <c r="EDF115" s="139"/>
      <c r="EDG115" s="139"/>
      <c r="EDH115" s="139"/>
      <c r="EDI115" s="139"/>
      <c r="EDJ115" s="139"/>
      <c r="EDK115" s="139"/>
      <c r="EDL115" s="139"/>
      <c r="EDM115" s="139"/>
      <c r="EDN115" s="139"/>
      <c r="EDO115" s="139"/>
      <c r="EDP115" s="139"/>
      <c r="EDQ115" s="139"/>
      <c r="EDR115" s="139"/>
      <c r="EDS115" s="139"/>
      <c r="EDT115" s="139"/>
      <c r="EDU115" s="139"/>
      <c r="EDV115" s="139"/>
      <c r="EDW115" s="139"/>
      <c r="EDX115" s="139"/>
      <c r="EDY115" s="139"/>
      <c r="EDZ115" s="139"/>
      <c r="EEA115" s="139"/>
      <c r="EEB115" s="139"/>
      <c r="EEC115" s="139"/>
      <c r="EED115" s="139"/>
      <c r="EEE115" s="139"/>
      <c r="EEF115" s="139"/>
      <c r="EEG115" s="139"/>
      <c r="EEH115" s="139"/>
      <c r="EEI115" s="139"/>
      <c r="EEJ115" s="139"/>
      <c r="EEK115" s="139"/>
      <c r="EEL115" s="139"/>
      <c r="EEM115" s="139"/>
      <c r="EEN115" s="139"/>
      <c r="EEO115" s="139"/>
      <c r="EEP115" s="139"/>
      <c r="EEQ115" s="139"/>
      <c r="EER115" s="139"/>
      <c r="EES115" s="139"/>
      <c r="EET115" s="139"/>
      <c r="EEU115" s="139"/>
      <c r="EEV115" s="139"/>
      <c r="EEW115" s="139"/>
      <c r="EEX115" s="139"/>
      <c r="EEY115" s="139"/>
      <c r="EEZ115" s="139"/>
      <c r="EFA115" s="139"/>
      <c r="EFB115" s="139"/>
      <c r="EFC115" s="139"/>
      <c r="EFD115" s="139"/>
      <c r="EFE115" s="139"/>
      <c r="EFF115" s="139"/>
      <c r="EFG115" s="139"/>
      <c r="EFH115" s="139"/>
      <c r="EFI115" s="139"/>
      <c r="EFJ115" s="139"/>
      <c r="EFK115" s="139"/>
      <c r="EFL115" s="139"/>
      <c r="EFM115" s="139"/>
      <c r="EFN115" s="139"/>
      <c r="EFO115" s="139"/>
      <c r="EFP115" s="139"/>
      <c r="EFQ115" s="139"/>
      <c r="EFR115" s="139"/>
      <c r="EFS115" s="139"/>
      <c r="EFT115" s="139"/>
      <c r="EFU115" s="139"/>
      <c r="EFV115" s="139"/>
      <c r="EFW115" s="139"/>
      <c r="EFX115" s="139"/>
      <c r="EFY115" s="139"/>
      <c r="EFZ115" s="139"/>
      <c r="EGA115" s="139"/>
      <c r="EGB115" s="139"/>
      <c r="EGC115" s="139"/>
      <c r="EGD115" s="139"/>
      <c r="EGE115" s="139"/>
      <c r="EGF115" s="139"/>
      <c r="EGG115" s="139"/>
      <c r="EGH115" s="139"/>
      <c r="EGI115" s="139"/>
      <c r="EGJ115" s="139"/>
      <c r="EGK115" s="139"/>
      <c r="EGL115" s="139"/>
      <c r="EGM115" s="139"/>
      <c r="EGN115" s="139"/>
      <c r="EGO115" s="139"/>
      <c r="EGP115" s="139"/>
      <c r="EGQ115" s="139"/>
      <c r="EGR115" s="139"/>
      <c r="EGS115" s="139"/>
      <c r="EGT115" s="139"/>
      <c r="EGU115" s="139"/>
      <c r="EGV115" s="139"/>
      <c r="EGW115" s="139"/>
      <c r="EGX115" s="139"/>
      <c r="EGY115" s="139"/>
      <c r="EGZ115" s="139"/>
      <c r="EHA115" s="139"/>
      <c r="EHB115" s="139"/>
      <c r="EHC115" s="139"/>
      <c r="EHD115" s="139"/>
      <c r="EHE115" s="139"/>
      <c r="EHF115" s="139"/>
      <c r="EHG115" s="139"/>
      <c r="EHH115" s="139"/>
      <c r="EHI115" s="139"/>
      <c r="EHJ115" s="139"/>
      <c r="EHK115" s="139"/>
      <c r="EHL115" s="139"/>
      <c r="EHM115" s="139"/>
      <c r="EHN115" s="139"/>
      <c r="EHO115" s="139"/>
      <c r="EHP115" s="139"/>
      <c r="EHQ115" s="139"/>
      <c r="EHR115" s="139"/>
      <c r="EHS115" s="139"/>
      <c r="EHT115" s="139"/>
      <c r="EHU115" s="139"/>
      <c r="EHV115" s="139"/>
      <c r="EHW115" s="139"/>
      <c r="EHX115" s="139"/>
      <c r="EHY115" s="139"/>
      <c r="EHZ115" s="139"/>
      <c r="EIA115" s="139"/>
      <c r="EIB115" s="139"/>
      <c r="EIC115" s="139"/>
      <c r="EID115" s="139"/>
      <c r="EIE115" s="139"/>
      <c r="EIF115" s="139"/>
      <c r="EIG115" s="139"/>
      <c r="EIH115" s="139"/>
      <c r="EII115" s="139"/>
      <c r="EIJ115" s="139"/>
      <c r="EIK115" s="139"/>
      <c r="EIL115" s="139"/>
      <c r="EIM115" s="139"/>
      <c r="EIN115" s="139"/>
      <c r="EIO115" s="139"/>
      <c r="EIP115" s="139"/>
      <c r="EIQ115" s="139"/>
      <c r="EIR115" s="139"/>
      <c r="EIS115" s="139"/>
      <c r="EIT115" s="139"/>
      <c r="EIU115" s="139"/>
      <c r="EIV115" s="139"/>
      <c r="EIW115" s="139"/>
      <c r="EIX115" s="139"/>
      <c r="EIY115" s="139"/>
      <c r="EIZ115" s="139"/>
      <c r="EJA115" s="139"/>
      <c r="EJB115" s="139"/>
      <c r="EJC115" s="139"/>
      <c r="EJD115" s="139"/>
      <c r="EJE115" s="139"/>
      <c r="EJF115" s="139"/>
      <c r="EJG115" s="139"/>
      <c r="EJH115" s="139"/>
      <c r="EJI115" s="139"/>
      <c r="EJJ115" s="139"/>
      <c r="EJK115" s="139"/>
      <c r="EJL115" s="139"/>
      <c r="EJM115" s="139"/>
      <c r="EJN115" s="139"/>
      <c r="EJO115" s="139"/>
      <c r="EJP115" s="139"/>
      <c r="EJQ115" s="139"/>
      <c r="EJR115" s="139"/>
      <c r="EJS115" s="139"/>
      <c r="EJT115" s="139"/>
      <c r="EJU115" s="139"/>
      <c r="EJV115" s="139"/>
      <c r="EJW115" s="139"/>
      <c r="EJX115" s="139"/>
      <c r="EJY115" s="139"/>
      <c r="EJZ115" s="139"/>
      <c r="EKA115" s="139"/>
      <c r="EKB115" s="139"/>
      <c r="EKC115" s="139"/>
      <c r="EKD115" s="139"/>
      <c r="EKE115" s="139"/>
      <c r="EKF115" s="139"/>
      <c r="EKG115" s="139"/>
      <c r="EKH115" s="139"/>
      <c r="EKI115" s="139"/>
      <c r="EKJ115" s="139"/>
      <c r="EKK115" s="139"/>
      <c r="EKL115" s="139"/>
      <c r="EKM115" s="139"/>
      <c r="EKN115" s="139"/>
      <c r="EKO115" s="139"/>
      <c r="EKP115" s="139"/>
      <c r="EKQ115" s="139"/>
      <c r="EKR115" s="139"/>
      <c r="EKS115" s="139"/>
      <c r="EKT115" s="139"/>
      <c r="EKU115" s="139"/>
      <c r="EKV115" s="139"/>
      <c r="EKW115" s="139"/>
      <c r="EKX115" s="139"/>
      <c r="EKY115" s="139"/>
      <c r="EKZ115" s="139"/>
      <c r="ELA115" s="139"/>
      <c r="ELB115" s="139"/>
      <c r="ELC115" s="139"/>
      <c r="ELD115" s="139"/>
      <c r="ELE115" s="139"/>
      <c r="ELF115" s="139"/>
      <c r="ELG115" s="139"/>
      <c r="ELH115" s="139"/>
      <c r="ELI115" s="139"/>
      <c r="ELJ115" s="139"/>
      <c r="ELK115" s="139"/>
      <c r="ELL115" s="139"/>
      <c r="ELM115" s="139"/>
      <c r="ELN115" s="139"/>
      <c r="ELO115" s="139"/>
      <c r="ELP115" s="139"/>
      <c r="ELQ115" s="139"/>
      <c r="ELR115" s="139"/>
      <c r="ELS115" s="139"/>
      <c r="ELT115" s="139"/>
      <c r="ELU115" s="139"/>
      <c r="ELV115" s="139"/>
      <c r="ELW115" s="139"/>
      <c r="ELX115" s="139"/>
      <c r="ELY115" s="139"/>
      <c r="ELZ115" s="139"/>
      <c r="EMA115" s="139"/>
      <c r="EMB115" s="139"/>
      <c r="EMC115" s="139"/>
      <c r="EMD115" s="139"/>
      <c r="EME115" s="139"/>
      <c r="EMF115" s="139"/>
      <c r="EMG115" s="139"/>
      <c r="EMH115" s="139"/>
      <c r="EMI115" s="139"/>
      <c r="EMJ115" s="139"/>
      <c r="EMK115" s="139"/>
      <c r="EML115" s="139"/>
      <c r="EMM115" s="139"/>
      <c r="EMN115" s="139"/>
      <c r="EMO115" s="139"/>
      <c r="EMP115" s="139"/>
      <c r="EMQ115" s="139"/>
      <c r="EMR115" s="139"/>
      <c r="EMS115" s="139"/>
      <c r="EMT115" s="139"/>
      <c r="EMU115" s="139"/>
      <c r="EMV115" s="139"/>
      <c r="EMW115" s="139"/>
      <c r="EMX115" s="139"/>
      <c r="EMY115" s="139"/>
      <c r="EMZ115" s="139"/>
      <c r="ENA115" s="139"/>
      <c r="ENB115" s="139"/>
      <c r="ENC115" s="139"/>
      <c r="END115" s="139"/>
      <c r="ENE115" s="139"/>
      <c r="ENF115" s="139"/>
      <c r="ENG115" s="139"/>
      <c r="ENH115" s="139"/>
      <c r="ENI115" s="139"/>
      <c r="ENJ115" s="139"/>
      <c r="ENK115" s="139"/>
      <c r="ENL115" s="139"/>
      <c r="ENM115" s="139"/>
      <c r="ENN115" s="139"/>
      <c r="ENO115" s="139"/>
      <c r="ENP115" s="139"/>
      <c r="ENQ115" s="139"/>
      <c r="ENR115" s="139"/>
      <c r="ENS115" s="139"/>
      <c r="ENT115" s="139"/>
      <c r="ENU115" s="139"/>
      <c r="ENV115" s="139"/>
      <c r="ENW115" s="139"/>
      <c r="ENX115" s="139"/>
      <c r="ENY115" s="139"/>
      <c r="ENZ115" s="139"/>
      <c r="EOA115" s="139"/>
      <c r="EOB115" s="139"/>
      <c r="EOC115" s="139"/>
      <c r="EOD115" s="139"/>
      <c r="EOE115" s="139"/>
      <c r="EOF115" s="139"/>
      <c r="EOG115" s="139"/>
      <c r="EOH115" s="139"/>
      <c r="EOI115" s="139"/>
      <c r="EOJ115" s="139"/>
      <c r="EOK115" s="139"/>
      <c r="EOL115" s="139"/>
      <c r="EOM115" s="139"/>
      <c r="EON115" s="139"/>
      <c r="EOO115" s="139"/>
      <c r="EOP115" s="139"/>
      <c r="EOQ115" s="139"/>
      <c r="EOR115" s="139"/>
      <c r="EOS115" s="139"/>
      <c r="EOT115" s="139"/>
      <c r="EOU115" s="139"/>
      <c r="EOV115" s="139"/>
      <c r="EOW115" s="139"/>
      <c r="EOX115" s="139"/>
      <c r="EOY115" s="139"/>
      <c r="EOZ115" s="139"/>
      <c r="EPA115" s="139"/>
      <c r="EPB115" s="139"/>
      <c r="EPC115" s="139"/>
      <c r="EPD115" s="139"/>
      <c r="EPE115" s="139"/>
      <c r="EPF115" s="139"/>
      <c r="EPG115" s="139"/>
      <c r="EPH115" s="139"/>
      <c r="EPI115" s="139"/>
      <c r="EPJ115" s="139"/>
      <c r="EPK115" s="139"/>
      <c r="EPL115" s="139"/>
      <c r="EPM115" s="139"/>
      <c r="EPN115" s="139"/>
      <c r="EPO115" s="139"/>
      <c r="EPP115" s="139"/>
      <c r="EPQ115" s="139"/>
      <c r="EPR115" s="139"/>
      <c r="EPS115" s="139"/>
      <c r="EPT115" s="139"/>
      <c r="EPU115" s="139"/>
      <c r="EPV115" s="139"/>
      <c r="EPW115" s="139"/>
      <c r="EPX115" s="139"/>
      <c r="EPY115" s="139"/>
      <c r="EPZ115" s="139"/>
      <c r="EQA115" s="139"/>
      <c r="EQB115" s="139"/>
      <c r="EQC115" s="139"/>
      <c r="EQD115" s="139"/>
      <c r="EQE115" s="139"/>
      <c r="EQF115" s="139"/>
      <c r="EQG115" s="139"/>
      <c r="EQH115" s="139"/>
      <c r="EQI115" s="139"/>
      <c r="EQJ115" s="139"/>
      <c r="EQK115" s="139"/>
      <c r="EQL115" s="139"/>
      <c r="EQM115" s="139"/>
      <c r="EQN115" s="139"/>
      <c r="EQO115" s="139"/>
      <c r="EQP115" s="139"/>
      <c r="EQQ115" s="139"/>
      <c r="EQR115" s="139"/>
      <c r="EQS115" s="139"/>
      <c r="EQT115" s="139"/>
      <c r="EQU115" s="139"/>
      <c r="EQV115" s="139"/>
      <c r="EQW115" s="139"/>
      <c r="EQX115" s="139"/>
      <c r="EQY115" s="139"/>
      <c r="EQZ115" s="139"/>
      <c r="ERA115" s="139"/>
      <c r="ERB115" s="139"/>
      <c r="ERC115" s="139"/>
      <c r="ERD115" s="139"/>
      <c r="ERE115" s="139"/>
      <c r="ERF115" s="139"/>
      <c r="ERG115" s="139"/>
      <c r="ERH115" s="139"/>
      <c r="ERI115" s="139"/>
      <c r="ERJ115" s="139"/>
      <c r="ERK115" s="139"/>
      <c r="ERL115" s="139"/>
      <c r="ERM115" s="139"/>
      <c r="ERN115" s="139"/>
      <c r="ERO115" s="139"/>
      <c r="ERP115" s="139"/>
      <c r="ERQ115" s="139"/>
      <c r="ERR115" s="139"/>
      <c r="ERS115" s="139"/>
      <c r="ERT115" s="139"/>
      <c r="ERU115" s="139"/>
      <c r="ERV115" s="139"/>
      <c r="ERW115" s="139"/>
      <c r="ERX115" s="139"/>
      <c r="ERY115" s="139"/>
      <c r="ERZ115" s="139"/>
      <c r="ESA115" s="139"/>
      <c r="ESB115" s="139"/>
      <c r="ESC115" s="139"/>
      <c r="ESD115" s="139"/>
      <c r="ESE115" s="139"/>
      <c r="ESF115" s="139"/>
      <c r="ESG115" s="139"/>
      <c r="ESH115" s="139"/>
      <c r="ESI115" s="139"/>
      <c r="ESJ115" s="139"/>
      <c r="ESK115" s="139"/>
      <c r="ESL115" s="139"/>
      <c r="ESM115" s="139"/>
      <c r="ESN115" s="139"/>
      <c r="ESO115" s="139"/>
      <c r="ESP115" s="139"/>
      <c r="ESQ115" s="139"/>
      <c r="ESR115" s="139"/>
      <c r="ESS115" s="139"/>
      <c r="EST115" s="139"/>
      <c r="ESU115" s="139"/>
      <c r="ESV115" s="139"/>
      <c r="ESW115" s="139"/>
      <c r="ESX115" s="139"/>
      <c r="ESY115" s="139"/>
      <c r="ESZ115" s="139"/>
      <c r="ETA115" s="139"/>
      <c r="ETB115" s="139"/>
      <c r="ETC115" s="139"/>
      <c r="ETD115" s="139"/>
      <c r="ETE115" s="139"/>
      <c r="ETF115" s="139"/>
      <c r="ETG115" s="139"/>
      <c r="ETH115" s="139"/>
      <c r="ETI115" s="139"/>
      <c r="ETJ115" s="139"/>
      <c r="ETK115" s="139"/>
      <c r="ETL115" s="139"/>
      <c r="ETM115" s="139"/>
      <c r="ETN115" s="139"/>
      <c r="ETO115" s="139"/>
      <c r="ETP115" s="139"/>
      <c r="ETQ115" s="139"/>
      <c r="ETR115" s="139"/>
      <c r="ETS115" s="139"/>
      <c r="ETT115" s="139"/>
      <c r="ETU115" s="139"/>
      <c r="ETV115" s="139"/>
      <c r="ETW115" s="139"/>
      <c r="ETX115" s="139"/>
      <c r="ETY115" s="139"/>
      <c r="ETZ115" s="139"/>
      <c r="EUA115" s="139"/>
      <c r="EUB115" s="139"/>
      <c r="EUC115" s="139"/>
      <c r="EUD115" s="139"/>
      <c r="EUE115" s="139"/>
      <c r="EUF115" s="139"/>
      <c r="EUG115" s="139"/>
      <c r="EUH115" s="139"/>
      <c r="EUI115" s="139"/>
      <c r="EUJ115" s="139"/>
      <c r="EUK115" s="139"/>
      <c r="EUL115" s="139"/>
      <c r="EUM115" s="139"/>
      <c r="EUN115" s="139"/>
      <c r="EUO115" s="139"/>
      <c r="EUP115" s="139"/>
      <c r="EUQ115" s="139"/>
      <c r="EUR115" s="139"/>
      <c r="EUS115" s="139"/>
      <c r="EUT115" s="139"/>
      <c r="EUU115" s="139"/>
      <c r="EUV115" s="139"/>
      <c r="EUW115" s="139"/>
      <c r="EUX115" s="139"/>
      <c r="EUY115" s="139"/>
      <c r="EUZ115" s="139"/>
      <c r="EVA115" s="139"/>
      <c r="EVB115" s="139"/>
      <c r="EVC115" s="139"/>
      <c r="EVD115" s="139"/>
      <c r="EVE115" s="139"/>
      <c r="EVF115" s="139"/>
      <c r="EVG115" s="139"/>
      <c r="EVH115" s="139"/>
      <c r="EVI115" s="139"/>
      <c r="EVJ115" s="139"/>
      <c r="EVK115" s="139"/>
      <c r="EVL115" s="139"/>
      <c r="EVM115" s="139"/>
      <c r="EVN115" s="139"/>
      <c r="EVO115" s="139"/>
      <c r="EVP115" s="139"/>
      <c r="EVQ115" s="139"/>
      <c r="EVR115" s="139"/>
      <c r="EVS115" s="139"/>
      <c r="EVT115" s="139"/>
      <c r="EVU115" s="139"/>
      <c r="EVV115" s="139"/>
      <c r="EVW115" s="139"/>
      <c r="EVX115" s="139"/>
      <c r="EVY115" s="139"/>
      <c r="EVZ115" s="139"/>
      <c r="EWA115" s="139"/>
      <c r="EWB115" s="139"/>
      <c r="EWC115" s="139"/>
      <c r="EWD115" s="139"/>
      <c r="EWE115" s="139"/>
      <c r="EWF115" s="139"/>
      <c r="EWG115" s="139"/>
      <c r="EWH115" s="139"/>
      <c r="EWI115" s="139"/>
      <c r="EWJ115" s="139"/>
      <c r="EWK115" s="139"/>
      <c r="EWL115" s="139"/>
      <c r="EWM115" s="139"/>
      <c r="EWN115" s="139"/>
      <c r="EWO115" s="139"/>
      <c r="EWP115" s="139"/>
      <c r="EWQ115" s="139"/>
      <c r="EWR115" s="139"/>
      <c r="EWS115" s="139"/>
      <c r="EWT115" s="139"/>
      <c r="EWU115" s="139"/>
      <c r="EWV115" s="139"/>
      <c r="EWW115" s="139"/>
      <c r="EWX115" s="139"/>
      <c r="EWY115" s="139"/>
      <c r="EWZ115" s="139"/>
      <c r="EXA115" s="139"/>
      <c r="EXB115" s="139"/>
      <c r="EXC115" s="139"/>
      <c r="EXD115" s="139"/>
      <c r="EXE115" s="139"/>
      <c r="EXF115" s="139"/>
      <c r="EXG115" s="139"/>
      <c r="EXH115" s="139"/>
      <c r="EXI115" s="139"/>
      <c r="EXJ115" s="139"/>
      <c r="EXK115" s="139"/>
      <c r="EXL115" s="139"/>
      <c r="EXM115" s="139"/>
      <c r="EXN115" s="139"/>
      <c r="EXO115" s="139"/>
      <c r="EXP115" s="139"/>
      <c r="EXQ115" s="139"/>
      <c r="EXR115" s="139"/>
      <c r="EXS115" s="139"/>
      <c r="EXT115" s="139"/>
      <c r="EXU115" s="139"/>
      <c r="EXV115" s="139"/>
      <c r="EXW115" s="139"/>
      <c r="EXX115" s="139"/>
      <c r="EXY115" s="139"/>
      <c r="EXZ115" s="139"/>
      <c r="EYA115" s="139"/>
      <c r="EYB115" s="139"/>
      <c r="EYC115" s="139"/>
      <c r="EYD115" s="139"/>
      <c r="EYE115" s="139"/>
      <c r="EYF115" s="139"/>
      <c r="EYG115" s="139"/>
      <c r="EYH115" s="139"/>
      <c r="EYI115" s="139"/>
      <c r="EYJ115" s="139"/>
      <c r="EYK115" s="139"/>
      <c r="EYL115" s="139"/>
      <c r="EYM115" s="139"/>
      <c r="EYN115" s="139"/>
      <c r="EYO115" s="139"/>
      <c r="EYP115" s="139"/>
      <c r="EYQ115" s="139"/>
      <c r="EYR115" s="139"/>
      <c r="EYS115" s="139"/>
      <c r="EYT115" s="139"/>
      <c r="EYU115" s="139"/>
      <c r="EYV115" s="139"/>
      <c r="EYW115" s="139"/>
      <c r="EYX115" s="139"/>
      <c r="EYY115" s="139"/>
      <c r="EYZ115" s="139"/>
      <c r="EZA115" s="139"/>
      <c r="EZB115" s="139"/>
      <c r="EZC115" s="139"/>
      <c r="EZD115" s="139"/>
      <c r="EZE115" s="139"/>
      <c r="EZF115" s="139"/>
      <c r="EZG115" s="139"/>
      <c r="EZH115" s="139"/>
      <c r="EZI115" s="139"/>
      <c r="EZJ115" s="139"/>
      <c r="EZK115" s="139"/>
      <c r="EZL115" s="139"/>
      <c r="EZM115" s="139"/>
      <c r="EZN115" s="139"/>
      <c r="EZO115" s="139"/>
      <c r="EZP115" s="139"/>
      <c r="EZQ115" s="139"/>
      <c r="EZR115" s="139"/>
      <c r="EZS115" s="139"/>
      <c r="EZT115" s="139"/>
      <c r="EZU115" s="139"/>
      <c r="EZV115" s="139"/>
      <c r="EZW115" s="139"/>
      <c r="EZX115" s="139"/>
      <c r="EZY115" s="139"/>
      <c r="EZZ115" s="139"/>
      <c r="FAA115" s="139"/>
      <c r="FAB115" s="139"/>
      <c r="FAC115" s="139"/>
      <c r="FAD115" s="139"/>
      <c r="FAE115" s="139"/>
      <c r="FAF115" s="139"/>
      <c r="FAG115" s="139"/>
      <c r="FAH115" s="139"/>
      <c r="FAI115" s="139"/>
      <c r="FAJ115" s="139"/>
      <c r="FAK115" s="139"/>
      <c r="FAL115" s="139"/>
      <c r="FAM115" s="139"/>
      <c r="FAN115" s="139"/>
      <c r="FAO115" s="139"/>
      <c r="FAP115" s="139"/>
      <c r="FAQ115" s="139"/>
      <c r="FAR115" s="139"/>
      <c r="FAS115" s="139"/>
      <c r="FAT115" s="139"/>
      <c r="FAU115" s="139"/>
      <c r="FAV115" s="139"/>
      <c r="FAW115" s="139"/>
      <c r="FAX115" s="139"/>
      <c r="FAY115" s="139"/>
      <c r="FAZ115" s="139"/>
      <c r="FBA115" s="139"/>
      <c r="FBB115" s="139"/>
      <c r="FBC115" s="139"/>
      <c r="FBD115" s="139"/>
      <c r="FBE115" s="139"/>
      <c r="FBF115" s="139"/>
      <c r="FBG115" s="139"/>
      <c r="FBH115" s="139"/>
      <c r="FBI115" s="139"/>
      <c r="FBJ115" s="139"/>
      <c r="FBK115" s="139"/>
      <c r="FBL115" s="139"/>
      <c r="FBM115" s="139"/>
      <c r="FBN115" s="139"/>
      <c r="FBO115" s="139"/>
      <c r="FBP115" s="139"/>
      <c r="FBQ115" s="139"/>
      <c r="FBR115" s="139"/>
      <c r="FBS115" s="139"/>
      <c r="FBT115" s="139"/>
      <c r="FBU115" s="139"/>
      <c r="FBV115" s="139"/>
      <c r="FBW115" s="139"/>
      <c r="FBX115" s="139"/>
      <c r="FBY115" s="139"/>
      <c r="FBZ115" s="139"/>
      <c r="FCA115" s="139"/>
      <c r="FCB115" s="139"/>
      <c r="FCC115" s="139"/>
      <c r="FCD115" s="139"/>
      <c r="FCE115" s="139"/>
      <c r="FCF115" s="139"/>
      <c r="FCG115" s="139"/>
      <c r="FCH115" s="139"/>
      <c r="FCI115" s="139"/>
      <c r="FCJ115" s="139"/>
      <c r="FCK115" s="139"/>
      <c r="FCL115" s="139"/>
      <c r="FCM115" s="139"/>
      <c r="FCN115" s="139"/>
      <c r="FCO115" s="139"/>
      <c r="FCP115" s="139"/>
      <c r="FCQ115" s="139"/>
      <c r="FCR115" s="139"/>
      <c r="FCS115" s="139"/>
      <c r="FCT115" s="139"/>
      <c r="FCU115" s="139"/>
      <c r="FCV115" s="139"/>
      <c r="FCW115" s="139"/>
      <c r="FCX115" s="139"/>
      <c r="FCY115" s="139"/>
      <c r="FCZ115" s="139"/>
      <c r="FDA115" s="139"/>
      <c r="FDB115" s="139"/>
      <c r="FDC115" s="139"/>
      <c r="FDD115" s="139"/>
      <c r="FDE115" s="139"/>
      <c r="FDF115" s="139"/>
      <c r="FDG115" s="139"/>
      <c r="FDH115" s="139"/>
      <c r="FDI115" s="139"/>
      <c r="FDJ115" s="139"/>
      <c r="FDK115" s="139"/>
      <c r="FDL115" s="139"/>
      <c r="FDM115" s="139"/>
      <c r="FDN115" s="139"/>
      <c r="FDO115" s="139"/>
      <c r="FDP115" s="139"/>
      <c r="FDQ115" s="139"/>
      <c r="FDR115" s="139"/>
      <c r="FDS115" s="139"/>
      <c r="FDT115" s="139"/>
      <c r="FDU115" s="139"/>
      <c r="FDV115" s="139"/>
      <c r="FDW115" s="139"/>
      <c r="FDX115" s="139"/>
      <c r="FDY115" s="139"/>
      <c r="FDZ115" s="139"/>
      <c r="FEA115" s="139"/>
      <c r="FEB115" s="139"/>
      <c r="FEC115" s="139"/>
      <c r="FED115" s="139"/>
      <c r="FEE115" s="139"/>
      <c r="FEF115" s="139"/>
      <c r="FEG115" s="139"/>
      <c r="FEH115" s="139"/>
      <c r="FEI115" s="139"/>
      <c r="FEJ115" s="139"/>
      <c r="FEK115" s="139"/>
      <c r="FEL115" s="139"/>
      <c r="FEM115" s="139"/>
      <c r="FEN115" s="139"/>
      <c r="FEO115" s="139"/>
      <c r="FEP115" s="139"/>
      <c r="FEQ115" s="139"/>
      <c r="FER115" s="139"/>
      <c r="FES115" s="139"/>
      <c r="FET115" s="139"/>
      <c r="FEU115" s="139"/>
      <c r="FEV115" s="139"/>
      <c r="FEW115" s="139"/>
      <c r="FEX115" s="139"/>
      <c r="FEY115" s="139"/>
      <c r="FEZ115" s="139"/>
      <c r="FFA115" s="139"/>
      <c r="FFB115" s="139"/>
      <c r="FFC115" s="139"/>
      <c r="FFD115" s="139"/>
      <c r="FFE115" s="139"/>
      <c r="FFF115" s="139"/>
      <c r="FFG115" s="139"/>
      <c r="FFH115" s="139"/>
      <c r="FFI115" s="139"/>
      <c r="FFJ115" s="139"/>
      <c r="FFK115" s="139"/>
      <c r="FFL115" s="139"/>
      <c r="FFM115" s="139"/>
      <c r="FFN115" s="139"/>
      <c r="FFO115" s="139"/>
      <c r="FFP115" s="139"/>
      <c r="FFQ115" s="139"/>
      <c r="FFR115" s="139"/>
      <c r="FFS115" s="139"/>
      <c r="FFT115" s="139"/>
      <c r="FFU115" s="139"/>
      <c r="FFV115" s="139"/>
      <c r="FFW115" s="139"/>
      <c r="FFX115" s="139"/>
      <c r="FFY115" s="139"/>
      <c r="FFZ115" s="139"/>
      <c r="FGA115" s="139"/>
      <c r="FGB115" s="139"/>
      <c r="FGC115" s="139"/>
      <c r="FGD115" s="139"/>
      <c r="FGE115" s="139"/>
      <c r="FGF115" s="139"/>
      <c r="FGG115" s="139"/>
      <c r="FGH115" s="139"/>
      <c r="FGI115" s="139"/>
      <c r="FGJ115" s="139"/>
      <c r="FGK115" s="139"/>
      <c r="FGL115" s="139"/>
      <c r="FGM115" s="139"/>
      <c r="FGN115" s="139"/>
      <c r="FGO115" s="139"/>
      <c r="FGP115" s="139"/>
      <c r="FGQ115" s="139"/>
      <c r="FGR115" s="139"/>
      <c r="FGS115" s="139"/>
      <c r="FGT115" s="139"/>
      <c r="FGU115" s="139"/>
      <c r="FGV115" s="139"/>
      <c r="FGW115" s="139"/>
      <c r="FGX115" s="139"/>
      <c r="FGY115" s="139"/>
      <c r="FGZ115" s="139"/>
      <c r="FHA115" s="139"/>
      <c r="FHB115" s="139"/>
      <c r="FHC115" s="139"/>
      <c r="FHD115" s="139"/>
      <c r="FHE115" s="139"/>
      <c r="FHF115" s="139"/>
      <c r="FHG115" s="139"/>
      <c r="FHH115" s="139"/>
      <c r="FHI115" s="139"/>
      <c r="FHJ115" s="139"/>
      <c r="FHK115" s="139"/>
      <c r="FHL115" s="139"/>
      <c r="FHM115" s="139"/>
      <c r="FHN115" s="139"/>
      <c r="FHO115" s="139"/>
      <c r="FHP115" s="139"/>
      <c r="FHQ115" s="139"/>
      <c r="FHR115" s="139"/>
      <c r="FHS115" s="139"/>
      <c r="FHT115" s="139"/>
      <c r="FHU115" s="139"/>
      <c r="FHV115" s="139"/>
      <c r="FHW115" s="139"/>
      <c r="FHX115" s="139"/>
      <c r="FHY115" s="139"/>
      <c r="FHZ115" s="139"/>
      <c r="FIA115" s="139"/>
      <c r="FIB115" s="139"/>
      <c r="FIC115" s="139"/>
      <c r="FID115" s="139"/>
      <c r="FIE115" s="139"/>
      <c r="FIF115" s="139"/>
      <c r="FIG115" s="139"/>
      <c r="FIH115" s="139"/>
      <c r="FII115" s="139"/>
      <c r="FIJ115" s="139"/>
      <c r="FIK115" s="139"/>
      <c r="FIL115" s="139"/>
      <c r="FIM115" s="139"/>
      <c r="FIN115" s="139"/>
      <c r="FIO115" s="139"/>
      <c r="FIP115" s="139"/>
      <c r="FIQ115" s="139"/>
      <c r="FIR115" s="139"/>
      <c r="FIS115" s="139"/>
      <c r="FIT115" s="139"/>
      <c r="FIU115" s="139"/>
      <c r="FIV115" s="139"/>
      <c r="FIW115" s="139"/>
      <c r="FIX115" s="139"/>
      <c r="FIY115" s="139"/>
      <c r="FIZ115" s="139"/>
      <c r="FJA115" s="139"/>
      <c r="FJB115" s="139"/>
      <c r="FJC115" s="139"/>
      <c r="FJD115" s="139"/>
      <c r="FJE115" s="139"/>
      <c r="FJF115" s="139"/>
      <c r="FJG115" s="139"/>
      <c r="FJH115" s="139"/>
      <c r="FJI115" s="139"/>
      <c r="FJJ115" s="139"/>
      <c r="FJK115" s="139"/>
      <c r="FJL115" s="139"/>
      <c r="FJM115" s="139"/>
      <c r="FJN115" s="139"/>
      <c r="FJO115" s="139"/>
      <c r="FJP115" s="139"/>
      <c r="FJQ115" s="139"/>
      <c r="FJR115" s="139"/>
      <c r="FJS115" s="139"/>
      <c r="FJT115" s="139"/>
      <c r="FJU115" s="139"/>
      <c r="FJV115" s="139"/>
      <c r="FJW115" s="139"/>
      <c r="FJX115" s="139"/>
      <c r="FJY115" s="139"/>
      <c r="FJZ115" s="139"/>
      <c r="FKA115" s="139"/>
      <c r="FKB115" s="139"/>
      <c r="FKC115" s="139"/>
      <c r="FKD115" s="139"/>
      <c r="FKE115" s="139"/>
      <c r="FKF115" s="139"/>
      <c r="FKG115" s="139"/>
      <c r="FKH115" s="139"/>
      <c r="FKI115" s="139"/>
      <c r="FKJ115" s="139"/>
      <c r="FKK115" s="139"/>
      <c r="FKL115" s="139"/>
      <c r="FKM115" s="139"/>
      <c r="FKN115" s="139"/>
      <c r="FKO115" s="139"/>
      <c r="FKP115" s="139"/>
      <c r="FKQ115" s="139"/>
      <c r="FKR115" s="139"/>
      <c r="FKS115" s="139"/>
      <c r="FKT115" s="139"/>
      <c r="FKU115" s="139"/>
      <c r="FKV115" s="139"/>
      <c r="FKW115" s="139"/>
      <c r="FKX115" s="139"/>
      <c r="FKY115" s="139"/>
      <c r="FKZ115" s="139"/>
      <c r="FLA115" s="139"/>
      <c r="FLB115" s="139"/>
      <c r="FLC115" s="139"/>
      <c r="FLD115" s="139"/>
      <c r="FLE115" s="139"/>
      <c r="FLF115" s="139"/>
      <c r="FLG115" s="139"/>
      <c r="FLH115" s="139"/>
      <c r="FLI115" s="139"/>
      <c r="FLJ115" s="139"/>
      <c r="FLK115" s="139"/>
      <c r="FLL115" s="139"/>
      <c r="FLM115" s="139"/>
      <c r="FLN115" s="139"/>
      <c r="FLO115" s="139"/>
      <c r="FLP115" s="139"/>
      <c r="FLQ115" s="139"/>
      <c r="FLR115" s="139"/>
      <c r="FLS115" s="139"/>
      <c r="FLT115" s="139"/>
      <c r="FLU115" s="139"/>
      <c r="FLV115" s="139"/>
      <c r="FLW115" s="139"/>
      <c r="FLX115" s="139"/>
      <c r="FLY115" s="139"/>
      <c r="FLZ115" s="139"/>
      <c r="FMA115" s="139"/>
      <c r="FMB115" s="139"/>
      <c r="FMC115" s="139"/>
      <c r="FMD115" s="139"/>
      <c r="FME115" s="139"/>
      <c r="FMF115" s="139"/>
      <c r="FMG115" s="139"/>
      <c r="FMH115" s="139"/>
      <c r="FMI115" s="139"/>
      <c r="FMJ115" s="139"/>
      <c r="FMK115" s="139"/>
      <c r="FML115" s="139"/>
      <c r="FMM115" s="139"/>
      <c r="FMN115" s="139"/>
      <c r="FMO115" s="139"/>
      <c r="FMP115" s="139"/>
      <c r="FMQ115" s="139"/>
      <c r="FMR115" s="139"/>
      <c r="FMS115" s="139"/>
      <c r="FMT115" s="139"/>
      <c r="FMU115" s="139"/>
      <c r="FMV115" s="139"/>
      <c r="FMW115" s="139"/>
      <c r="FMX115" s="139"/>
      <c r="FMY115" s="139"/>
      <c r="FMZ115" s="139"/>
      <c r="FNA115" s="139"/>
      <c r="FNB115" s="139"/>
      <c r="FNC115" s="139"/>
      <c r="FND115" s="139"/>
      <c r="FNE115" s="139"/>
      <c r="FNF115" s="139"/>
      <c r="FNG115" s="139"/>
      <c r="FNH115" s="139"/>
      <c r="FNI115" s="139"/>
      <c r="FNJ115" s="139"/>
      <c r="FNK115" s="139"/>
      <c r="FNL115" s="139"/>
      <c r="FNM115" s="139"/>
      <c r="FNN115" s="139"/>
      <c r="FNO115" s="139"/>
      <c r="FNP115" s="139"/>
      <c r="FNQ115" s="139"/>
      <c r="FNR115" s="139"/>
      <c r="FNS115" s="139"/>
      <c r="FNT115" s="139"/>
      <c r="FNU115" s="139"/>
      <c r="FNV115" s="139"/>
      <c r="FNW115" s="139"/>
      <c r="FNX115" s="139"/>
      <c r="FNY115" s="139"/>
      <c r="FNZ115" s="139"/>
      <c r="FOA115" s="139"/>
      <c r="FOB115" s="139"/>
      <c r="FOC115" s="139"/>
      <c r="FOD115" s="139"/>
      <c r="FOE115" s="139"/>
      <c r="FOF115" s="139"/>
      <c r="FOG115" s="139"/>
      <c r="FOH115" s="139"/>
      <c r="FOI115" s="139"/>
      <c r="FOJ115" s="139"/>
      <c r="FOK115" s="139"/>
      <c r="FOL115" s="139"/>
      <c r="FOM115" s="139"/>
      <c r="FON115" s="139"/>
      <c r="FOO115" s="139"/>
      <c r="FOP115" s="139"/>
      <c r="FOQ115" s="139"/>
      <c r="FOR115" s="139"/>
      <c r="FOS115" s="139"/>
      <c r="FOT115" s="139"/>
      <c r="FOU115" s="139"/>
      <c r="FOV115" s="139"/>
      <c r="FOW115" s="139"/>
      <c r="FOX115" s="139"/>
      <c r="FOY115" s="139"/>
      <c r="FOZ115" s="139"/>
      <c r="FPA115" s="139"/>
      <c r="FPB115" s="139"/>
      <c r="FPC115" s="139"/>
      <c r="FPD115" s="139"/>
      <c r="FPE115" s="139"/>
      <c r="FPF115" s="139"/>
      <c r="FPG115" s="139"/>
      <c r="FPH115" s="139"/>
      <c r="FPI115" s="139"/>
      <c r="FPJ115" s="139"/>
      <c r="FPK115" s="139"/>
      <c r="FPL115" s="139"/>
      <c r="FPM115" s="139"/>
      <c r="FPN115" s="139"/>
      <c r="FPO115" s="139"/>
      <c r="FPP115" s="139"/>
      <c r="FPQ115" s="139"/>
      <c r="FPR115" s="139"/>
      <c r="FPS115" s="139"/>
      <c r="FPT115" s="139"/>
      <c r="FPU115" s="139"/>
      <c r="FPV115" s="139"/>
      <c r="FPW115" s="139"/>
      <c r="FPX115" s="139"/>
      <c r="FPY115" s="139"/>
      <c r="FPZ115" s="139"/>
      <c r="FQA115" s="139"/>
      <c r="FQB115" s="139"/>
      <c r="FQC115" s="139"/>
      <c r="FQD115" s="139"/>
      <c r="FQE115" s="139"/>
      <c r="FQF115" s="139"/>
      <c r="FQG115" s="139"/>
      <c r="FQH115" s="139"/>
      <c r="FQI115" s="139"/>
      <c r="FQJ115" s="139"/>
      <c r="FQK115" s="139"/>
      <c r="FQL115" s="139"/>
      <c r="FQM115" s="139"/>
      <c r="FQN115" s="139"/>
      <c r="FQO115" s="139"/>
      <c r="FQP115" s="139"/>
      <c r="FQQ115" s="139"/>
      <c r="FQR115" s="139"/>
      <c r="FQS115" s="139"/>
      <c r="FQT115" s="139"/>
      <c r="FQU115" s="139"/>
      <c r="FQV115" s="139"/>
      <c r="FQW115" s="139"/>
      <c r="FQX115" s="139"/>
      <c r="FQY115" s="139"/>
      <c r="FQZ115" s="139"/>
      <c r="FRA115" s="139"/>
      <c r="FRB115" s="139"/>
      <c r="FRC115" s="139"/>
      <c r="FRD115" s="139"/>
      <c r="FRE115" s="139"/>
      <c r="FRF115" s="139"/>
      <c r="FRG115" s="139"/>
      <c r="FRH115" s="139"/>
      <c r="FRI115" s="139"/>
      <c r="FRJ115" s="139"/>
      <c r="FRK115" s="139"/>
      <c r="FRL115" s="139"/>
      <c r="FRM115" s="139"/>
      <c r="FRN115" s="139"/>
      <c r="FRO115" s="139"/>
      <c r="FRP115" s="139"/>
      <c r="FRQ115" s="139"/>
      <c r="FRR115" s="139"/>
      <c r="FRS115" s="139"/>
      <c r="FRT115" s="139"/>
      <c r="FRU115" s="139"/>
      <c r="FRV115" s="139"/>
      <c r="FRW115" s="139"/>
      <c r="FRX115" s="139"/>
      <c r="FRY115" s="139"/>
      <c r="FRZ115" s="139"/>
      <c r="FSA115" s="139"/>
      <c r="FSB115" s="139"/>
      <c r="FSC115" s="139"/>
      <c r="FSD115" s="139"/>
      <c r="FSE115" s="139"/>
      <c r="FSF115" s="139"/>
      <c r="FSG115" s="139"/>
      <c r="FSH115" s="139"/>
      <c r="FSI115" s="139"/>
      <c r="FSJ115" s="139"/>
      <c r="FSK115" s="139"/>
      <c r="FSL115" s="139"/>
      <c r="FSM115" s="139"/>
      <c r="FSN115" s="139"/>
      <c r="FSO115" s="139"/>
      <c r="FSP115" s="139"/>
      <c r="FSQ115" s="139"/>
      <c r="FSR115" s="139"/>
      <c r="FSS115" s="139"/>
      <c r="FST115" s="139"/>
      <c r="FSU115" s="139"/>
      <c r="FSV115" s="139"/>
      <c r="FSW115" s="139"/>
      <c r="FSX115" s="139"/>
      <c r="FSY115" s="139"/>
      <c r="FSZ115" s="139"/>
      <c r="FTA115" s="139"/>
      <c r="FTB115" s="139"/>
      <c r="FTC115" s="139"/>
      <c r="FTD115" s="139"/>
      <c r="FTE115" s="139"/>
      <c r="FTF115" s="139"/>
      <c r="FTG115" s="139"/>
      <c r="FTH115" s="139"/>
      <c r="FTI115" s="139"/>
      <c r="FTJ115" s="139"/>
      <c r="FTK115" s="139"/>
      <c r="FTL115" s="139"/>
      <c r="FTM115" s="139"/>
      <c r="FTN115" s="139"/>
      <c r="FTO115" s="139"/>
      <c r="FTP115" s="139"/>
      <c r="FTQ115" s="139"/>
      <c r="FTR115" s="139"/>
      <c r="FTS115" s="139"/>
      <c r="FTT115" s="139"/>
      <c r="FTU115" s="139"/>
      <c r="FTV115" s="139"/>
      <c r="FTW115" s="139"/>
      <c r="FTX115" s="139"/>
      <c r="FTY115" s="139"/>
      <c r="FTZ115" s="139"/>
      <c r="FUA115" s="139"/>
      <c r="FUB115" s="139"/>
      <c r="FUC115" s="139"/>
      <c r="FUD115" s="139"/>
      <c r="FUE115" s="139"/>
      <c r="FUF115" s="139"/>
      <c r="FUG115" s="139"/>
      <c r="FUH115" s="139"/>
      <c r="FUI115" s="139"/>
      <c r="FUJ115" s="139"/>
      <c r="FUK115" s="139"/>
      <c r="FUL115" s="139"/>
      <c r="FUM115" s="139"/>
      <c r="FUN115" s="139"/>
      <c r="FUO115" s="139"/>
      <c r="FUP115" s="139"/>
      <c r="FUQ115" s="139"/>
      <c r="FUR115" s="139"/>
      <c r="FUS115" s="139"/>
      <c r="FUT115" s="139"/>
      <c r="FUU115" s="139"/>
      <c r="FUV115" s="139"/>
      <c r="FUW115" s="139"/>
      <c r="FUX115" s="139"/>
      <c r="FUY115" s="139"/>
      <c r="FUZ115" s="139"/>
      <c r="FVA115" s="139"/>
      <c r="FVB115" s="139"/>
      <c r="FVC115" s="139"/>
      <c r="FVD115" s="139"/>
      <c r="FVE115" s="139"/>
      <c r="FVF115" s="139"/>
      <c r="FVG115" s="139"/>
      <c r="FVH115" s="139"/>
      <c r="FVI115" s="139"/>
      <c r="FVJ115" s="139"/>
      <c r="FVK115" s="139"/>
      <c r="FVL115" s="139"/>
      <c r="FVM115" s="139"/>
      <c r="FVN115" s="139"/>
      <c r="FVO115" s="139"/>
      <c r="FVP115" s="139"/>
      <c r="FVQ115" s="139"/>
      <c r="FVR115" s="139"/>
      <c r="FVS115" s="139"/>
      <c r="FVT115" s="139"/>
      <c r="FVU115" s="139"/>
      <c r="FVV115" s="139"/>
      <c r="FVW115" s="139"/>
      <c r="FVX115" s="139"/>
      <c r="FVY115" s="139"/>
      <c r="FVZ115" s="139"/>
      <c r="FWA115" s="139"/>
      <c r="FWB115" s="139"/>
      <c r="FWC115" s="139"/>
      <c r="FWD115" s="139"/>
      <c r="FWE115" s="139"/>
      <c r="FWF115" s="139"/>
      <c r="FWG115" s="139"/>
      <c r="FWH115" s="139"/>
      <c r="FWI115" s="139"/>
      <c r="FWJ115" s="139"/>
      <c r="FWK115" s="139"/>
      <c r="FWL115" s="139"/>
      <c r="FWM115" s="139"/>
      <c r="FWN115" s="139"/>
      <c r="FWO115" s="139"/>
      <c r="FWP115" s="139"/>
      <c r="FWQ115" s="139"/>
      <c r="FWR115" s="139"/>
      <c r="FWS115" s="139"/>
      <c r="FWT115" s="139"/>
      <c r="FWU115" s="139"/>
      <c r="FWV115" s="139"/>
      <c r="FWW115" s="139"/>
      <c r="FWX115" s="139"/>
      <c r="FWY115" s="139"/>
      <c r="FWZ115" s="139"/>
      <c r="FXA115" s="139"/>
      <c r="FXB115" s="139"/>
      <c r="FXC115" s="139"/>
      <c r="FXD115" s="139"/>
      <c r="FXE115" s="139"/>
      <c r="FXF115" s="139"/>
      <c r="FXG115" s="139"/>
      <c r="FXH115" s="139"/>
      <c r="FXI115" s="139"/>
      <c r="FXJ115" s="139"/>
      <c r="FXK115" s="139"/>
      <c r="FXL115" s="139"/>
      <c r="FXM115" s="139"/>
      <c r="FXN115" s="139"/>
      <c r="FXO115" s="139"/>
      <c r="FXP115" s="139"/>
      <c r="FXQ115" s="139"/>
      <c r="FXR115" s="139"/>
      <c r="FXS115" s="139"/>
      <c r="FXT115" s="139"/>
      <c r="FXU115" s="139"/>
      <c r="FXV115" s="139"/>
      <c r="FXW115" s="139"/>
      <c r="FXX115" s="139"/>
      <c r="FXY115" s="139"/>
      <c r="FXZ115" s="139"/>
      <c r="FYA115" s="139"/>
      <c r="FYB115" s="139"/>
      <c r="FYC115" s="139"/>
      <c r="FYD115" s="139"/>
      <c r="FYE115" s="139"/>
      <c r="FYF115" s="139"/>
      <c r="FYG115" s="139"/>
      <c r="FYH115" s="139"/>
      <c r="FYI115" s="139"/>
      <c r="FYJ115" s="139"/>
      <c r="FYK115" s="139"/>
      <c r="FYL115" s="139"/>
      <c r="FYM115" s="139"/>
      <c r="FYN115" s="139"/>
      <c r="FYO115" s="139"/>
      <c r="FYP115" s="139"/>
      <c r="FYQ115" s="139"/>
      <c r="FYR115" s="139"/>
      <c r="FYS115" s="139"/>
      <c r="FYT115" s="139"/>
      <c r="FYU115" s="139"/>
      <c r="FYV115" s="139"/>
      <c r="FYW115" s="139"/>
      <c r="FYX115" s="139"/>
      <c r="FYY115" s="139"/>
      <c r="FYZ115" s="139"/>
      <c r="FZA115" s="139"/>
      <c r="FZB115" s="139"/>
      <c r="FZC115" s="139"/>
      <c r="FZD115" s="139"/>
      <c r="FZE115" s="139"/>
      <c r="FZF115" s="139"/>
      <c r="FZG115" s="139"/>
      <c r="FZH115" s="139"/>
      <c r="FZI115" s="139"/>
      <c r="FZJ115" s="139"/>
      <c r="FZK115" s="139"/>
      <c r="FZL115" s="139"/>
      <c r="FZM115" s="139"/>
      <c r="FZN115" s="139"/>
      <c r="FZO115" s="139"/>
      <c r="FZP115" s="139"/>
      <c r="FZQ115" s="139"/>
      <c r="FZR115" s="139"/>
      <c r="FZS115" s="139"/>
      <c r="FZT115" s="139"/>
      <c r="FZU115" s="139"/>
      <c r="FZV115" s="139"/>
      <c r="FZW115" s="139"/>
      <c r="FZX115" s="139"/>
      <c r="FZY115" s="139"/>
      <c r="FZZ115" s="139"/>
      <c r="GAA115" s="139"/>
      <c r="GAB115" s="139"/>
      <c r="GAC115" s="139"/>
      <c r="GAD115" s="139"/>
      <c r="GAE115" s="139"/>
      <c r="GAF115" s="139"/>
      <c r="GAG115" s="139"/>
      <c r="GAH115" s="139"/>
      <c r="GAI115" s="139"/>
      <c r="GAJ115" s="139"/>
      <c r="GAK115" s="139"/>
      <c r="GAL115" s="139"/>
      <c r="GAM115" s="139"/>
      <c r="GAN115" s="139"/>
      <c r="GAO115" s="139"/>
      <c r="GAP115" s="139"/>
      <c r="GAQ115" s="139"/>
      <c r="GAR115" s="139"/>
      <c r="GAS115" s="139"/>
      <c r="GAT115" s="139"/>
      <c r="GAU115" s="139"/>
      <c r="GAV115" s="139"/>
      <c r="GAW115" s="139"/>
      <c r="GAX115" s="139"/>
      <c r="GAY115" s="139"/>
      <c r="GAZ115" s="139"/>
      <c r="GBA115" s="139"/>
      <c r="GBB115" s="139"/>
      <c r="GBC115" s="139"/>
      <c r="GBD115" s="139"/>
      <c r="GBE115" s="139"/>
      <c r="GBF115" s="139"/>
      <c r="GBG115" s="139"/>
      <c r="GBH115" s="139"/>
      <c r="GBI115" s="139"/>
      <c r="GBJ115" s="139"/>
      <c r="GBK115" s="139"/>
      <c r="GBL115" s="139"/>
      <c r="GBM115" s="139"/>
      <c r="GBN115" s="139"/>
      <c r="GBO115" s="139"/>
      <c r="GBP115" s="139"/>
      <c r="GBQ115" s="139"/>
      <c r="GBR115" s="139"/>
      <c r="GBS115" s="139"/>
      <c r="GBT115" s="139"/>
      <c r="GBU115" s="139"/>
      <c r="GBV115" s="139"/>
      <c r="GBW115" s="139"/>
      <c r="GBX115" s="139"/>
      <c r="GBY115" s="139"/>
      <c r="GBZ115" s="139"/>
      <c r="GCA115" s="139"/>
      <c r="GCB115" s="139"/>
      <c r="GCC115" s="139"/>
      <c r="GCD115" s="139"/>
      <c r="GCE115" s="139"/>
      <c r="GCF115" s="139"/>
      <c r="GCG115" s="139"/>
      <c r="GCH115" s="139"/>
      <c r="GCI115" s="139"/>
      <c r="GCJ115" s="139"/>
      <c r="GCK115" s="139"/>
      <c r="GCL115" s="139"/>
      <c r="GCM115" s="139"/>
      <c r="GCN115" s="139"/>
      <c r="GCO115" s="139"/>
      <c r="GCP115" s="139"/>
      <c r="GCQ115" s="139"/>
      <c r="GCR115" s="139"/>
      <c r="GCS115" s="139"/>
      <c r="GCT115" s="139"/>
      <c r="GCU115" s="139"/>
      <c r="GCV115" s="139"/>
      <c r="GCW115" s="139"/>
      <c r="GCX115" s="139"/>
      <c r="GCY115" s="139"/>
      <c r="GCZ115" s="139"/>
      <c r="GDA115" s="139"/>
      <c r="GDB115" s="139"/>
      <c r="GDC115" s="139"/>
      <c r="GDD115" s="139"/>
      <c r="GDE115" s="139"/>
      <c r="GDF115" s="139"/>
      <c r="GDG115" s="139"/>
      <c r="GDH115" s="139"/>
      <c r="GDI115" s="139"/>
      <c r="GDJ115" s="139"/>
      <c r="GDK115" s="139"/>
      <c r="GDL115" s="139"/>
      <c r="GDM115" s="139"/>
      <c r="GDN115" s="139"/>
      <c r="GDO115" s="139"/>
      <c r="GDP115" s="139"/>
      <c r="GDQ115" s="139"/>
      <c r="GDR115" s="139"/>
      <c r="GDS115" s="139"/>
      <c r="GDT115" s="139"/>
      <c r="GDU115" s="139"/>
      <c r="GDV115" s="139"/>
      <c r="GDW115" s="139"/>
      <c r="GDX115" s="139"/>
      <c r="GDY115" s="139"/>
      <c r="GDZ115" s="139"/>
      <c r="GEA115" s="139"/>
      <c r="GEB115" s="139"/>
      <c r="GEC115" s="139"/>
      <c r="GED115" s="139"/>
      <c r="GEE115" s="139"/>
      <c r="GEF115" s="139"/>
      <c r="GEG115" s="139"/>
      <c r="GEH115" s="139"/>
      <c r="GEI115" s="139"/>
      <c r="GEJ115" s="139"/>
      <c r="GEK115" s="139"/>
      <c r="GEL115" s="139"/>
      <c r="GEM115" s="139"/>
      <c r="GEN115" s="139"/>
      <c r="GEO115" s="139"/>
      <c r="GEP115" s="139"/>
      <c r="GEQ115" s="139"/>
      <c r="GER115" s="139"/>
      <c r="GES115" s="139"/>
      <c r="GET115" s="139"/>
      <c r="GEU115" s="139"/>
      <c r="GEV115" s="139"/>
      <c r="GEW115" s="139"/>
      <c r="GEX115" s="139"/>
      <c r="GEY115" s="139"/>
      <c r="GEZ115" s="139"/>
      <c r="GFA115" s="139"/>
      <c r="GFB115" s="139"/>
      <c r="GFC115" s="139"/>
      <c r="GFD115" s="139"/>
      <c r="GFE115" s="139"/>
      <c r="GFF115" s="139"/>
      <c r="GFG115" s="139"/>
      <c r="GFH115" s="139"/>
      <c r="GFI115" s="139"/>
      <c r="GFJ115" s="139"/>
      <c r="GFK115" s="139"/>
      <c r="GFL115" s="139"/>
      <c r="GFM115" s="139"/>
      <c r="GFN115" s="139"/>
      <c r="GFO115" s="139"/>
      <c r="GFP115" s="139"/>
      <c r="GFQ115" s="139"/>
      <c r="GFR115" s="139"/>
      <c r="GFS115" s="139"/>
      <c r="GFT115" s="139"/>
      <c r="GFU115" s="139"/>
      <c r="GFV115" s="139"/>
      <c r="GFW115" s="139"/>
      <c r="GFX115" s="139"/>
      <c r="GFY115" s="139"/>
      <c r="GFZ115" s="139"/>
      <c r="GGA115" s="139"/>
      <c r="GGB115" s="139"/>
      <c r="GGC115" s="139"/>
      <c r="GGD115" s="139"/>
      <c r="GGE115" s="139"/>
      <c r="GGF115" s="139"/>
      <c r="GGG115" s="139"/>
      <c r="GGH115" s="139"/>
      <c r="GGI115" s="139"/>
      <c r="GGJ115" s="139"/>
      <c r="GGK115" s="139"/>
      <c r="GGL115" s="139"/>
      <c r="GGM115" s="139"/>
      <c r="GGN115" s="139"/>
      <c r="GGO115" s="139"/>
      <c r="GGP115" s="139"/>
      <c r="GGQ115" s="139"/>
      <c r="GGR115" s="139"/>
      <c r="GGS115" s="139"/>
      <c r="GGT115" s="139"/>
      <c r="GGU115" s="139"/>
      <c r="GGV115" s="139"/>
      <c r="GGW115" s="139"/>
      <c r="GGX115" s="139"/>
      <c r="GGY115" s="139"/>
      <c r="GGZ115" s="139"/>
      <c r="GHA115" s="139"/>
      <c r="GHB115" s="139"/>
      <c r="GHC115" s="139"/>
      <c r="GHD115" s="139"/>
      <c r="GHE115" s="139"/>
      <c r="GHF115" s="139"/>
      <c r="GHG115" s="139"/>
      <c r="GHH115" s="139"/>
      <c r="GHI115" s="139"/>
      <c r="GHJ115" s="139"/>
      <c r="GHK115" s="139"/>
      <c r="GHL115" s="139"/>
      <c r="GHM115" s="139"/>
      <c r="GHN115" s="139"/>
      <c r="GHO115" s="139"/>
      <c r="GHP115" s="139"/>
      <c r="GHQ115" s="139"/>
      <c r="GHR115" s="139"/>
      <c r="GHS115" s="139"/>
      <c r="GHT115" s="139"/>
      <c r="GHU115" s="139"/>
      <c r="GHV115" s="139"/>
      <c r="GHW115" s="139"/>
      <c r="GHX115" s="139"/>
      <c r="GHY115" s="139"/>
      <c r="GHZ115" s="139"/>
      <c r="GIA115" s="139"/>
      <c r="GIB115" s="139"/>
      <c r="GIC115" s="139"/>
      <c r="GID115" s="139"/>
      <c r="GIE115" s="139"/>
      <c r="GIF115" s="139"/>
      <c r="GIG115" s="139"/>
      <c r="GIH115" s="139"/>
      <c r="GII115" s="139"/>
      <c r="GIJ115" s="139"/>
      <c r="GIK115" s="139"/>
      <c r="GIL115" s="139"/>
      <c r="GIM115" s="139"/>
      <c r="GIN115" s="139"/>
      <c r="GIO115" s="139"/>
      <c r="GIP115" s="139"/>
      <c r="GIQ115" s="139"/>
      <c r="GIR115" s="139"/>
      <c r="GIS115" s="139"/>
      <c r="GIT115" s="139"/>
      <c r="GIU115" s="139"/>
      <c r="GIV115" s="139"/>
      <c r="GIW115" s="139"/>
      <c r="GIX115" s="139"/>
      <c r="GIY115" s="139"/>
      <c r="GIZ115" s="139"/>
      <c r="GJA115" s="139"/>
      <c r="GJB115" s="139"/>
      <c r="GJC115" s="139"/>
      <c r="GJD115" s="139"/>
      <c r="GJE115" s="139"/>
      <c r="GJF115" s="139"/>
      <c r="GJG115" s="139"/>
      <c r="GJH115" s="139"/>
      <c r="GJI115" s="139"/>
      <c r="GJJ115" s="139"/>
      <c r="GJK115" s="139"/>
      <c r="GJL115" s="139"/>
      <c r="GJM115" s="139"/>
      <c r="GJN115" s="139"/>
      <c r="GJO115" s="139"/>
      <c r="GJP115" s="139"/>
      <c r="GJQ115" s="139"/>
      <c r="GJR115" s="139"/>
      <c r="GJS115" s="139"/>
      <c r="GJT115" s="139"/>
      <c r="GJU115" s="139"/>
      <c r="GJV115" s="139"/>
      <c r="GJW115" s="139"/>
      <c r="GJX115" s="139"/>
      <c r="GJY115" s="139"/>
      <c r="GJZ115" s="139"/>
      <c r="GKA115" s="139"/>
      <c r="GKB115" s="139"/>
      <c r="GKC115" s="139"/>
      <c r="GKD115" s="139"/>
      <c r="GKE115" s="139"/>
      <c r="GKF115" s="139"/>
      <c r="GKG115" s="139"/>
      <c r="GKH115" s="139"/>
      <c r="GKI115" s="139"/>
      <c r="GKJ115" s="139"/>
      <c r="GKK115" s="139"/>
      <c r="GKL115" s="139"/>
      <c r="GKM115" s="139"/>
      <c r="GKN115" s="139"/>
      <c r="GKO115" s="139"/>
      <c r="GKP115" s="139"/>
      <c r="GKQ115" s="139"/>
      <c r="GKR115" s="139"/>
      <c r="GKS115" s="139"/>
      <c r="GKT115" s="139"/>
      <c r="GKU115" s="139"/>
      <c r="GKV115" s="139"/>
      <c r="GKW115" s="139"/>
      <c r="GKX115" s="139"/>
      <c r="GKY115" s="139"/>
      <c r="GKZ115" s="139"/>
      <c r="GLA115" s="139"/>
      <c r="GLB115" s="139"/>
      <c r="GLC115" s="139"/>
      <c r="GLD115" s="139"/>
      <c r="GLE115" s="139"/>
      <c r="GLF115" s="139"/>
      <c r="GLG115" s="139"/>
      <c r="GLH115" s="139"/>
      <c r="GLI115" s="139"/>
      <c r="GLJ115" s="139"/>
      <c r="GLK115" s="139"/>
      <c r="GLL115" s="139"/>
      <c r="GLM115" s="139"/>
      <c r="GLN115" s="139"/>
      <c r="GLO115" s="139"/>
      <c r="GLP115" s="139"/>
      <c r="GLQ115" s="139"/>
      <c r="GLR115" s="139"/>
      <c r="GLS115" s="139"/>
      <c r="GLT115" s="139"/>
      <c r="GLU115" s="139"/>
      <c r="GLV115" s="139"/>
      <c r="GLW115" s="139"/>
      <c r="GLX115" s="139"/>
      <c r="GLY115" s="139"/>
      <c r="GLZ115" s="139"/>
      <c r="GMA115" s="139"/>
      <c r="GMB115" s="139"/>
      <c r="GMC115" s="139"/>
      <c r="GMD115" s="139"/>
      <c r="GME115" s="139"/>
      <c r="GMF115" s="139"/>
      <c r="GMG115" s="139"/>
      <c r="GMH115" s="139"/>
      <c r="GMI115" s="139"/>
      <c r="GMJ115" s="139"/>
      <c r="GMK115" s="139"/>
      <c r="GML115" s="139"/>
      <c r="GMM115" s="139"/>
      <c r="GMN115" s="139"/>
      <c r="GMO115" s="139"/>
      <c r="GMP115" s="139"/>
      <c r="GMQ115" s="139"/>
      <c r="GMR115" s="139"/>
      <c r="GMS115" s="139"/>
      <c r="GMT115" s="139"/>
      <c r="GMU115" s="139"/>
      <c r="GMV115" s="139"/>
      <c r="GMW115" s="139"/>
      <c r="GMX115" s="139"/>
      <c r="GMY115" s="139"/>
      <c r="GMZ115" s="139"/>
      <c r="GNA115" s="139"/>
      <c r="GNB115" s="139"/>
      <c r="GNC115" s="139"/>
      <c r="GND115" s="139"/>
      <c r="GNE115" s="139"/>
      <c r="GNF115" s="139"/>
      <c r="GNG115" s="139"/>
      <c r="GNH115" s="139"/>
      <c r="GNI115" s="139"/>
      <c r="GNJ115" s="139"/>
      <c r="GNK115" s="139"/>
      <c r="GNL115" s="139"/>
      <c r="GNM115" s="139"/>
      <c r="GNN115" s="139"/>
      <c r="GNO115" s="139"/>
      <c r="GNP115" s="139"/>
      <c r="GNQ115" s="139"/>
      <c r="GNR115" s="139"/>
      <c r="GNS115" s="139"/>
      <c r="GNT115" s="139"/>
      <c r="GNU115" s="139"/>
      <c r="GNV115" s="139"/>
      <c r="GNW115" s="139"/>
      <c r="GNX115" s="139"/>
      <c r="GNY115" s="139"/>
      <c r="GNZ115" s="139"/>
      <c r="GOA115" s="139"/>
      <c r="GOB115" s="139"/>
      <c r="GOC115" s="139"/>
      <c r="GOD115" s="139"/>
      <c r="GOE115" s="139"/>
      <c r="GOF115" s="139"/>
      <c r="GOG115" s="139"/>
      <c r="GOH115" s="139"/>
      <c r="GOI115" s="139"/>
      <c r="GOJ115" s="139"/>
      <c r="GOK115" s="139"/>
      <c r="GOL115" s="139"/>
      <c r="GOM115" s="139"/>
      <c r="GON115" s="139"/>
      <c r="GOO115" s="139"/>
      <c r="GOP115" s="139"/>
      <c r="GOQ115" s="139"/>
      <c r="GOR115" s="139"/>
      <c r="GOS115" s="139"/>
      <c r="GOT115" s="139"/>
      <c r="GOU115" s="139"/>
      <c r="GOV115" s="139"/>
      <c r="GOW115" s="139"/>
      <c r="GOX115" s="139"/>
      <c r="GOY115" s="139"/>
      <c r="GOZ115" s="139"/>
      <c r="GPA115" s="139"/>
      <c r="GPB115" s="139"/>
      <c r="GPC115" s="139"/>
      <c r="GPD115" s="139"/>
      <c r="GPE115" s="139"/>
      <c r="GPF115" s="139"/>
      <c r="GPG115" s="139"/>
      <c r="GPH115" s="139"/>
      <c r="GPI115" s="139"/>
      <c r="GPJ115" s="139"/>
      <c r="GPK115" s="139"/>
      <c r="GPL115" s="139"/>
      <c r="GPM115" s="139"/>
      <c r="GPN115" s="139"/>
      <c r="GPO115" s="139"/>
      <c r="GPP115" s="139"/>
      <c r="GPQ115" s="139"/>
      <c r="GPR115" s="139"/>
      <c r="GPS115" s="139"/>
      <c r="GPT115" s="139"/>
      <c r="GPU115" s="139"/>
      <c r="GPV115" s="139"/>
      <c r="GPW115" s="139"/>
      <c r="GPX115" s="139"/>
      <c r="GPY115" s="139"/>
      <c r="GPZ115" s="139"/>
      <c r="GQA115" s="139"/>
      <c r="GQB115" s="139"/>
      <c r="GQC115" s="139"/>
      <c r="GQD115" s="139"/>
      <c r="GQE115" s="139"/>
      <c r="GQF115" s="139"/>
      <c r="GQG115" s="139"/>
      <c r="GQH115" s="139"/>
      <c r="GQI115" s="139"/>
      <c r="GQJ115" s="139"/>
      <c r="GQK115" s="139"/>
      <c r="GQL115" s="139"/>
      <c r="GQM115" s="139"/>
      <c r="GQN115" s="139"/>
      <c r="GQO115" s="139"/>
      <c r="GQP115" s="139"/>
      <c r="GQQ115" s="139"/>
      <c r="GQR115" s="139"/>
      <c r="GQS115" s="139"/>
      <c r="GQT115" s="139"/>
      <c r="GQU115" s="139"/>
      <c r="GQV115" s="139"/>
      <c r="GQW115" s="139"/>
      <c r="GQX115" s="139"/>
      <c r="GQY115" s="139"/>
      <c r="GQZ115" s="139"/>
      <c r="GRA115" s="139"/>
      <c r="GRB115" s="139"/>
      <c r="GRC115" s="139"/>
      <c r="GRD115" s="139"/>
      <c r="GRE115" s="139"/>
      <c r="GRF115" s="139"/>
      <c r="GRG115" s="139"/>
      <c r="GRH115" s="139"/>
      <c r="GRI115" s="139"/>
      <c r="GRJ115" s="139"/>
      <c r="GRK115" s="139"/>
      <c r="GRL115" s="139"/>
      <c r="GRM115" s="139"/>
      <c r="GRN115" s="139"/>
      <c r="GRO115" s="139"/>
      <c r="GRP115" s="139"/>
      <c r="GRQ115" s="139"/>
      <c r="GRR115" s="139"/>
      <c r="GRS115" s="139"/>
      <c r="GRT115" s="139"/>
      <c r="GRU115" s="139"/>
      <c r="GRV115" s="139"/>
      <c r="GRW115" s="139"/>
      <c r="GRX115" s="139"/>
      <c r="GRY115" s="139"/>
      <c r="GRZ115" s="139"/>
      <c r="GSA115" s="139"/>
      <c r="GSB115" s="139"/>
      <c r="GSC115" s="139"/>
      <c r="GSD115" s="139"/>
      <c r="GSE115" s="139"/>
      <c r="GSF115" s="139"/>
      <c r="GSG115" s="139"/>
      <c r="GSH115" s="139"/>
      <c r="GSI115" s="139"/>
      <c r="GSJ115" s="139"/>
      <c r="GSK115" s="139"/>
      <c r="GSL115" s="139"/>
      <c r="GSM115" s="139"/>
      <c r="GSN115" s="139"/>
      <c r="GSO115" s="139"/>
      <c r="GSP115" s="139"/>
      <c r="GSQ115" s="139"/>
      <c r="GSR115" s="139"/>
      <c r="GSS115" s="139"/>
      <c r="GST115" s="139"/>
      <c r="GSU115" s="139"/>
      <c r="GSV115" s="139"/>
      <c r="GSW115" s="139"/>
      <c r="GSX115" s="139"/>
      <c r="GSY115" s="139"/>
      <c r="GSZ115" s="139"/>
      <c r="GTA115" s="139"/>
      <c r="GTB115" s="139"/>
      <c r="GTC115" s="139"/>
      <c r="GTD115" s="139"/>
      <c r="GTE115" s="139"/>
      <c r="GTF115" s="139"/>
      <c r="GTG115" s="139"/>
      <c r="GTH115" s="139"/>
      <c r="GTI115" s="139"/>
      <c r="GTJ115" s="139"/>
      <c r="GTK115" s="139"/>
      <c r="GTL115" s="139"/>
      <c r="GTM115" s="139"/>
      <c r="GTN115" s="139"/>
      <c r="GTO115" s="139"/>
      <c r="GTP115" s="139"/>
      <c r="GTQ115" s="139"/>
      <c r="GTR115" s="139"/>
      <c r="GTS115" s="139"/>
      <c r="GTT115" s="139"/>
      <c r="GTU115" s="139"/>
      <c r="GTV115" s="139"/>
      <c r="GTW115" s="139"/>
      <c r="GTX115" s="139"/>
      <c r="GTY115" s="139"/>
      <c r="GTZ115" s="139"/>
      <c r="GUA115" s="139"/>
      <c r="GUB115" s="139"/>
      <c r="GUC115" s="139"/>
      <c r="GUD115" s="139"/>
      <c r="GUE115" s="139"/>
      <c r="GUF115" s="139"/>
      <c r="GUG115" s="139"/>
      <c r="GUH115" s="139"/>
      <c r="GUI115" s="139"/>
      <c r="GUJ115" s="139"/>
      <c r="GUK115" s="139"/>
      <c r="GUL115" s="139"/>
      <c r="GUM115" s="139"/>
      <c r="GUN115" s="139"/>
      <c r="GUO115" s="139"/>
      <c r="GUP115" s="139"/>
      <c r="GUQ115" s="139"/>
      <c r="GUR115" s="139"/>
      <c r="GUS115" s="139"/>
      <c r="GUT115" s="139"/>
      <c r="GUU115" s="139"/>
      <c r="GUV115" s="139"/>
      <c r="GUW115" s="139"/>
      <c r="GUX115" s="139"/>
      <c r="GUY115" s="139"/>
      <c r="GUZ115" s="139"/>
      <c r="GVA115" s="139"/>
      <c r="GVB115" s="139"/>
      <c r="GVC115" s="139"/>
      <c r="GVD115" s="139"/>
      <c r="GVE115" s="139"/>
      <c r="GVF115" s="139"/>
      <c r="GVG115" s="139"/>
      <c r="GVH115" s="139"/>
      <c r="GVI115" s="139"/>
      <c r="GVJ115" s="139"/>
      <c r="GVK115" s="139"/>
      <c r="GVL115" s="139"/>
      <c r="GVM115" s="139"/>
      <c r="GVN115" s="139"/>
      <c r="GVO115" s="139"/>
      <c r="GVP115" s="139"/>
      <c r="GVQ115" s="139"/>
      <c r="GVR115" s="139"/>
      <c r="GVS115" s="139"/>
      <c r="GVT115" s="139"/>
      <c r="GVU115" s="139"/>
      <c r="GVV115" s="139"/>
      <c r="GVW115" s="139"/>
      <c r="GVX115" s="139"/>
      <c r="GVY115" s="139"/>
      <c r="GVZ115" s="139"/>
      <c r="GWA115" s="139"/>
      <c r="GWB115" s="139"/>
      <c r="GWC115" s="139"/>
      <c r="GWD115" s="139"/>
      <c r="GWE115" s="139"/>
      <c r="GWF115" s="139"/>
      <c r="GWG115" s="139"/>
      <c r="GWH115" s="139"/>
      <c r="GWI115" s="139"/>
      <c r="GWJ115" s="139"/>
      <c r="GWK115" s="139"/>
      <c r="GWL115" s="139"/>
      <c r="GWM115" s="139"/>
      <c r="GWN115" s="139"/>
      <c r="GWO115" s="139"/>
      <c r="GWP115" s="139"/>
      <c r="GWQ115" s="139"/>
      <c r="GWR115" s="139"/>
      <c r="GWS115" s="139"/>
      <c r="GWT115" s="139"/>
      <c r="GWU115" s="139"/>
      <c r="GWV115" s="139"/>
      <c r="GWW115" s="139"/>
      <c r="GWX115" s="139"/>
      <c r="GWY115" s="139"/>
      <c r="GWZ115" s="139"/>
      <c r="GXA115" s="139"/>
      <c r="GXB115" s="139"/>
      <c r="GXC115" s="139"/>
      <c r="GXD115" s="139"/>
      <c r="GXE115" s="139"/>
      <c r="GXF115" s="139"/>
      <c r="GXG115" s="139"/>
      <c r="GXH115" s="139"/>
      <c r="GXI115" s="139"/>
      <c r="GXJ115" s="139"/>
      <c r="GXK115" s="139"/>
      <c r="GXL115" s="139"/>
      <c r="GXM115" s="139"/>
      <c r="GXN115" s="139"/>
      <c r="GXO115" s="139"/>
      <c r="GXP115" s="139"/>
      <c r="GXQ115" s="139"/>
      <c r="GXR115" s="139"/>
      <c r="GXS115" s="139"/>
      <c r="GXT115" s="139"/>
      <c r="GXU115" s="139"/>
      <c r="GXV115" s="139"/>
      <c r="GXW115" s="139"/>
      <c r="GXX115" s="139"/>
      <c r="GXY115" s="139"/>
      <c r="GXZ115" s="139"/>
      <c r="GYA115" s="139"/>
      <c r="GYB115" s="139"/>
      <c r="GYC115" s="139"/>
      <c r="GYD115" s="139"/>
      <c r="GYE115" s="139"/>
      <c r="GYF115" s="139"/>
      <c r="GYG115" s="139"/>
      <c r="GYH115" s="139"/>
      <c r="GYI115" s="139"/>
      <c r="GYJ115" s="139"/>
      <c r="GYK115" s="139"/>
      <c r="GYL115" s="139"/>
      <c r="GYM115" s="139"/>
      <c r="GYN115" s="139"/>
      <c r="GYO115" s="139"/>
      <c r="GYP115" s="139"/>
      <c r="GYQ115" s="139"/>
      <c r="GYR115" s="139"/>
      <c r="GYS115" s="139"/>
      <c r="GYT115" s="139"/>
      <c r="GYU115" s="139"/>
      <c r="GYV115" s="139"/>
      <c r="GYW115" s="139"/>
      <c r="GYX115" s="139"/>
      <c r="GYY115" s="139"/>
      <c r="GYZ115" s="139"/>
      <c r="GZA115" s="139"/>
      <c r="GZB115" s="139"/>
      <c r="GZC115" s="139"/>
      <c r="GZD115" s="139"/>
      <c r="GZE115" s="139"/>
      <c r="GZF115" s="139"/>
      <c r="GZG115" s="139"/>
      <c r="GZH115" s="139"/>
      <c r="GZI115" s="139"/>
      <c r="GZJ115" s="139"/>
      <c r="GZK115" s="139"/>
      <c r="GZL115" s="139"/>
      <c r="GZM115" s="139"/>
      <c r="GZN115" s="139"/>
      <c r="GZO115" s="139"/>
      <c r="GZP115" s="139"/>
      <c r="GZQ115" s="139"/>
      <c r="GZR115" s="139"/>
      <c r="GZS115" s="139"/>
      <c r="GZT115" s="139"/>
      <c r="GZU115" s="139"/>
      <c r="GZV115" s="139"/>
      <c r="GZW115" s="139"/>
      <c r="GZX115" s="139"/>
      <c r="GZY115" s="139"/>
      <c r="GZZ115" s="139"/>
      <c r="HAA115" s="139"/>
      <c r="HAB115" s="139"/>
      <c r="HAC115" s="139"/>
      <c r="HAD115" s="139"/>
      <c r="HAE115" s="139"/>
      <c r="HAF115" s="139"/>
      <c r="HAG115" s="139"/>
      <c r="HAH115" s="139"/>
      <c r="HAI115" s="139"/>
      <c r="HAJ115" s="139"/>
      <c r="HAK115" s="139"/>
      <c r="HAL115" s="139"/>
      <c r="HAM115" s="139"/>
      <c r="HAN115" s="139"/>
      <c r="HAO115" s="139"/>
      <c r="HAP115" s="139"/>
      <c r="HAQ115" s="139"/>
      <c r="HAR115" s="139"/>
      <c r="HAS115" s="139"/>
      <c r="HAT115" s="139"/>
      <c r="HAU115" s="139"/>
      <c r="HAV115" s="139"/>
      <c r="HAW115" s="139"/>
      <c r="HAX115" s="139"/>
      <c r="HAY115" s="139"/>
      <c r="HAZ115" s="139"/>
      <c r="HBA115" s="139"/>
      <c r="HBB115" s="139"/>
      <c r="HBC115" s="139"/>
      <c r="HBD115" s="139"/>
      <c r="HBE115" s="139"/>
      <c r="HBF115" s="139"/>
      <c r="HBG115" s="139"/>
      <c r="HBH115" s="139"/>
      <c r="HBI115" s="139"/>
      <c r="HBJ115" s="139"/>
      <c r="HBK115" s="139"/>
      <c r="HBL115" s="139"/>
      <c r="HBM115" s="139"/>
      <c r="HBN115" s="139"/>
      <c r="HBO115" s="139"/>
      <c r="HBP115" s="139"/>
      <c r="HBQ115" s="139"/>
      <c r="HBR115" s="139"/>
      <c r="HBS115" s="139"/>
      <c r="HBT115" s="139"/>
      <c r="HBU115" s="139"/>
      <c r="HBV115" s="139"/>
      <c r="HBW115" s="139"/>
      <c r="HBX115" s="139"/>
      <c r="HBY115" s="139"/>
      <c r="HBZ115" s="139"/>
      <c r="HCA115" s="139"/>
      <c r="HCB115" s="139"/>
      <c r="HCC115" s="139"/>
      <c r="HCD115" s="139"/>
      <c r="HCE115" s="139"/>
      <c r="HCF115" s="139"/>
      <c r="HCG115" s="139"/>
      <c r="HCH115" s="139"/>
      <c r="HCI115" s="139"/>
      <c r="HCJ115" s="139"/>
      <c r="HCK115" s="139"/>
      <c r="HCL115" s="139"/>
      <c r="HCM115" s="139"/>
      <c r="HCN115" s="139"/>
      <c r="HCO115" s="139"/>
      <c r="HCP115" s="139"/>
      <c r="HCQ115" s="139"/>
      <c r="HCR115" s="139"/>
      <c r="HCS115" s="139"/>
      <c r="HCT115" s="139"/>
      <c r="HCU115" s="139"/>
      <c r="HCV115" s="139"/>
      <c r="HCW115" s="139"/>
      <c r="HCX115" s="139"/>
      <c r="HCY115" s="139"/>
      <c r="HCZ115" s="139"/>
      <c r="HDA115" s="139"/>
      <c r="HDB115" s="139"/>
      <c r="HDC115" s="139"/>
      <c r="HDD115" s="139"/>
      <c r="HDE115" s="139"/>
      <c r="HDF115" s="139"/>
      <c r="HDG115" s="139"/>
      <c r="HDH115" s="139"/>
      <c r="HDI115" s="139"/>
      <c r="HDJ115" s="139"/>
      <c r="HDK115" s="139"/>
      <c r="HDL115" s="139"/>
      <c r="HDM115" s="139"/>
      <c r="HDN115" s="139"/>
      <c r="HDO115" s="139"/>
      <c r="HDP115" s="139"/>
      <c r="HDQ115" s="139"/>
      <c r="HDR115" s="139"/>
      <c r="HDS115" s="139"/>
      <c r="HDT115" s="139"/>
      <c r="HDU115" s="139"/>
      <c r="HDV115" s="139"/>
      <c r="HDW115" s="139"/>
      <c r="HDX115" s="139"/>
      <c r="HDY115" s="139"/>
      <c r="HDZ115" s="139"/>
      <c r="HEA115" s="139"/>
      <c r="HEB115" s="139"/>
      <c r="HEC115" s="139"/>
      <c r="HED115" s="139"/>
      <c r="HEE115" s="139"/>
      <c r="HEF115" s="139"/>
      <c r="HEG115" s="139"/>
      <c r="HEH115" s="139"/>
      <c r="HEI115" s="139"/>
      <c r="HEJ115" s="139"/>
      <c r="HEK115" s="139"/>
      <c r="HEL115" s="139"/>
      <c r="HEM115" s="139"/>
      <c r="HEN115" s="139"/>
      <c r="HEO115" s="139"/>
      <c r="HEP115" s="139"/>
      <c r="HEQ115" s="139"/>
      <c r="HER115" s="139"/>
      <c r="HES115" s="139"/>
      <c r="HET115" s="139"/>
      <c r="HEU115" s="139"/>
      <c r="HEV115" s="139"/>
      <c r="HEW115" s="139"/>
      <c r="HEX115" s="139"/>
      <c r="HEY115" s="139"/>
      <c r="HEZ115" s="139"/>
      <c r="HFA115" s="139"/>
      <c r="HFB115" s="139"/>
      <c r="HFC115" s="139"/>
      <c r="HFD115" s="139"/>
      <c r="HFE115" s="139"/>
      <c r="HFF115" s="139"/>
      <c r="HFG115" s="139"/>
      <c r="HFH115" s="139"/>
      <c r="HFI115" s="139"/>
      <c r="HFJ115" s="139"/>
      <c r="HFK115" s="139"/>
      <c r="HFL115" s="139"/>
      <c r="HFM115" s="139"/>
      <c r="HFN115" s="139"/>
      <c r="HFO115" s="139"/>
      <c r="HFP115" s="139"/>
      <c r="HFQ115" s="139"/>
      <c r="HFR115" s="139"/>
      <c r="HFS115" s="139"/>
      <c r="HFT115" s="139"/>
      <c r="HFU115" s="139"/>
      <c r="HFV115" s="139"/>
      <c r="HFW115" s="139"/>
      <c r="HFX115" s="139"/>
      <c r="HFY115" s="139"/>
      <c r="HFZ115" s="139"/>
      <c r="HGA115" s="139"/>
      <c r="HGB115" s="139"/>
      <c r="HGC115" s="139"/>
      <c r="HGD115" s="139"/>
      <c r="HGE115" s="139"/>
      <c r="HGF115" s="139"/>
      <c r="HGG115" s="139"/>
      <c r="HGH115" s="139"/>
      <c r="HGI115" s="139"/>
      <c r="HGJ115" s="139"/>
      <c r="HGK115" s="139"/>
      <c r="HGL115" s="139"/>
      <c r="HGM115" s="139"/>
      <c r="HGN115" s="139"/>
      <c r="HGO115" s="139"/>
      <c r="HGP115" s="139"/>
      <c r="HGQ115" s="139"/>
      <c r="HGR115" s="139"/>
      <c r="HGS115" s="139"/>
      <c r="HGT115" s="139"/>
      <c r="HGU115" s="139"/>
      <c r="HGV115" s="139"/>
      <c r="HGW115" s="139"/>
      <c r="HGX115" s="139"/>
      <c r="HGY115" s="139"/>
      <c r="HGZ115" s="139"/>
      <c r="HHA115" s="139"/>
      <c r="HHB115" s="139"/>
      <c r="HHC115" s="139"/>
      <c r="HHD115" s="139"/>
      <c r="HHE115" s="139"/>
      <c r="HHF115" s="139"/>
      <c r="HHG115" s="139"/>
      <c r="HHH115" s="139"/>
      <c r="HHI115" s="139"/>
      <c r="HHJ115" s="139"/>
      <c r="HHK115" s="139"/>
      <c r="HHL115" s="139"/>
      <c r="HHM115" s="139"/>
      <c r="HHN115" s="139"/>
      <c r="HHO115" s="139"/>
      <c r="HHP115" s="139"/>
      <c r="HHQ115" s="139"/>
      <c r="HHR115" s="139"/>
      <c r="HHS115" s="139"/>
      <c r="HHT115" s="139"/>
      <c r="HHU115" s="139"/>
      <c r="HHV115" s="139"/>
      <c r="HHW115" s="139"/>
      <c r="HHX115" s="139"/>
      <c r="HHY115" s="139"/>
      <c r="HHZ115" s="139"/>
      <c r="HIA115" s="139"/>
      <c r="HIB115" s="139"/>
      <c r="HIC115" s="139"/>
      <c r="HID115" s="139"/>
      <c r="HIE115" s="139"/>
      <c r="HIF115" s="139"/>
      <c r="HIG115" s="139"/>
      <c r="HIH115" s="139"/>
      <c r="HII115" s="139"/>
      <c r="HIJ115" s="139"/>
      <c r="HIK115" s="139"/>
      <c r="HIL115" s="139"/>
      <c r="HIM115" s="139"/>
      <c r="HIN115" s="139"/>
      <c r="HIO115" s="139"/>
      <c r="HIP115" s="139"/>
      <c r="HIQ115" s="139"/>
      <c r="HIR115" s="139"/>
      <c r="HIS115" s="139"/>
      <c r="HIT115" s="139"/>
      <c r="HIU115" s="139"/>
      <c r="HIV115" s="139"/>
      <c r="HIW115" s="139"/>
      <c r="HIX115" s="139"/>
      <c r="HIY115" s="139"/>
      <c r="HIZ115" s="139"/>
      <c r="HJA115" s="139"/>
      <c r="HJB115" s="139"/>
      <c r="HJC115" s="139"/>
      <c r="HJD115" s="139"/>
      <c r="HJE115" s="139"/>
      <c r="HJF115" s="139"/>
      <c r="HJG115" s="139"/>
      <c r="HJH115" s="139"/>
      <c r="HJI115" s="139"/>
      <c r="HJJ115" s="139"/>
      <c r="HJK115" s="139"/>
      <c r="HJL115" s="139"/>
      <c r="HJM115" s="139"/>
      <c r="HJN115" s="139"/>
      <c r="HJO115" s="139"/>
      <c r="HJP115" s="139"/>
      <c r="HJQ115" s="139"/>
      <c r="HJR115" s="139"/>
      <c r="HJS115" s="139"/>
      <c r="HJT115" s="139"/>
      <c r="HJU115" s="139"/>
      <c r="HJV115" s="139"/>
      <c r="HJW115" s="139"/>
      <c r="HJX115" s="139"/>
      <c r="HJY115" s="139"/>
      <c r="HJZ115" s="139"/>
      <c r="HKA115" s="139"/>
      <c r="HKB115" s="139"/>
      <c r="HKC115" s="139"/>
      <c r="HKD115" s="139"/>
      <c r="HKE115" s="139"/>
      <c r="HKF115" s="139"/>
      <c r="HKG115" s="139"/>
      <c r="HKH115" s="139"/>
      <c r="HKI115" s="139"/>
      <c r="HKJ115" s="139"/>
      <c r="HKK115" s="139"/>
      <c r="HKL115" s="139"/>
      <c r="HKM115" s="139"/>
      <c r="HKN115" s="139"/>
      <c r="HKO115" s="139"/>
      <c r="HKP115" s="139"/>
      <c r="HKQ115" s="139"/>
      <c r="HKR115" s="139"/>
      <c r="HKS115" s="139"/>
      <c r="HKT115" s="139"/>
      <c r="HKU115" s="139"/>
      <c r="HKV115" s="139"/>
      <c r="HKW115" s="139"/>
      <c r="HKX115" s="139"/>
      <c r="HKY115" s="139"/>
      <c r="HKZ115" s="139"/>
      <c r="HLA115" s="139"/>
      <c r="HLB115" s="139"/>
      <c r="HLC115" s="139"/>
      <c r="HLD115" s="139"/>
      <c r="HLE115" s="139"/>
      <c r="HLF115" s="139"/>
      <c r="HLG115" s="139"/>
      <c r="HLH115" s="139"/>
      <c r="HLI115" s="139"/>
      <c r="HLJ115" s="139"/>
      <c r="HLK115" s="139"/>
      <c r="HLL115" s="139"/>
      <c r="HLM115" s="139"/>
      <c r="HLN115" s="139"/>
      <c r="HLO115" s="139"/>
      <c r="HLP115" s="139"/>
      <c r="HLQ115" s="139"/>
      <c r="HLR115" s="139"/>
      <c r="HLS115" s="139"/>
      <c r="HLT115" s="139"/>
      <c r="HLU115" s="139"/>
      <c r="HLV115" s="139"/>
      <c r="HLW115" s="139"/>
      <c r="HLX115" s="139"/>
      <c r="HLY115" s="139"/>
      <c r="HLZ115" s="139"/>
      <c r="HMA115" s="139"/>
      <c r="HMB115" s="139"/>
      <c r="HMC115" s="139"/>
      <c r="HMD115" s="139"/>
      <c r="HME115" s="139"/>
      <c r="HMF115" s="139"/>
      <c r="HMG115" s="139"/>
      <c r="HMH115" s="139"/>
      <c r="HMI115" s="139"/>
      <c r="HMJ115" s="139"/>
      <c r="HMK115" s="139"/>
      <c r="HML115" s="139"/>
      <c r="HMM115" s="139"/>
      <c r="HMN115" s="139"/>
      <c r="HMO115" s="139"/>
      <c r="HMP115" s="139"/>
      <c r="HMQ115" s="139"/>
      <c r="HMR115" s="139"/>
      <c r="HMS115" s="139"/>
      <c r="HMT115" s="139"/>
      <c r="HMU115" s="139"/>
      <c r="HMV115" s="139"/>
      <c r="HMW115" s="139"/>
      <c r="HMX115" s="139"/>
      <c r="HMY115" s="139"/>
      <c r="HMZ115" s="139"/>
      <c r="HNA115" s="139"/>
      <c r="HNB115" s="139"/>
      <c r="HNC115" s="139"/>
      <c r="HND115" s="139"/>
      <c r="HNE115" s="139"/>
      <c r="HNF115" s="139"/>
      <c r="HNG115" s="139"/>
      <c r="HNH115" s="139"/>
      <c r="HNI115" s="139"/>
      <c r="HNJ115" s="139"/>
      <c r="HNK115" s="139"/>
      <c r="HNL115" s="139"/>
      <c r="HNM115" s="139"/>
      <c r="HNN115" s="139"/>
      <c r="HNO115" s="139"/>
      <c r="HNP115" s="139"/>
      <c r="HNQ115" s="139"/>
      <c r="HNR115" s="139"/>
      <c r="HNS115" s="139"/>
      <c r="HNT115" s="139"/>
      <c r="HNU115" s="139"/>
      <c r="HNV115" s="139"/>
      <c r="HNW115" s="139"/>
      <c r="HNX115" s="139"/>
      <c r="HNY115" s="139"/>
      <c r="HNZ115" s="139"/>
      <c r="HOA115" s="139"/>
      <c r="HOB115" s="139"/>
      <c r="HOC115" s="139"/>
      <c r="HOD115" s="139"/>
      <c r="HOE115" s="139"/>
      <c r="HOF115" s="139"/>
      <c r="HOG115" s="139"/>
      <c r="HOH115" s="139"/>
      <c r="HOI115" s="139"/>
      <c r="HOJ115" s="139"/>
      <c r="HOK115" s="139"/>
      <c r="HOL115" s="139"/>
      <c r="HOM115" s="139"/>
      <c r="HON115" s="139"/>
      <c r="HOO115" s="139"/>
      <c r="HOP115" s="139"/>
      <c r="HOQ115" s="139"/>
      <c r="HOR115" s="139"/>
      <c r="HOS115" s="139"/>
      <c r="HOT115" s="139"/>
      <c r="HOU115" s="139"/>
      <c r="HOV115" s="139"/>
      <c r="HOW115" s="139"/>
      <c r="HOX115" s="139"/>
      <c r="HOY115" s="139"/>
      <c r="HOZ115" s="139"/>
      <c r="HPA115" s="139"/>
      <c r="HPB115" s="139"/>
      <c r="HPC115" s="139"/>
      <c r="HPD115" s="139"/>
      <c r="HPE115" s="139"/>
      <c r="HPF115" s="139"/>
      <c r="HPG115" s="139"/>
      <c r="HPH115" s="139"/>
      <c r="HPI115" s="139"/>
      <c r="HPJ115" s="139"/>
      <c r="HPK115" s="139"/>
      <c r="HPL115" s="139"/>
      <c r="HPM115" s="139"/>
      <c r="HPN115" s="139"/>
      <c r="HPO115" s="139"/>
      <c r="HPP115" s="139"/>
      <c r="HPQ115" s="139"/>
      <c r="HPR115" s="139"/>
      <c r="HPS115" s="139"/>
      <c r="HPT115" s="139"/>
      <c r="HPU115" s="139"/>
      <c r="HPV115" s="139"/>
      <c r="HPW115" s="139"/>
      <c r="HPX115" s="139"/>
      <c r="HPY115" s="139"/>
      <c r="HPZ115" s="139"/>
      <c r="HQA115" s="139"/>
      <c r="HQB115" s="139"/>
      <c r="HQC115" s="139"/>
      <c r="HQD115" s="139"/>
      <c r="HQE115" s="139"/>
      <c r="HQF115" s="139"/>
      <c r="HQG115" s="139"/>
      <c r="HQH115" s="139"/>
      <c r="HQI115" s="139"/>
      <c r="HQJ115" s="139"/>
      <c r="HQK115" s="139"/>
      <c r="HQL115" s="139"/>
      <c r="HQM115" s="139"/>
      <c r="HQN115" s="139"/>
      <c r="HQO115" s="139"/>
      <c r="HQP115" s="139"/>
      <c r="HQQ115" s="139"/>
      <c r="HQR115" s="139"/>
      <c r="HQS115" s="139"/>
      <c r="HQT115" s="139"/>
      <c r="HQU115" s="139"/>
      <c r="HQV115" s="139"/>
      <c r="HQW115" s="139"/>
      <c r="HQX115" s="139"/>
      <c r="HQY115" s="139"/>
      <c r="HQZ115" s="139"/>
      <c r="HRA115" s="139"/>
      <c r="HRB115" s="139"/>
      <c r="HRC115" s="139"/>
      <c r="HRD115" s="139"/>
      <c r="HRE115" s="139"/>
      <c r="HRF115" s="139"/>
      <c r="HRG115" s="139"/>
      <c r="HRH115" s="139"/>
      <c r="HRI115" s="139"/>
      <c r="HRJ115" s="139"/>
      <c r="HRK115" s="139"/>
      <c r="HRL115" s="139"/>
      <c r="HRM115" s="139"/>
      <c r="HRN115" s="139"/>
      <c r="HRO115" s="139"/>
      <c r="HRP115" s="139"/>
      <c r="HRQ115" s="139"/>
      <c r="HRR115" s="139"/>
      <c r="HRS115" s="139"/>
      <c r="HRT115" s="139"/>
      <c r="HRU115" s="139"/>
      <c r="HRV115" s="139"/>
      <c r="HRW115" s="139"/>
      <c r="HRX115" s="139"/>
      <c r="HRY115" s="139"/>
      <c r="HRZ115" s="139"/>
      <c r="HSA115" s="139"/>
      <c r="HSB115" s="139"/>
      <c r="HSC115" s="139"/>
      <c r="HSD115" s="139"/>
      <c r="HSE115" s="139"/>
      <c r="HSF115" s="139"/>
      <c r="HSG115" s="139"/>
      <c r="HSH115" s="139"/>
      <c r="HSI115" s="139"/>
      <c r="HSJ115" s="139"/>
      <c r="HSK115" s="139"/>
      <c r="HSL115" s="139"/>
      <c r="HSM115" s="139"/>
      <c r="HSN115" s="139"/>
      <c r="HSO115" s="139"/>
      <c r="HSP115" s="139"/>
      <c r="HSQ115" s="139"/>
      <c r="HSR115" s="139"/>
      <c r="HSS115" s="139"/>
      <c r="HST115" s="139"/>
      <c r="HSU115" s="139"/>
      <c r="HSV115" s="139"/>
      <c r="HSW115" s="139"/>
      <c r="HSX115" s="139"/>
      <c r="HSY115" s="139"/>
      <c r="HSZ115" s="139"/>
      <c r="HTA115" s="139"/>
      <c r="HTB115" s="139"/>
      <c r="HTC115" s="139"/>
      <c r="HTD115" s="139"/>
      <c r="HTE115" s="139"/>
      <c r="HTF115" s="139"/>
      <c r="HTG115" s="139"/>
      <c r="HTH115" s="139"/>
      <c r="HTI115" s="139"/>
      <c r="HTJ115" s="139"/>
      <c r="HTK115" s="139"/>
      <c r="HTL115" s="139"/>
      <c r="HTM115" s="139"/>
      <c r="HTN115" s="139"/>
      <c r="HTO115" s="139"/>
      <c r="HTP115" s="139"/>
      <c r="HTQ115" s="139"/>
      <c r="HTR115" s="139"/>
      <c r="HTS115" s="139"/>
      <c r="HTT115" s="139"/>
      <c r="HTU115" s="139"/>
      <c r="HTV115" s="139"/>
      <c r="HTW115" s="139"/>
      <c r="HTX115" s="139"/>
      <c r="HTY115" s="139"/>
      <c r="HTZ115" s="139"/>
      <c r="HUA115" s="139"/>
      <c r="HUB115" s="139"/>
      <c r="HUC115" s="139"/>
      <c r="HUD115" s="139"/>
      <c r="HUE115" s="139"/>
      <c r="HUF115" s="139"/>
      <c r="HUG115" s="139"/>
      <c r="HUH115" s="139"/>
      <c r="HUI115" s="139"/>
      <c r="HUJ115" s="139"/>
      <c r="HUK115" s="139"/>
      <c r="HUL115" s="139"/>
      <c r="HUM115" s="139"/>
      <c r="HUN115" s="139"/>
      <c r="HUO115" s="139"/>
      <c r="HUP115" s="139"/>
      <c r="HUQ115" s="139"/>
      <c r="HUR115" s="139"/>
      <c r="HUS115" s="139"/>
      <c r="HUT115" s="139"/>
      <c r="HUU115" s="139"/>
      <c r="HUV115" s="139"/>
      <c r="HUW115" s="139"/>
      <c r="HUX115" s="139"/>
      <c r="HUY115" s="139"/>
      <c r="HUZ115" s="139"/>
      <c r="HVA115" s="139"/>
      <c r="HVB115" s="139"/>
      <c r="HVC115" s="139"/>
      <c r="HVD115" s="139"/>
      <c r="HVE115" s="139"/>
      <c r="HVF115" s="139"/>
      <c r="HVG115" s="139"/>
      <c r="HVH115" s="139"/>
      <c r="HVI115" s="139"/>
      <c r="HVJ115" s="139"/>
      <c r="HVK115" s="139"/>
      <c r="HVL115" s="139"/>
      <c r="HVM115" s="139"/>
      <c r="HVN115" s="139"/>
      <c r="HVO115" s="139"/>
      <c r="HVP115" s="139"/>
      <c r="HVQ115" s="139"/>
      <c r="HVR115" s="139"/>
      <c r="HVS115" s="139"/>
      <c r="HVT115" s="139"/>
      <c r="HVU115" s="139"/>
      <c r="HVV115" s="139"/>
      <c r="HVW115" s="139"/>
      <c r="HVX115" s="139"/>
      <c r="HVY115" s="139"/>
      <c r="HVZ115" s="139"/>
      <c r="HWA115" s="139"/>
      <c r="HWB115" s="139"/>
      <c r="HWC115" s="139"/>
      <c r="HWD115" s="139"/>
      <c r="HWE115" s="139"/>
      <c r="HWF115" s="139"/>
      <c r="HWG115" s="139"/>
      <c r="HWH115" s="139"/>
      <c r="HWI115" s="139"/>
      <c r="HWJ115" s="139"/>
      <c r="HWK115" s="139"/>
      <c r="HWL115" s="139"/>
      <c r="HWM115" s="139"/>
      <c r="HWN115" s="139"/>
      <c r="HWO115" s="139"/>
      <c r="HWP115" s="139"/>
      <c r="HWQ115" s="139"/>
      <c r="HWR115" s="139"/>
      <c r="HWS115" s="139"/>
      <c r="HWT115" s="139"/>
      <c r="HWU115" s="139"/>
      <c r="HWV115" s="139"/>
      <c r="HWW115" s="139"/>
      <c r="HWX115" s="139"/>
      <c r="HWY115" s="139"/>
      <c r="HWZ115" s="139"/>
      <c r="HXA115" s="139"/>
      <c r="HXB115" s="139"/>
      <c r="HXC115" s="139"/>
      <c r="HXD115" s="139"/>
      <c r="HXE115" s="139"/>
      <c r="HXF115" s="139"/>
      <c r="HXG115" s="139"/>
      <c r="HXH115" s="139"/>
      <c r="HXI115" s="139"/>
      <c r="HXJ115" s="139"/>
      <c r="HXK115" s="139"/>
      <c r="HXL115" s="139"/>
      <c r="HXM115" s="139"/>
      <c r="HXN115" s="139"/>
      <c r="HXO115" s="139"/>
      <c r="HXP115" s="139"/>
      <c r="HXQ115" s="139"/>
      <c r="HXR115" s="139"/>
      <c r="HXS115" s="139"/>
      <c r="HXT115" s="139"/>
      <c r="HXU115" s="139"/>
      <c r="HXV115" s="139"/>
      <c r="HXW115" s="139"/>
      <c r="HXX115" s="139"/>
      <c r="HXY115" s="139"/>
      <c r="HXZ115" s="139"/>
      <c r="HYA115" s="139"/>
      <c r="HYB115" s="139"/>
      <c r="HYC115" s="139"/>
      <c r="HYD115" s="139"/>
      <c r="HYE115" s="139"/>
      <c r="HYF115" s="139"/>
      <c r="HYG115" s="139"/>
      <c r="HYH115" s="139"/>
      <c r="HYI115" s="139"/>
      <c r="HYJ115" s="139"/>
      <c r="HYK115" s="139"/>
      <c r="HYL115" s="139"/>
      <c r="HYM115" s="139"/>
      <c r="HYN115" s="139"/>
      <c r="HYO115" s="139"/>
      <c r="HYP115" s="139"/>
      <c r="HYQ115" s="139"/>
      <c r="HYR115" s="139"/>
      <c r="HYS115" s="139"/>
      <c r="HYT115" s="139"/>
      <c r="HYU115" s="139"/>
      <c r="HYV115" s="139"/>
      <c r="HYW115" s="139"/>
      <c r="HYX115" s="139"/>
      <c r="HYY115" s="139"/>
      <c r="HYZ115" s="139"/>
      <c r="HZA115" s="139"/>
      <c r="HZB115" s="139"/>
      <c r="HZC115" s="139"/>
      <c r="HZD115" s="139"/>
      <c r="HZE115" s="139"/>
      <c r="HZF115" s="139"/>
      <c r="HZG115" s="139"/>
      <c r="HZH115" s="139"/>
      <c r="HZI115" s="139"/>
      <c r="HZJ115" s="139"/>
      <c r="HZK115" s="139"/>
      <c r="HZL115" s="139"/>
      <c r="HZM115" s="139"/>
      <c r="HZN115" s="139"/>
      <c r="HZO115" s="139"/>
      <c r="HZP115" s="139"/>
      <c r="HZQ115" s="139"/>
      <c r="HZR115" s="139"/>
      <c r="HZS115" s="139"/>
      <c r="HZT115" s="139"/>
      <c r="HZU115" s="139"/>
      <c r="HZV115" s="139"/>
      <c r="HZW115" s="139"/>
      <c r="HZX115" s="139"/>
      <c r="HZY115" s="139"/>
      <c r="HZZ115" s="139"/>
      <c r="IAA115" s="139"/>
      <c r="IAB115" s="139"/>
      <c r="IAC115" s="139"/>
      <c r="IAD115" s="139"/>
      <c r="IAE115" s="139"/>
      <c r="IAF115" s="139"/>
      <c r="IAG115" s="139"/>
      <c r="IAH115" s="139"/>
      <c r="IAI115" s="139"/>
      <c r="IAJ115" s="139"/>
      <c r="IAK115" s="139"/>
      <c r="IAL115" s="139"/>
      <c r="IAM115" s="139"/>
      <c r="IAN115" s="139"/>
      <c r="IAO115" s="139"/>
      <c r="IAP115" s="139"/>
      <c r="IAQ115" s="139"/>
      <c r="IAR115" s="139"/>
      <c r="IAS115" s="139"/>
      <c r="IAT115" s="139"/>
      <c r="IAU115" s="139"/>
      <c r="IAV115" s="139"/>
      <c r="IAW115" s="139"/>
      <c r="IAX115" s="139"/>
      <c r="IAY115" s="139"/>
      <c r="IAZ115" s="139"/>
      <c r="IBA115" s="139"/>
      <c r="IBB115" s="139"/>
      <c r="IBC115" s="139"/>
      <c r="IBD115" s="139"/>
      <c r="IBE115" s="139"/>
      <c r="IBF115" s="139"/>
      <c r="IBG115" s="139"/>
      <c r="IBH115" s="139"/>
      <c r="IBI115" s="139"/>
      <c r="IBJ115" s="139"/>
      <c r="IBK115" s="139"/>
      <c r="IBL115" s="139"/>
      <c r="IBM115" s="139"/>
      <c r="IBN115" s="139"/>
      <c r="IBO115" s="139"/>
      <c r="IBP115" s="139"/>
      <c r="IBQ115" s="139"/>
      <c r="IBR115" s="139"/>
      <c r="IBS115" s="139"/>
      <c r="IBT115" s="139"/>
      <c r="IBU115" s="139"/>
      <c r="IBV115" s="139"/>
      <c r="IBW115" s="139"/>
      <c r="IBX115" s="139"/>
      <c r="IBY115" s="139"/>
      <c r="IBZ115" s="139"/>
      <c r="ICA115" s="139"/>
      <c r="ICB115" s="139"/>
      <c r="ICC115" s="139"/>
      <c r="ICD115" s="139"/>
      <c r="ICE115" s="139"/>
      <c r="ICF115" s="139"/>
      <c r="ICG115" s="139"/>
      <c r="ICH115" s="139"/>
      <c r="ICI115" s="139"/>
      <c r="ICJ115" s="139"/>
      <c r="ICK115" s="139"/>
      <c r="ICL115" s="139"/>
      <c r="ICM115" s="139"/>
      <c r="ICN115" s="139"/>
      <c r="ICO115" s="139"/>
      <c r="ICP115" s="139"/>
      <c r="ICQ115" s="139"/>
      <c r="ICR115" s="139"/>
      <c r="ICS115" s="139"/>
      <c r="ICT115" s="139"/>
      <c r="ICU115" s="139"/>
      <c r="ICV115" s="139"/>
      <c r="ICW115" s="139"/>
      <c r="ICX115" s="139"/>
      <c r="ICY115" s="139"/>
      <c r="ICZ115" s="139"/>
      <c r="IDA115" s="139"/>
      <c r="IDB115" s="139"/>
      <c r="IDC115" s="139"/>
      <c r="IDD115" s="139"/>
      <c r="IDE115" s="139"/>
      <c r="IDF115" s="139"/>
      <c r="IDG115" s="139"/>
      <c r="IDH115" s="139"/>
      <c r="IDI115" s="139"/>
      <c r="IDJ115" s="139"/>
      <c r="IDK115" s="139"/>
      <c r="IDL115" s="139"/>
      <c r="IDM115" s="139"/>
      <c r="IDN115" s="139"/>
      <c r="IDO115" s="139"/>
      <c r="IDP115" s="139"/>
      <c r="IDQ115" s="139"/>
      <c r="IDR115" s="139"/>
      <c r="IDS115" s="139"/>
      <c r="IDT115" s="139"/>
      <c r="IDU115" s="139"/>
      <c r="IDV115" s="139"/>
      <c r="IDW115" s="139"/>
      <c r="IDX115" s="139"/>
      <c r="IDY115" s="139"/>
      <c r="IDZ115" s="139"/>
      <c r="IEA115" s="139"/>
      <c r="IEB115" s="139"/>
      <c r="IEC115" s="139"/>
      <c r="IED115" s="139"/>
      <c r="IEE115" s="139"/>
      <c r="IEF115" s="139"/>
      <c r="IEG115" s="139"/>
      <c r="IEH115" s="139"/>
      <c r="IEI115" s="139"/>
      <c r="IEJ115" s="139"/>
      <c r="IEK115" s="139"/>
      <c r="IEL115" s="139"/>
      <c r="IEM115" s="139"/>
      <c r="IEN115" s="139"/>
      <c r="IEO115" s="139"/>
      <c r="IEP115" s="139"/>
      <c r="IEQ115" s="139"/>
      <c r="IER115" s="139"/>
      <c r="IES115" s="139"/>
      <c r="IET115" s="139"/>
      <c r="IEU115" s="139"/>
      <c r="IEV115" s="139"/>
      <c r="IEW115" s="139"/>
      <c r="IEX115" s="139"/>
      <c r="IEY115" s="139"/>
      <c r="IEZ115" s="139"/>
      <c r="IFA115" s="139"/>
      <c r="IFB115" s="139"/>
      <c r="IFC115" s="139"/>
      <c r="IFD115" s="139"/>
      <c r="IFE115" s="139"/>
      <c r="IFF115" s="139"/>
      <c r="IFG115" s="139"/>
      <c r="IFH115" s="139"/>
      <c r="IFI115" s="139"/>
      <c r="IFJ115" s="139"/>
      <c r="IFK115" s="139"/>
      <c r="IFL115" s="139"/>
      <c r="IFM115" s="139"/>
      <c r="IFN115" s="139"/>
      <c r="IFO115" s="139"/>
      <c r="IFP115" s="139"/>
      <c r="IFQ115" s="139"/>
      <c r="IFR115" s="139"/>
      <c r="IFS115" s="139"/>
      <c r="IFT115" s="139"/>
      <c r="IFU115" s="139"/>
      <c r="IFV115" s="139"/>
      <c r="IFW115" s="139"/>
      <c r="IFX115" s="139"/>
      <c r="IFY115" s="139"/>
      <c r="IFZ115" s="139"/>
      <c r="IGA115" s="139"/>
      <c r="IGB115" s="139"/>
      <c r="IGC115" s="139"/>
      <c r="IGD115" s="139"/>
      <c r="IGE115" s="139"/>
      <c r="IGF115" s="139"/>
      <c r="IGG115" s="139"/>
      <c r="IGH115" s="139"/>
      <c r="IGI115" s="139"/>
      <c r="IGJ115" s="139"/>
      <c r="IGK115" s="139"/>
      <c r="IGL115" s="139"/>
      <c r="IGM115" s="139"/>
      <c r="IGN115" s="139"/>
      <c r="IGO115" s="139"/>
      <c r="IGP115" s="139"/>
      <c r="IGQ115" s="139"/>
      <c r="IGR115" s="139"/>
      <c r="IGS115" s="139"/>
      <c r="IGT115" s="139"/>
      <c r="IGU115" s="139"/>
      <c r="IGV115" s="139"/>
      <c r="IGW115" s="139"/>
      <c r="IGX115" s="139"/>
      <c r="IGY115" s="139"/>
      <c r="IGZ115" s="139"/>
      <c r="IHA115" s="139"/>
      <c r="IHB115" s="139"/>
      <c r="IHC115" s="139"/>
      <c r="IHD115" s="139"/>
      <c r="IHE115" s="139"/>
      <c r="IHF115" s="139"/>
      <c r="IHG115" s="139"/>
      <c r="IHH115" s="139"/>
      <c r="IHI115" s="139"/>
      <c r="IHJ115" s="139"/>
      <c r="IHK115" s="139"/>
      <c r="IHL115" s="139"/>
      <c r="IHM115" s="139"/>
      <c r="IHN115" s="139"/>
      <c r="IHO115" s="139"/>
      <c r="IHP115" s="139"/>
      <c r="IHQ115" s="139"/>
      <c r="IHR115" s="139"/>
      <c r="IHS115" s="139"/>
      <c r="IHT115" s="139"/>
      <c r="IHU115" s="139"/>
      <c r="IHV115" s="139"/>
      <c r="IHW115" s="139"/>
      <c r="IHX115" s="139"/>
      <c r="IHY115" s="139"/>
      <c r="IHZ115" s="139"/>
      <c r="IIA115" s="139"/>
      <c r="IIB115" s="139"/>
      <c r="IIC115" s="139"/>
      <c r="IID115" s="139"/>
      <c r="IIE115" s="139"/>
      <c r="IIF115" s="139"/>
      <c r="IIG115" s="139"/>
      <c r="IIH115" s="139"/>
      <c r="III115" s="139"/>
      <c r="IIJ115" s="139"/>
      <c r="IIK115" s="139"/>
      <c r="IIL115" s="139"/>
      <c r="IIM115" s="139"/>
      <c r="IIN115" s="139"/>
      <c r="IIO115" s="139"/>
      <c r="IIP115" s="139"/>
      <c r="IIQ115" s="139"/>
      <c r="IIR115" s="139"/>
      <c r="IIS115" s="139"/>
      <c r="IIT115" s="139"/>
      <c r="IIU115" s="139"/>
      <c r="IIV115" s="139"/>
      <c r="IIW115" s="139"/>
      <c r="IIX115" s="139"/>
      <c r="IIY115" s="139"/>
      <c r="IIZ115" s="139"/>
      <c r="IJA115" s="139"/>
      <c r="IJB115" s="139"/>
      <c r="IJC115" s="139"/>
      <c r="IJD115" s="139"/>
      <c r="IJE115" s="139"/>
      <c r="IJF115" s="139"/>
      <c r="IJG115" s="139"/>
      <c r="IJH115" s="139"/>
      <c r="IJI115" s="139"/>
      <c r="IJJ115" s="139"/>
      <c r="IJK115" s="139"/>
      <c r="IJL115" s="139"/>
      <c r="IJM115" s="139"/>
      <c r="IJN115" s="139"/>
      <c r="IJO115" s="139"/>
      <c r="IJP115" s="139"/>
      <c r="IJQ115" s="139"/>
      <c r="IJR115" s="139"/>
      <c r="IJS115" s="139"/>
      <c r="IJT115" s="139"/>
      <c r="IJU115" s="139"/>
      <c r="IJV115" s="139"/>
      <c r="IJW115" s="139"/>
      <c r="IJX115" s="139"/>
      <c r="IJY115" s="139"/>
      <c r="IJZ115" s="139"/>
      <c r="IKA115" s="139"/>
      <c r="IKB115" s="139"/>
      <c r="IKC115" s="139"/>
      <c r="IKD115" s="139"/>
      <c r="IKE115" s="139"/>
      <c r="IKF115" s="139"/>
      <c r="IKG115" s="139"/>
      <c r="IKH115" s="139"/>
      <c r="IKI115" s="139"/>
      <c r="IKJ115" s="139"/>
      <c r="IKK115" s="139"/>
      <c r="IKL115" s="139"/>
      <c r="IKM115" s="139"/>
      <c r="IKN115" s="139"/>
      <c r="IKO115" s="139"/>
      <c r="IKP115" s="139"/>
      <c r="IKQ115" s="139"/>
      <c r="IKR115" s="139"/>
      <c r="IKS115" s="139"/>
      <c r="IKT115" s="139"/>
      <c r="IKU115" s="139"/>
      <c r="IKV115" s="139"/>
      <c r="IKW115" s="139"/>
      <c r="IKX115" s="139"/>
      <c r="IKY115" s="139"/>
      <c r="IKZ115" s="139"/>
      <c r="ILA115" s="139"/>
      <c r="ILB115" s="139"/>
      <c r="ILC115" s="139"/>
      <c r="ILD115" s="139"/>
      <c r="ILE115" s="139"/>
      <c r="ILF115" s="139"/>
      <c r="ILG115" s="139"/>
      <c r="ILH115" s="139"/>
      <c r="ILI115" s="139"/>
      <c r="ILJ115" s="139"/>
      <c r="ILK115" s="139"/>
      <c r="ILL115" s="139"/>
      <c r="ILM115" s="139"/>
      <c r="ILN115" s="139"/>
      <c r="ILO115" s="139"/>
      <c r="ILP115" s="139"/>
      <c r="ILQ115" s="139"/>
      <c r="ILR115" s="139"/>
      <c r="ILS115" s="139"/>
      <c r="ILT115" s="139"/>
      <c r="ILU115" s="139"/>
      <c r="ILV115" s="139"/>
      <c r="ILW115" s="139"/>
      <c r="ILX115" s="139"/>
      <c r="ILY115" s="139"/>
      <c r="ILZ115" s="139"/>
      <c r="IMA115" s="139"/>
      <c r="IMB115" s="139"/>
      <c r="IMC115" s="139"/>
      <c r="IMD115" s="139"/>
      <c r="IME115" s="139"/>
      <c r="IMF115" s="139"/>
      <c r="IMG115" s="139"/>
      <c r="IMH115" s="139"/>
      <c r="IMI115" s="139"/>
      <c r="IMJ115" s="139"/>
      <c r="IMK115" s="139"/>
      <c r="IML115" s="139"/>
      <c r="IMM115" s="139"/>
      <c r="IMN115" s="139"/>
      <c r="IMO115" s="139"/>
      <c r="IMP115" s="139"/>
      <c r="IMQ115" s="139"/>
      <c r="IMR115" s="139"/>
      <c r="IMS115" s="139"/>
      <c r="IMT115" s="139"/>
      <c r="IMU115" s="139"/>
      <c r="IMV115" s="139"/>
      <c r="IMW115" s="139"/>
      <c r="IMX115" s="139"/>
      <c r="IMY115" s="139"/>
      <c r="IMZ115" s="139"/>
      <c r="INA115" s="139"/>
      <c r="INB115" s="139"/>
      <c r="INC115" s="139"/>
      <c r="IND115" s="139"/>
      <c r="INE115" s="139"/>
      <c r="INF115" s="139"/>
      <c r="ING115" s="139"/>
      <c r="INH115" s="139"/>
      <c r="INI115" s="139"/>
      <c r="INJ115" s="139"/>
      <c r="INK115" s="139"/>
      <c r="INL115" s="139"/>
      <c r="INM115" s="139"/>
      <c r="INN115" s="139"/>
      <c r="INO115" s="139"/>
      <c r="INP115" s="139"/>
      <c r="INQ115" s="139"/>
      <c r="INR115" s="139"/>
      <c r="INS115" s="139"/>
      <c r="INT115" s="139"/>
      <c r="INU115" s="139"/>
      <c r="INV115" s="139"/>
      <c r="INW115" s="139"/>
      <c r="INX115" s="139"/>
      <c r="INY115" s="139"/>
      <c r="INZ115" s="139"/>
      <c r="IOA115" s="139"/>
      <c r="IOB115" s="139"/>
      <c r="IOC115" s="139"/>
      <c r="IOD115" s="139"/>
      <c r="IOE115" s="139"/>
      <c r="IOF115" s="139"/>
      <c r="IOG115" s="139"/>
      <c r="IOH115" s="139"/>
      <c r="IOI115" s="139"/>
      <c r="IOJ115" s="139"/>
      <c r="IOK115" s="139"/>
      <c r="IOL115" s="139"/>
      <c r="IOM115" s="139"/>
      <c r="ION115" s="139"/>
      <c r="IOO115" s="139"/>
      <c r="IOP115" s="139"/>
      <c r="IOQ115" s="139"/>
      <c r="IOR115" s="139"/>
      <c r="IOS115" s="139"/>
      <c r="IOT115" s="139"/>
      <c r="IOU115" s="139"/>
      <c r="IOV115" s="139"/>
      <c r="IOW115" s="139"/>
      <c r="IOX115" s="139"/>
      <c r="IOY115" s="139"/>
      <c r="IOZ115" s="139"/>
      <c r="IPA115" s="139"/>
      <c r="IPB115" s="139"/>
      <c r="IPC115" s="139"/>
      <c r="IPD115" s="139"/>
      <c r="IPE115" s="139"/>
      <c r="IPF115" s="139"/>
      <c r="IPG115" s="139"/>
      <c r="IPH115" s="139"/>
      <c r="IPI115" s="139"/>
      <c r="IPJ115" s="139"/>
      <c r="IPK115" s="139"/>
      <c r="IPL115" s="139"/>
      <c r="IPM115" s="139"/>
      <c r="IPN115" s="139"/>
      <c r="IPO115" s="139"/>
      <c r="IPP115" s="139"/>
      <c r="IPQ115" s="139"/>
      <c r="IPR115" s="139"/>
      <c r="IPS115" s="139"/>
      <c r="IPT115" s="139"/>
      <c r="IPU115" s="139"/>
      <c r="IPV115" s="139"/>
      <c r="IPW115" s="139"/>
      <c r="IPX115" s="139"/>
      <c r="IPY115" s="139"/>
      <c r="IPZ115" s="139"/>
      <c r="IQA115" s="139"/>
      <c r="IQB115" s="139"/>
      <c r="IQC115" s="139"/>
      <c r="IQD115" s="139"/>
      <c r="IQE115" s="139"/>
      <c r="IQF115" s="139"/>
      <c r="IQG115" s="139"/>
      <c r="IQH115" s="139"/>
      <c r="IQI115" s="139"/>
      <c r="IQJ115" s="139"/>
      <c r="IQK115" s="139"/>
      <c r="IQL115" s="139"/>
      <c r="IQM115" s="139"/>
      <c r="IQN115" s="139"/>
      <c r="IQO115" s="139"/>
      <c r="IQP115" s="139"/>
      <c r="IQQ115" s="139"/>
      <c r="IQR115" s="139"/>
      <c r="IQS115" s="139"/>
      <c r="IQT115" s="139"/>
      <c r="IQU115" s="139"/>
      <c r="IQV115" s="139"/>
      <c r="IQW115" s="139"/>
      <c r="IQX115" s="139"/>
      <c r="IQY115" s="139"/>
      <c r="IQZ115" s="139"/>
      <c r="IRA115" s="139"/>
      <c r="IRB115" s="139"/>
      <c r="IRC115" s="139"/>
      <c r="IRD115" s="139"/>
      <c r="IRE115" s="139"/>
      <c r="IRF115" s="139"/>
      <c r="IRG115" s="139"/>
      <c r="IRH115" s="139"/>
      <c r="IRI115" s="139"/>
      <c r="IRJ115" s="139"/>
      <c r="IRK115" s="139"/>
      <c r="IRL115" s="139"/>
      <c r="IRM115" s="139"/>
      <c r="IRN115" s="139"/>
      <c r="IRO115" s="139"/>
      <c r="IRP115" s="139"/>
      <c r="IRQ115" s="139"/>
      <c r="IRR115" s="139"/>
      <c r="IRS115" s="139"/>
      <c r="IRT115" s="139"/>
      <c r="IRU115" s="139"/>
      <c r="IRV115" s="139"/>
      <c r="IRW115" s="139"/>
      <c r="IRX115" s="139"/>
      <c r="IRY115" s="139"/>
      <c r="IRZ115" s="139"/>
      <c r="ISA115" s="139"/>
      <c r="ISB115" s="139"/>
      <c r="ISC115" s="139"/>
      <c r="ISD115" s="139"/>
      <c r="ISE115" s="139"/>
      <c r="ISF115" s="139"/>
      <c r="ISG115" s="139"/>
      <c r="ISH115" s="139"/>
      <c r="ISI115" s="139"/>
      <c r="ISJ115" s="139"/>
      <c r="ISK115" s="139"/>
      <c r="ISL115" s="139"/>
      <c r="ISM115" s="139"/>
      <c r="ISN115" s="139"/>
      <c r="ISO115" s="139"/>
      <c r="ISP115" s="139"/>
      <c r="ISQ115" s="139"/>
      <c r="ISR115" s="139"/>
      <c r="ISS115" s="139"/>
      <c r="IST115" s="139"/>
      <c r="ISU115" s="139"/>
      <c r="ISV115" s="139"/>
      <c r="ISW115" s="139"/>
      <c r="ISX115" s="139"/>
      <c r="ISY115" s="139"/>
      <c r="ISZ115" s="139"/>
      <c r="ITA115" s="139"/>
      <c r="ITB115" s="139"/>
      <c r="ITC115" s="139"/>
      <c r="ITD115" s="139"/>
      <c r="ITE115" s="139"/>
      <c r="ITF115" s="139"/>
      <c r="ITG115" s="139"/>
      <c r="ITH115" s="139"/>
      <c r="ITI115" s="139"/>
      <c r="ITJ115" s="139"/>
      <c r="ITK115" s="139"/>
      <c r="ITL115" s="139"/>
      <c r="ITM115" s="139"/>
      <c r="ITN115" s="139"/>
      <c r="ITO115" s="139"/>
      <c r="ITP115" s="139"/>
      <c r="ITQ115" s="139"/>
      <c r="ITR115" s="139"/>
      <c r="ITS115" s="139"/>
      <c r="ITT115" s="139"/>
      <c r="ITU115" s="139"/>
      <c r="ITV115" s="139"/>
      <c r="ITW115" s="139"/>
      <c r="ITX115" s="139"/>
      <c r="ITY115" s="139"/>
      <c r="ITZ115" s="139"/>
      <c r="IUA115" s="139"/>
      <c r="IUB115" s="139"/>
      <c r="IUC115" s="139"/>
      <c r="IUD115" s="139"/>
      <c r="IUE115" s="139"/>
      <c r="IUF115" s="139"/>
      <c r="IUG115" s="139"/>
      <c r="IUH115" s="139"/>
      <c r="IUI115" s="139"/>
      <c r="IUJ115" s="139"/>
      <c r="IUK115" s="139"/>
      <c r="IUL115" s="139"/>
      <c r="IUM115" s="139"/>
      <c r="IUN115" s="139"/>
      <c r="IUO115" s="139"/>
      <c r="IUP115" s="139"/>
      <c r="IUQ115" s="139"/>
      <c r="IUR115" s="139"/>
      <c r="IUS115" s="139"/>
      <c r="IUT115" s="139"/>
      <c r="IUU115" s="139"/>
      <c r="IUV115" s="139"/>
      <c r="IUW115" s="139"/>
      <c r="IUX115" s="139"/>
      <c r="IUY115" s="139"/>
      <c r="IUZ115" s="139"/>
      <c r="IVA115" s="139"/>
      <c r="IVB115" s="139"/>
      <c r="IVC115" s="139"/>
      <c r="IVD115" s="139"/>
      <c r="IVE115" s="139"/>
      <c r="IVF115" s="139"/>
      <c r="IVG115" s="139"/>
      <c r="IVH115" s="139"/>
      <c r="IVI115" s="139"/>
      <c r="IVJ115" s="139"/>
      <c r="IVK115" s="139"/>
      <c r="IVL115" s="139"/>
      <c r="IVM115" s="139"/>
      <c r="IVN115" s="139"/>
      <c r="IVO115" s="139"/>
      <c r="IVP115" s="139"/>
      <c r="IVQ115" s="139"/>
      <c r="IVR115" s="139"/>
      <c r="IVS115" s="139"/>
      <c r="IVT115" s="139"/>
      <c r="IVU115" s="139"/>
      <c r="IVV115" s="139"/>
      <c r="IVW115" s="139"/>
      <c r="IVX115" s="139"/>
      <c r="IVY115" s="139"/>
      <c r="IVZ115" s="139"/>
      <c r="IWA115" s="139"/>
      <c r="IWB115" s="139"/>
      <c r="IWC115" s="139"/>
      <c r="IWD115" s="139"/>
      <c r="IWE115" s="139"/>
      <c r="IWF115" s="139"/>
      <c r="IWG115" s="139"/>
      <c r="IWH115" s="139"/>
      <c r="IWI115" s="139"/>
      <c r="IWJ115" s="139"/>
      <c r="IWK115" s="139"/>
      <c r="IWL115" s="139"/>
      <c r="IWM115" s="139"/>
      <c r="IWN115" s="139"/>
      <c r="IWO115" s="139"/>
      <c r="IWP115" s="139"/>
      <c r="IWQ115" s="139"/>
      <c r="IWR115" s="139"/>
      <c r="IWS115" s="139"/>
      <c r="IWT115" s="139"/>
      <c r="IWU115" s="139"/>
      <c r="IWV115" s="139"/>
      <c r="IWW115" s="139"/>
      <c r="IWX115" s="139"/>
      <c r="IWY115" s="139"/>
      <c r="IWZ115" s="139"/>
      <c r="IXA115" s="139"/>
      <c r="IXB115" s="139"/>
      <c r="IXC115" s="139"/>
      <c r="IXD115" s="139"/>
      <c r="IXE115" s="139"/>
      <c r="IXF115" s="139"/>
      <c r="IXG115" s="139"/>
      <c r="IXH115" s="139"/>
      <c r="IXI115" s="139"/>
      <c r="IXJ115" s="139"/>
      <c r="IXK115" s="139"/>
      <c r="IXL115" s="139"/>
      <c r="IXM115" s="139"/>
      <c r="IXN115" s="139"/>
      <c r="IXO115" s="139"/>
      <c r="IXP115" s="139"/>
      <c r="IXQ115" s="139"/>
      <c r="IXR115" s="139"/>
      <c r="IXS115" s="139"/>
      <c r="IXT115" s="139"/>
      <c r="IXU115" s="139"/>
      <c r="IXV115" s="139"/>
      <c r="IXW115" s="139"/>
      <c r="IXX115" s="139"/>
      <c r="IXY115" s="139"/>
      <c r="IXZ115" s="139"/>
      <c r="IYA115" s="139"/>
      <c r="IYB115" s="139"/>
      <c r="IYC115" s="139"/>
      <c r="IYD115" s="139"/>
      <c r="IYE115" s="139"/>
      <c r="IYF115" s="139"/>
      <c r="IYG115" s="139"/>
      <c r="IYH115" s="139"/>
      <c r="IYI115" s="139"/>
      <c r="IYJ115" s="139"/>
      <c r="IYK115" s="139"/>
      <c r="IYL115" s="139"/>
      <c r="IYM115" s="139"/>
      <c r="IYN115" s="139"/>
      <c r="IYO115" s="139"/>
      <c r="IYP115" s="139"/>
      <c r="IYQ115" s="139"/>
      <c r="IYR115" s="139"/>
      <c r="IYS115" s="139"/>
      <c r="IYT115" s="139"/>
      <c r="IYU115" s="139"/>
      <c r="IYV115" s="139"/>
      <c r="IYW115" s="139"/>
      <c r="IYX115" s="139"/>
      <c r="IYY115" s="139"/>
      <c r="IYZ115" s="139"/>
      <c r="IZA115" s="139"/>
      <c r="IZB115" s="139"/>
      <c r="IZC115" s="139"/>
      <c r="IZD115" s="139"/>
      <c r="IZE115" s="139"/>
      <c r="IZF115" s="139"/>
      <c r="IZG115" s="139"/>
      <c r="IZH115" s="139"/>
      <c r="IZI115" s="139"/>
      <c r="IZJ115" s="139"/>
      <c r="IZK115" s="139"/>
      <c r="IZL115" s="139"/>
      <c r="IZM115" s="139"/>
      <c r="IZN115" s="139"/>
      <c r="IZO115" s="139"/>
      <c r="IZP115" s="139"/>
      <c r="IZQ115" s="139"/>
      <c r="IZR115" s="139"/>
      <c r="IZS115" s="139"/>
      <c r="IZT115" s="139"/>
      <c r="IZU115" s="139"/>
      <c r="IZV115" s="139"/>
      <c r="IZW115" s="139"/>
      <c r="IZX115" s="139"/>
      <c r="IZY115" s="139"/>
      <c r="IZZ115" s="139"/>
      <c r="JAA115" s="139"/>
      <c r="JAB115" s="139"/>
      <c r="JAC115" s="139"/>
      <c r="JAD115" s="139"/>
      <c r="JAE115" s="139"/>
      <c r="JAF115" s="139"/>
      <c r="JAG115" s="139"/>
      <c r="JAH115" s="139"/>
      <c r="JAI115" s="139"/>
      <c r="JAJ115" s="139"/>
      <c r="JAK115" s="139"/>
      <c r="JAL115" s="139"/>
      <c r="JAM115" s="139"/>
      <c r="JAN115" s="139"/>
      <c r="JAO115" s="139"/>
      <c r="JAP115" s="139"/>
      <c r="JAQ115" s="139"/>
      <c r="JAR115" s="139"/>
      <c r="JAS115" s="139"/>
      <c r="JAT115" s="139"/>
      <c r="JAU115" s="139"/>
      <c r="JAV115" s="139"/>
      <c r="JAW115" s="139"/>
      <c r="JAX115" s="139"/>
      <c r="JAY115" s="139"/>
      <c r="JAZ115" s="139"/>
      <c r="JBA115" s="139"/>
      <c r="JBB115" s="139"/>
      <c r="JBC115" s="139"/>
      <c r="JBD115" s="139"/>
      <c r="JBE115" s="139"/>
      <c r="JBF115" s="139"/>
      <c r="JBG115" s="139"/>
      <c r="JBH115" s="139"/>
      <c r="JBI115" s="139"/>
      <c r="JBJ115" s="139"/>
      <c r="JBK115" s="139"/>
      <c r="JBL115" s="139"/>
      <c r="JBM115" s="139"/>
      <c r="JBN115" s="139"/>
      <c r="JBO115" s="139"/>
      <c r="JBP115" s="139"/>
      <c r="JBQ115" s="139"/>
      <c r="JBR115" s="139"/>
      <c r="JBS115" s="139"/>
      <c r="JBT115" s="139"/>
      <c r="JBU115" s="139"/>
      <c r="JBV115" s="139"/>
      <c r="JBW115" s="139"/>
      <c r="JBX115" s="139"/>
      <c r="JBY115" s="139"/>
      <c r="JBZ115" s="139"/>
      <c r="JCA115" s="139"/>
      <c r="JCB115" s="139"/>
      <c r="JCC115" s="139"/>
      <c r="JCD115" s="139"/>
      <c r="JCE115" s="139"/>
      <c r="JCF115" s="139"/>
      <c r="JCG115" s="139"/>
      <c r="JCH115" s="139"/>
      <c r="JCI115" s="139"/>
      <c r="JCJ115" s="139"/>
      <c r="JCK115" s="139"/>
      <c r="JCL115" s="139"/>
      <c r="JCM115" s="139"/>
      <c r="JCN115" s="139"/>
      <c r="JCO115" s="139"/>
      <c r="JCP115" s="139"/>
      <c r="JCQ115" s="139"/>
      <c r="JCR115" s="139"/>
      <c r="JCS115" s="139"/>
      <c r="JCT115" s="139"/>
      <c r="JCU115" s="139"/>
      <c r="JCV115" s="139"/>
      <c r="JCW115" s="139"/>
      <c r="JCX115" s="139"/>
      <c r="JCY115" s="139"/>
      <c r="JCZ115" s="139"/>
      <c r="JDA115" s="139"/>
      <c r="JDB115" s="139"/>
      <c r="JDC115" s="139"/>
      <c r="JDD115" s="139"/>
      <c r="JDE115" s="139"/>
      <c r="JDF115" s="139"/>
      <c r="JDG115" s="139"/>
      <c r="JDH115" s="139"/>
      <c r="JDI115" s="139"/>
      <c r="JDJ115" s="139"/>
      <c r="JDK115" s="139"/>
      <c r="JDL115" s="139"/>
      <c r="JDM115" s="139"/>
      <c r="JDN115" s="139"/>
      <c r="JDO115" s="139"/>
      <c r="JDP115" s="139"/>
      <c r="JDQ115" s="139"/>
      <c r="JDR115" s="139"/>
      <c r="JDS115" s="139"/>
      <c r="JDT115" s="139"/>
      <c r="JDU115" s="139"/>
      <c r="JDV115" s="139"/>
      <c r="JDW115" s="139"/>
      <c r="JDX115" s="139"/>
      <c r="JDY115" s="139"/>
      <c r="JDZ115" s="139"/>
      <c r="JEA115" s="139"/>
      <c r="JEB115" s="139"/>
      <c r="JEC115" s="139"/>
      <c r="JED115" s="139"/>
      <c r="JEE115" s="139"/>
      <c r="JEF115" s="139"/>
      <c r="JEG115" s="139"/>
      <c r="JEH115" s="139"/>
      <c r="JEI115" s="139"/>
      <c r="JEJ115" s="139"/>
      <c r="JEK115" s="139"/>
      <c r="JEL115" s="139"/>
      <c r="JEM115" s="139"/>
      <c r="JEN115" s="139"/>
      <c r="JEO115" s="139"/>
      <c r="JEP115" s="139"/>
      <c r="JEQ115" s="139"/>
      <c r="JER115" s="139"/>
      <c r="JES115" s="139"/>
      <c r="JET115" s="139"/>
      <c r="JEU115" s="139"/>
      <c r="JEV115" s="139"/>
      <c r="JEW115" s="139"/>
      <c r="JEX115" s="139"/>
      <c r="JEY115" s="139"/>
      <c r="JEZ115" s="139"/>
      <c r="JFA115" s="139"/>
      <c r="JFB115" s="139"/>
      <c r="JFC115" s="139"/>
      <c r="JFD115" s="139"/>
      <c r="JFE115" s="139"/>
      <c r="JFF115" s="139"/>
      <c r="JFG115" s="139"/>
      <c r="JFH115" s="139"/>
      <c r="JFI115" s="139"/>
      <c r="JFJ115" s="139"/>
      <c r="JFK115" s="139"/>
      <c r="JFL115" s="139"/>
      <c r="JFM115" s="139"/>
      <c r="JFN115" s="139"/>
      <c r="JFO115" s="139"/>
      <c r="JFP115" s="139"/>
      <c r="JFQ115" s="139"/>
      <c r="JFR115" s="139"/>
      <c r="JFS115" s="139"/>
      <c r="JFT115" s="139"/>
      <c r="JFU115" s="139"/>
      <c r="JFV115" s="139"/>
      <c r="JFW115" s="139"/>
      <c r="JFX115" s="139"/>
      <c r="JFY115" s="139"/>
      <c r="JFZ115" s="139"/>
      <c r="JGA115" s="139"/>
      <c r="JGB115" s="139"/>
      <c r="JGC115" s="139"/>
      <c r="JGD115" s="139"/>
      <c r="JGE115" s="139"/>
      <c r="JGF115" s="139"/>
      <c r="JGG115" s="139"/>
      <c r="JGH115" s="139"/>
      <c r="JGI115" s="139"/>
      <c r="JGJ115" s="139"/>
      <c r="JGK115" s="139"/>
      <c r="JGL115" s="139"/>
      <c r="JGM115" s="139"/>
      <c r="JGN115" s="139"/>
      <c r="JGO115" s="139"/>
      <c r="JGP115" s="139"/>
      <c r="JGQ115" s="139"/>
      <c r="JGR115" s="139"/>
      <c r="JGS115" s="139"/>
      <c r="JGT115" s="139"/>
      <c r="JGU115" s="139"/>
      <c r="JGV115" s="139"/>
      <c r="JGW115" s="139"/>
      <c r="JGX115" s="139"/>
      <c r="JGY115" s="139"/>
      <c r="JGZ115" s="139"/>
      <c r="JHA115" s="139"/>
      <c r="JHB115" s="139"/>
      <c r="JHC115" s="139"/>
      <c r="JHD115" s="139"/>
      <c r="JHE115" s="139"/>
      <c r="JHF115" s="139"/>
      <c r="JHG115" s="139"/>
      <c r="JHH115" s="139"/>
      <c r="JHI115" s="139"/>
      <c r="JHJ115" s="139"/>
      <c r="JHK115" s="139"/>
      <c r="JHL115" s="139"/>
      <c r="JHM115" s="139"/>
      <c r="JHN115" s="139"/>
      <c r="JHO115" s="139"/>
      <c r="JHP115" s="139"/>
      <c r="JHQ115" s="139"/>
      <c r="JHR115" s="139"/>
      <c r="JHS115" s="139"/>
      <c r="JHT115" s="139"/>
      <c r="JHU115" s="139"/>
      <c r="JHV115" s="139"/>
      <c r="JHW115" s="139"/>
      <c r="JHX115" s="139"/>
      <c r="JHY115" s="139"/>
      <c r="JHZ115" s="139"/>
      <c r="JIA115" s="139"/>
      <c r="JIB115" s="139"/>
      <c r="JIC115" s="139"/>
      <c r="JID115" s="139"/>
      <c r="JIE115" s="139"/>
      <c r="JIF115" s="139"/>
      <c r="JIG115" s="139"/>
      <c r="JIH115" s="139"/>
      <c r="JII115" s="139"/>
      <c r="JIJ115" s="139"/>
      <c r="JIK115" s="139"/>
      <c r="JIL115" s="139"/>
      <c r="JIM115" s="139"/>
      <c r="JIN115" s="139"/>
      <c r="JIO115" s="139"/>
      <c r="JIP115" s="139"/>
      <c r="JIQ115" s="139"/>
      <c r="JIR115" s="139"/>
      <c r="JIS115" s="139"/>
      <c r="JIT115" s="139"/>
      <c r="JIU115" s="139"/>
      <c r="JIV115" s="139"/>
      <c r="JIW115" s="139"/>
      <c r="JIX115" s="139"/>
      <c r="JIY115" s="139"/>
      <c r="JIZ115" s="139"/>
      <c r="JJA115" s="139"/>
      <c r="JJB115" s="139"/>
      <c r="JJC115" s="139"/>
      <c r="JJD115" s="139"/>
      <c r="JJE115" s="139"/>
      <c r="JJF115" s="139"/>
      <c r="JJG115" s="139"/>
      <c r="JJH115" s="139"/>
      <c r="JJI115" s="139"/>
      <c r="JJJ115" s="139"/>
      <c r="JJK115" s="139"/>
      <c r="JJL115" s="139"/>
      <c r="JJM115" s="139"/>
      <c r="JJN115" s="139"/>
      <c r="JJO115" s="139"/>
      <c r="JJP115" s="139"/>
      <c r="JJQ115" s="139"/>
      <c r="JJR115" s="139"/>
      <c r="JJS115" s="139"/>
      <c r="JJT115" s="139"/>
      <c r="JJU115" s="139"/>
      <c r="JJV115" s="139"/>
      <c r="JJW115" s="139"/>
      <c r="JJX115" s="139"/>
      <c r="JJY115" s="139"/>
      <c r="JJZ115" s="139"/>
      <c r="JKA115" s="139"/>
      <c r="JKB115" s="139"/>
      <c r="JKC115" s="139"/>
      <c r="JKD115" s="139"/>
      <c r="JKE115" s="139"/>
      <c r="JKF115" s="139"/>
      <c r="JKG115" s="139"/>
      <c r="JKH115" s="139"/>
      <c r="JKI115" s="139"/>
      <c r="JKJ115" s="139"/>
      <c r="JKK115" s="139"/>
      <c r="JKL115" s="139"/>
      <c r="JKM115" s="139"/>
      <c r="JKN115" s="139"/>
      <c r="JKO115" s="139"/>
      <c r="JKP115" s="139"/>
      <c r="JKQ115" s="139"/>
      <c r="JKR115" s="139"/>
      <c r="JKS115" s="139"/>
      <c r="JKT115" s="139"/>
      <c r="JKU115" s="139"/>
      <c r="JKV115" s="139"/>
      <c r="JKW115" s="139"/>
      <c r="JKX115" s="139"/>
      <c r="JKY115" s="139"/>
      <c r="JKZ115" s="139"/>
      <c r="JLA115" s="139"/>
      <c r="JLB115" s="139"/>
      <c r="JLC115" s="139"/>
      <c r="JLD115" s="139"/>
      <c r="JLE115" s="139"/>
      <c r="JLF115" s="139"/>
      <c r="JLG115" s="139"/>
      <c r="JLH115" s="139"/>
      <c r="JLI115" s="139"/>
      <c r="JLJ115" s="139"/>
      <c r="JLK115" s="139"/>
      <c r="JLL115" s="139"/>
      <c r="JLM115" s="139"/>
      <c r="JLN115" s="139"/>
      <c r="JLO115" s="139"/>
      <c r="JLP115" s="139"/>
      <c r="JLQ115" s="139"/>
      <c r="JLR115" s="139"/>
      <c r="JLS115" s="139"/>
      <c r="JLT115" s="139"/>
      <c r="JLU115" s="139"/>
      <c r="JLV115" s="139"/>
      <c r="JLW115" s="139"/>
      <c r="JLX115" s="139"/>
      <c r="JLY115" s="139"/>
      <c r="JLZ115" s="139"/>
      <c r="JMA115" s="139"/>
      <c r="JMB115" s="139"/>
      <c r="JMC115" s="139"/>
      <c r="JMD115" s="139"/>
      <c r="JME115" s="139"/>
      <c r="JMF115" s="139"/>
      <c r="JMG115" s="139"/>
      <c r="JMH115" s="139"/>
      <c r="JMI115" s="139"/>
      <c r="JMJ115" s="139"/>
      <c r="JMK115" s="139"/>
      <c r="JML115" s="139"/>
      <c r="JMM115" s="139"/>
      <c r="JMN115" s="139"/>
      <c r="JMO115" s="139"/>
      <c r="JMP115" s="139"/>
      <c r="JMQ115" s="139"/>
      <c r="JMR115" s="139"/>
      <c r="JMS115" s="139"/>
      <c r="JMT115" s="139"/>
      <c r="JMU115" s="139"/>
      <c r="JMV115" s="139"/>
      <c r="JMW115" s="139"/>
      <c r="JMX115" s="139"/>
      <c r="JMY115" s="139"/>
      <c r="JMZ115" s="139"/>
      <c r="JNA115" s="139"/>
      <c r="JNB115" s="139"/>
      <c r="JNC115" s="139"/>
      <c r="JND115" s="139"/>
      <c r="JNE115" s="139"/>
      <c r="JNF115" s="139"/>
      <c r="JNG115" s="139"/>
      <c r="JNH115" s="139"/>
      <c r="JNI115" s="139"/>
      <c r="JNJ115" s="139"/>
      <c r="JNK115" s="139"/>
      <c r="JNL115" s="139"/>
      <c r="JNM115" s="139"/>
      <c r="JNN115" s="139"/>
      <c r="JNO115" s="139"/>
      <c r="JNP115" s="139"/>
      <c r="JNQ115" s="139"/>
      <c r="JNR115" s="139"/>
      <c r="JNS115" s="139"/>
      <c r="JNT115" s="139"/>
      <c r="JNU115" s="139"/>
      <c r="JNV115" s="139"/>
      <c r="JNW115" s="139"/>
      <c r="JNX115" s="139"/>
      <c r="JNY115" s="139"/>
      <c r="JNZ115" s="139"/>
      <c r="JOA115" s="139"/>
      <c r="JOB115" s="139"/>
      <c r="JOC115" s="139"/>
      <c r="JOD115" s="139"/>
      <c r="JOE115" s="139"/>
      <c r="JOF115" s="139"/>
      <c r="JOG115" s="139"/>
      <c r="JOH115" s="139"/>
      <c r="JOI115" s="139"/>
      <c r="JOJ115" s="139"/>
      <c r="JOK115" s="139"/>
      <c r="JOL115" s="139"/>
      <c r="JOM115" s="139"/>
      <c r="JON115" s="139"/>
      <c r="JOO115" s="139"/>
      <c r="JOP115" s="139"/>
      <c r="JOQ115" s="139"/>
      <c r="JOR115" s="139"/>
      <c r="JOS115" s="139"/>
      <c r="JOT115" s="139"/>
      <c r="JOU115" s="139"/>
      <c r="JOV115" s="139"/>
      <c r="JOW115" s="139"/>
      <c r="JOX115" s="139"/>
      <c r="JOY115" s="139"/>
      <c r="JOZ115" s="139"/>
      <c r="JPA115" s="139"/>
      <c r="JPB115" s="139"/>
      <c r="JPC115" s="139"/>
      <c r="JPD115" s="139"/>
      <c r="JPE115" s="139"/>
      <c r="JPF115" s="139"/>
      <c r="JPG115" s="139"/>
      <c r="JPH115" s="139"/>
      <c r="JPI115" s="139"/>
      <c r="JPJ115" s="139"/>
      <c r="JPK115" s="139"/>
      <c r="JPL115" s="139"/>
      <c r="JPM115" s="139"/>
      <c r="JPN115" s="139"/>
      <c r="JPO115" s="139"/>
      <c r="JPP115" s="139"/>
      <c r="JPQ115" s="139"/>
      <c r="JPR115" s="139"/>
      <c r="JPS115" s="139"/>
      <c r="JPT115" s="139"/>
      <c r="JPU115" s="139"/>
      <c r="JPV115" s="139"/>
      <c r="JPW115" s="139"/>
      <c r="JPX115" s="139"/>
      <c r="JPY115" s="139"/>
      <c r="JPZ115" s="139"/>
      <c r="JQA115" s="139"/>
      <c r="JQB115" s="139"/>
      <c r="JQC115" s="139"/>
      <c r="JQD115" s="139"/>
      <c r="JQE115" s="139"/>
      <c r="JQF115" s="139"/>
      <c r="JQG115" s="139"/>
      <c r="JQH115" s="139"/>
      <c r="JQI115" s="139"/>
      <c r="JQJ115" s="139"/>
      <c r="JQK115" s="139"/>
      <c r="JQL115" s="139"/>
      <c r="JQM115" s="139"/>
      <c r="JQN115" s="139"/>
      <c r="JQO115" s="139"/>
      <c r="JQP115" s="139"/>
      <c r="JQQ115" s="139"/>
      <c r="JQR115" s="139"/>
      <c r="JQS115" s="139"/>
      <c r="JQT115" s="139"/>
      <c r="JQU115" s="139"/>
      <c r="JQV115" s="139"/>
      <c r="JQW115" s="139"/>
      <c r="JQX115" s="139"/>
      <c r="JQY115" s="139"/>
      <c r="JQZ115" s="139"/>
      <c r="JRA115" s="139"/>
      <c r="JRB115" s="139"/>
      <c r="JRC115" s="139"/>
      <c r="JRD115" s="139"/>
      <c r="JRE115" s="139"/>
      <c r="JRF115" s="139"/>
      <c r="JRG115" s="139"/>
      <c r="JRH115" s="139"/>
      <c r="JRI115" s="139"/>
      <c r="JRJ115" s="139"/>
      <c r="JRK115" s="139"/>
      <c r="JRL115" s="139"/>
      <c r="JRM115" s="139"/>
      <c r="JRN115" s="139"/>
      <c r="JRO115" s="139"/>
      <c r="JRP115" s="139"/>
      <c r="JRQ115" s="139"/>
      <c r="JRR115" s="139"/>
      <c r="JRS115" s="139"/>
      <c r="JRT115" s="139"/>
      <c r="JRU115" s="139"/>
      <c r="JRV115" s="139"/>
      <c r="JRW115" s="139"/>
      <c r="JRX115" s="139"/>
      <c r="JRY115" s="139"/>
      <c r="JRZ115" s="139"/>
      <c r="JSA115" s="139"/>
      <c r="JSB115" s="139"/>
      <c r="JSC115" s="139"/>
      <c r="JSD115" s="139"/>
      <c r="JSE115" s="139"/>
      <c r="JSF115" s="139"/>
      <c r="JSG115" s="139"/>
      <c r="JSH115" s="139"/>
      <c r="JSI115" s="139"/>
      <c r="JSJ115" s="139"/>
      <c r="JSK115" s="139"/>
      <c r="JSL115" s="139"/>
      <c r="JSM115" s="139"/>
      <c r="JSN115" s="139"/>
      <c r="JSO115" s="139"/>
      <c r="JSP115" s="139"/>
      <c r="JSQ115" s="139"/>
      <c r="JSR115" s="139"/>
      <c r="JSS115" s="139"/>
      <c r="JST115" s="139"/>
      <c r="JSU115" s="139"/>
      <c r="JSV115" s="139"/>
      <c r="JSW115" s="139"/>
      <c r="JSX115" s="139"/>
      <c r="JSY115" s="139"/>
      <c r="JSZ115" s="139"/>
      <c r="JTA115" s="139"/>
      <c r="JTB115" s="139"/>
      <c r="JTC115" s="139"/>
      <c r="JTD115" s="139"/>
      <c r="JTE115" s="139"/>
      <c r="JTF115" s="139"/>
      <c r="JTG115" s="139"/>
      <c r="JTH115" s="139"/>
      <c r="JTI115" s="139"/>
      <c r="JTJ115" s="139"/>
      <c r="JTK115" s="139"/>
      <c r="JTL115" s="139"/>
      <c r="JTM115" s="139"/>
      <c r="JTN115" s="139"/>
      <c r="JTO115" s="139"/>
      <c r="JTP115" s="139"/>
      <c r="JTQ115" s="139"/>
      <c r="JTR115" s="139"/>
      <c r="JTS115" s="139"/>
      <c r="JTT115" s="139"/>
      <c r="JTU115" s="139"/>
      <c r="JTV115" s="139"/>
      <c r="JTW115" s="139"/>
      <c r="JTX115" s="139"/>
      <c r="JTY115" s="139"/>
      <c r="JTZ115" s="139"/>
      <c r="JUA115" s="139"/>
      <c r="JUB115" s="139"/>
      <c r="JUC115" s="139"/>
      <c r="JUD115" s="139"/>
      <c r="JUE115" s="139"/>
      <c r="JUF115" s="139"/>
      <c r="JUG115" s="139"/>
      <c r="JUH115" s="139"/>
      <c r="JUI115" s="139"/>
      <c r="JUJ115" s="139"/>
      <c r="JUK115" s="139"/>
      <c r="JUL115" s="139"/>
      <c r="JUM115" s="139"/>
      <c r="JUN115" s="139"/>
      <c r="JUO115" s="139"/>
      <c r="JUP115" s="139"/>
      <c r="JUQ115" s="139"/>
      <c r="JUR115" s="139"/>
      <c r="JUS115" s="139"/>
      <c r="JUT115" s="139"/>
      <c r="JUU115" s="139"/>
      <c r="JUV115" s="139"/>
      <c r="JUW115" s="139"/>
      <c r="JUX115" s="139"/>
      <c r="JUY115" s="139"/>
      <c r="JUZ115" s="139"/>
      <c r="JVA115" s="139"/>
      <c r="JVB115" s="139"/>
      <c r="JVC115" s="139"/>
      <c r="JVD115" s="139"/>
      <c r="JVE115" s="139"/>
      <c r="JVF115" s="139"/>
      <c r="JVG115" s="139"/>
      <c r="JVH115" s="139"/>
      <c r="JVI115" s="139"/>
      <c r="JVJ115" s="139"/>
      <c r="JVK115" s="139"/>
      <c r="JVL115" s="139"/>
      <c r="JVM115" s="139"/>
      <c r="JVN115" s="139"/>
      <c r="JVO115" s="139"/>
      <c r="JVP115" s="139"/>
      <c r="JVQ115" s="139"/>
      <c r="JVR115" s="139"/>
      <c r="JVS115" s="139"/>
      <c r="JVT115" s="139"/>
      <c r="JVU115" s="139"/>
      <c r="JVV115" s="139"/>
      <c r="JVW115" s="139"/>
      <c r="JVX115" s="139"/>
      <c r="JVY115" s="139"/>
      <c r="JVZ115" s="139"/>
      <c r="JWA115" s="139"/>
      <c r="JWB115" s="139"/>
      <c r="JWC115" s="139"/>
      <c r="JWD115" s="139"/>
      <c r="JWE115" s="139"/>
      <c r="JWF115" s="139"/>
      <c r="JWG115" s="139"/>
      <c r="JWH115" s="139"/>
      <c r="JWI115" s="139"/>
      <c r="JWJ115" s="139"/>
      <c r="JWK115" s="139"/>
      <c r="JWL115" s="139"/>
      <c r="JWM115" s="139"/>
      <c r="JWN115" s="139"/>
      <c r="JWO115" s="139"/>
      <c r="JWP115" s="139"/>
      <c r="JWQ115" s="139"/>
      <c r="JWR115" s="139"/>
      <c r="JWS115" s="139"/>
      <c r="JWT115" s="139"/>
      <c r="JWU115" s="139"/>
      <c r="JWV115" s="139"/>
      <c r="JWW115" s="139"/>
      <c r="JWX115" s="139"/>
      <c r="JWY115" s="139"/>
      <c r="JWZ115" s="139"/>
      <c r="JXA115" s="139"/>
      <c r="JXB115" s="139"/>
      <c r="JXC115" s="139"/>
      <c r="JXD115" s="139"/>
      <c r="JXE115" s="139"/>
      <c r="JXF115" s="139"/>
      <c r="JXG115" s="139"/>
      <c r="JXH115" s="139"/>
      <c r="JXI115" s="139"/>
      <c r="JXJ115" s="139"/>
      <c r="JXK115" s="139"/>
      <c r="JXL115" s="139"/>
      <c r="JXM115" s="139"/>
      <c r="JXN115" s="139"/>
      <c r="JXO115" s="139"/>
      <c r="JXP115" s="139"/>
      <c r="JXQ115" s="139"/>
      <c r="JXR115" s="139"/>
      <c r="JXS115" s="139"/>
      <c r="JXT115" s="139"/>
      <c r="JXU115" s="139"/>
      <c r="JXV115" s="139"/>
      <c r="JXW115" s="139"/>
      <c r="JXX115" s="139"/>
      <c r="JXY115" s="139"/>
      <c r="JXZ115" s="139"/>
      <c r="JYA115" s="139"/>
      <c r="JYB115" s="139"/>
      <c r="JYC115" s="139"/>
      <c r="JYD115" s="139"/>
      <c r="JYE115" s="139"/>
      <c r="JYF115" s="139"/>
      <c r="JYG115" s="139"/>
      <c r="JYH115" s="139"/>
      <c r="JYI115" s="139"/>
      <c r="JYJ115" s="139"/>
      <c r="JYK115" s="139"/>
      <c r="JYL115" s="139"/>
      <c r="JYM115" s="139"/>
      <c r="JYN115" s="139"/>
      <c r="JYO115" s="139"/>
      <c r="JYP115" s="139"/>
      <c r="JYQ115" s="139"/>
      <c r="JYR115" s="139"/>
      <c r="JYS115" s="139"/>
      <c r="JYT115" s="139"/>
      <c r="JYU115" s="139"/>
      <c r="JYV115" s="139"/>
      <c r="JYW115" s="139"/>
      <c r="JYX115" s="139"/>
      <c r="JYY115" s="139"/>
      <c r="JYZ115" s="139"/>
      <c r="JZA115" s="139"/>
      <c r="JZB115" s="139"/>
      <c r="JZC115" s="139"/>
      <c r="JZD115" s="139"/>
      <c r="JZE115" s="139"/>
      <c r="JZF115" s="139"/>
      <c r="JZG115" s="139"/>
      <c r="JZH115" s="139"/>
      <c r="JZI115" s="139"/>
      <c r="JZJ115" s="139"/>
      <c r="JZK115" s="139"/>
      <c r="JZL115" s="139"/>
      <c r="JZM115" s="139"/>
      <c r="JZN115" s="139"/>
      <c r="JZO115" s="139"/>
      <c r="JZP115" s="139"/>
      <c r="JZQ115" s="139"/>
      <c r="JZR115" s="139"/>
      <c r="JZS115" s="139"/>
      <c r="JZT115" s="139"/>
      <c r="JZU115" s="139"/>
      <c r="JZV115" s="139"/>
      <c r="JZW115" s="139"/>
      <c r="JZX115" s="139"/>
      <c r="JZY115" s="139"/>
      <c r="JZZ115" s="139"/>
      <c r="KAA115" s="139"/>
      <c r="KAB115" s="139"/>
      <c r="KAC115" s="139"/>
      <c r="KAD115" s="139"/>
      <c r="KAE115" s="139"/>
      <c r="KAF115" s="139"/>
      <c r="KAG115" s="139"/>
      <c r="KAH115" s="139"/>
      <c r="KAI115" s="139"/>
      <c r="KAJ115" s="139"/>
      <c r="KAK115" s="139"/>
      <c r="KAL115" s="139"/>
      <c r="KAM115" s="139"/>
      <c r="KAN115" s="139"/>
      <c r="KAO115" s="139"/>
      <c r="KAP115" s="139"/>
      <c r="KAQ115" s="139"/>
      <c r="KAR115" s="139"/>
      <c r="KAS115" s="139"/>
      <c r="KAT115" s="139"/>
      <c r="KAU115" s="139"/>
      <c r="KAV115" s="139"/>
      <c r="KAW115" s="139"/>
      <c r="KAX115" s="139"/>
      <c r="KAY115" s="139"/>
      <c r="KAZ115" s="139"/>
      <c r="KBA115" s="139"/>
      <c r="KBB115" s="139"/>
      <c r="KBC115" s="139"/>
      <c r="KBD115" s="139"/>
      <c r="KBE115" s="139"/>
      <c r="KBF115" s="139"/>
      <c r="KBG115" s="139"/>
      <c r="KBH115" s="139"/>
      <c r="KBI115" s="139"/>
      <c r="KBJ115" s="139"/>
      <c r="KBK115" s="139"/>
      <c r="KBL115" s="139"/>
      <c r="KBM115" s="139"/>
      <c r="KBN115" s="139"/>
      <c r="KBO115" s="139"/>
      <c r="KBP115" s="139"/>
      <c r="KBQ115" s="139"/>
      <c r="KBR115" s="139"/>
      <c r="KBS115" s="139"/>
      <c r="KBT115" s="139"/>
      <c r="KBU115" s="139"/>
      <c r="KBV115" s="139"/>
      <c r="KBW115" s="139"/>
      <c r="KBX115" s="139"/>
      <c r="KBY115" s="139"/>
      <c r="KBZ115" s="139"/>
      <c r="KCA115" s="139"/>
      <c r="KCB115" s="139"/>
      <c r="KCC115" s="139"/>
      <c r="KCD115" s="139"/>
      <c r="KCE115" s="139"/>
      <c r="KCF115" s="139"/>
      <c r="KCG115" s="139"/>
      <c r="KCH115" s="139"/>
      <c r="KCI115" s="139"/>
      <c r="KCJ115" s="139"/>
      <c r="KCK115" s="139"/>
      <c r="KCL115" s="139"/>
      <c r="KCM115" s="139"/>
      <c r="KCN115" s="139"/>
      <c r="KCO115" s="139"/>
      <c r="KCP115" s="139"/>
      <c r="KCQ115" s="139"/>
      <c r="KCR115" s="139"/>
      <c r="KCS115" s="139"/>
      <c r="KCT115" s="139"/>
      <c r="KCU115" s="139"/>
      <c r="KCV115" s="139"/>
      <c r="KCW115" s="139"/>
      <c r="KCX115" s="139"/>
      <c r="KCY115" s="139"/>
      <c r="KCZ115" s="139"/>
      <c r="KDA115" s="139"/>
      <c r="KDB115" s="139"/>
      <c r="KDC115" s="139"/>
      <c r="KDD115" s="139"/>
      <c r="KDE115" s="139"/>
      <c r="KDF115" s="139"/>
      <c r="KDG115" s="139"/>
      <c r="KDH115" s="139"/>
      <c r="KDI115" s="139"/>
      <c r="KDJ115" s="139"/>
      <c r="KDK115" s="139"/>
      <c r="KDL115" s="139"/>
      <c r="KDM115" s="139"/>
      <c r="KDN115" s="139"/>
      <c r="KDO115" s="139"/>
      <c r="KDP115" s="139"/>
      <c r="KDQ115" s="139"/>
      <c r="KDR115" s="139"/>
      <c r="KDS115" s="139"/>
      <c r="KDT115" s="139"/>
      <c r="KDU115" s="139"/>
      <c r="KDV115" s="139"/>
      <c r="KDW115" s="139"/>
      <c r="KDX115" s="139"/>
      <c r="KDY115" s="139"/>
      <c r="KDZ115" s="139"/>
      <c r="KEA115" s="139"/>
      <c r="KEB115" s="139"/>
      <c r="KEC115" s="139"/>
      <c r="KED115" s="139"/>
      <c r="KEE115" s="139"/>
      <c r="KEF115" s="139"/>
      <c r="KEG115" s="139"/>
      <c r="KEH115" s="139"/>
      <c r="KEI115" s="139"/>
      <c r="KEJ115" s="139"/>
      <c r="KEK115" s="139"/>
      <c r="KEL115" s="139"/>
      <c r="KEM115" s="139"/>
      <c r="KEN115" s="139"/>
      <c r="KEO115" s="139"/>
      <c r="KEP115" s="139"/>
      <c r="KEQ115" s="139"/>
      <c r="KER115" s="139"/>
      <c r="KES115" s="139"/>
      <c r="KET115" s="139"/>
      <c r="KEU115" s="139"/>
      <c r="KEV115" s="139"/>
      <c r="KEW115" s="139"/>
      <c r="KEX115" s="139"/>
      <c r="KEY115" s="139"/>
      <c r="KEZ115" s="139"/>
      <c r="KFA115" s="139"/>
      <c r="KFB115" s="139"/>
      <c r="KFC115" s="139"/>
      <c r="KFD115" s="139"/>
      <c r="KFE115" s="139"/>
      <c r="KFF115" s="139"/>
      <c r="KFG115" s="139"/>
      <c r="KFH115" s="139"/>
      <c r="KFI115" s="139"/>
      <c r="KFJ115" s="139"/>
      <c r="KFK115" s="139"/>
      <c r="KFL115" s="139"/>
      <c r="KFM115" s="139"/>
      <c r="KFN115" s="139"/>
      <c r="KFO115" s="139"/>
      <c r="KFP115" s="139"/>
      <c r="KFQ115" s="139"/>
      <c r="KFR115" s="139"/>
      <c r="KFS115" s="139"/>
      <c r="KFT115" s="139"/>
      <c r="KFU115" s="139"/>
      <c r="KFV115" s="139"/>
      <c r="KFW115" s="139"/>
      <c r="KFX115" s="139"/>
      <c r="KFY115" s="139"/>
      <c r="KFZ115" s="139"/>
      <c r="KGA115" s="139"/>
      <c r="KGB115" s="139"/>
      <c r="KGC115" s="139"/>
      <c r="KGD115" s="139"/>
      <c r="KGE115" s="139"/>
      <c r="KGF115" s="139"/>
      <c r="KGG115" s="139"/>
      <c r="KGH115" s="139"/>
      <c r="KGI115" s="139"/>
      <c r="KGJ115" s="139"/>
      <c r="KGK115" s="139"/>
      <c r="KGL115" s="139"/>
      <c r="KGM115" s="139"/>
      <c r="KGN115" s="139"/>
      <c r="KGO115" s="139"/>
      <c r="KGP115" s="139"/>
      <c r="KGQ115" s="139"/>
      <c r="KGR115" s="139"/>
      <c r="KGS115" s="139"/>
      <c r="KGT115" s="139"/>
      <c r="KGU115" s="139"/>
      <c r="KGV115" s="139"/>
      <c r="KGW115" s="139"/>
      <c r="KGX115" s="139"/>
      <c r="KGY115" s="139"/>
      <c r="KGZ115" s="139"/>
      <c r="KHA115" s="139"/>
      <c r="KHB115" s="139"/>
      <c r="KHC115" s="139"/>
      <c r="KHD115" s="139"/>
      <c r="KHE115" s="139"/>
      <c r="KHF115" s="139"/>
      <c r="KHG115" s="139"/>
      <c r="KHH115" s="139"/>
      <c r="KHI115" s="139"/>
      <c r="KHJ115" s="139"/>
      <c r="KHK115" s="139"/>
      <c r="KHL115" s="139"/>
      <c r="KHM115" s="139"/>
      <c r="KHN115" s="139"/>
      <c r="KHO115" s="139"/>
      <c r="KHP115" s="139"/>
      <c r="KHQ115" s="139"/>
      <c r="KHR115" s="139"/>
      <c r="KHS115" s="139"/>
      <c r="KHT115" s="139"/>
      <c r="KHU115" s="139"/>
      <c r="KHV115" s="139"/>
      <c r="KHW115" s="139"/>
      <c r="KHX115" s="139"/>
      <c r="KHY115" s="139"/>
      <c r="KHZ115" s="139"/>
      <c r="KIA115" s="139"/>
      <c r="KIB115" s="139"/>
      <c r="KIC115" s="139"/>
      <c r="KID115" s="139"/>
      <c r="KIE115" s="139"/>
      <c r="KIF115" s="139"/>
      <c r="KIG115" s="139"/>
      <c r="KIH115" s="139"/>
      <c r="KII115" s="139"/>
      <c r="KIJ115" s="139"/>
      <c r="KIK115" s="139"/>
      <c r="KIL115" s="139"/>
      <c r="KIM115" s="139"/>
      <c r="KIN115" s="139"/>
      <c r="KIO115" s="139"/>
      <c r="KIP115" s="139"/>
      <c r="KIQ115" s="139"/>
      <c r="KIR115" s="139"/>
      <c r="KIS115" s="139"/>
      <c r="KIT115" s="139"/>
      <c r="KIU115" s="139"/>
      <c r="KIV115" s="139"/>
      <c r="KIW115" s="139"/>
      <c r="KIX115" s="139"/>
      <c r="KIY115" s="139"/>
      <c r="KIZ115" s="139"/>
      <c r="KJA115" s="139"/>
      <c r="KJB115" s="139"/>
      <c r="KJC115" s="139"/>
      <c r="KJD115" s="139"/>
      <c r="KJE115" s="139"/>
      <c r="KJF115" s="139"/>
      <c r="KJG115" s="139"/>
      <c r="KJH115" s="139"/>
      <c r="KJI115" s="139"/>
      <c r="KJJ115" s="139"/>
      <c r="KJK115" s="139"/>
      <c r="KJL115" s="139"/>
      <c r="KJM115" s="139"/>
      <c r="KJN115" s="139"/>
      <c r="KJO115" s="139"/>
      <c r="KJP115" s="139"/>
      <c r="KJQ115" s="139"/>
      <c r="KJR115" s="139"/>
      <c r="KJS115" s="139"/>
      <c r="KJT115" s="139"/>
      <c r="KJU115" s="139"/>
      <c r="KJV115" s="139"/>
      <c r="KJW115" s="139"/>
      <c r="KJX115" s="139"/>
      <c r="KJY115" s="139"/>
      <c r="KJZ115" s="139"/>
      <c r="KKA115" s="139"/>
      <c r="KKB115" s="139"/>
      <c r="KKC115" s="139"/>
      <c r="KKD115" s="139"/>
      <c r="KKE115" s="139"/>
      <c r="KKF115" s="139"/>
      <c r="KKG115" s="139"/>
      <c r="KKH115" s="139"/>
      <c r="KKI115" s="139"/>
      <c r="KKJ115" s="139"/>
      <c r="KKK115" s="139"/>
      <c r="KKL115" s="139"/>
      <c r="KKM115" s="139"/>
      <c r="KKN115" s="139"/>
      <c r="KKO115" s="139"/>
      <c r="KKP115" s="139"/>
      <c r="KKQ115" s="139"/>
      <c r="KKR115" s="139"/>
      <c r="KKS115" s="139"/>
      <c r="KKT115" s="139"/>
      <c r="KKU115" s="139"/>
      <c r="KKV115" s="139"/>
      <c r="KKW115" s="139"/>
      <c r="KKX115" s="139"/>
      <c r="KKY115" s="139"/>
      <c r="KKZ115" s="139"/>
      <c r="KLA115" s="139"/>
      <c r="KLB115" s="139"/>
      <c r="KLC115" s="139"/>
      <c r="KLD115" s="139"/>
      <c r="KLE115" s="139"/>
      <c r="KLF115" s="139"/>
      <c r="KLG115" s="139"/>
      <c r="KLH115" s="139"/>
      <c r="KLI115" s="139"/>
      <c r="KLJ115" s="139"/>
      <c r="KLK115" s="139"/>
      <c r="KLL115" s="139"/>
      <c r="KLM115" s="139"/>
      <c r="KLN115" s="139"/>
      <c r="KLO115" s="139"/>
      <c r="KLP115" s="139"/>
      <c r="KLQ115" s="139"/>
      <c r="KLR115" s="139"/>
      <c r="KLS115" s="139"/>
      <c r="KLT115" s="139"/>
      <c r="KLU115" s="139"/>
      <c r="KLV115" s="139"/>
      <c r="KLW115" s="139"/>
      <c r="KLX115" s="139"/>
      <c r="KLY115" s="139"/>
      <c r="KLZ115" s="139"/>
      <c r="KMA115" s="139"/>
      <c r="KMB115" s="139"/>
      <c r="KMC115" s="139"/>
      <c r="KMD115" s="139"/>
      <c r="KME115" s="139"/>
      <c r="KMF115" s="139"/>
      <c r="KMG115" s="139"/>
      <c r="KMH115" s="139"/>
      <c r="KMI115" s="139"/>
      <c r="KMJ115" s="139"/>
      <c r="KMK115" s="139"/>
      <c r="KML115" s="139"/>
      <c r="KMM115" s="139"/>
      <c r="KMN115" s="139"/>
      <c r="KMO115" s="139"/>
      <c r="KMP115" s="139"/>
      <c r="KMQ115" s="139"/>
      <c r="KMR115" s="139"/>
      <c r="KMS115" s="139"/>
      <c r="KMT115" s="139"/>
      <c r="KMU115" s="139"/>
      <c r="KMV115" s="139"/>
      <c r="KMW115" s="139"/>
      <c r="KMX115" s="139"/>
      <c r="KMY115" s="139"/>
      <c r="KMZ115" s="139"/>
      <c r="KNA115" s="139"/>
      <c r="KNB115" s="139"/>
      <c r="KNC115" s="139"/>
      <c r="KND115" s="139"/>
      <c r="KNE115" s="139"/>
      <c r="KNF115" s="139"/>
      <c r="KNG115" s="139"/>
      <c r="KNH115" s="139"/>
      <c r="KNI115" s="139"/>
      <c r="KNJ115" s="139"/>
      <c r="KNK115" s="139"/>
      <c r="KNL115" s="139"/>
      <c r="KNM115" s="139"/>
      <c r="KNN115" s="139"/>
      <c r="KNO115" s="139"/>
      <c r="KNP115" s="139"/>
      <c r="KNQ115" s="139"/>
      <c r="KNR115" s="139"/>
      <c r="KNS115" s="139"/>
      <c r="KNT115" s="139"/>
      <c r="KNU115" s="139"/>
      <c r="KNV115" s="139"/>
      <c r="KNW115" s="139"/>
      <c r="KNX115" s="139"/>
      <c r="KNY115" s="139"/>
      <c r="KNZ115" s="139"/>
      <c r="KOA115" s="139"/>
      <c r="KOB115" s="139"/>
      <c r="KOC115" s="139"/>
      <c r="KOD115" s="139"/>
      <c r="KOE115" s="139"/>
      <c r="KOF115" s="139"/>
      <c r="KOG115" s="139"/>
      <c r="KOH115" s="139"/>
      <c r="KOI115" s="139"/>
      <c r="KOJ115" s="139"/>
      <c r="KOK115" s="139"/>
      <c r="KOL115" s="139"/>
      <c r="KOM115" s="139"/>
      <c r="KON115" s="139"/>
      <c r="KOO115" s="139"/>
      <c r="KOP115" s="139"/>
      <c r="KOQ115" s="139"/>
      <c r="KOR115" s="139"/>
      <c r="KOS115" s="139"/>
      <c r="KOT115" s="139"/>
      <c r="KOU115" s="139"/>
      <c r="KOV115" s="139"/>
      <c r="KOW115" s="139"/>
      <c r="KOX115" s="139"/>
      <c r="KOY115" s="139"/>
      <c r="KOZ115" s="139"/>
      <c r="KPA115" s="139"/>
      <c r="KPB115" s="139"/>
      <c r="KPC115" s="139"/>
      <c r="KPD115" s="139"/>
      <c r="KPE115" s="139"/>
      <c r="KPF115" s="139"/>
      <c r="KPG115" s="139"/>
      <c r="KPH115" s="139"/>
      <c r="KPI115" s="139"/>
      <c r="KPJ115" s="139"/>
      <c r="KPK115" s="139"/>
      <c r="KPL115" s="139"/>
      <c r="KPM115" s="139"/>
      <c r="KPN115" s="139"/>
      <c r="KPO115" s="139"/>
      <c r="KPP115" s="139"/>
      <c r="KPQ115" s="139"/>
      <c r="KPR115" s="139"/>
      <c r="KPS115" s="139"/>
      <c r="KPT115" s="139"/>
      <c r="KPU115" s="139"/>
      <c r="KPV115" s="139"/>
      <c r="KPW115" s="139"/>
      <c r="KPX115" s="139"/>
      <c r="KPY115" s="139"/>
      <c r="KPZ115" s="139"/>
      <c r="KQA115" s="139"/>
      <c r="KQB115" s="139"/>
      <c r="KQC115" s="139"/>
      <c r="KQD115" s="139"/>
      <c r="KQE115" s="139"/>
      <c r="KQF115" s="139"/>
      <c r="KQG115" s="139"/>
      <c r="KQH115" s="139"/>
      <c r="KQI115" s="139"/>
      <c r="KQJ115" s="139"/>
      <c r="KQK115" s="139"/>
      <c r="KQL115" s="139"/>
      <c r="KQM115" s="139"/>
      <c r="KQN115" s="139"/>
      <c r="KQO115" s="139"/>
      <c r="KQP115" s="139"/>
      <c r="KQQ115" s="139"/>
      <c r="KQR115" s="139"/>
      <c r="KQS115" s="139"/>
      <c r="KQT115" s="139"/>
      <c r="KQU115" s="139"/>
      <c r="KQV115" s="139"/>
      <c r="KQW115" s="139"/>
      <c r="KQX115" s="139"/>
      <c r="KQY115" s="139"/>
      <c r="KQZ115" s="139"/>
      <c r="KRA115" s="139"/>
      <c r="KRB115" s="139"/>
      <c r="KRC115" s="139"/>
      <c r="KRD115" s="139"/>
      <c r="KRE115" s="139"/>
      <c r="KRF115" s="139"/>
      <c r="KRG115" s="139"/>
      <c r="KRH115" s="139"/>
      <c r="KRI115" s="139"/>
      <c r="KRJ115" s="139"/>
      <c r="KRK115" s="139"/>
      <c r="KRL115" s="139"/>
      <c r="KRM115" s="139"/>
      <c r="KRN115" s="139"/>
      <c r="KRO115" s="139"/>
      <c r="KRP115" s="139"/>
      <c r="KRQ115" s="139"/>
      <c r="KRR115" s="139"/>
      <c r="KRS115" s="139"/>
      <c r="KRT115" s="139"/>
      <c r="KRU115" s="139"/>
      <c r="KRV115" s="139"/>
      <c r="KRW115" s="139"/>
      <c r="KRX115" s="139"/>
      <c r="KRY115" s="139"/>
      <c r="KRZ115" s="139"/>
      <c r="KSA115" s="139"/>
      <c r="KSB115" s="139"/>
      <c r="KSC115" s="139"/>
      <c r="KSD115" s="139"/>
      <c r="KSE115" s="139"/>
      <c r="KSF115" s="139"/>
      <c r="KSG115" s="139"/>
      <c r="KSH115" s="139"/>
      <c r="KSI115" s="139"/>
      <c r="KSJ115" s="139"/>
      <c r="KSK115" s="139"/>
      <c r="KSL115" s="139"/>
      <c r="KSM115" s="139"/>
      <c r="KSN115" s="139"/>
      <c r="KSO115" s="139"/>
      <c r="KSP115" s="139"/>
      <c r="KSQ115" s="139"/>
      <c r="KSR115" s="139"/>
      <c r="KSS115" s="139"/>
      <c r="KST115" s="139"/>
      <c r="KSU115" s="139"/>
      <c r="KSV115" s="139"/>
      <c r="KSW115" s="139"/>
      <c r="KSX115" s="139"/>
      <c r="KSY115" s="139"/>
      <c r="KSZ115" s="139"/>
      <c r="KTA115" s="139"/>
      <c r="KTB115" s="139"/>
      <c r="KTC115" s="139"/>
      <c r="KTD115" s="139"/>
      <c r="KTE115" s="139"/>
      <c r="KTF115" s="139"/>
      <c r="KTG115" s="139"/>
      <c r="KTH115" s="139"/>
      <c r="KTI115" s="139"/>
      <c r="KTJ115" s="139"/>
      <c r="KTK115" s="139"/>
      <c r="KTL115" s="139"/>
      <c r="KTM115" s="139"/>
      <c r="KTN115" s="139"/>
      <c r="KTO115" s="139"/>
      <c r="KTP115" s="139"/>
      <c r="KTQ115" s="139"/>
      <c r="KTR115" s="139"/>
      <c r="KTS115" s="139"/>
      <c r="KTT115" s="139"/>
      <c r="KTU115" s="139"/>
      <c r="KTV115" s="139"/>
      <c r="KTW115" s="139"/>
      <c r="KTX115" s="139"/>
      <c r="KTY115" s="139"/>
      <c r="KTZ115" s="139"/>
      <c r="KUA115" s="139"/>
      <c r="KUB115" s="139"/>
      <c r="KUC115" s="139"/>
      <c r="KUD115" s="139"/>
      <c r="KUE115" s="139"/>
      <c r="KUF115" s="139"/>
      <c r="KUG115" s="139"/>
      <c r="KUH115" s="139"/>
      <c r="KUI115" s="139"/>
      <c r="KUJ115" s="139"/>
      <c r="KUK115" s="139"/>
      <c r="KUL115" s="139"/>
      <c r="KUM115" s="139"/>
      <c r="KUN115" s="139"/>
      <c r="KUO115" s="139"/>
      <c r="KUP115" s="139"/>
      <c r="KUQ115" s="139"/>
      <c r="KUR115" s="139"/>
      <c r="KUS115" s="139"/>
      <c r="KUT115" s="139"/>
      <c r="KUU115" s="139"/>
      <c r="KUV115" s="139"/>
      <c r="KUW115" s="139"/>
      <c r="KUX115" s="139"/>
      <c r="KUY115" s="139"/>
      <c r="KUZ115" s="139"/>
      <c r="KVA115" s="139"/>
      <c r="KVB115" s="139"/>
      <c r="KVC115" s="139"/>
      <c r="KVD115" s="139"/>
      <c r="KVE115" s="139"/>
      <c r="KVF115" s="139"/>
      <c r="KVG115" s="139"/>
      <c r="KVH115" s="139"/>
      <c r="KVI115" s="139"/>
      <c r="KVJ115" s="139"/>
      <c r="KVK115" s="139"/>
      <c r="KVL115" s="139"/>
      <c r="KVM115" s="139"/>
      <c r="KVN115" s="139"/>
      <c r="KVO115" s="139"/>
      <c r="KVP115" s="139"/>
      <c r="KVQ115" s="139"/>
      <c r="KVR115" s="139"/>
      <c r="KVS115" s="139"/>
      <c r="KVT115" s="139"/>
      <c r="KVU115" s="139"/>
      <c r="KVV115" s="139"/>
      <c r="KVW115" s="139"/>
      <c r="KVX115" s="139"/>
      <c r="KVY115" s="139"/>
      <c r="KVZ115" s="139"/>
      <c r="KWA115" s="139"/>
      <c r="KWB115" s="139"/>
      <c r="KWC115" s="139"/>
      <c r="KWD115" s="139"/>
      <c r="KWE115" s="139"/>
      <c r="KWF115" s="139"/>
      <c r="KWG115" s="139"/>
      <c r="KWH115" s="139"/>
      <c r="KWI115" s="139"/>
      <c r="KWJ115" s="139"/>
      <c r="KWK115" s="139"/>
      <c r="KWL115" s="139"/>
      <c r="KWM115" s="139"/>
      <c r="KWN115" s="139"/>
      <c r="KWO115" s="139"/>
      <c r="KWP115" s="139"/>
      <c r="KWQ115" s="139"/>
      <c r="KWR115" s="139"/>
      <c r="KWS115" s="139"/>
      <c r="KWT115" s="139"/>
      <c r="KWU115" s="139"/>
      <c r="KWV115" s="139"/>
      <c r="KWW115" s="139"/>
      <c r="KWX115" s="139"/>
      <c r="KWY115" s="139"/>
      <c r="KWZ115" s="139"/>
      <c r="KXA115" s="139"/>
      <c r="KXB115" s="139"/>
      <c r="KXC115" s="139"/>
      <c r="KXD115" s="139"/>
      <c r="KXE115" s="139"/>
      <c r="KXF115" s="139"/>
      <c r="KXG115" s="139"/>
      <c r="KXH115" s="139"/>
      <c r="KXI115" s="139"/>
      <c r="KXJ115" s="139"/>
      <c r="KXK115" s="139"/>
      <c r="KXL115" s="139"/>
      <c r="KXM115" s="139"/>
      <c r="KXN115" s="139"/>
      <c r="KXO115" s="139"/>
      <c r="KXP115" s="139"/>
      <c r="KXQ115" s="139"/>
      <c r="KXR115" s="139"/>
      <c r="KXS115" s="139"/>
      <c r="KXT115" s="139"/>
      <c r="KXU115" s="139"/>
      <c r="KXV115" s="139"/>
      <c r="KXW115" s="139"/>
      <c r="KXX115" s="139"/>
      <c r="KXY115" s="139"/>
      <c r="KXZ115" s="139"/>
      <c r="KYA115" s="139"/>
      <c r="KYB115" s="139"/>
      <c r="KYC115" s="139"/>
      <c r="KYD115" s="139"/>
      <c r="KYE115" s="139"/>
      <c r="KYF115" s="139"/>
      <c r="KYG115" s="139"/>
      <c r="KYH115" s="139"/>
      <c r="KYI115" s="139"/>
      <c r="KYJ115" s="139"/>
      <c r="KYK115" s="139"/>
      <c r="KYL115" s="139"/>
      <c r="KYM115" s="139"/>
      <c r="KYN115" s="139"/>
      <c r="KYO115" s="139"/>
      <c r="KYP115" s="139"/>
      <c r="KYQ115" s="139"/>
      <c r="KYR115" s="139"/>
      <c r="KYS115" s="139"/>
      <c r="KYT115" s="139"/>
      <c r="KYU115" s="139"/>
      <c r="KYV115" s="139"/>
      <c r="KYW115" s="139"/>
      <c r="KYX115" s="139"/>
      <c r="KYY115" s="139"/>
      <c r="KYZ115" s="139"/>
      <c r="KZA115" s="139"/>
      <c r="KZB115" s="139"/>
      <c r="KZC115" s="139"/>
      <c r="KZD115" s="139"/>
      <c r="KZE115" s="139"/>
      <c r="KZF115" s="139"/>
      <c r="KZG115" s="139"/>
      <c r="KZH115" s="139"/>
      <c r="KZI115" s="139"/>
      <c r="KZJ115" s="139"/>
      <c r="KZK115" s="139"/>
      <c r="KZL115" s="139"/>
      <c r="KZM115" s="139"/>
      <c r="KZN115" s="139"/>
      <c r="KZO115" s="139"/>
      <c r="KZP115" s="139"/>
      <c r="KZQ115" s="139"/>
      <c r="KZR115" s="139"/>
      <c r="KZS115" s="139"/>
      <c r="KZT115" s="139"/>
      <c r="KZU115" s="139"/>
      <c r="KZV115" s="139"/>
      <c r="KZW115" s="139"/>
      <c r="KZX115" s="139"/>
      <c r="KZY115" s="139"/>
      <c r="KZZ115" s="139"/>
      <c r="LAA115" s="139"/>
      <c r="LAB115" s="139"/>
      <c r="LAC115" s="139"/>
      <c r="LAD115" s="139"/>
      <c r="LAE115" s="139"/>
      <c r="LAF115" s="139"/>
      <c r="LAG115" s="139"/>
      <c r="LAH115" s="139"/>
      <c r="LAI115" s="139"/>
      <c r="LAJ115" s="139"/>
      <c r="LAK115" s="139"/>
      <c r="LAL115" s="139"/>
      <c r="LAM115" s="139"/>
      <c r="LAN115" s="139"/>
      <c r="LAO115" s="139"/>
      <c r="LAP115" s="139"/>
      <c r="LAQ115" s="139"/>
      <c r="LAR115" s="139"/>
      <c r="LAS115" s="139"/>
      <c r="LAT115" s="139"/>
      <c r="LAU115" s="139"/>
      <c r="LAV115" s="139"/>
      <c r="LAW115" s="139"/>
      <c r="LAX115" s="139"/>
      <c r="LAY115" s="139"/>
      <c r="LAZ115" s="139"/>
      <c r="LBA115" s="139"/>
      <c r="LBB115" s="139"/>
      <c r="LBC115" s="139"/>
      <c r="LBD115" s="139"/>
      <c r="LBE115" s="139"/>
      <c r="LBF115" s="139"/>
      <c r="LBG115" s="139"/>
      <c r="LBH115" s="139"/>
      <c r="LBI115" s="139"/>
      <c r="LBJ115" s="139"/>
      <c r="LBK115" s="139"/>
      <c r="LBL115" s="139"/>
      <c r="LBM115" s="139"/>
      <c r="LBN115" s="139"/>
      <c r="LBO115" s="139"/>
      <c r="LBP115" s="139"/>
      <c r="LBQ115" s="139"/>
      <c r="LBR115" s="139"/>
      <c r="LBS115" s="139"/>
      <c r="LBT115" s="139"/>
      <c r="LBU115" s="139"/>
      <c r="LBV115" s="139"/>
      <c r="LBW115" s="139"/>
      <c r="LBX115" s="139"/>
      <c r="LBY115" s="139"/>
      <c r="LBZ115" s="139"/>
      <c r="LCA115" s="139"/>
      <c r="LCB115" s="139"/>
      <c r="LCC115" s="139"/>
      <c r="LCD115" s="139"/>
      <c r="LCE115" s="139"/>
      <c r="LCF115" s="139"/>
      <c r="LCG115" s="139"/>
      <c r="LCH115" s="139"/>
      <c r="LCI115" s="139"/>
      <c r="LCJ115" s="139"/>
      <c r="LCK115" s="139"/>
      <c r="LCL115" s="139"/>
      <c r="LCM115" s="139"/>
      <c r="LCN115" s="139"/>
      <c r="LCO115" s="139"/>
      <c r="LCP115" s="139"/>
      <c r="LCQ115" s="139"/>
      <c r="LCR115" s="139"/>
      <c r="LCS115" s="139"/>
      <c r="LCT115" s="139"/>
      <c r="LCU115" s="139"/>
      <c r="LCV115" s="139"/>
      <c r="LCW115" s="139"/>
      <c r="LCX115" s="139"/>
      <c r="LCY115" s="139"/>
      <c r="LCZ115" s="139"/>
      <c r="LDA115" s="139"/>
      <c r="LDB115" s="139"/>
      <c r="LDC115" s="139"/>
      <c r="LDD115" s="139"/>
      <c r="LDE115" s="139"/>
      <c r="LDF115" s="139"/>
      <c r="LDG115" s="139"/>
      <c r="LDH115" s="139"/>
      <c r="LDI115" s="139"/>
      <c r="LDJ115" s="139"/>
      <c r="LDK115" s="139"/>
      <c r="LDL115" s="139"/>
      <c r="LDM115" s="139"/>
      <c r="LDN115" s="139"/>
      <c r="LDO115" s="139"/>
      <c r="LDP115" s="139"/>
      <c r="LDQ115" s="139"/>
      <c r="LDR115" s="139"/>
      <c r="LDS115" s="139"/>
      <c r="LDT115" s="139"/>
      <c r="LDU115" s="139"/>
      <c r="LDV115" s="139"/>
      <c r="LDW115" s="139"/>
      <c r="LDX115" s="139"/>
      <c r="LDY115" s="139"/>
      <c r="LDZ115" s="139"/>
      <c r="LEA115" s="139"/>
      <c r="LEB115" s="139"/>
      <c r="LEC115" s="139"/>
      <c r="LED115" s="139"/>
      <c r="LEE115" s="139"/>
      <c r="LEF115" s="139"/>
      <c r="LEG115" s="139"/>
      <c r="LEH115" s="139"/>
      <c r="LEI115" s="139"/>
      <c r="LEJ115" s="139"/>
      <c r="LEK115" s="139"/>
      <c r="LEL115" s="139"/>
      <c r="LEM115" s="139"/>
      <c r="LEN115" s="139"/>
      <c r="LEO115" s="139"/>
      <c r="LEP115" s="139"/>
      <c r="LEQ115" s="139"/>
      <c r="LER115" s="139"/>
      <c r="LES115" s="139"/>
      <c r="LET115" s="139"/>
      <c r="LEU115" s="139"/>
      <c r="LEV115" s="139"/>
      <c r="LEW115" s="139"/>
      <c r="LEX115" s="139"/>
      <c r="LEY115" s="139"/>
      <c r="LEZ115" s="139"/>
      <c r="LFA115" s="139"/>
      <c r="LFB115" s="139"/>
      <c r="LFC115" s="139"/>
      <c r="LFD115" s="139"/>
      <c r="LFE115" s="139"/>
      <c r="LFF115" s="139"/>
      <c r="LFG115" s="139"/>
      <c r="LFH115" s="139"/>
      <c r="LFI115" s="139"/>
      <c r="LFJ115" s="139"/>
      <c r="LFK115" s="139"/>
      <c r="LFL115" s="139"/>
      <c r="LFM115" s="139"/>
      <c r="LFN115" s="139"/>
      <c r="LFO115" s="139"/>
      <c r="LFP115" s="139"/>
      <c r="LFQ115" s="139"/>
      <c r="LFR115" s="139"/>
      <c r="LFS115" s="139"/>
      <c r="LFT115" s="139"/>
      <c r="LFU115" s="139"/>
      <c r="LFV115" s="139"/>
      <c r="LFW115" s="139"/>
      <c r="LFX115" s="139"/>
      <c r="LFY115" s="139"/>
      <c r="LFZ115" s="139"/>
      <c r="LGA115" s="139"/>
      <c r="LGB115" s="139"/>
      <c r="LGC115" s="139"/>
      <c r="LGD115" s="139"/>
      <c r="LGE115" s="139"/>
      <c r="LGF115" s="139"/>
      <c r="LGG115" s="139"/>
      <c r="LGH115" s="139"/>
      <c r="LGI115" s="139"/>
      <c r="LGJ115" s="139"/>
      <c r="LGK115" s="139"/>
      <c r="LGL115" s="139"/>
      <c r="LGM115" s="139"/>
      <c r="LGN115" s="139"/>
      <c r="LGO115" s="139"/>
      <c r="LGP115" s="139"/>
      <c r="LGQ115" s="139"/>
      <c r="LGR115" s="139"/>
      <c r="LGS115" s="139"/>
      <c r="LGT115" s="139"/>
      <c r="LGU115" s="139"/>
      <c r="LGV115" s="139"/>
      <c r="LGW115" s="139"/>
      <c r="LGX115" s="139"/>
      <c r="LGY115" s="139"/>
      <c r="LGZ115" s="139"/>
      <c r="LHA115" s="139"/>
      <c r="LHB115" s="139"/>
      <c r="LHC115" s="139"/>
      <c r="LHD115" s="139"/>
      <c r="LHE115" s="139"/>
      <c r="LHF115" s="139"/>
      <c r="LHG115" s="139"/>
      <c r="LHH115" s="139"/>
      <c r="LHI115" s="139"/>
      <c r="LHJ115" s="139"/>
      <c r="LHK115" s="139"/>
      <c r="LHL115" s="139"/>
      <c r="LHM115" s="139"/>
      <c r="LHN115" s="139"/>
      <c r="LHO115" s="139"/>
      <c r="LHP115" s="139"/>
      <c r="LHQ115" s="139"/>
      <c r="LHR115" s="139"/>
      <c r="LHS115" s="139"/>
      <c r="LHT115" s="139"/>
      <c r="LHU115" s="139"/>
      <c r="LHV115" s="139"/>
      <c r="LHW115" s="139"/>
      <c r="LHX115" s="139"/>
      <c r="LHY115" s="139"/>
      <c r="LHZ115" s="139"/>
      <c r="LIA115" s="139"/>
      <c r="LIB115" s="139"/>
      <c r="LIC115" s="139"/>
      <c r="LID115" s="139"/>
      <c r="LIE115" s="139"/>
      <c r="LIF115" s="139"/>
      <c r="LIG115" s="139"/>
      <c r="LIH115" s="139"/>
      <c r="LII115" s="139"/>
      <c r="LIJ115" s="139"/>
      <c r="LIK115" s="139"/>
      <c r="LIL115" s="139"/>
      <c r="LIM115" s="139"/>
      <c r="LIN115" s="139"/>
      <c r="LIO115" s="139"/>
      <c r="LIP115" s="139"/>
      <c r="LIQ115" s="139"/>
      <c r="LIR115" s="139"/>
      <c r="LIS115" s="139"/>
      <c r="LIT115" s="139"/>
      <c r="LIU115" s="139"/>
      <c r="LIV115" s="139"/>
      <c r="LIW115" s="139"/>
      <c r="LIX115" s="139"/>
      <c r="LIY115" s="139"/>
      <c r="LIZ115" s="139"/>
      <c r="LJA115" s="139"/>
      <c r="LJB115" s="139"/>
      <c r="LJC115" s="139"/>
      <c r="LJD115" s="139"/>
      <c r="LJE115" s="139"/>
      <c r="LJF115" s="139"/>
      <c r="LJG115" s="139"/>
      <c r="LJH115" s="139"/>
      <c r="LJI115" s="139"/>
      <c r="LJJ115" s="139"/>
      <c r="LJK115" s="139"/>
      <c r="LJL115" s="139"/>
      <c r="LJM115" s="139"/>
      <c r="LJN115" s="139"/>
      <c r="LJO115" s="139"/>
      <c r="LJP115" s="139"/>
      <c r="LJQ115" s="139"/>
      <c r="LJR115" s="139"/>
      <c r="LJS115" s="139"/>
      <c r="LJT115" s="139"/>
      <c r="LJU115" s="139"/>
      <c r="LJV115" s="139"/>
      <c r="LJW115" s="139"/>
      <c r="LJX115" s="139"/>
      <c r="LJY115" s="139"/>
      <c r="LJZ115" s="139"/>
      <c r="LKA115" s="139"/>
      <c r="LKB115" s="139"/>
      <c r="LKC115" s="139"/>
      <c r="LKD115" s="139"/>
      <c r="LKE115" s="139"/>
      <c r="LKF115" s="139"/>
      <c r="LKG115" s="139"/>
      <c r="LKH115" s="139"/>
      <c r="LKI115" s="139"/>
      <c r="LKJ115" s="139"/>
      <c r="LKK115" s="139"/>
      <c r="LKL115" s="139"/>
      <c r="LKM115" s="139"/>
      <c r="LKN115" s="139"/>
      <c r="LKO115" s="139"/>
      <c r="LKP115" s="139"/>
      <c r="LKQ115" s="139"/>
      <c r="LKR115" s="139"/>
      <c r="LKS115" s="139"/>
      <c r="LKT115" s="139"/>
      <c r="LKU115" s="139"/>
      <c r="LKV115" s="139"/>
      <c r="LKW115" s="139"/>
      <c r="LKX115" s="139"/>
      <c r="LKY115" s="139"/>
      <c r="LKZ115" s="139"/>
      <c r="LLA115" s="139"/>
      <c r="LLB115" s="139"/>
      <c r="LLC115" s="139"/>
      <c r="LLD115" s="139"/>
      <c r="LLE115" s="139"/>
      <c r="LLF115" s="139"/>
      <c r="LLG115" s="139"/>
      <c r="LLH115" s="139"/>
      <c r="LLI115" s="139"/>
      <c r="LLJ115" s="139"/>
      <c r="LLK115" s="139"/>
      <c r="LLL115" s="139"/>
      <c r="LLM115" s="139"/>
      <c r="LLN115" s="139"/>
      <c r="LLO115" s="139"/>
      <c r="LLP115" s="139"/>
      <c r="LLQ115" s="139"/>
      <c r="LLR115" s="139"/>
      <c r="LLS115" s="139"/>
      <c r="LLT115" s="139"/>
      <c r="LLU115" s="139"/>
      <c r="LLV115" s="139"/>
      <c r="LLW115" s="139"/>
      <c r="LLX115" s="139"/>
      <c r="LLY115" s="139"/>
      <c r="LLZ115" s="139"/>
      <c r="LMA115" s="139"/>
      <c r="LMB115" s="139"/>
      <c r="LMC115" s="139"/>
      <c r="LMD115" s="139"/>
      <c r="LME115" s="139"/>
      <c r="LMF115" s="139"/>
      <c r="LMG115" s="139"/>
      <c r="LMH115" s="139"/>
      <c r="LMI115" s="139"/>
      <c r="LMJ115" s="139"/>
      <c r="LMK115" s="139"/>
      <c r="LML115" s="139"/>
      <c r="LMM115" s="139"/>
      <c r="LMN115" s="139"/>
      <c r="LMO115" s="139"/>
      <c r="LMP115" s="139"/>
      <c r="LMQ115" s="139"/>
      <c r="LMR115" s="139"/>
      <c r="LMS115" s="139"/>
      <c r="LMT115" s="139"/>
      <c r="LMU115" s="139"/>
      <c r="LMV115" s="139"/>
      <c r="LMW115" s="139"/>
      <c r="LMX115" s="139"/>
      <c r="LMY115" s="139"/>
      <c r="LMZ115" s="139"/>
      <c r="LNA115" s="139"/>
      <c r="LNB115" s="139"/>
      <c r="LNC115" s="139"/>
      <c r="LND115" s="139"/>
      <c r="LNE115" s="139"/>
      <c r="LNF115" s="139"/>
      <c r="LNG115" s="139"/>
      <c r="LNH115" s="139"/>
      <c r="LNI115" s="139"/>
      <c r="LNJ115" s="139"/>
      <c r="LNK115" s="139"/>
      <c r="LNL115" s="139"/>
      <c r="LNM115" s="139"/>
      <c r="LNN115" s="139"/>
      <c r="LNO115" s="139"/>
      <c r="LNP115" s="139"/>
      <c r="LNQ115" s="139"/>
      <c r="LNR115" s="139"/>
      <c r="LNS115" s="139"/>
      <c r="LNT115" s="139"/>
      <c r="LNU115" s="139"/>
      <c r="LNV115" s="139"/>
      <c r="LNW115" s="139"/>
      <c r="LNX115" s="139"/>
      <c r="LNY115" s="139"/>
      <c r="LNZ115" s="139"/>
      <c r="LOA115" s="139"/>
      <c r="LOB115" s="139"/>
      <c r="LOC115" s="139"/>
      <c r="LOD115" s="139"/>
      <c r="LOE115" s="139"/>
      <c r="LOF115" s="139"/>
      <c r="LOG115" s="139"/>
      <c r="LOH115" s="139"/>
      <c r="LOI115" s="139"/>
      <c r="LOJ115" s="139"/>
      <c r="LOK115" s="139"/>
      <c r="LOL115" s="139"/>
      <c r="LOM115" s="139"/>
      <c r="LON115" s="139"/>
      <c r="LOO115" s="139"/>
      <c r="LOP115" s="139"/>
      <c r="LOQ115" s="139"/>
      <c r="LOR115" s="139"/>
      <c r="LOS115" s="139"/>
      <c r="LOT115" s="139"/>
      <c r="LOU115" s="139"/>
      <c r="LOV115" s="139"/>
      <c r="LOW115" s="139"/>
      <c r="LOX115" s="139"/>
      <c r="LOY115" s="139"/>
      <c r="LOZ115" s="139"/>
      <c r="LPA115" s="139"/>
      <c r="LPB115" s="139"/>
      <c r="LPC115" s="139"/>
      <c r="LPD115" s="139"/>
      <c r="LPE115" s="139"/>
      <c r="LPF115" s="139"/>
      <c r="LPG115" s="139"/>
      <c r="LPH115" s="139"/>
      <c r="LPI115" s="139"/>
      <c r="LPJ115" s="139"/>
      <c r="LPK115" s="139"/>
      <c r="LPL115" s="139"/>
      <c r="LPM115" s="139"/>
      <c r="LPN115" s="139"/>
      <c r="LPO115" s="139"/>
      <c r="LPP115" s="139"/>
      <c r="LPQ115" s="139"/>
      <c r="LPR115" s="139"/>
      <c r="LPS115" s="139"/>
      <c r="LPT115" s="139"/>
      <c r="LPU115" s="139"/>
      <c r="LPV115" s="139"/>
      <c r="LPW115" s="139"/>
      <c r="LPX115" s="139"/>
      <c r="LPY115" s="139"/>
      <c r="LPZ115" s="139"/>
      <c r="LQA115" s="139"/>
      <c r="LQB115" s="139"/>
      <c r="LQC115" s="139"/>
      <c r="LQD115" s="139"/>
      <c r="LQE115" s="139"/>
      <c r="LQF115" s="139"/>
      <c r="LQG115" s="139"/>
      <c r="LQH115" s="139"/>
      <c r="LQI115" s="139"/>
      <c r="LQJ115" s="139"/>
      <c r="LQK115" s="139"/>
      <c r="LQL115" s="139"/>
      <c r="LQM115" s="139"/>
      <c r="LQN115" s="139"/>
      <c r="LQO115" s="139"/>
      <c r="LQP115" s="139"/>
      <c r="LQQ115" s="139"/>
      <c r="LQR115" s="139"/>
      <c r="LQS115" s="139"/>
      <c r="LQT115" s="139"/>
      <c r="LQU115" s="139"/>
      <c r="LQV115" s="139"/>
      <c r="LQW115" s="139"/>
      <c r="LQX115" s="139"/>
      <c r="LQY115" s="139"/>
      <c r="LQZ115" s="139"/>
      <c r="LRA115" s="139"/>
      <c r="LRB115" s="139"/>
      <c r="LRC115" s="139"/>
      <c r="LRD115" s="139"/>
      <c r="LRE115" s="139"/>
      <c r="LRF115" s="139"/>
      <c r="LRG115" s="139"/>
      <c r="LRH115" s="139"/>
      <c r="LRI115" s="139"/>
      <c r="LRJ115" s="139"/>
      <c r="LRK115" s="139"/>
      <c r="LRL115" s="139"/>
      <c r="LRM115" s="139"/>
      <c r="LRN115" s="139"/>
      <c r="LRO115" s="139"/>
      <c r="LRP115" s="139"/>
      <c r="LRQ115" s="139"/>
      <c r="LRR115" s="139"/>
      <c r="LRS115" s="139"/>
      <c r="LRT115" s="139"/>
      <c r="LRU115" s="139"/>
      <c r="LRV115" s="139"/>
      <c r="LRW115" s="139"/>
      <c r="LRX115" s="139"/>
      <c r="LRY115" s="139"/>
      <c r="LRZ115" s="139"/>
      <c r="LSA115" s="139"/>
      <c r="LSB115" s="139"/>
      <c r="LSC115" s="139"/>
      <c r="LSD115" s="139"/>
      <c r="LSE115" s="139"/>
      <c r="LSF115" s="139"/>
      <c r="LSG115" s="139"/>
      <c r="LSH115" s="139"/>
      <c r="LSI115" s="139"/>
      <c r="LSJ115" s="139"/>
      <c r="LSK115" s="139"/>
      <c r="LSL115" s="139"/>
      <c r="LSM115" s="139"/>
      <c r="LSN115" s="139"/>
      <c r="LSO115" s="139"/>
      <c r="LSP115" s="139"/>
      <c r="LSQ115" s="139"/>
      <c r="LSR115" s="139"/>
      <c r="LSS115" s="139"/>
      <c r="LST115" s="139"/>
      <c r="LSU115" s="139"/>
      <c r="LSV115" s="139"/>
      <c r="LSW115" s="139"/>
      <c r="LSX115" s="139"/>
      <c r="LSY115" s="139"/>
      <c r="LSZ115" s="139"/>
      <c r="LTA115" s="139"/>
      <c r="LTB115" s="139"/>
      <c r="LTC115" s="139"/>
      <c r="LTD115" s="139"/>
      <c r="LTE115" s="139"/>
      <c r="LTF115" s="139"/>
      <c r="LTG115" s="139"/>
      <c r="LTH115" s="139"/>
      <c r="LTI115" s="139"/>
      <c r="LTJ115" s="139"/>
      <c r="LTK115" s="139"/>
      <c r="LTL115" s="139"/>
      <c r="LTM115" s="139"/>
      <c r="LTN115" s="139"/>
      <c r="LTO115" s="139"/>
      <c r="LTP115" s="139"/>
      <c r="LTQ115" s="139"/>
      <c r="LTR115" s="139"/>
      <c r="LTS115" s="139"/>
      <c r="LTT115" s="139"/>
      <c r="LTU115" s="139"/>
      <c r="LTV115" s="139"/>
      <c r="LTW115" s="139"/>
      <c r="LTX115" s="139"/>
      <c r="LTY115" s="139"/>
      <c r="LTZ115" s="139"/>
      <c r="LUA115" s="139"/>
      <c r="LUB115" s="139"/>
      <c r="LUC115" s="139"/>
      <c r="LUD115" s="139"/>
      <c r="LUE115" s="139"/>
      <c r="LUF115" s="139"/>
      <c r="LUG115" s="139"/>
      <c r="LUH115" s="139"/>
      <c r="LUI115" s="139"/>
      <c r="LUJ115" s="139"/>
      <c r="LUK115" s="139"/>
      <c r="LUL115" s="139"/>
      <c r="LUM115" s="139"/>
      <c r="LUN115" s="139"/>
      <c r="LUO115" s="139"/>
      <c r="LUP115" s="139"/>
      <c r="LUQ115" s="139"/>
      <c r="LUR115" s="139"/>
      <c r="LUS115" s="139"/>
      <c r="LUT115" s="139"/>
      <c r="LUU115" s="139"/>
      <c r="LUV115" s="139"/>
      <c r="LUW115" s="139"/>
      <c r="LUX115" s="139"/>
      <c r="LUY115" s="139"/>
      <c r="LUZ115" s="139"/>
      <c r="LVA115" s="139"/>
      <c r="LVB115" s="139"/>
      <c r="LVC115" s="139"/>
      <c r="LVD115" s="139"/>
      <c r="LVE115" s="139"/>
      <c r="LVF115" s="139"/>
      <c r="LVG115" s="139"/>
      <c r="LVH115" s="139"/>
      <c r="LVI115" s="139"/>
      <c r="LVJ115" s="139"/>
      <c r="LVK115" s="139"/>
      <c r="LVL115" s="139"/>
      <c r="LVM115" s="139"/>
      <c r="LVN115" s="139"/>
      <c r="LVO115" s="139"/>
      <c r="LVP115" s="139"/>
      <c r="LVQ115" s="139"/>
      <c r="LVR115" s="139"/>
      <c r="LVS115" s="139"/>
      <c r="LVT115" s="139"/>
      <c r="LVU115" s="139"/>
      <c r="LVV115" s="139"/>
      <c r="LVW115" s="139"/>
      <c r="LVX115" s="139"/>
      <c r="LVY115" s="139"/>
      <c r="LVZ115" s="139"/>
      <c r="LWA115" s="139"/>
      <c r="LWB115" s="139"/>
      <c r="LWC115" s="139"/>
      <c r="LWD115" s="139"/>
      <c r="LWE115" s="139"/>
      <c r="LWF115" s="139"/>
      <c r="LWG115" s="139"/>
      <c r="LWH115" s="139"/>
      <c r="LWI115" s="139"/>
      <c r="LWJ115" s="139"/>
      <c r="LWK115" s="139"/>
      <c r="LWL115" s="139"/>
      <c r="LWM115" s="139"/>
      <c r="LWN115" s="139"/>
      <c r="LWO115" s="139"/>
      <c r="LWP115" s="139"/>
      <c r="LWQ115" s="139"/>
      <c r="LWR115" s="139"/>
      <c r="LWS115" s="139"/>
      <c r="LWT115" s="139"/>
      <c r="LWU115" s="139"/>
      <c r="LWV115" s="139"/>
      <c r="LWW115" s="139"/>
      <c r="LWX115" s="139"/>
      <c r="LWY115" s="139"/>
      <c r="LWZ115" s="139"/>
      <c r="LXA115" s="139"/>
      <c r="LXB115" s="139"/>
      <c r="LXC115" s="139"/>
      <c r="LXD115" s="139"/>
      <c r="LXE115" s="139"/>
      <c r="LXF115" s="139"/>
      <c r="LXG115" s="139"/>
      <c r="LXH115" s="139"/>
      <c r="LXI115" s="139"/>
      <c r="LXJ115" s="139"/>
      <c r="LXK115" s="139"/>
      <c r="LXL115" s="139"/>
      <c r="LXM115" s="139"/>
      <c r="LXN115" s="139"/>
      <c r="LXO115" s="139"/>
      <c r="LXP115" s="139"/>
      <c r="LXQ115" s="139"/>
      <c r="LXR115" s="139"/>
      <c r="LXS115" s="139"/>
      <c r="LXT115" s="139"/>
      <c r="LXU115" s="139"/>
      <c r="LXV115" s="139"/>
      <c r="LXW115" s="139"/>
      <c r="LXX115" s="139"/>
      <c r="LXY115" s="139"/>
      <c r="LXZ115" s="139"/>
      <c r="LYA115" s="139"/>
      <c r="LYB115" s="139"/>
      <c r="LYC115" s="139"/>
      <c r="LYD115" s="139"/>
      <c r="LYE115" s="139"/>
      <c r="LYF115" s="139"/>
      <c r="LYG115" s="139"/>
      <c r="LYH115" s="139"/>
      <c r="LYI115" s="139"/>
      <c r="LYJ115" s="139"/>
      <c r="LYK115" s="139"/>
      <c r="LYL115" s="139"/>
      <c r="LYM115" s="139"/>
      <c r="LYN115" s="139"/>
      <c r="LYO115" s="139"/>
      <c r="LYP115" s="139"/>
      <c r="LYQ115" s="139"/>
      <c r="LYR115" s="139"/>
      <c r="LYS115" s="139"/>
      <c r="LYT115" s="139"/>
      <c r="LYU115" s="139"/>
      <c r="LYV115" s="139"/>
      <c r="LYW115" s="139"/>
      <c r="LYX115" s="139"/>
      <c r="LYY115" s="139"/>
      <c r="LYZ115" s="139"/>
      <c r="LZA115" s="139"/>
      <c r="LZB115" s="139"/>
      <c r="LZC115" s="139"/>
      <c r="LZD115" s="139"/>
      <c r="LZE115" s="139"/>
      <c r="LZF115" s="139"/>
      <c r="LZG115" s="139"/>
      <c r="LZH115" s="139"/>
      <c r="LZI115" s="139"/>
      <c r="LZJ115" s="139"/>
      <c r="LZK115" s="139"/>
      <c r="LZL115" s="139"/>
      <c r="LZM115" s="139"/>
      <c r="LZN115" s="139"/>
      <c r="LZO115" s="139"/>
      <c r="LZP115" s="139"/>
      <c r="LZQ115" s="139"/>
      <c r="LZR115" s="139"/>
      <c r="LZS115" s="139"/>
      <c r="LZT115" s="139"/>
      <c r="LZU115" s="139"/>
      <c r="LZV115" s="139"/>
      <c r="LZW115" s="139"/>
      <c r="LZX115" s="139"/>
      <c r="LZY115" s="139"/>
      <c r="LZZ115" s="139"/>
      <c r="MAA115" s="139"/>
      <c r="MAB115" s="139"/>
      <c r="MAC115" s="139"/>
      <c r="MAD115" s="139"/>
      <c r="MAE115" s="139"/>
      <c r="MAF115" s="139"/>
      <c r="MAG115" s="139"/>
      <c r="MAH115" s="139"/>
      <c r="MAI115" s="139"/>
      <c r="MAJ115" s="139"/>
      <c r="MAK115" s="139"/>
      <c r="MAL115" s="139"/>
      <c r="MAM115" s="139"/>
      <c r="MAN115" s="139"/>
      <c r="MAO115" s="139"/>
      <c r="MAP115" s="139"/>
      <c r="MAQ115" s="139"/>
      <c r="MAR115" s="139"/>
      <c r="MAS115" s="139"/>
      <c r="MAT115" s="139"/>
      <c r="MAU115" s="139"/>
      <c r="MAV115" s="139"/>
      <c r="MAW115" s="139"/>
      <c r="MAX115" s="139"/>
      <c r="MAY115" s="139"/>
      <c r="MAZ115" s="139"/>
      <c r="MBA115" s="139"/>
      <c r="MBB115" s="139"/>
      <c r="MBC115" s="139"/>
      <c r="MBD115" s="139"/>
      <c r="MBE115" s="139"/>
      <c r="MBF115" s="139"/>
      <c r="MBG115" s="139"/>
      <c r="MBH115" s="139"/>
      <c r="MBI115" s="139"/>
      <c r="MBJ115" s="139"/>
      <c r="MBK115" s="139"/>
      <c r="MBL115" s="139"/>
      <c r="MBM115" s="139"/>
      <c r="MBN115" s="139"/>
      <c r="MBO115" s="139"/>
      <c r="MBP115" s="139"/>
      <c r="MBQ115" s="139"/>
      <c r="MBR115" s="139"/>
      <c r="MBS115" s="139"/>
      <c r="MBT115" s="139"/>
      <c r="MBU115" s="139"/>
      <c r="MBV115" s="139"/>
      <c r="MBW115" s="139"/>
      <c r="MBX115" s="139"/>
      <c r="MBY115" s="139"/>
      <c r="MBZ115" s="139"/>
      <c r="MCA115" s="139"/>
      <c r="MCB115" s="139"/>
      <c r="MCC115" s="139"/>
      <c r="MCD115" s="139"/>
      <c r="MCE115" s="139"/>
      <c r="MCF115" s="139"/>
      <c r="MCG115" s="139"/>
      <c r="MCH115" s="139"/>
      <c r="MCI115" s="139"/>
      <c r="MCJ115" s="139"/>
      <c r="MCK115" s="139"/>
      <c r="MCL115" s="139"/>
      <c r="MCM115" s="139"/>
      <c r="MCN115" s="139"/>
      <c r="MCO115" s="139"/>
      <c r="MCP115" s="139"/>
      <c r="MCQ115" s="139"/>
      <c r="MCR115" s="139"/>
      <c r="MCS115" s="139"/>
      <c r="MCT115" s="139"/>
      <c r="MCU115" s="139"/>
      <c r="MCV115" s="139"/>
      <c r="MCW115" s="139"/>
      <c r="MCX115" s="139"/>
      <c r="MCY115" s="139"/>
      <c r="MCZ115" s="139"/>
      <c r="MDA115" s="139"/>
      <c r="MDB115" s="139"/>
      <c r="MDC115" s="139"/>
      <c r="MDD115" s="139"/>
      <c r="MDE115" s="139"/>
      <c r="MDF115" s="139"/>
      <c r="MDG115" s="139"/>
      <c r="MDH115" s="139"/>
      <c r="MDI115" s="139"/>
      <c r="MDJ115" s="139"/>
      <c r="MDK115" s="139"/>
      <c r="MDL115" s="139"/>
      <c r="MDM115" s="139"/>
      <c r="MDN115" s="139"/>
      <c r="MDO115" s="139"/>
      <c r="MDP115" s="139"/>
      <c r="MDQ115" s="139"/>
      <c r="MDR115" s="139"/>
      <c r="MDS115" s="139"/>
      <c r="MDT115" s="139"/>
      <c r="MDU115" s="139"/>
      <c r="MDV115" s="139"/>
      <c r="MDW115" s="139"/>
      <c r="MDX115" s="139"/>
      <c r="MDY115" s="139"/>
      <c r="MDZ115" s="139"/>
      <c r="MEA115" s="139"/>
      <c r="MEB115" s="139"/>
      <c r="MEC115" s="139"/>
      <c r="MED115" s="139"/>
      <c r="MEE115" s="139"/>
      <c r="MEF115" s="139"/>
      <c r="MEG115" s="139"/>
      <c r="MEH115" s="139"/>
      <c r="MEI115" s="139"/>
      <c r="MEJ115" s="139"/>
      <c r="MEK115" s="139"/>
      <c r="MEL115" s="139"/>
      <c r="MEM115" s="139"/>
      <c r="MEN115" s="139"/>
      <c r="MEO115" s="139"/>
      <c r="MEP115" s="139"/>
      <c r="MEQ115" s="139"/>
      <c r="MER115" s="139"/>
      <c r="MES115" s="139"/>
      <c r="MET115" s="139"/>
      <c r="MEU115" s="139"/>
      <c r="MEV115" s="139"/>
      <c r="MEW115" s="139"/>
      <c r="MEX115" s="139"/>
      <c r="MEY115" s="139"/>
      <c r="MEZ115" s="139"/>
      <c r="MFA115" s="139"/>
      <c r="MFB115" s="139"/>
      <c r="MFC115" s="139"/>
      <c r="MFD115" s="139"/>
      <c r="MFE115" s="139"/>
      <c r="MFF115" s="139"/>
      <c r="MFG115" s="139"/>
      <c r="MFH115" s="139"/>
      <c r="MFI115" s="139"/>
      <c r="MFJ115" s="139"/>
      <c r="MFK115" s="139"/>
      <c r="MFL115" s="139"/>
      <c r="MFM115" s="139"/>
      <c r="MFN115" s="139"/>
      <c r="MFO115" s="139"/>
      <c r="MFP115" s="139"/>
      <c r="MFQ115" s="139"/>
      <c r="MFR115" s="139"/>
      <c r="MFS115" s="139"/>
      <c r="MFT115" s="139"/>
      <c r="MFU115" s="139"/>
      <c r="MFV115" s="139"/>
      <c r="MFW115" s="139"/>
      <c r="MFX115" s="139"/>
      <c r="MFY115" s="139"/>
      <c r="MFZ115" s="139"/>
      <c r="MGA115" s="139"/>
      <c r="MGB115" s="139"/>
      <c r="MGC115" s="139"/>
      <c r="MGD115" s="139"/>
      <c r="MGE115" s="139"/>
      <c r="MGF115" s="139"/>
      <c r="MGG115" s="139"/>
      <c r="MGH115" s="139"/>
      <c r="MGI115" s="139"/>
      <c r="MGJ115" s="139"/>
      <c r="MGK115" s="139"/>
      <c r="MGL115" s="139"/>
      <c r="MGM115" s="139"/>
      <c r="MGN115" s="139"/>
      <c r="MGO115" s="139"/>
      <c r="MGP115" s="139"/>
      <c r="MGQ115" s="139"/>
      <c r="MGR115" s="139"/>
      <c r="MGS115" s="139"/>
      <c r="MGT115" s="139"/>
      <c r="MGU115" s="139"/>
      <c r="MGV115" s="139"/>
      <c r="MGW115" s="139"/>
      <c r="MGX115" s="139"/>
      <c r="MGY115" s="139"/>
      <c r="MGZ115" s="139"/>
      <c r="MHA115" s="139"/>
      <c r="MHB115" s="139"/>
      <c r="MHC115" s="139"/>
      <c r="MHD115" s="139"/>
      <c r="MHE115" s="139"/>
      <c r="MHF115" s="139"/>
      <c r="MHG115" s="139"/>
      <c r="MHH115" s="139"/>
      <c r="MHI115" s="139"/>
      <c r="MHJ115" s="139"/>
      <c r="MHK115" s="139"/>
      <c r="MHL115" s="139"/>
      <c r="MHM115" s="139"/>
      <c r="MHN115" s="139"/>
      <c r="MHO115" s="139"/>
      <c r="MHP115" s="139"/>
      <c r="MHQ115" s="139"/>
      <c r="MHR115" s="139"/>
      <c r="MHS115" s="139"/>
      <c r="MHT115" s="139"/>
      <c r="MHU115" s="139"/>
      <c r="MHV115" s="139"/>
      <c r="MHW115" s="139"/>
      <c r="MHX115" s="139"/>
      <c r="MHY115" s="139"/>
      <c r="MHZ115" s="139"/>
      <c r="MIA115" s="139"/>
      <c r="MIB115" s="139"/>
      <c r="MIC115" s="139"/>
      <c r="MID115" s="139"/>
      <c r="MIE115" s="139"/>
      <c r="MIF115" s="139"/>
      <c r="MIG115" s="139"/>
      <c r="MIH115" s="139"/>
      <c r="MII115" s="139"/>
      <c r="MIJ115" s="139"/>
      <c r="MIK115" s="139"/>
      <c r="MIL115" s="139"/>
      <c r="MIM115" s="139"/>
      <c r="MIN115" s="139"/>
      <c r="MIO115" s="139"/>
      <c r="MIP115" s="139"/>
      <c r="MIQ115" s="139"/>
      <c r="MIR115" s="139"/>
      <c r="MIS115" s="139"/>
      <c r="MIT115" s="139"/>
      <c r="MIU115" s="139"/>
      <c r="MIV115" s="139"/>
      <c r="MIW115" s="139"/>
      <c r="MIX115" s="139"/>
      <c r="MIY115" s="139"/>
      <c r="MIZ115" s="139"/>
      <c r="MJA115" s="139"/>
      <c r="MJB115" s="139"/>
      <c r="MJC115" s="139"/>
      <c r="MJD115" s="139"/>
      <c r="MJE115" s="139"/>
      <c r="MJF115" s="139"/>
      <c r="MJG115" s="139"/>
      <c r="MJH115" s="139"/>
      <c r="MJI115" s="139"/>
      <c r="MJJ115" s="139"/>
      <c r="MJK115" s="139"/>
      <c r="MJL115" s="139"/>
      <c r="MJM115" s="139"/>
      <c r="MJN115" s="139"/>
      <c r="MJO115" s="139"/>
      <c r="MJP115" s="139"/>
      <c r="MJQ115" s="139"/>
      <c r="MJR115" s="139"/>
      <c r="MJS115" s="139"/>
      <c r="MJT115" s="139"/>
      <c r="MJU115" s="139"/>
      <c r="MJV115" s="139"/>
      <c r="MJW115" s="139"/>
      <c r="MJX115" s="139"/>
      <c r="MJY115" s="139"/>
      <c r="MJZ115" s="139"/>
      <c r="MKA115" s="139"/>
      <c r="MKB115" s="139"/>
      <c r="MKC115" s="139"/>
      <c r="MKD115" s="139"/>
      <c r="MKE115" s="139"/>
      <c r="MKF115" s="139"/>
      <c r="MKG115" s="139"/>
      <c r="MKH115" s="139"/>
      <c r="MKI115" s="139"/>
      <c r="MKJ115" s="139"/>
      <c r="MKK115" s="139"/>
      <c r="MKL115" s="139"/>
      <c r="MKM115" s="139"/>
      <c r="MKN115" s="139"/>
      <c r="MKO115" s="139"/>
      <c r="MKP115" s="139"/>
      <c r="MKQ115" s="139"/>
      <c r="MKR115" s="139"/>
      <c r="MKS115" s="139"/>
      <c r="MKT115" s="139"/>
      <c r="MKU115" s="139"/>
      <c r="MKV115" s="139"/>
      <c r="MKW115" s="139"/>
      <c r="MKX115" s="139"/>
      <c r="MKY115" s="139"/>
      <c r="MKZ115" s="139"/>
      <c r="MLA115" s="139"/>
      <c r="MLB115" s="139"/>
      <c r="MLC115" s="139"/>
      <c r="MLD115" s="139"/>
      <c r="MLE115" s="139"/>
      <c r="MLF115" s="139"/>
      <c r="MLG115" s="139"/>
      <c r="MLH115" s="139"/>
      <c r="MLI115" s="139"/>
      <c r="MLJ115" s="139"/>
      <c r="MLK115" s="139"/>
      <c r="MLL115" s="139"/>
      <c r="MLM115" s="139"/>
      <c r="MLN115" s="139"/>
      <c r="MLO115" s="139"/>
      <c r="MLP115" s="139"/>
      <c r="MLQ115" s="139"/>
      <c r="MLR115" s="139"/>
      <c r="MLS115" s="139"/>
      <c r="MLT115" s="139"/>
      <c r="MLU115" s="139"/>
      <c r="MLV115" s="139"/>
      <c r="MLW115" s="139"/>
      <c r="MLX115" s="139"/>
      <c r="MLY115" s="139"/>
      <c r="MLZ115" s="139"/>
      <c r="MMA115" s="139"/>
      <c r="MMB115" s="139"/>
      <c r="MMC115" s="139"/>
      <c r="MMD115" s="139"/>
      <c r="MME115" s="139"/>
      <c r="MMF115" s="139"/>
      <c r="MMG115" s="139"/>
      <c r="MMH115" s="139"/>
      <c r="MMI115" s="139"/>
      <c r="MMJ115" s="139"/>
      <c r="MMK115" s="139"/>
      <c r="MML115" s="139"/>
      <c r="MMM115" s="139"/>
      <c r="MMN115" s="139"/>
      <c r="MMO115" s="139"/>
      <c r="MMP115" s="139"/>
      <c r="MMQ115" s="139"/>
      <c r="MMR115" s="139"/>
      <c r="MMS115" s="139"/>
      <c r="MMT115" s="139"/>
      <c r="MMU115" s="139"/>
      <c r="MMV115" s="139"/>
      <c r="MMW115" s="139"/>
      <c r="MMX115" s="139"/>
      <c r="MMY115" s="139"/>
      <c r="MMZ115" s="139"/>
      <c r="MNA115" s="139"/>
      <c r="MNB115" s="139"/>
      <c r="MNC115" s="139"/>
      <c r="MND115" s="139"/>
      <c r="MNE115" s="139"/>
      <c r="MNF115" s="139"/>
      <c r="MNG115" s="139"/>
      <c r="MNH115" s="139"/>
      <c r="MNI115" s="139"/>
      <c r="MNJ115" s="139"/>
      <c r="MNK115" s="139"/>
      <c r="MNL115" s="139"/>
      <c r="MNM115" s="139"/>
      <c r="MNN115" s="139"/>
      <c r="MNO115" s="139"/>
      <c r="MNP115" s="139"/>
      <c r="MNQ115" s="139"/>
      <c r="MNR115" s="139"/>
      <c r="MNS115" s="139"/>
      <c r="MNT115" s="139"/>
      <c r="MNU115" s="139"/>
      <c r="MNV115" s="139"/>
      <c r="MNW115" s="139"/>
      <c r="MNX115" s="139"/>
      <c r="MNY115" s="139"/>
      <c r="MNZ115" s="139"/>
      <c r="MOA115" s="139"/>
      <c r="MOB115" s="139"/>
      <c r="MOC115" s="139"/>
      <c r="MOD115" s="139"/>
      <c r="MOE115" s="139"/>
      <c r="MOF115" s="139"/>
      <c r="MOG115" s="139"/>
      <c r="MOH115" s="139"/>
      <c r="MOI115" s="139"/>
      <c r="MOJ115" s="139"/>
      <c r="MOK115" s="139"/>
      <c r="MOL115" s="139"/>
      <c r="MOM115" s="139"/>
      <c r="MON115" s="139"/>
      <c r="MOO115" s="139"/>
      <c r="MOP115" s="139"/>
      <c r="MOQ115" s="139"/>
      <c r="MOR115" s="139"/>
      <c r="MOS115" s="139"/>
      <c r="MOT115" s="139"/>
      <c r="MOU115" s="139"/>
      <c r="MOV115" s="139"/>
      <c r="MOW115" s="139"/>
      <c r="MOX115" s="139"/>
      <c r="MOY115" s="139"/>
      <c r="MOZ115" s="139"/>
      <c r="MPA115" s="139"/>
      <c r="MPB115" s="139"/>
      <c r="MPC115" s="139"/>
      <c r="MPD115" s="139"/>
      <c r="MPE115" s="139"/>
      <c r="MPF115" s="139"/>
      <c r="MPG115" s="139"/>
      <c r="MPH115" s="139"/>
      <c r="MPI115" s="139"/>
      <c r="MPJ115" s="139"/>
      <c r="MPK115" s="139"/>
      <c r="MPL115" s="139"/>
      <c r="MPM115" s="139"/>
      <c r="MPN115" s="139"/>
      <c r="MPO115" s="139"/>
      <c r="MPP115" s="139"/>
      <c r="MPQ115" s="139"/>
      <c r="MPR115" s="139"/>
      <c r="MPS115" s="139"/>
      <c r="MPT115" s="139"/>
      <c r="MPU115" s="139"/>
      <c r="MPV115" s="139"/>
      <c r="MPW115" s="139"/>
      <c r="MPX115" s="139"/>
      <c r="MPY115" s="139"/>
      <c r="MPZ115" s="139"/>
      <c r="MQA115" s="139"/>
      <c r="MQB115" s="139"/>
      <c r="MQC115" s="139"/>
      <c r="MQD115" s="139"/>
      <c r="MQE115" s="139"/>
      <c r="MQF115" s="139"/>
      <c r="MQG115" s="139"/>
      <c r="MQH115" s="139"/>
      <c r="MQI115" s="139"/>
      <c r="MQJ115" s="139"/>
      <c r="MQK115" s="139"/>
      <c r="MQL115" s="139"/>
      <c r="MQM115" s="139"/>
      <c r="MQN115" s="139"/>
      <c r="MQO115" s="139"/>
      <c r="MQP115" s="139"/>
      <c r="MQQ115" s="139"/>
      <c r="MQR115" s="139"/>
      <c r="MQS115" s="139"/>
      <c r="MQT115" s="139"/>
      <c r="MQU115" s="139"/>
      <c r="MQV115" s="139"/>
      <c r="MQW115" s="139"/>
      <c r="MQX115" s="139"/>
      <c r="MQY115" s="139"/>
      <c r="MQZ115" s="139"/>
      <c r="MRA115" s="139"/>
      <c r="MRB115" s="139"/>
      <c r="MRC115" s="139"/>
      <c r="MRD115" s="139"/>
      <c r="MRE115" s="139"/>
      <c r="MRF115" s="139"/>
      <c r="MRG115" s="139"/>
      <c r="MRH115" s="139"/>
      <c r="MRI115" s="139"/>
      <c r="MRJ115" s="139"/>
      <c r="MRK115" s="139"/>
      <c r="MRL115" s="139"/>
      <c r="MRM115" s="139"/>
      <c r="MRN115" s="139"/>
      <c r="MRO115" s="139"/>
      <c r="MRP115" s="139"/>
      <c r="MRQ115" s="139"/>
      <c r="MRR115" s="139"/>
      <c r="MRS115" s="139"/>
      <c r="MRT115" s="139"/>
      <c r="MRU115" s="139"/>
      <c r="MRV115" s="139"/>
      <c r="MRW115" s="139"/>
      <c r="MRX115" s="139"/>
      <c r="MRY115" s="139"/>
      <c r="MRZ115" s="139"/>
      <c r="MSA115" s="139"/>
      <c r="MSB115" s="139"/>
      <c r="MSC115" s="139"/>
      <c r="MSD115" s="139"/>
      <c r="MSE115" s="139"/>
      <c r="MSF115" s="139"/>
      <c r="MSG115" s="139"/>
      <c r="MSH115" s="139"/>
      <c r="MSI115" s="139"/>
      <c r="MSJ115" s="139"/>
      <c r="MSK115" s="139"/>
      <c r="MSL115" s="139"/>
      <c r="MSM115" s="139"/>
      <c r="MSN115" s="139"/>
      <c r="MSO115" s="139"/>
      <c r="MSP115" s="139"/>
      <c r="MSQ115" s="139"/>
      <c r="MSR115" s="139"/>
      <c r="MSS115" s="139"/>
      <c r="MST115" s="139"/>
      <c r="MSU115" s="139"/>
      <c r="MSV115" s="139"/>
      <c r="MSW115" s="139"/>
      <c r="MSX115" s="139"/>
      <c r="MSY115" s="139"/>
      <c r="MSZ115" s="139"/>
      <c r="MTA115" s="139"/>
      <c r="MTB115" s="139"/>
      <c r="MTC115" s="139"/>
      <c r="MTD115" s="139"/>
      <c r="MTE115" s="139"/>
      <c r="MTF115" s="139"/>
      <c r="MTG115" s="139"/>
      <c r="MTH115" s="139"/>
      <c r="MTI115" s="139"/>
      <c r="MTJ115" s="139"/>
      <c r="MTK115" s="139"/>
      <c r="MTL115" s="139"/>
      <c r="MTM115" s="139"/>
      <c r="MTN115" s="139"/>
      <c r="MTO115" s="139"/>
      <c r="MTP115" s="139"/>
      <c r="MTQ115" s="139"/>
      <c r="MTR115" s="139"/>
      <c r="MTS115" s="139"/>
      <c r="MTT115" s="139"/>
      <c r="MTU115" s="139"/>
      <c r="MTV115" s="139"/>
      <c r="MTW115" s="139"/>
      <c r="MTX115" s="139"/>
      <c r="MTY115" s="139"/>
      <c r="MTZ115" s="139"/>
      <c r="MUA115" s="139"/>
      <c r="MUB115" s="139"/>
      <c r="MUC115" s="139"/>
      <c r="MUD115" s="139"/>
      <c r="MUE115" s="139"/>
      <c r="MUF115" s="139"/>
      <c r="MUG115" s="139"/>
      <c r="MUH115" s="139"/>
      <c r="MUI115" s="139"/>
      <c r="MUJ115" s="139"/>
      <c r="MUK115" s="139"/>
      <c r="MUL115" s="139"/>
      <c r="MUM115" s="139"/>
      <c r="MUN115" s="139"/>
      <c r="MUO115" s="139"/>
      <c r="MUP115" s="139"/>
      <c r="MUQ115" s="139"/>
      <c r="MUR115" s="139"/>
      <c r="MUS115" s="139"/>
      <c r="MUT115" s="139"/>
      <c r="MUU115" s="139"/>
      <c r="MUV115" s="139"/>
      <c r="MUW115" s="139"/>
      <c r="MUX115" s="139"/>
      <c r="MUY115" s="139"/>
      <c r="MUZ115" s="139"/>
      <c r="MVA115" s="139"/>
      <c r="MVB115" s="139"/>
      <c r="MVC115" s="139"/>
      <c r="MVD115" s="139"/>
      <c r="MVE115" s="139"/>
      <c r="MVF115" s="139"/>
      <c r="MVG115" s="139"/>
      <c r="MVH115" s="139"/>
      <c r="MVI115" s="139"/>
      <c r="MVJ115" s="139"/>
      <c r="MVK115" s="139"/>
      <c r="MVL115" s="139"/>
      <c r="MVM115" s="139"/>
      <c r="MVN115" s="139"/>
      <c r="MVO115" s="139"/>
      <c r="MVP115" s="139"/>
      <c r="MVQ115" s="139"/>
      <c r="MVR115" s="139"/>
      <c r="MVS115" s="139"/>
      <c r="MVT115" s="139"/>
      <c r="MVU115" s="139"/>
      <c r="MVV115" s="139"/>
      <c r="MVW115" s="139"/>
      <c r="MVX115" s="139"/>
      <c r="MVY115" s="139"/>
      <c r="MVZ115" s="139"/>
      <c r="MWA115" s="139"/>
      <c r="MWB115" s="139"/>
      <c r="MWC115" s="139"/>
      <c r="MWD115" s="139"/>
      <c r="MWE115" s="139"/>
      <c r="MWF115" s="139"/>
      <c r="MWG115" s="139"/>
      <c r="MWH115" s="139"/>
      <c r="MWI115" s="139"/>
      <c r="MWJ115" s="139"/>
      <c r="MWK115" s="139"/>
      <c r="MWL115" s="139"/>
      <c r="MWM115" s="139"/>
      <c r="MWN115" s="139"/>
      <c r="MWO115" s="139"/>
      <c r="MWP115" s="139"/>
      <c r="MWQ115" s="139"/>
      <c r="MWR115" s="139"/>
      <c r="MWS115" s="139"/>
      <c r="MWT115" s="139"/>
      <c r="MWU115" s="139"/>
      <c r="MWV115" s="139"/>
      <c r="MWW115" s="139"/>
      <c r="MWX115" s="139"/>
      <c r="MWY115" s="139"/>
      <c r="MWZ115" s="139"/>
      <c r="MXA115" s="139"/>
      <c r="MXB115" s="139"/>
      <c r="MXC115" s="139"/>
      <c r="MXD115" s="139"/>
      <c r="MXE115" s="139"/>
      <c r="MXF115" s="139"/>
      <c r="MXG115" s="139"/>
      <c r="MXH115" s="139"/>
      <c r="MXI115" s="139"/>
      <c r="MXJ115" s="139"/>
      <c r="MXK115" s="139"/>
      <c r="MXL115" s="139"/>
      <c r="MXM115" s="139"/>
      <c r="MXN115" s="139"/>
      <c r="MXO115" s="139"/>
      <c r="MXP115" s="139"/>
      <c r="MXQ115" s="139"/>
      <c r="MXR115" s="139"/>
      <c r="MXS115" s="139"/>
      <c r="MXT115" s="139"/>
      <c r="MXU115" s="139"/>
      <c r="MXV115" s="139"/>
      <c r="MXW115" s="139"/>
      <c r="MXX115" s="139"/>
      <c r="MXY115" s="139"/>
      <c r="MXZ115" s="139"/>
      <c r="MYA115" s="139"/>
      <c r="MYB115" s="139"/>
      <c r="MYC115" s="139"/>
      <c r="MYD115" s="139"/>
      <c r="MYE115" s="139"/>
      <c r="MYF115" s="139"/>
      <c r="MYG115" s="139"/>
      <c r="MYH115" s="139"/>
      <c r="MYI115" s="139"/>
      <c r="MYJ115" s="139"/>
      <c r="MYK115" s="139"/>
      <c r="MYL115" s="139"/>
      <c r="MYM115" s="139"/>
      <c r="MYN115" s="139"/>
      <c r="MYO115" s="139"/>
      <c r="MYP115" s="139"/>
      <c r="MYQ115" s="139"/>
      <c r="MYR115" s="139"/>
      <c r="MYS115" s="139"/>
      <c r="MYT115" s="139"/>
      <c r="MYU115" s="139"/>
      <c r="MYV115" s="139"/>
      <c r="MYW115" s="139"/>
      <c r="MYX115" s="139"/>
      <c r="MYY115" s="139"/>
      <c r="MYZ115" s="139"/>
      <c r="MZA115" s="139"/>
      <c r="MZB115" s="139"/>
      <c r="MZC115" s="139"/>
      <c r="MZD115" s="139"/>
      <c r="MZE115" s="139"/>
      <c r="MZF115" s="139"/>
      <c r="MZG115" s="139"/>
      <c r="MZH115" s="139"/>
      <c r="MZI115" s="139"/>
      <c r="MZJ115" s="139"/>
      <c r="MZK115" s="139"/>
      <c r="MZL115" s="139"/>
      <c r="MZM115" s="139"/>
      <c r="MZN115" s="139"/>
      <c r="MZO115" s="139"/>
      <c r="MZP115" s="139"/>
      <c r="MZQ115" s="139"/>
      <c r="MZR115" s="139"/>
      <c r="MZS115" s="139"/>
      <c r="MZT115" s="139"/>
      <c r="MZU115" s="139"/>
      <c r="MZV115" s="139"/>
      <c r="MZW115" s="139"/>
      <c r="MZX115" s="139"/>
      <c r="MZY115" s="139"/>
      <c r="MZZ115" s="139"/>
      <c r="NAA115" s="139"/>
      <c r="NAB115" s="139"/>
      <c r="NAC115" s="139"/>
      <c r="NAD115" s="139"/>
      <c r="NAE115" s="139"/>
      <c r="NAF115" s="139"/>
      <c r="NAG115" s="139"/>
      <c r="NAH115" s="139"/>
      <c r="NAI115" s="139"/>
      <c r="NAJ115" s="139"/>
      <c r="NAK115" s="139"/>
      <c r="NAL115" s="139"/>
      <c r="NAM115" s="139"/>
      <c r="NAN115" s="139"/>
      <c r="NAO115" s="139"/>
      <c r="NAP115" s="139"/>
      <c r="NAQ115" s="139"/>
      <c r="NAR115" s="139"/>
      <c r="NAS115" s="139"/>
      <c r="NAT115" s="139"/>
      <c r="NAU115" s="139"/>
      <c r="NAV115" s="139"/>
      <c r="NAW115" s="139"/>
      <c r="NAX115" s="139"/>
      <c r="NAY115" s="139"/>
      <c r="NAZ115" s="139"/>
      <c r="NBA115" s="139"/>
      <c r="NBB115" s="139"/>
      <c r="NBC115" s="139"/>
      <c r="NBD115" s="139"/>
      <c r="NBE115" s="139"/>
      <c r="NBF115" s="139"/>
      <c r="NBG115" s="139"/>
      <c r="NBH115" s="139"/>
      <c r="NBI115" s="139"/>
      <c r="NBJ115" s="139"/>
      <c r="NBK115" s="139"/>
      <c r="NBL115" s="139"/>
      <c r="NBM115" s="139"/>
      <c r="NBN115" s="139"/>
      <c r="NBO115" s="139"/>
      <c r="NBP115" s="139"/>
      <c r="NBQ115" s="139"/>
      <c r="NBR115" s="139"/>
      <c r="NBS115" s="139"/>
      <c r="NBT115" s="139"/>
      <c r="NBU115" s="139"/>
      <c r="NBV115" s="139"/>
      <c r="NBW115" s="139"/>
      <c r="NBX115" s="139"/>
      <c r="NBY115" s="139"/>
      <c r="NBZ115" s="139"/>
      <c r="NCA115" s="139"/>
      <c r="NCB115" s="139"/>
      <c r="NCC115" s="139"/>
      <c r="NCD115" s="139"/>
      <c r="NCE115" s="139"/>
      <c r="NCF115" s="139"/>
      <c r="NCG115" s="139"/>
      <c r="NCH115" s="139"/>
      <c r="NCI115" s="139"/>
      <c r="NCJ115" s="139"/>
      <c r="NCK115" s="139"/>
      <c r="NCL115" s="139"/>
      <c r="NCM115" s="139"/>
      <c r="NCN115" s="139"/>
      <c r="NCO115" s="139"/>
      <c r="NCP115" s="139"/>
      <c r="NCQ115" s="139"/>
      <c r="NCR115" s="139"/>
      <c r="NCS115" s="139"/>
      <c r="NCT115" s="139"/>
      <c r="NCU115" s="139"/>
      <c r="NCV115" s="139"/>
      <c r="NCW115" s="139"/>
      <c r="NCX115" s="139"/>
      <c r="NCY115" s="139"/>
      <c r="NCZ115" s="139"/>
      <c r="NDA115" s="139"/>
      <c r="NDB115" s="139"/>
      <c r="NDC115" s="139"/>
      <c r="NDD115" s="139"/>
      <c r="NDE115" s="139"/>
      <c r="NDF115" s="139"/>
      <c r="NDG115" s="139"/>
      <c r="NDH115" s="139"/>
      <c r="NDI115" s="139"/>
      <c r="NDJ115" s="139"/>
      <c r="NDK115" s="139"/>
      <c r="NDL115" s="139"/>
      <c r="NDM115" s="139"/>
      <c r="NDN115" s="139"/>
      <c r="NDO115" s="139"/>
      <c r="NDP115" s="139"/>
      <c r="NDQ115" s="139"/>
      <c r="NDR115" s="139"/>
      <c r="NDS115" s="139"/>
      <c r="NDT115" s="139"/>
      <c r="NDU115" s="139"/>
      <c r="NDV115" s="139"/>
      <c r="NDW115" s="139"/>
      <c r="NDX115" s="139"/>
      <c r="NDY115" s="139"/>
      <c r="NDZ115" s="139"/>
      <c r="NEA115" s="139"/>
      <c r="NEB115" s="139"/>
      <c r="NEC115" s="139"/>
      <c r="NED115" s="139"/>
      <c r="NEE115" s="139"/>
      <c r="NEF115" s="139"/>
      <c r="NEG115" s="139"/>
      <c r="NEH115" s="139"/>
      <c r="NEI115" s="139"/>
      <c r="NEJ115" s="139"/>
      <c r="NEK115" s="139"/>
      <c r="NEL115" s="139"/>
      <c r="NEM115" s="139"/>
      <c r="NEN115" s="139"/>
      <c r="NEO115" s="139"/>
      <c r="NEP115" s="139"/>
      <c r="NEQ115" s="139"/>
      <c r="NER115" s="139"/>
      <c r="NES115" s="139"/>
      <c r="NET115" s="139"/>
      <c r="NEU115" s="139"/>
      <c r="NEV115" s="139"/>
      <c r="NEW115" s="139"/>
      <c r="NEX115" s="139"/>
      <c r="NEY115" s="139"/>
      <c r="NEZ115" s="139"/>
      <c r="NFA115" s="139"/>
      <c r="NFB115" s="139"/>
      <c r="NFC115" s="139"/>
      <c r="NFD115" s="139"/>
      <c r="NFE115" s="139"/>
      <c r="NFF115" s="139"/>
      <c r="NFG115" s="139"/>
      <c r="NFH115" s="139"/>
      <c r="NFI115" s="139"/>
      <c r="NFJ115" s="139"/>
      <c r="NFK115" s="139"/>
      <c r="NFL115" s="139"/>
      <c r="NFM115" s="139"/>
      <c r="NFN115" s="139"/>
      <c r="NFO115" s="139"/>
      <c r="NFP115" s="139"/>
      <c r="NFQ115" s="139"/>
      <c r="NFR115" s="139"/>
      <c r="NFS115" s="139"/>
      <c r="NFT115" s="139"/>
      <c r="NFU115" s="139"/>
      <c r="NFV115" s="139"/>
      <c r="NFW115" s="139"/>
      <c r="NFX115" s="139"/>
      <c r="NFY115" s="139"/>
      <c r="NFZ115" s="139"/>
      <c r="NGA115" s="139"/>
      <c r="NGB115" s="139"/>
      <c r="NGC115" s="139"/>
      <c r="NGD115" s="139"/>
      <c r="NGE115" s="139"/>
      <c r="NGF115" s="139"/>
      <c r="NGG115" s="139"/>
      <c r="NGH115" s="139"/>
      <c r="NGI115" s="139"/>
      <c r="NGJ115" s="139"/>
      <c r="NGK115" s="139"/>
      <c r="NGL115" s="139"/>
      <c r="NGM115" s="139"/>
      <c r="NGN115" s="139"/>
      <c r="NGO115" s="139"/>
      <c r="NGP115" s="139"/>
      <c r="NGQ115" s="139"/>
      <c r="NGR115" s="139"/>
      <c r="NGS115" s="139"/>
      <c r="NGT115" s="139"/>
      <c r="NGU115" s="139"/>
      <c r="NGV115" s="139"/>
      <c r="NGW115" s="139"/>
      <c r="NGX115" s="139"/>
      <c r="NGY115" s="139"/>
      <c r="NGZ115" s="139"/>
      <c r="NHA115" s="139"/>
      <c r="NHB115" s="139"/>
      <c r="NHC115" s="139"/>
      <c r="NHD115" s="139"/>
      <c r="NHE115" s="139"/>
      <c r="NHF115" s="139"/>
      <c r="NHG115" s="139"/>
      <c r="NHH115" s="139"/>
      <c r="NHI115" s="139"/>
      <c r="NHJ115" s="139"/>
      <c r="NHK115" s="139"/>
      <c r="NHL115" s="139"/>
      <c r="NHM115" s="139"/>
      <c r="NHN115" s="139"/>
      <c r="NHO115" s="139"/>
      <c r="NHP115" s="139"/>
      <c r="NHQ115" s="139"/>
      <c r="NHR115" s="139"/>
      <c r="NHS115" s="139"/>
      <c r="NHT115" s="139"/>
      <c r="NHU115" s="139"/>
      <c r="NHV115" s="139"/>
      <c r="NHW115" s="139"/>
      <c r="NHX115" s="139"/>
      <c r="NHY115" s="139"/>
      <c r="NHZ115" s="139"/>
      <c r="NIA115" s="139"/>
      <c r="NIB115" s="139"/>
      <c r="NIC115" s="139"/>
      <c r="NID115" s="139"/>
      <c r="NIE115" s="139"/>
      <c r="NIF115" s="139"/>
      <c r="NIG115" s="139"/>
      <c r="NIH115" s="139"/>
      <c r="NII115" s="139"/>
      <c r="NIJ115" s="139"/>
      <c r="NIK115" s="139"/>
      <c r="NIL115" s="139"/>
      <c r="NIM115" s="139"/>
      <c r="NIN115" s="139"/>
      <c r="NIO115" s="139"/>
      <c r="NIP115" s="139"/>
      <c r="NIQ115" s="139"/>
      <c r="NIR115" s="139"/>
      <c r="NIS115" s="139"/>
      <c r="NIT115" s="139"/>
      <c r="NIU115" s="139"/>
      <c r="NIV115" s="139"/>
      <c r="NIW115" s="139"/>
      <c r="NIX115" s="139"/>
      <c r="NIY115" s="139"/>
      <c r="NIZ115" s="139"/>
      <c r="NJA115" s="139"/>
      <c r="NJB115" s="139"/>
      <c r="NJC115" s="139"/>
      <c r="NJD115" s="139"/>
      <c r="NJE115" s="139"/>
      <c r="NJF115" s="139"/>
      <c r="NJG115" s="139"/>
      <c r="NJH115" s="139"/>
      <c r="NJI115" s="139"/>
      <c r="NJJ115" s="139"/>
      <c r="NJK115" s="139"/>
      <c r="NJL115" s="139"/>
      <c r="NJM115" s="139"/>
      <c r="NJN115" s="139"/>
      <c r="NJO115" s="139"/>
      <c r="NJP115" s="139"/>
      <c r="NJQ115" s="139"/>
      <c r="NJR115" s="139"/>
      <c r="NJS115" s="139"/>
      <c r="NJT115" s="139"/>
      <c r="NJU115" s="139"/>
      <c r="NJV115" s="139"/>
      <c r="NJW115" s="139"/>
      <c r="NJX115" s="139"/>
      <c r="NJY115" s="139"/>
      <c r="NJZ115" s="139"/>
      <c r="NKA115" s="139"/>
      <c r="NKB115" s="139"/>
      <c r="NKC115" s="139"/>
      <c r="NKD115" s="139"/>
      <c r="NKE115" s="139"/>
      <c r="NKF115" s="139"/>
      <c r="NKG115" s="139"/>
      <c r="NKH115" s="139"/>
      <c r="NKI115" s="139"/>
      <c r="NKJ115" s="139"/>
      <c r="NKK115" s="139"/>
      <c r="NKL115" s="139"/>
      <c r="NKM115" s="139"/>
      <c r="NKN115" s="139"/>
      <c r="NKO115" s="139"/>
      <c r="NKP115" s="139"/>
      <c r="NKQ115" s="139"/>
      <c r="NKR115" s="139"/>
      <c r="NKS115" s="139"/>
      <c r="NKT115" s="139"/>
      <c r="NKU115" s="139"/>
      <c r="NKV115" s="139"/>
      <c r="NKW115" s="139"/>
      <c r="NKX115" s="139"/>
      <c r="NKY115" s="139"/>
      <c r="NKZ115" s="139"/>
      <c r="NLA115" s="139"/>
      <c r="NLB115" s="139"/>
      <c r="NLC115" s="139"/>
      <c r="NLD115" s="139"/>
      <c r="NLE115" s="139"/>
      <c r="NLF115" s="139"/>
      <c r="NLG115" s="139"/>
      <c r="NLH115" s="139"/>
      <c r="NLI115" s="139"/>
      <c r="NLJ115" s="139"/>
      <c r="NLK115" s="139"/>
      <c r="NLL115" s="139"/>
      <c r="NLM115" s="139"/>
      <c r="NLN115" s="139"/>
      <c r="NLO115" s="139"/>
      <c r="NLP115" s="139"/>
      <c r="NLQ115" s="139"/>
      <c r="NLR115" s="139"/>
      <c r="NLS115" s="139"/>
      <c r="NLT115" s="139"/>
      <c r="NLU115" s="139"/>
      <c r="NLV115" s="139"/>
      <c r="NLW115" s="139"/>
      <c r="NLX115" s="139"/>
      <c r="NLY115" s="139"/>
      <c r="NLZ115" s="139"/>
      <c r="NMA115" s="139"/>
      <c r="NMB115" s="139"/>
      <c r="NMC115" s="139"/>
      <c r="NMD115" s="139"/>
      <c r="NME115" s="139"/>
      <c r="NMF115" s="139"/>
      <c r="NMG115" s="139"/>
      <c r="NMH115" s="139"/>
      <c r="NMI115" s="139"/>
      <c r="NMJ115" s="139"/>
      <c r="NMK115" s="139"/>
      <c r="NML115" s="139"/>
      <c r="NMM115" s="139"/>
      <c r="NMN115" s="139"/>
      <c r="NMO115" s="139"/>
      <c r="NMP115" s="139"/>
      <c r="NMQ115" s="139"/>
      <c r="NMR115" s="139"/>
      <c r="NMS115" s="139"/>
      <c r="NMT115" s="139"/>
      <c r="NMU115" s="139"/>
      <c r="NMV115" s="139"/>
      <c r="NMW115" s="139"/>
      <c r="NMX115" s="139"/>
      <c r="NMY115" s="139"/>
      <c r="NMZ115" s="139"/>
      <c r="NNA115" s="139"/>
      <c r="NNB115" s="139"/>
      <c r="NNC115" s="139"/>
      <c r="NND115" s="139"/>
      <c r="NNE115" s="139"/>
      <c r="NNF115" s="139"/>
      <c r="NNG115" s="139"/>
      <c r="NNH115" s="139"/>
      <c r="NNI115" s="139"/>
      <c r="NNJ115" s="139"/>
      <c r="NNK115" s="139"/>
      <c r="NNL115" s="139"/>
      <c r="NNM115" s="139"/>
      <c r="NNN115" s="139"/>
      <c r="NNO115" s="139"/>
      <c r="NNP115" s="139"/>
      <c r="NNQ115" s="139"/>
      <c r="NNR115" s="139"/>
      <c r="NNS115" s="139"/>
      <c r="NNT115" s="139"/>
      <c r="NNU115" s="139"/>
      <c r="NNV115" s="139"/>
      <c r="NNW115" s="139"/>
      <c r="NNX115" s="139"/>
      <c r="NNY115" s="139"/>
      <c r="NNZ115" s="139"/>
      <c r="NOA115" s="139"/>
      <c r="NOB115" s="139"/>
      <c r="NOC115" s="139"/>
      <c r="NOD115" s="139"/>
      <c r="NOE115" s="139"/>
      <c r="NOF115" s="139"/>
      <c r="NOG115" s="139"/>
      <c r="NOH115" s="139"/>
      <c r="NOI115" s="139"/>
      <c r="NOJ115" s="139"/>
      <c r="NOK115" s="139"/>
      <c r="NOL115" s="139"/>
      <c r="NOM115" s="139"/>
      <c r="NON115" s="139"/>
      <c r="NOO115" s="139"/>
      <c r="NOP115" s="139"/>
      <c r="NOQ115" s="139"/>
      <c r="NOR115" s="139"/>
      <c r="NOS115" s="139"/>
      <c r="NOT115" s="139"/>
      <c r="NOU115" s="139"/>
      <c r="NOV115" s="139"/>
      <c r="NOW115" s="139"/>
      <c r="NOX115" s="139"/>
      <c r="NOY115" s="139"/>
      <c r="NOZ115" s="139"/>
      <c r="NPA115" s="139"/>
      <c r="NPB115" s="139"/>
      <c r="NPC115" s="139"/>
      <c r="NPD115" s="139"/>
      <c r="NPE115" s="139"/>
      <c r="NPF115" s="139"/>
      <c r="NPG115" s="139"/>
      <c r="NPH115" s="139"/>
      <c r="NPI115" s="139"/>
      <c r="NPJ115" s="139"/>
      <c r="NPK115" s="139"/>
      <c r="NPL115" s="139"/>
      <c r="NPM115" s="139"/>
      <c r="NPN115" s="139"/>
      <c r="NPO115" s="139"/>
      <c r="NPP115" s="139"/>
      <c r="NPQ115" s="139"/>
      <c r="NPR115" s="139"/>
      <c r="NPS115" s="139"/>
      <c r="NPT115" s="139"/>
      <c r="NPU115" s="139"/>
      <c r="NPV115" s="139"/>
      <c r="NPW115" s="139"/>
      <c r="NPX115" s="139"/>
      <c r="NPY115" s="139"/>
      <c r="NPZ115" s="139"/>
      <c r="NQA115" s="139"/>
      <c r="NQB115" s="139"/>
      <c r="NQC115" s="139"/>
      <c r="NQD115" s="139"/>
      <c r="NQE115" s="139"/>
      <c r="NQF115" s="139"/>
      <c r="NQG115" s="139"/>
      <c r="NQH115" s="139"/>
      <c r="NQI115" s="139"/>
      <c r="NQJ115" s="139"/>
      <c r="NQK115" s="139"/>
      <c r="NQL115" s="139"/>
      <c r="NQM115" s="139"/>
      <c r="NQN115" s="139"/>
      <c r="NQO115" s="139"/>
      <c r="NQP115" s="139"/>
      <c r="NQQ115" s="139"/>
      <c r="NQR115" s="139"/>
      <c r="NQS115" s="139"/>
      <c r="NQT115" s="139"/>
      <c r="NQU115" s="139"/>
      <c r="NQV115" s="139"/>
      <c r="NQW115" s="139"/>
      <c r="NQX115" s="139"/>
      <c r="NQY115" s="139"/>
      <c r="NQZ115" s="139"/>
      <c r="NRA115" s="139"/>
      <c r="NRB115" s="139"/>
      <c r="NRC115" s="139"/>
      <c r="NRD115" s="139"/>
      <c r="NRE115" s="139"/>
      <c r="NRF115" s="139"/>
      <c r="NRG115" s="139"/>
      <c r="NRH115" s="139"/>
      <c r="NRI115" s="139"/>
      <c r="NRJ115" s="139"/>
      <c r="NRK115" s="139"/>
      <c r="NRL115" s="139"/>
      <c r="NRM115" s="139"/>
      <c r="NRN115" s="139"/>
      <c r="NRO115" s="139"/>
      <c r="NRP115" s="139"/>
      <c r="NRQ115" s="139"/>
      <c r="NRR115" s="139"/>
      <c r="NRS115" s="139"/>
      <c r="NRT115" s="139"/>
      <c r="NRU115" s="139"/>
      <c r="NRV115" s="139"/>
      <c r="NRW115" s="139"/>
      <c r="NRX115" s="139"/>
      <c r="NRY115" s="139"/>
      <c r="NRZ115" s="139"/>
      <c r="NSA115" s="139"/>
      <c r="NSB115" s="139"/>
      <c r="NSC115" s="139"/>
      <c r="NSD115" s="139"/>
      <c r="NSE115" s="139"/>
      <c r="NSF115" s="139"/>
      <c r="NSG115" s="139"/>
      <c r="NSH115" s="139"/>
      <c r="NSI115" s="139"/>
      <c r="NSJ115" s="139"/>
      <c r="NSK115" s="139"/>
      <c r="NSL115" s="139"/>
      <c r="NSM115" s="139"/>
      <c r="NSN115" s="139"/>
      <c r="NSO115" s="139"/>
      <c r="NSP115" s="139"/>
      <c r="NSQ115" s="139"/>
      <c r="NSR115" s="139"/>
      <c r="NSS115" s="139"/>
      <c r="NST115" s="139"/>
      <c r="NSU115" s="139"/>
      <c r="NSV115" s="139"/>
      <c r="NSW115" s="139"/>
      <c r="NSX115" s="139"/>
      <c r="NSY115" s="139"/>
      <c r="NSZ115" s="139"/>
      <c r="NTA115" s="139"/>
      <c r="NTB115" s="139"/>
      <c r="NTC115" s="139"/>
      <c r="NTD115" s="139"/>
      <c r="NTE115" s="139"/>
      <c r="NTF115" s="139"/>
      <c r="NTG115" s="139"/>
      <c r="NTH115" s="139"/>
      <c r="NTI115" s="139"/>
      <c r="NTJ115" s="139"/>
      <c r="NTK115" s="139"/>
      <c r="NTL115" s="139"/>
      <c r="NTM115" s="139"/>
      <c r="NTN115" s="139"/>
      <c r="NTO115" s="139"/>
      <c r="NTP115" s="139"/>
      <c r="NTQ115" s="139"/>
      <c r="NTR115" s="139"/>
      <c r="NTS115" s="139"/>
      <c r="NTT115" s="139"/>
      <c r="NTU115" s="139"/>
      <c r="NTV115" s="139"/>
      <c r="NTW115" s="139"/>
      <c r="NTX115" s="139"/>
      <c r="NTY115" s="139"/>
      <c r="NTZ115" s="139"/>
      <c r="NUA115" s="139"/>
      <c r="NUB115" s="139"/>
      <c r="NUC115" s="139"/>
      <c r="NUD115" s="139"/>
      <c r="NUE115" s="139"/>
      <c r="NUF115" s="139"/>
      <c r="NUG115" s="139"/>
      <c r="NUH115" s="139"/>
      <c r="NUI115" s="139"/>
      <c r="NUJ115" s="139"/>
      <c r="NUK115" s="139"/>
      <c r="NUL115" s="139"/>
      <c r="NUM115" s="139"/>
      <c r="NUN115" s="139"/>
      <c r="NUO115" s="139"/>
      <c r="NUP115" s="139"/>
      <c r="NUQ115" s="139"/>
      <c r="NUR115" s="139"/>
      <c r="NUS115" s="139"/>
      <c r="NUT115" s="139"/>
      <c r="NUU115" s="139"/>
      <c r="NUV115" s="139"/>
      <c r="NUW115" s="139"/>
      <c r="NUX115" s="139"/>
      <c r="NUY115" s="139"/>
      <c r="NUZ115" s="139"/>
      <c r="NVA115" s="139"/>
      <c r="NVB115" s="139"/>
      <c r="NVC115" s="139"/>
      <c r="NVD115" s="139"/>
      <c r="NVE115" s="139"/>
      <c r="NVF115" s="139"/>
      <c r="NVG115" s="139"/>
      <c r="NVH115" s="139"/>
      <c r="NVI115" s="139"/>
      <c r="NVJ115" s="139"/>
      <c r="NVK115" s="139"/>
      <c r="NVL115" s="139"/>
      <c r="NVM115" s="139"/>
      <c r="NVN115" s="139"/>
      <c r="NVO115" s="139"/>
      <c r="NVP115" s="139"/>
      <c r="NVQ115" s="139"/>
      <c r="NVR115" s="139"/>
      <c r="NVS115" s="139"/>
      <c r="NVT115" s="139"/>
      <c r="NVU115" s="139"/>
      <c r="NVV115" s="139"/>
      <c r="NVW115" s="139"/>
      <c r="NVX115" s="139"/>
      <c r="NVY115" s="139"/>
      <c r="NVZ115" s="139"/>
      <c r="NWA115" s="139"/>
      <c r="NWB115" s="139"/>
      <c r="NWC115" s="139"/>
      <c r="NWD115" s="139"/>
      <c r="NWE115" s="139"/>
      <c r="NWF115" s="139"/>
      <c r="NWG115" s="139"/>
      <c r="NWH115" s="139"/>
      <c r="NWI115" s="139"/>
      <c r="NWJ115" s="139"/>
      <c r="NWK115" s="139"/>
      <c r="NWL115" s="139"/>
      <c r="NWM115" s="139"/>
      <c r="NWN115" s="139"/>
      <c r="NWO115" s="139"/>
      <c r="NWP115" s="139"/>
      <c r="NWQ115" s="139"/>
      <c r="NWR115" s="139"/>
      <c r="NWS115" s="139"/>
      <c r="NWT115" s="139"/>
      <c r="NWU115" s="139"/>
      <c r="NWV115" s="139"/>
      <c r="NWW115" s="139"/>
      <c r="NWX115" s="139"/>
      <c r="NWY115" s="139"/>
      <c r="NWZ115" s="139"/>
      <c r="NXA115" s="139"/>
      <c r="NXB115" s="139"/>
      <c r="NXC115" s="139"/>
      <c r="NXD115" s="139"/>
      <c r="NXE115" s="139"/>
      <c r="NXF115" s="139"/>
      <c r="NXG115" s="139"/>
      <c r="NXH115" s="139"/>
      <c r="NXI115" s="139"/>
      <c r="NXJ115" s="139"/>
      <c r="NXK115" s="139"/>
      <c r="NXL115" s="139"/>
      <c r="NXM115" s="139"/>
      <c r="NXN115" s="139"/>
      <c r="NXO115" s="139"/>
      <c r="NXP115" s="139"/>
      <c r="NXQ115" s="139"/>
      <c r="NXR115" s="139"/>
      <c r="NXS115" s="139"/>
      <c r="NXT115" s="139"/>
      <c r="NXU115" s="139"/>
      <c r="NXV115" s="139"/>
      <c r="NXW115" s="139"/>
      <c r="NXX115" s="139"/>
      <c r="NXY115" s="139"/>
      <c r="NXZ115" s="139"/>
      <c r="NYA115" s="139"/>
      <c r="NYB115" s="139"/>
      <c r="NYC115" s="139"/>
      <c r="NYD115" s="139"/>
      <c r="NYE115" s="139"/>
      <c r="NYF115" s="139"/>
      <c r="NYG115" s="139"/>
      <c r="NYH115" s="139"/>
      <c r="NYI115" s="139"/>
      <c r="NYJ115" s="139"/>
      <c r="NYK115" s="139"/>
      <c r="NYL115" s="139"/>
      <c r="NYM115" s="139"/>
      <c r="NYN115" s="139"/>
      <c r="NYO115" s="139"/>
      <c r="NYP115" s="139"/>
      <c r="NYQ115" s="139"/>
      <c r="NYR115" s="139"/>
      <c r="NYS115" s="139"/>
      <c r="NYT115" s="139"/>
      <c r="NYU115" s="139"/>
      <c r="NYV115" s="139"/>
      <c r="NYW115" s="139"/>
      <c r="NYX115" s="139"/>
      <c r="NYY115" s="139"/>
      <c r="NYZ115" s="139"/>
      <c r="NZA115" s="139"/>
      <c r="NZB115" s="139"/>
      <c r="NZC115" s="139"/>
      <c r="NZD115" s="139"/>
      <c r="NZE115" s="139"/>
      <c r="NZF115" s="139"/>
      <c r="NZG115" s="139"/>
      <c r="NZH115" s="139"/>
      <c r="NZI115" s="139"/>
      <c r="NZJ115" s="139"/>
      <c r="NZK115" s="139"/>
      <c r="NZL115" s="139"/>
      <c r="NZM115" s="139"/>
      <c r="NZN115" s="139"/>
      <c r="NZO115" s="139"/>
      <c r="NZP115" s="139"/>
      <c r="NZQ115" s="139"/>
      <c r="NZR115" s="139"/>
      <c r="NZS115" s="139"/>
      <c r="NZT115" s="139"/>
      <c r="NZU115" s="139"/>
      <c r="NZV115" s="139"/>
      <c r="NZW115" s="139"/>
      <c r="NZX115" s="139"/>
      <c r="NZY115" s="139"/>
      <c r="NZZ115" s="139"/>
      <c r="OAA115" s="139"/>
      <c r="OAB115" s="139"/>
      <c r="OAC115" s="139"/>
      <c r="OAD115" s="139"/>
      <c r="OAE115" s="139"/>
      <c r="OAF115" s="139"/>
      <c r="OAG115" s="139"/>
      <c r="OAH115" s="139"/>
      <c r="OAI115" s="139"/>
      <c r="OAJ115" s="139"/>
      <c r="OAK115" s="139"/>
      <c r="OAL115" s="139"/>
      <c r="OAM115" s="139"/>
      <c r="OAN115" s="139"/>
      <c r="OAO115" s="139"/>
      <c r="OAP115" s="139"/>
      <c r="OAQ115" s="139"/>
      <c r="OAR115" s="139"/>
      <c r="OAS115" s="139"/>
      <c r="OAT115" s="139"/>
      <c r="OAU115" s="139"/>
      <c r="OAV115" s="139"/>
      <c r="OAW115" s="139"/>
      <c r="OAX115" s="139"/>
      <c r="OAY115" s="139"/>
      <c r="OAZ115" s="139"/>
      <c r="OBA115" s="139"/>
      <c r="OBB115" s="139"/>
      <c r="OBC115" s="139"/>
      <c r="OBD115" s="139"/>
      <c r="OBE115" s="139"/>
      <c r="OBF115" s="139"/>
      <c r="OBG115" s="139"/>
      <c r="OBH115" s="139"/>
      <c r="OBI115" s="139"/>
      <c r="OBJ115" s="139"/>
      <c r="OBK115" s="139"/>
      <c r="OBL115" s="139"/>
      <c r="OBM115" s="139"/>
      <c r="OBN115" s="139"/>
      <c r="OBO115" s="139"/>
      <c r="OBP115" s="139"/>
      <c r="OBQ115" s="139"/>
      <c r="OBR115" s="139"/>
      <c r="OBS115" s="139"/>
      <c r="OBT115" s="139"/>
      <c r="OBU115" s="139"/>
      <c r="OBV115" s="139"/>
      <c r="OBW115" s="139"/>
      <c r="OBX115" s="139"/>
      <c r="OBY115" s="139"/>
      <c r="OBZ115" s="139"/>
      <c r="OCA115" s="139"/>
      <c r="OCB115" s="139"/>
      <c r="OCC115" s="139"/>
      <c r="OCD115" s="139"/>
      <c r="OCE115" s="139"/>
      <c r="OCF115" s="139"/>
      <c r="OCG115" s="139"/>
      <c r="OCH115" s="139"/>
      <c r="OCI115" s="139"/>
      <c r="OCJ115" s="139"/>
      <c r="OCK115" s="139"/>
      <c r="OCL115" s="139"/>
      <c r="OCM115" s="139"/>
      <c r="OCN115" s="139"/>
      <c r="OCO115" s="139"/>
      <c r="OCP115" s="139"/>
      <c r="OCQ115" s="139"/>
      <c r="OCR115" s="139"/>
      <c r="OCS115" s="139"/>
      <c r="OCT115" s="139"/>
      <c r="OCU115" s="139"/>
      <c r="OCV115" s="139"/>
      <c r="OCW115" s="139"/>
      <c r="OCX115" s="139"/>
      <c r="OCY115" s="139"/>
      <c r="OCZ115" s="139"/>
      <c r="ODA115" s="139"/>
      <c r="ODB115" s="139"/>
      <c r="ODC115" s="139"/>
      <c r="ODD115" s="139"/>
      <c r="ODE115" s="139"/>
      <c r="ODF115" s="139"/>
      <c r="ODG115" s="139"/>
      <c r="ODH115" s="139"/>
      <c r="ODI115" s="139"/>
      <c r="ODJ115" s="139"/>
      <c r="ODK115" s="139"/>
      <c r="ODL115" s="139"/>
      <c r="ODM115" s="139"/>
      <c r="ODN115" s="139"/>
      <c r="ODO115" s="139"/>
      <c r="ODP115" s="139"/>
      <c r="ODQ115" s="139"/>
      <c r="ODR115" s="139"/>
      <c r="ODS115" s="139"/>
      <c r="ODT115" s="139"/>
      <c r="ODU115" s="139"/>
      <c r="ODV115" s="139"/>
      <c r="ODW115" s="139"/>
      <c r="ODX115" s="139"/>
      <c r="ODY115" s="139"/>
      <c r="ODZ115" s="139"/>
      <c r="OEA115" s="139"/>
      <c r="OEB115" s="139"/>
      <c r="OEC115" s="139"/>
      <c r="OED115" s="139"/>
      <c r="OEE115" s="139"/>
      <c r="OEF115" s="139"/>
      <c r="OEG115" s="139"/>
      <c r="OEH115" s="139"/>
      <c r="OEI115" s="139"/>
      <c r="OEJ115" s="139"/>
      <c r="OEK115" s="139"/>
      <c r="OEL115" s="139"/>
      <c r="OEM115" s="139"/>
      <c r="OEN115" s="139"/>
      <c r="OEO115" s="139"/>
      <c r="OEP115" s="139"/>
      <c r="OEQ115" s="139"/>
      <c r="OER115" s="139"/>
      <c r="OES115" s="139"/>
      <c r="OET115" s="139"/>
      <c r="OEU115" s="139"/>
      <c r="OEV115" s="139"/>
      <c r="OEW115" s="139"/>
      <c r="OEX115" s="139"/>
      <c r="OEY115" s="139"/>
      <c r="OEZ115" s="139"/>
      <c r="OFA115" s="139"/>
      <c r="OFB115" s="139"/>
      <c r="OFC115" s="139"/>
      <c r="OFD115" s="139"/>
      <c r="OFE115" s="139"/>
      <c r="OFF115" s="139"/>
      <c r="OFG115" s="139"/>
      <c r="OFH115" s="139"/>
      <c r="OFI115" s="139"/>
      <c r="OFJ115" s="139"/>
      <c r="OFK115" s="139"/>
      <c r="OFL115" s="139"/>
      <c r="OFM115" s="139"/>
      <c r="OFN115" s="139"/>
      <c r="OFO115" s="139"/>
      <c r="OFP115" s="139"/>
      <c r="OFQ115" s="139"/>
      <c r="OFR115" s="139"/>
      <c r="OFS115" s="139"/>
      <c r="OFT115" s="139"/>
      <c r="OFU115" s="139"/>
      <c r="OFV115" s="139"/>
      <c r="OFW115" s="139"/>
      <c r="OFX115" s="139"/>
      <c r="OFY115" s="139"/>
      <c r="OFZ115" s="139"/>
      <c r="OGA115" s="139"/>
      <c r="OGB115" s="139"/>
      <c r="OGC115" s="139"/>
      <c r="OGD115" s="139"/>
      <c r="OGE115" s="139"/>
      <c r="OGF115" s="139"/>
      <c r="OGG115" s="139"/>
      <c r="OGH115" s="139"/>
      <c r="OGI115" s="139"/>
      <c r="OGJ115" s="139"/>
      <c r="OGK115" s="139"/>
      <c r="OGL115" s="139"/>
      <c r="OGM115" s="139"/>
      <c r="OGN115" s="139"/>
      <c r="OGO115" s="139"/>
      <c r="OGP115" s="139"/>
      <c r="OGQ115" s="139"/>
      <c r="OGR115" s="139"/>
      <c r="OGS115" s="139"/>
      <c r="OGT115" s="139"/>
      <c r="OGU115" s="139"/>
      <c r="OGV115" s="139"/>
      <c r="OGW115" s="139"/>
      <c r="OGX115" s="139"/>
      <c r="OGY115" s="139"/>
      <c r="OGZ115" s="139"/>
      <c r="OHA115" s="139"/>
      <c r="OHB115" s="139"/>
      <c r="OHC115" s="139"/>
      <c r="OHD115" s="139"/>
      <c r="OHE115" s="139"/>
      <c r="OHF115" s="139"/>
      <c r="OHG115" s="139"/>
      <c r="OHH115" s="139"/>
      <c r="OHI115" s="139"/>
      <c r="OHJ115" s="139"/>
      <c r="OHK115" s="139"/>
      <c r="OHL115" s="139"/>
      <c r="OHM115" s="139"/>
      <c r="OHN115" s="139"/>
      <c r="OHO115" s="139"/>
      <c r="OHP115" s="139"/>
      <c r="OHQ115" s="139"/>
      <c r="OHR115" s="139"/>
      <c r="OHS115" s="139"/>
      <c r="OHT115" s="139"/>
      <c r="OHU115" s="139"/>
      <c r="OHV115" s="139"/>
      <c r="OHW115" s="139"/>
      <c r="OHX115" s="139"/>
      <c r="OHY115" s="139"/>
      <c r="OHZ115" s="139"/>
      <c r="OIA115" s="139"/>
      <c r="OIB115" s="139"/>
      <c r="OIC115" s="139"/>
      <c r="OID115" s="139"/>
      <c r="OIE115" s="139"/>
      <c r="OIF115" s="139"/>
      <c r="OIG115" s="139"/>
      <c r="OIH115" s="139"/>
      <c r="OII115" s="139"/>
      <c r="OIJ115" s="139"/>
      <c r="OIK115" s="139"/>
      <c r="OIL115" s="139"/>
      <c r="OIM115" s="139"/>
      <c r="OIN115" s="139"/>
      <c r="OIO115" s="139"/>
      <c r="OIP115" s="139"/>
      <c r="OIQ115" s="139"/>
      <c r="OIR115" s="139"/>
      <c r="OIS115" s="139"/>
      <c r="OIT115" s="139"/>
      <c r="OIU115" s="139"/>
      <c r="OIV115" s="139"/>
      <c r="OIW115" s="139"/>
      <c r="OIX115" s="139"/>
      <c r="OIY115" s="139"/>
      <c r="OIZ115" s="139"/>
      <c r="OJA115" s="139"/>
      <c r="OJB115" s="139"/>
      <c r="OJC115" s="139"/>
      <c r="OJD115" s="139"/>
      <c r="OJE115" s="139"/>
      <c r="OJF115" s="139"/>
      <c r="OJG115" s="139"/>
      <c r="OJH115" s="139"/>
      <c r="OJI115" s="139"/>
      <c r="OJJ115" s="139"/>
      <c r="OJK115" s="139"/>
      <c r="OJL115" s="139"/>
      <c r="OJM115" s="139"/>
      <c r="OJN115" s="139"/>
      <c r="OJO115" s="139"/>
      <c r="OJP115" s="139"/>
      <c r="OJQ115" s="139"/>
      <c r="OJR115" s="139"/>
      <c r="OJS115" s="139"/>
      <c r="OJT115" s="139"/>
      <c r="OJU115" s="139"/>
      <c r="OJV115" s="139"/>
      <c r="OJW115" s="139"/>
      <c r="OJX115" s="139"/>
      <c r="OJY115" s="139"/>
      <c r="OJZ115" s="139"/>
      <c r="OKA115" s="139"/>
      <c r="OKB115" s="139"/>
      <c r="OKC115" s="139"/>
      <c r="OKD115" s="139"/>
      <c r="OKE115" s="139"/>
      <c r="OKF115" s="139"/>
      <c r="OKG115" s="139"/>
      <c r="OKH115" s="139"/>
      <c r="OKI115" s="139"/>
      <c r="OKJ115" s="139"/>
      <c r="OKK115" s="139"/>
      <c r="OKL115" s="139"/>
      <c r="OKM115" s="139"/>
      <c r="OKN115" s="139"/>
      <c r="OKO115" s="139"/>
      <c r="OKP115" s="139"/>
      <c r="OKQ115" s="139"/>
      <c r="OKR115" s="139"/>
      <c r="OKS115" s="139"/>
      <c r="OKT115" s="139"/>
      <c r="OKU115" s="139"/>
      <c r="OKV115" s="139"/>
      <c r="OKW115" s="139"/>
      <c r="OKX115" s="139"/>
      <c r="OKY115" s="139"/>
      <c r="OKZ115" s="139"/>
      <c r="OLA115" s="139"/>
      <c r="OLB115" s="139"/>
      <c r="OLC115" s="139"/>
      <c r="OLD115" s="139"/>
      <c r="OLE115" s="139"/>
      <c r="OLF115" s="139"/>
      <c r="OLG115" s="139"/>
      <c r="OLH115" s="139"/>
      <c r="OLI115" s="139"/>
      <c r="OLJ115" s="139"/>
      <c r="OLK115" s="139"/>
      <c r="OLL115" s="139"/>
      <c r="OLM115" s="139"/>
      <c r="OLN115" s="139"/>
      <c r="OLO115" s="139"/>
      <c r="OLP115" s="139"/>
      <c r="OLQ115" s="139"/>
      <c r="OLR115" s="139"/>
      <c r="OLS115" s="139"/>
      <c r="OLT115" s="139"/>
      <c r="OLU115" s="139"/>
      <c r="OLV115" s="139"/>
      <c r="OLW115" s="139"/>
      <c r="OLX115" s="139"/>
      <c r="OLY115" s="139"/>
      <c r="OLZ115" s="139"/>
      <c r="OMA115" s="139"/>
      <c r="OMB115" s="139"/>
      <c r="OMC115" s="139"/>
      <c r="OMD115" s="139"/>
      <c r="OME115" s="139"/>
      <c r="OMF115" s="139"/>
      <c r="OMG115" s="139"/>
      <c r="OMH115" s="139"/>
      <c r="OMI115" s="139"/>
      <c r="OMJ115" s="139"/>
      <c r="OMK115" s="139"/>
      <c r="OML115" s="139"/>
      <c r="OMM115" s="139"/>
      <c r="OMN115" s="139"/>
      <c r="OMO115" s="139"/>
      <c r="OMP115" s="139"/>
      <c r="OMQ115" s="139"/>
      <c r="OMR115" s="139"/>
      <c r="OMS115" s="139"/>
      <c r="OMT115" s="139"/>
      <c r="OMU115" s="139"/>
      <c r="OMV115" s="139"/>
      <c r="OMW115" s="139"/>
      <c r="OMX115" s="139"/>
      <c r="OMY115" s="139"/>
      <c r="OMZ115" s="139"/>
      <c r="ONA115" s="139"/>
      <c r="ONB115" s="139"/>
      <c r="ONC115" s="139"/>
      <c r="OND115" s="139"/>
      <c r="ONE115" s="139"/>
      <c r="ONF115" s="139"/>
      <c r="ONG115" s="139"/>
      <c r="ONH115" s="139"/>
      <c r="ONI115" s="139"/>
      <c r="ONJ115" s="139"/>
      <c r="ONK115" s="139"/>
      <c r="ONL115" s="139"/>
      <c r="ONM115" s="139"/>
      <c r="ONN115" s="139"/>
      <c r="ONO115" s="139"/>
      <c r="ONP115" s="139"/>
      <c r="ONQ115" s="139"/>
      <c r="ONR115" s="139"/>
      <c r="ONS115" s="139"/>
      <c r="ONT115" s="139"/>
      <c r="ONU115" s="139"/>
      <c r="ONV115" s="139"/>
      <c r="ONW115" s="139"/>
      <c r="ONX115" s="139"/>
      <c r="ONY115" s="139"/>
      <c r="ONZ115" s="139"/>
      <c r="OOA115" s="139"/>
      <c r="OOB115" s="139"/>
      <c r="OOC115" s="139"/>
      <c r="OOD115" s="139"/>
      <c r="OOE115" s="139"/>
      <c r="OOF115" s="139"/>
      <c r="OOG115" s="139"/>
      <c r="OOH115" s="139"/>
      <c r="OOI115" s="139"/>
      <c r="OOJ115" s="139"/>
      <c r="OOK115" s="139"/>
      <c r="OOL115" s="139"/>
      <c r="OOM115" s="139"/>
      <c r="OON115" s="139"/>
      <c r="OOO115" s="139"/>
      <c r="OOP115" s="139"/>
      <c r="OOQ115" s="139"/>
      <c r="OOR115" s="139"/>
      <c r="OOS115" s="139"/>
      <c r="OOT115" s="139"/>
      <c r="OOU115" s="139"/>
      <c r="OOV115" s="139"/>
      <c r="OOW115" s="139"/>
      <c r="OOX115" s="139"/>
      <c r="OOY115" s="139"/>
      <c r="OOZ115" s="139"/>
      <c r="OPA115" s="139"/>
      <c r="OPB115" s="139"/>
      <c r="OPC115" s="139"/>
      <c r="OPD115" s="139"/>
      <c r="OPE115" s="139"/>
      <c r="OPF115" s="139"/>
      <c r="OPG115" s="139"/>
      <c r="OPH115" s="139"/>
      <c r="OPI115" s="139"/>
      <c r="OPJ115" s="139"/>
      <c r="OPK115" s="139"/>
      <c r="OPL115" s="139"/>
      <c r="OPM115" s="139"/>
      <c r="OPN115" s="139"/>
      <c r="OPO115" s="139"/>
      <c r="OPP115" s="139"/>
      <c r="OPQ115" s="139"/>
      <c r="OPR115" s="139"/>
      <c r="OPS115" s="139"/>
      <c r="OPT115" s="139"/>
      <c r="OPU115" s="139"/>
      <c r="OPV115" s="139"/>
      <c r="OPW115" s="139"/>
      <c r="OPX115" s="139"/>
      <c r="OPY115" s="139"/>
      <c r="OPZ115" s="139"/>
      <c r="OQA115" s="139"/>
      <c r="OQB115" s="139"/>
      <c r="OQC115" s="139"/>
      <c r="OQD115" s="139"/>
      <c r="OQE115" s="139"/>
      <c r="OQF115" s="139"/>
      <c r="OQG115" s="139"/>
      <c r="OQH115" s="139"/>
      <c r="OQI115" s="139"/>
      <c r="OQJ115" s="139"/>
      <c r="OQK115" s="139"/>
      <c r="OQL115" s="139"/>
      <c r="OQM115" s="139"/>
      <c r="OQN115" s="139"/>
      <c r="OQO115" s="139"/>
      <c r="OQP115" s="139"/>
      <c r="OQQ115" s="139"/>
      <c r="OQR115" s="139"/>
      <c r="OQS115" s="139"/>
      <c r="OQT115" s="139"/>
      <c r="OQU115" s="139"/>
      <c r="OQV115" s="139"/>
      <c r="OQW115" s="139"/>
      <c r="OQX115" s="139"/>
      <c r="OQY115" s="139"/>
      <c r="OQZ115" s="139"/>
      <c r="ORA115" s="139"/>
      <c r="ORB115" s="139"/>
      <c r="ORC115" s="139"/>
      <c r="ORD115" s="139"/>
      <c r="ORE115" s="139"/>
      <c r="ORF115" s="139"/>
      <c r="ORG115" s="139"/>
      <c r="ORH115" s="139"/>
      <c r="ORI115" s="139"/>
      <c r="ORJ115" s="139"/>
      <c r="ORK115" s="139"/>
      <c r="ORL115" s="139"/>
      <c r="ORM115" s="139"/>
      <c r="ORN115" s="139"/>
      <c r="ORO115" s="139"/>
      <c r="ORP115" s="139"/>
      <c r="ORQ115" s="139"/>
      <c r="ORR115" s="139"/>
      <c r="ORS115" s="139"/>
      <c r="ORT115" s="139"/>
      <c r="ORU115" s="139"/>
      <c r="ORV115" s="139"/>
      <c r="ORW115" s="139"/>
      <c r="ORX115" s="139"/>
      <c r="ORY115" s="139"/>
      <c r="ORZ115" s="139"/>
      <c r="OSA115" s="139"/>
      <c r="OSB115" s="139"/>
      <c r="OSC115" s="139"/>
      <c r="OSD115" s="139"/>
      <c r="OSE115" s="139"/>
      <c r="OSF115" s="139"/>
      <c r="OSG115" s="139"/>
      <c r="OSH115" s="139"/>
      <c r="OSI115" s="139"/>
      <c r="OSJ115" s="139"/>
      <c r="OSK115" s="139"/>
      <c r="OSL115" s="139"/>
      <c r="OSM115" s="139"/>
      <c r="OSN115" s="139"/>
      <c r="OSO115" s="139"/>
      <c r="OSP115" s="139"/>
      <c r="OSQ115" s="139"/>
      <c r="OSR115" s="139"/>
      <c r="OSS115" s="139"/>
      <c r="OST115" s="139"/>
      <c r="OSU115" s="139"/>
      <c r="OSV115" s="139"/>
      <c r="OSW115" s="139"/>
      <c r="OSX115" s="139"/>
      <c r="OSY115" s="139"/>
      <c r="OSZ115" s="139"/>
      <c r="OTA115" s="139"/>
      <c r="OTB115" s="139"/>
      <c r="OTC115" s="139"/>
      <c r="OTD115" s="139"/>
      <c r="OTE115" s="139"/>
      <c r="OTF115" s="139"/>
      <c r="OTG115" s="139"/>
      <c r="OTH115" s="139"/>
      <c r="OTI115" s="139"/>
      <c r="OTJ115" s="139"/>
      <c r="OTK115" s="139"/>
      <c r="OTL115" s="139"/>
      <c r="OTM115" s="139"/>
      <c r="OTN115" s="139"/>
      <c r="OTO115" s="139"/>
      <c r="OTP115" s="139"/>
      <c r="OTQ115" s="139"/>
      <c r="OTR115" s="139"/>
      <c r="OTS115" s="139"/>
      <c r="OTT115" s="139"/>
      <c r="OTU115" s="139"/>
      <c r="OTV115" s="139"/>
      <c r="OTW115" s="139"/>
      <c r="OTX115" s="139"/>
      <c r="OTY115" s="139"/>
      <c r="OTZ115" s="139"/>
      <c r="OUA115" s="139"/>
      <c r="OUB115" s="139"/>
      <c r="OUC115" s="139"/>
      <c r="OUD115" s="139"/>
      <c r="OUE115" s="139"/>
      <c r="OUF115" s="139"/>
      <c r="OUG115" s="139"/>
      <c r="OUH115" s="139"/>
      <c r="OUI115" s="139"/>
      <c r="OUJ115" s="139"/>
      <c r="OUK115" s="139"/>
      <c r="OUL115" s="139"/>
      <c r="OUM115" s="139"/>
      <c r="OUN115" s="139"/>
      <c r="OUO115" s="139"/>
      <c r="OUP115" s="139"/>
      <c r="OUQ115" s="139"/>
      <c r="OUR115" s="139"/>
      <c r="OUS115" s="139"/>
      <c r="OUT115" s="139"/>
      <c r="OUU115" s="139"/>
      <c r="OUV115" s="139"/>
      <c r="OUW115" s="139"/>
      <c r="OUX115" s="139"/>
      <c r="OUY115" s="139"/>
      <c r="OUZ115" s="139"/>
      <c r="OVA115" s="139"/>
      <c r="OVB115" s="139"/>
      <c r="OVC115" s="139"/>
      <c r="OVD115" s="139"/>
      <c r="OVE115" s="139"/>
      <c r="OVF115" s="139"/>
      <c r="OVG115" s="139"/>
      <c r="OVH115" s="139"/>
      <c r="OVI115" s="139"/>
      <c r="OVJ115" s="139"/>
      <c r="OVK115" s="139"/>
      <c r="OVL115" s="139"/>
      <c r="OVM115" s="139"/>
      <c r="OVN115" s="139"/>
      <c r="OVO115" s="139"/>
      <c r="OVP115" s="139"/>
      <c r="OVQ115" s="139"/>
      <c r="OVR115" s="139"/>
      <c r="OVS115" s="139"/>
      <c r="OVT115" s="139"/>
      <c r="OVU115" s="139"/>
      <c r="OVV115" s="139"/>
      <c r="OVW115" s="139"/>
      <c r="OVX115" s="139"/>
      <c r="OVY115" s="139"/>
      <c r="OVZ115" s="139"/>
      <c r="OWA115" s="139"/>
      <c r="OWB115" s="139"/>
      <c r="OWC115" s="139"/>
      <c r="OWD115" s="139"/>
      <c r="OWE115" s="139"/>
      <c r="OWF115" s="139"/>
      <c r="OWG115" s="139"/>
      <c r="OWH115" s="139"/>
      <c r="OWI115" s="139"/>
      <c r="OWJ115" s="139"/>
      <c r="OWK115" s="139"/>
      <c r="OWL115" s="139"/>
      <c r="OWM115" s="139"/>
      <c r="OWN115" s="139"/>
      <c r="OWO115" s="139"/>
      <c r="OWP115" s="139"/>
      <c r="OWQ115" s="139"/>
      <c r="OWR115" s="139"/>
      <c r="OWS115" s="139"/>
      <c r="OWT115" s="139"/>
      <c r="OWU115" s="139"/>
      <c r="OWV115" s="139"/>
      <c r="OWW115" s="139"/>
      <c r="OWX115" s="139"/>
      <c r="OWY115" s="139"/>
      <c r="OWZ115" s="139"/>
      <c r="OXA115" s="139"/>
      <c r="OXB115" s="139"/>
      <c r="OXC115" s="139"/>
      <c r="OXD115" s="139"/>
      <c r="OXE115" s="139"/>
      <c r="OXF115" s="139"/>
      <c r="OXG115" s="139"/>
      <c r="OXH115" s="139"/>
      <c r="OXI115" s="139"/>
      <c r="OXJ115" s="139"/>
      <c r="OXK115" s="139"/>
      <c r="OXL115" s="139"/>
      <c r="OXM115" s="139"/>
      <c r="OXN115" s="139"/>
      <c r="OXO115" s="139"/>
      <c r="OXP115" s="139"/>
      <c r="OXQ115" s="139"/>
      <c r="OXR115" s="139"/>
      <c r="OXS115" s="139"/>
      <c r="OXT115" s="139"/>
      <c r="OXU115" s="139"/>
      <c r="OXV115" s="139"/>
      <c r="OXW115" s="139"/>
      <c r="OXX115" s="139"/>
      <c r="OXY115" s="139"/>
      <c r="OXZ115" s="139"/>
      <c r="OYA115" s="139"/>
      <c r="OYB115" s="139"/>
      <c r="OYC115" s="139"/>
      <c r="OYD115" s="139"/>
      <c r="OYE115" s="139"/>
      <c r="OYF115" s="139"/>
      <c r="OYG115" s="139"/>
      <c r="OYH115" s="139"/>
      <c r="OYI115" s="139"/>
      <c r="OYJ115" s="139"/>
      <c r="OYK115" s="139"/>
      <c r="OYL115" s="139"/>
      <c r="OYM115" s="139"/>
      <c r="OYN115" s="139"/>
      <c r="OYO115" s="139"/>
      <c r="OYP115" s="139"/>
      <c r="OYQ115" s="139"/>
      <c r="OYR115" s="139"/>
      <c r="OYS115" s="139"/>
      <c r="OYT115" s="139"/>
      <c r="OYU115" s="139"/>
      <c r="OYV115" s="139"/>
      <c r="OYW115" s="139"/>
      <c r="OYX115" s="139"/>
      <c r="OYY115" s="139"/>
      <c r="OYZ115" s="139"/>
      <c r="OZA115" s="139"/>
      <c r="OZB115" s="139"/>
      <c r="OZC115" s="139"/>
      <c r="OZD115" s="139"/>
      <c r="OZE115" s="139"/>
      <c r="OZF115" s="139"/>
      <c r="OZG115" s="139"/>
      <c r="OZH115" s="139"/>
      <c r="OZI115" s="139"/>
      <c r="OZJ115" s="139"/>
      <c r="OZK115" s="139"/>
      <c r="OZL115" s="139"/>
      <c r="OZM115" s="139"/>
      <c r="OZN115" s="139"/>
      <c r="OZO115" s="139"/>
      <c r="OZP115" s="139"/>
      <c r="OZQ115" s="139"/>
      <c r="OZR115" s="139"/>
      <c r="OZS115" s="139"/>
      <c r="OZT115" s="139"/>
      <c r="OZU115" s="139"/>
      <c r="OZV115" s="139"/>
      <c r="OZW115" s="139"/>
      <c r="OZX115" s="139"/>
      <c r="OZY115" s="139"/>
      <c r="OZZ115" s="139"/>
      <c r="PAA115" s="139"/>
      <c r="PAB115" s="139"/>
      <c r="PAC115" s="139"/>
      <c r="PAD115" s="139"/>
      <c r="PAE115" s="139"/>
      <c r="PAF115" s="139"/>
      <c r="PAG115" s="139"/>
      <c r="PAH115" s="139"/>
      <c r="PAI115" s="139"/>
      <c r="PAJ115" s="139"/>
      <c r="PAK115" s="139"/>
      <c r="PAL115" s="139"/>
      <c r="PAM115" s="139"/>
      <c r="PAN115" s="139"/>
      <c r="PAO115" s="139"/>
      <c r="PAP115" s="139"/>
      <c r="PAQ115" s="139"/>
      <c r="PAR115" s="139"/>
      <c r="PAS115" s="139"/>
      <c r="PAT115" s="139"/>
      <c r="PAU115" s="139"/>
      <c r="PAV115" s="139"/>
      <c r="PAW115" s="139"/>
      <c r="PAX115" s="139"/>
      <c r="PAY115" s="139"/>
      <c r="PAZ115" s="139"/>
      <c r="PBA115" s="139"/>
      <c r="PBB115" s="139"/>
      <c r="PBC115" s="139"/>
      <c r="PBD115" s="139"/>
      <c r="PBE115" s="139"/>
      <c r="PBF115" s="139"/>
      <c r="PBG115" s="139"/>
      <c r="PBH115" s="139"/>
      <c r="PBI115" s="139"/>
      <c r="PBJ115" s="139"/>
      <c r="PBK115" s="139"/>
      <c r="PBL115" s="139"/>
      <c r="PBM115" s="139"/>
      <c r="PBN115" s="139"/>
      <c r="PBO115" s="139"/>
      <c r="PBP115" s="139"/>
      <c r="PBQ115" s="139"/>
      <c r="PBR115" s="139"/>
      <c r="PBS115" s="139"/>
      <c r="PBT115" s="139"/>
      <c r="PBU115" s="139"/>
      <c r="PBV115" s="139"/>
      <c r="PBW115" s="139"/>
      <c r="PBX115" s="139"/>
      <c r="PBY115" s="139"/>
      <c r="PBZ115" s="139"/>
      <c r="PCA115" s="139"/>
      <c r="PCB115" s="139"/>
      <c r="PCC115" s="139"/>
      <c r="PCD115" s="139"/>
      <c r="PCE115" s="139"/>
      <c r="PCF115" s="139"/>
      <c r="PCG115" s="139"/>
      <c r="PCH115" s="139"/>
      <c r="PCI115" s="139"/>
      <c r="PCJ115" s="139"/>
      <c r="PCK115" s="139"/>
      <c r="PCL115" s="139"/>
      <c r="PCM115" s="139"/>
      <c r="PCN115" s="139"/>
      <c r="PCO115" s="139"/>
      <c r="PCP115" s="139"/>
      <c r="PCQ115" s="139"/>
      <c r="PCR115" s="139"/>
      <c r="PCS115" s="139"/>
      <c r="PCT115" s="139"/>
      <c r="PCU115" s="139"/>
      <c r="PCV115" s="139"/>
      <c r="PCW115" s="139"/>
      <c r="PCX115" s="139"/>
      <c r="PCY115" s="139"/>
      <c r="PCZ115" s="139"/>
      <c r="PDA115" s="139"/>
      <c r="PDB115" s="139"/>
      <c r="PDC115" s="139"/>
      <c r="PDD115" s="139"/>
      <c r="PDE115" s="139"/>
      <c r="PDF115" s="139"/>
      <c r="PDG115" s="139"/>
      <c r="PDH115" s="139"/>
      <c r="PDI115" s="139"/>
      <c r="PDJ115" s="139"/>
      <c r="PDK115" s="139"/>
      <c r="PDL115" s="139"/>
      <c r="PDM115" s="139"/>
      <c r="PDN115" s="139"/>
      <c r="PDO115" s="139"/>
      <c r="PDP115" s="139"/>
      <c r="PDQ115" s="139"/>
      <c r="PDR115" s="139"/>
      <c r="PDS115" s="139"/>
      <c r="PDT115" s="139"/>
      <c r="PDU115" s="139"/>
      <c r="PDV115" s="139"/>
      <c r="PDW115" s="139"/>
      <c r="PDX115" s="139"/>
      <c r="PDY115" s="139"/>
      <c r="PDZ115" s="139"/>
      <c r="PEA115" s="139"/>
      <c r="PEB115" s="139"/>
      <c r="PEC115" s="139"/>
      <c r="PED115" s="139"/>
      <c r="PEE115" s="139"/>
      <c r="PEF115" s="139"/>
      <c r="PEG115" s="139"/>
      <c r="PEH115" s="139"/>
      <c r="PEI115" s="139"/>
      <c r="PEJ115" s="139"/>
      <c r="PEK115" s="139"/>
      <c r="PEL115" s="139"/>
      <c r="PEM115" s="139"/>
      <c r="PEN115" s="139"/>
      <c r="PEO115" s="139"/>
      <c r="PEP115" s="139"/>
      <c r="PEQ115" s="139"/>
      <c r="PER115" s="139"/>
      <c r="PES115" s="139"/>
      <c r="PET115" s="139"/>
      <c r="PEU115" s="139"/>
      <c r="PEV115" s="139"/>
      <c r="PEW115" s="139"/>
      <c r="PEX115" s="139"/>
      <c r="PEY115" s="139"/>
      <c r="PEZ115" s="139"/>
      <c r="PFA115" s="139"/>
      <c r="PFB115" s="139"/>
      <c r="PFC115" s="139"/>
      <c r="PFD115" s="139"/>
      <c r="PFE115" s="139"/>
      <c r="PFF115" s="139"/>
      <c r="PFG115" s="139"/>
      <c r="PFH115" s="139"/>
      <c r="PFI115" s="139"/>
      <c r="PFJ115" s="139"/>
      <c r="PFK115" s="139"/>
      <c r="PFL115" s="139"/>
      <c r="PFM115" s="139"/>
      <c r="PFN115" s="139"/>
      <c r="PFO115" s="139"/>
      <c r="PFP115" s="139"/>
      <c r="PFQ115" s="139"/>
      <c r="PFR115" s="139"/>
      <c r="PFS115" s="139"/>
      <c r="PFT115" s="139"/>
      <c r="PFU115" s="139"/>
      <c r="PFV115" s="139"/>
      <c r="PFW115" s="139"/>
      <c r="PFX115" s="139"/>
      <c r="PFY115" s="139"/>
      <c r="PFZ115" s="139"/>
      <c r="PGA115" s="139"/>
      <c r="PGB115" s="139"/>
      <c r="PGC115" s="139"/>
      <c r="PGD115" s="139"/>
      <c r="PGE115" s="139"/>
      <c r="PGF115" s="139"/>
      <c r="PGG115" s="139"/>
      <c r="PGH115" s="139"/>
      <c r="PGI115" s="139"/>
      <c r="PGJ115" s="139"/>
      <c r="PGK115" s="139"/>
      <c r="PGL115" s="139"/>
      <c r="PGM115" s="139"/>
      <c r="PGN115" s="139"/>
      <c r="PGO115" s="139"/>
      <c r="PGP115" s="139"/>
      <c r="PGQ115" s="139"/>
      <c r="PGR115" s="139"/>
      <c r="PGS115" s="139"/>
      <c r="PGT115" s="139"/>
      <c r="PGU115" s="139"/>
      <c r="PGV115" s="139"/>
      <c r="PGW115" s="139"/>
      <c r="PGX115" s="139"/>
      <c r="PGY115" s="139"/>
      <c r="PGZ115" s="139"/>
      <c r="PHA115" s="139"/>
      <c r="PHB115" s="139"/>
      <c r="PHC115" s="139"/>
      <c r="PHD115" s="139"/>
      <c r="PHE115" s="139"/>
      <c r="PHF115" s="139"/>
      <c r="PHG115" s="139"/>
      <c r="PHH115" s="139"/>
      <c r="PHI115" s="139"/>
      <c r="PHJ115" s="139"/>
      <c r="PHK115" s="139"/>
      <c r="PHL115" s="139"/>
      <c r="PHM115" s="139"/>
      <c r="PHN115" s="139"/>
      <c r="PHO115" s="139"/>
      <c r="PHP115" s="139"/>
      <c r="PHQ115" s="139"/>
      <c r="PHR115" s="139"/>
      <c r="PHS115" s="139"/>
      <c r="PHT115" s="139"/>
      <c r="PHU115" s="139"/>
      <c r="PHV115" s="139"/>
      <c r="PHW115" s="139"/>
      <c r="PHX115" s="139"/>
      <c r="PHY115" s="139"/>
      <c r="PHZ115" s="139"/>
      <c r="PIA115" s="139"/>
      <c r="PIB115" s="139"/>
      <c r="PIC115" s="139"/>
      <c r="PID115" s="139"/>
      <c r="PIE115" s="139"/>
      <c r="PIF115" s="139"/>
      <c r="PIG115" s="139"/>
      <c r="PIH115" s="139"/>
      <c r="PII115" s="139"/>
      <c r="PIJ115" s="139"/>
      <c r="PIK115" s="139"/>
      <c r="PIL115" s="139"/>
      <c r="PIM115" s="139"/>
      <c r="PIN115" s="139"/>
      <c r="PIO115" s="139"/>
      <c r="PIP115" s="139"/>
      <c r="PIQ115" s="139"/>
      <c r="PIR115" s="139"/>
      <c r="PIS115" s="139"/>
      <c r="PIT115" s="139"/>
      <c r="PIU115" s="139"/>
      <c r="PIV115" s="139"/>
      <c r="PIW115" s="139"/>
      <c r="PIX115" s="139"/>
      <c r="PIY115" s="139"/>
      <c r="PIZ115" s="139"/>
      <c r="PJA115" s="139"/>
      <c r="PJB115" s="139"/>
      <c r="PJC115" s="139"/>
      <c r="PJD115" s="139"/>
      <c r="PJE115" s="139"/>
      <c r="PJF115" s="139"/>
      <c r="PJG115" s="139"/>
      <c r="PJH115" s="139"/>
      <c r="PJI115" s="139"/>
      <c r="PJJ115" s="139"/>
      <c r="PJK115" s="139"/>
      <c r="PJL115" s="139"/>
      <c r="PJM115" s="139"/>
      <c r="PJN115" s="139"/>
      <c r="PJO115" s="139"/>
      <c r="PJP115" s="139"/>
      <c r="PJQ115" s="139"/>
      <c r="PJR115" s="139"/>
      <c r="PJS115" s="139"/>
      <c r="PJT115" s="139"/>
      <c r="PJU115" s="139"/>
      <c r="PJV115" s="139"/>
      <c r="PJW115" s="139"/>
      <c r="PJX115" s="139"/>
      <c r="PJY115" s="139"/>
      <c r="PJZ115" s="139"/>
      <c r="PKA115" s="139"/>
      <c r="PKB115" s="139"/>
      <c r="PKC115" s="139"/>
      <c r="PKD115" s="139"/>
      <c r="PKE115" s="139"/>
      <c r="PKF115" s="139"/>
      <c r="PKG115" s="139"/>
      <c r="PKH115" s="139"/>
      <c r="PKI115" s="139"/>
      <c r="PKJ115" s="139"/>
      <c r="PKK115" s="139"/>
      <c r="PKL115" s="139"/>
      <c r="PKM115" s="139"/>
      <c r="PKN115" s="139"/>
      <c r="PKO115" s="139"/>
      <c r="PKP115" s="139"/>
      <c r="PKQ115" s="139"/>
      <c r="PKR115" s="139"/>
      <c r="PKS115" s="139"/>
      <c r="PKT115" s="139"/>
      <c r="PKU115" s="139"/>
      <c r="PKV115" s="139"/>
      <c r="PKW115" s="139"/>
      <c r="PKX115" s="139"/>
      <c r="PKY115" s="139"/>
      <c r="PKZ115" s="139"/>
      <c r="PLA115" s="139"/>
      <c r="PLB115" s="139"/>
      <c r="PLC115" s="139"/>
      <c r="PLD115" s="139"/>
      <c r="PLE115" s="139"/>
      <c r="PLF115" s="139"/>
      <c r="PLG115" s="139"/>
      <c r="PLH115" s="139"/>
      <c r="PLI115" s="139"/>
      <c r="PLJ115" s="139"/>
      <c r="PLK115" s="139"/>
      <c r="PLL115" s="139"/>
      <c r="PLM115" s="139"/>
      <c r="PLN115" s="139"/>
      <c r="PLO115" s="139"/>
      <c r="PLP115" s="139"/>
      <c r="PLQ115" s="139"/>
      <c r="PLR115" s="139"/>
      <c r="PLS115" s="139"/>
      <c r="PLT115" s="139"/>
      <c r="PLU115" s="139"/>
      <c r="PLV115" s="139"/>
      <c r="PLW115" s="139"/>
      <c r="PLX115" s="139"/>
      <c r="PLY115" s="139"/>
      <c r="PLZ115" s="139"/>
      <c r="PMA115" s="139"/>
      <c r="PMB115" s="139"/>
      <c r="PMC115" s="139"/>
      <c r="PMD115" s="139"/>
      <c r="PME115" s="139"/>
      <c r="PMF115" s="139"/>
      <c r="PMG115" s="139"/>
      <c r="PMH115" s="139"/>
      <c r="PMI115" s="139"/>
      <c r="PMJ115" s="139"/>
      <c r="PMK115" s="139"/>
      <c r="PML115" s="139"/>
      <c r="PMM115" s="139"/>
      <c r="PMN115" s="139"/>
      <c r="PMO115" s="139"/>
      <c r="PMP115" s="139"/>
      <c r="PMQ115" s="139"/>
      <c r="PMR115" s="139"/>
      <c r="PMS115" s="139"/>
      <c r="PMT115" s="139"/>
      <c r="PMU115" s="139"/>
      <c r="PMV115" s="139"/>
      <c r="PMW115" s="139"/>
      <c r="PMX115" s="139"/>
      <c r="PMY115" s="139"/>
      <c r="PMZ115" s="139"/>
      <c r="PNA115" s="139"/>
      <c r="PNB115" s="139"/>
      <c r="PNC115" s="139"/>
      <c r="PND115" s="139"/>
      <c r="PNE115" s="139"/>
      <c r="PNF115" s="139"/>
      <c r="PNG115" s="139"/>
      <c r="PNH115" s="139"/>
      <c r="PNI115" s="139"/>
      <c r="PNJ115" s="139"/>
      <c r="PNK115" s="139"/>
      <c r="PNL115" s="139"/>
      <c r="PNM115" s="139"/>
      <c r="PNN115" s="139"/>
      <c r="PNO115" s="139"/>
      <c r="PNP115" s="139"/>
      <c r="PNQ115" s="139"/>
      <c r="PNR115" s="139"/>
      <c r="PNS115" s="139"/>
      <c r="PNT115" s="139"/>
      <c r="PNU115" s="139"/>
      <c r="PNV115" s="139"/>
      <c r="PNW115" s="139"/>
      <c r="PNX115" s="139"/>
      <c r="PNY115" s="139"/>
      <c r="PNZ115" s="139"/>
      <c r="POA115" s="139"/>
      <c r="POB115" s="139"/>
      <c r="POC115" s="139"/>
      <c r="POD115" s="139"/>
      <c r="POE115" s="139"/>
      <c r="POF115" s="139"/>
      <c r="POG115" s="139"/>
      <c r="POH115" s="139"/>
      <c r="POI115" s="139"/>
      <c r="POJ115" s="139"/>
      <c r="POK115" s="139"/>
      <c r="POL115" s="139"/>
      <c r="POM115" s="139"/>
      <c r="PON115" s="139"/>
      <c r="POO115" s="139"/>
      <c r="POP115" s="139"/>
      <c r="POQ115" s="139"/>
      <c r="POR115" s="139"/>
      <c r="POS115" s="139"/>
      <c r="POT115" s="139"/>
      <c r="POU115" s="139"/>
      <c r="POV115" s="139"/>
      <c r="POW115" s="139"/>
      <c r="POX115" s="139"/>
      <c r="POY115" s="139"/>
      <c r="POZ115" s="139"/>
      <c r="PPA115" s="139"/>
      <c r="PPB115" s="139"/>
      <c r="PPC115" s="139"/>
      <c r="PPD115" s="139"/>
      <c r="PPE115" s="139"/>
      <c r="PPF115" s="139"/>
      <c r="PPG115" s="139"/>
      <c r="PPH115" s="139"/>
      <c r="PPI115" s="139"/>
      <c r="PPJ115" s="139"/>
      <c r="PPK115" s="139"/>
      <c r="PPL115" s="139"/>
      <c r="PPM115" s="139"/>
      <c r="PPN115" s="139"/>
      <c r="PPO115" s="139"/>
      <c r="PPP115" s="139"/>
      <c r="PPQ115" s="139"/>
      <c r="PPR115" s="139"/>
      <c r="PPS115" s="139"/>
      <c r="PPT115" s="139"/>
      <c r="PPU115" s="139"/>
      <c r="PPV115" s="139"/>
      <c r="PPW115" s="139"/>
      <c r="PPX115" s="139"/>
      <c r="PPY115" s="139"/>
      <c r="PPZ115" s="139"/>
      <c r="PQA115" s="139"/>
      <c r="PQB115" s="139"/>
      <c r="PQC115" s="139"/>
      <c r="PQD115" s="139"/>
      <c r="PQE115" s="139"/>
      <c r="PQF115" s="139"/>
      <c r="PQG115" s="139"/>
      <c r="PQH115" s="139"/>
      <c r="PQI115" s="139"/>
      <c r="PQJ115" s="139"/>
      <c r="PQK115" s="139"/>
      <c r="PQL115" s="139"/>
      <c r="PQM115" s="139"/>
      <c r="PQN115" s="139"/>
      <c r="PQO115" s="139"/>
      <c r="PQP115" s="139"/>
      <c r="PQQ115" s="139"/>
      <c r="PQR115" s="139"/>
      <c r="PQS115" s="139"/>
      <c r="PQT115" s="139"/>
      <c r="PQU115" s="139"/>
      <c r="PQV115" s="139"/>
      <c r="PQW115" s="139"/>
      <c r="PQX115" s="139"/>
      <c r="PQY115" s="139"/>
      <c r="PQZ115" s="139"/>
      <c r="PRA115" s="139"/>
      <c r="PRB115" s="139"/>
      <c r="PRC115" s="139"/>
      <c r="PRD115" s="139"/>
      <c r="PRE115" s="139"/>
      <c r="PRF115" s="139"/>
      <c r="PRG115" s="139"/>
      <c r="PRH115" s="139"/>
      <c r="PRI115" s="139"/>
      <c r="PRJ115" s="139"/>
      <c r="PRK115" s="139"/>
      <c r="PRL115" s="139"/>
      <c r="PRM115" s="139"/>
      <c r="PRN115" s="139"/>
      <c r="PRO115" s="139"/>
      <c r="PRP115" s="139"/>
      <c r="PRQ115" s="139"/>
      <c r="PRR115" s="139"/>
      <c r="PRS115" s="139"/>
      <c r="PRT115" s="139"/>
      <c r="PRU115" s="139"/>
      <c r="PRV115" s="139"/>
      <c r="PRW115" s="139"/>
      <c r="PRX115" s="139"/>
      <c r="PRY115" s="139"/>
      <c r="PRZ115" s="139"/>
      <c r="PSA115" s="139"/>
      <c r="PSB115" s="139"/>
      <c r="PSC115" s="139"/>
      <c r="PSD115" s="139"/>
      <c r="PSE115" s="139"/>
      <c r="PSF115" s="139"/>
      <c r="PSG115" s="139"/>
      <c r="PSH115" s="139"/>
      <c r="PSI115" s="139"/>
      <c r="PSJ115" s="139"/>
      <c r="PSK115" s="139"/>
      <c r="PSL115" s="139"/>
      <c r="PSM115" s="139"/>
      <c r="PSN115" s="139"/>
      <c r="PSO115" s="139"/>
      <c r="PSP115" s="139"/>
      <c r="PSQ115" s="139"/>
      <c r="PSR115" s="139"/>
      <c r="PSS115" s="139"/>
      <c r="PST115" s="139"/>
      <c r="PSU115" s="139"/>
      <c r="PSV115" s="139"/>
      <c r="PSW115" s="139"/>
      <c r="PSX115" s="139"/>
      <c r="PSY115" s="139"/>
      <c r="PSZ115" s="139"/>
      <c r="PTA115" s="139"/>
      <c r="PTB115" s="139"/>
      <c r="PTC115" s="139"/>
      <c r="PTD115" s="139"/>
      <c r="PTE115" s="139"/>
      <c r="PTF115" s="139"/>
      <c r="PTG115" s="139"/>
      <c r="PTH115" s="139"/>
      <c r="PTI115" s="139"/>
      <c r="PTJ115" s="139"/>
      <c r="PTK115" s="139"/>
      <c r="PTL115" s="139"/>
      <c r="PTM115" s="139"/>
      <c r="PTN115" s="139"/>
      <c r="PTO115" s="139"/>
      <c r="PTP115" s="139"/>
      <c r="PTQ115" s="139"/>
      <c r="PTR115" s="139"/>
      <c r="PTS115" s="139"/>
      <c r="PTT115" s="139"/>
      <c r="PTU115" s="139"/>
      <c r="PTV115" s="139"/>
      <c r="PTW115" s="139"/>
      <c r="PTX115" s="139"/>
      <c r="PTY115" s="139"/>
      <c r="PTZ115" s="139"/>
      <c r="PUA115" s="139"/>
      <c r="PUB115" s="139"/>
      <c r="PUC115" s="139"/>
      <c r="PUD115" s="139"/>
      <c r="PUE115" s="139"/>
      <c r="PUF115" s="139"/>
      <c r="PUG115" s="139"/>
      <c r="PUH115" s="139"/>
      <c r="PUI115" s="139"/>
      <c r="PUJ115" s="139"/>
      <c r="PUK115" s="139"/>
      <c r="PUL115" s="139"/>
      <c r="PUM115" s="139"/>
      <c r="PUN115" s="139"/>
      <c r="PUO115" s="139"/>
      <c r="PUP115" s="139"/>
      <c r="PUQ115" s="139"/>
      <c r="PUR115" s="139"/>
      <c r="PUS115" s="139"/>
      <c r="PUT115" s="139"/>
      <c r="PUU115" s="139"/>
      <c r="PUV115" s="139"/>
      <c r="PUW115" s="139"/>
      <c r="PUX115" s="139"/>
      <c r="PUY115" s="139"/>
      <c r="PUZ115" s="139"/>
      <c r="PVA115" s="139"/>
      <c r="PVB115" s="139"/>
      <c r="PVC115" s="139"/>
      <c r="PVD115" s="139"/>
      <c r="PVE115" s="139"/>
      <c r="PVF115" s="139"/>
      <c r="PVG115" s="139"/>
      <c r="PVH115" s="139"/>
      <c r="PVI115" s="139"/>
      <c r="PVJ115" s="139"/>
      <c r="PVK115" s="139"/>
      <c r="PVL115" s="139"/>
      <c r="PVM115" s="139"/>
      <c r="PVN115" s="139"/>
      <c r="PVO115" s="139"/>
      <c r="PVP115" s="139"/>
      <c r="PVQ115" s="139"/>
      <c r="PVR115" s="139"/>
      <c r="PVS115" s="139"/>
      <c r="PVT115" s="139"/>
      <c r="PVU115" s="139"/>
      <c r="PVV115" s="139"/>
      <c r="PVW115" s="139"/>
      <c r="PVX115" s="139"/>
      <c r="PVY115" s="139"/>
      <c r="PVZ115" s="139"/>
      <c r="PWA115" s="139"/>
      <c r="PWB115" s="139"/>
      <c r="PWC115" s="139"/>
      <c r="PWD115" s="139"/>
      <c r="PWE115" s="139"/>
      <c r="PWF115" s="139"/>
      <c r="PWG115" s="139"/>
      <c r="PWH115" s="139"/>
      <c r="PWI115" s="139"/>
      <c r="PWJ115" s="139"/>
      <c r="PWK115" s="139"/>
      <c r="PWL115" s="139"/>
      <c r="PWM115" s="139"/>
      <c r="PWN115" s="139"/>
      <c r="PWO115" s="139"/>
      <c r="PWP115" s="139"/>
      <c r="PWQ115" s="139"/>
      <c r="PWR115" s="139"/>
      <c r="PWS115" s="139"/>
      <c r="PWT115" s="139"/>
      <c r="PWU115" s="139"/>
      <c r="PWV115" s="139"/>
      <c r="PWW115" s="139"/>
      <c r="PWX115" s="139"/>
      <c r="PWY115" s="139"/>
      <c r="PWZ115" s="139"/>
      <c r="PXA115" s="139"/>
      <c r="PXB115" s="139"/>
      <c r="PXC115" s="139"/>
      <c r="PXD115" s="139"/>
      <c r="PXE115" s="139"/>
      <c r="PXF115" s="139"/>
      <c r="PXG115" s="139"/>
      <c r="PXH115" s="139"/>
      <c r="PXI115" s="139"/>
      <c r="PXJ115" s="139"/>
      <c r="PXK115" s="139"/>
      <c r="PXL115" s="139"/>
      <c r="PXM115" s="139"/>
      <c r="PXN115" s="139"/>
      <c r="PXO115" s="139"/>
      <c r="PXP115" s="139"/>
      <c r="PXQ115" s="139"/>
      <c r="PXR115" s="139"/>
      <c r="PXS115" s="139"/>
      <c r="PXT115" s="139"/>
      <c r="PXU115" s="139"/>
      <c r="PXV115" s="139"/>
      <c r="PXW115" s="139"/>
      <c r="PXX115" s="139"/>
      <c r="PXY115" s="139"/>
      <c r="PXZ115" s="139"/>
      <c r="PYA115" s="139"/>
      <c r="PYB115" s="139"/>
      <c r="PYC115" s="139"/>
      <c r="PYD115" s="139"/>
      <c r="PYE115" s="139"/>
      <c r="PYF115" s="139"/>
      <c r="PYG115" s="139"/>
      <c r="PYH115" s="139"/>
      <c r="PYI115" s="139"/>
      <c r="PYJ115" s="139"/>
      <c r="PYK115" s="139"/>
      <c r="PYL115" s="139"/>
      <c r="PYM115" s="139"/>
      <c r="PYN115" s="139"/>
      <c r="PYO115" s="139"/>
      <c r="PYP115" s="139"/>
      <c r="PYQ115" s="139"/>
      <c r="PYR115" s="139"/>
      <c r="PYS115" s="139"/>
      <c r="PYT115" s="139"/>
      <c r="PYU115" s="139"/>
      <c r="PYV115" s="139"/>
      <c r="PYW115" s="139"/>
      <c r="PYX115" s="139"/>
      <c r="PYY115" s="139"/>
      <c r="PYZ115" s="139"/>
      <c r="PZA115" s="139"/>
      <c r="PZB115" s="139"/>
      <c r="PZC115" s="139"/>
      <c r="PZD115" s="139"/>
      <c r="PZE115" s="139"/>
      <c r="PZF115" s="139"/>
      <c r="PZG115" s="139"/>
      <c r="PZH115" s="139"/>
      <c r="PZI115" s="139"/>
      <c r="PZJ115" s="139"/>
      <c r="PZK115" s="139"/>
      <c r="PZL115" s="139"/>
      <c r="PZM115" s="139"/>
      <c r="PZN115" s="139"/>
      <c r="PZO115" s="139"/>
      <c r="PZP115" s="139"/>
      <c r="PZQ115" s="139"/>
      <c r="PZR115" s="139"/>
      <c r="PZS115" s="139"/>
      <c r="PZT115" s="139"/>
      <c r="PZU115" s="139"/>
      <c r="PZV115" s="139"/>
      <c r="PZW115" s="139"/>
      <c r="PZX115" s="139"/>
      <c r="PZY115" s="139"/>
      <c r="PZZ115" s="139"/>
      <c r="QAA115" s="139"/>
      <c r="QAB115" s="139"/>
      <c r="QAC115" s="139"/>
      <c r="QAD115" s="139"/>
      <c r="QAE115" s="139"/>
      <c r="QAF115" s="139"/>
      <c r="QAG115" s="139"/>
      <c r="QAH115" s="139"/>
      <c r="QAI115" s="139"/>
      <c r="QAJ115" s="139"/>
      <c r="QAK115" s="139"/>
      <c r="QAL115" s="139"/>
      <c r="QAM115" s="139"/>
      <c r="QAN115" s="139"/>
      <c r="QAO115" s="139"/>
      <c r="QAP115" s="139"/>
      <c r="QAQ115" s="139"/>
      <c r="QAR115" s="139"/>
      <c r="QAS115" s="139"/>
      <c r="QAT115" s="139"/>
      <c r="QAU115" s="139"/>
      <c r="QAV115" s="139"/>
      <c r="QAW115" s="139"/>
      <c r="QAX115" s="139"/>
      <c r="QAY115" s="139"/>
      <c r="QAZ115" s="139"/>
      <c r="QBA115" s="139"/>
      <c r="QBB115" s="139"/>
      <c r="QBC115" s="139"/>
      <c r="QBD115" s="139"/>
      <c r="QBE115" s="139"/>
      <c r="QBF115" s="139"/>
      <c r="QBG115" s="139"/>
      <c r="QBH115" s="139"/>
      <c r="QBI115" s="139"/>
      <c r="QBJ115" s="139"/>
      <c r="QBK115" s="139"/>
      <c r="QBL115" s="139"/>
      <c r="QBM115" s="139"/>
      <c r="QBN115" s="139"/>
      <c r="QBO115" s="139"/>
      <c r="QBP115" s="139"/>
      <c r="QBQ115" s="139"/>
      <c r="QBR115" s="139"/>
      <c r="QBS115" s="139"/>
      <c r="QBT115" s="139"/>
      <c r="QBU115" s="139"/>
      <c r="QBV115" s="139"/>
      <c r="QBW115" s="139"/>
      <c r="QBX115" s="139"/>
      <c r="QBY115" s="139"/>
      <c r="QBZ115" s="139"/>
      <c r="QCA115" s="139"/>
      <c r="QCB115" s="139"/>
      <c r="QCC115" s="139"/>
      <c r="QCD115" s="139"/>
      <c r="QCE115" s="139"/>
      <c r="QCF115" s="139"/>
      <c r="QCG115" s="139"/>
      <c r="QCH115" s="139"/>
      <c r="QCI115" s="139"/>
      <c r="QCJ115" s="139"/>
      <c r="QCK115" s="139"/>
      <c r="QCL115" s="139"/>
      <c r="QCM115" s="139"/>
      <c r="QCN115" s="139"/>
      <c r="QCO115" s="139"/>
      <c r="QCP115" s="139"/>
      <c r="QCQ115" s="139"/>
      <c r="QCR115" s="139"/>
      <c r="QCS115" s="139"/>
      <c r="QCT115" s="139"/>
      <c r="QCU115" s="139"/>
      <c r="QCV115" s="139"/>
      <c r="QCW115" s="139"/>
      <c r="QCX115" s="139"/>
      <c r="QCY115" s="139"/>
      <c r="QCZ115" s="139"/>
      <c r="QDA115" s="139"/>
      <c r="QDB115" s="139"/>
      <c r="QDC115" s="139"/>
      <c r="QDD115" s="139"/>
      <c r="QDE115" s="139"/>
      <c r="QDF115" s="139"/>
      <c r="QDG115" s="139"/>
      <c r="QDH115" s="139"/>
      <c r="QDI115" s="139"/>
      <c r="QDJ115" s="139"/>
      <c r="QDK115" s="139"/>
      <c r="QDL115" s="139"/>
      <c r="QDM115" s="139"/>
      <c r="QDN115" s="139"/>
      <c r="QDO115" s="139"/>
      <c r="QDP115" s="139"/>
      <c r="QDQ115" s="139"/>
      <c r="QDR115" s="139"/>
      <c r="QDS115" s="139"/>
      <c r="QDT115" s="139"/>
      <c r="QDU115" s="139"/>
      <c r="QDV115" s="139"/>
      <c r="QDW115" s="139"/>
      <c r="QDX115" s="139"/>
      <c r="QDY115" s="139"/>
      <c r="QDZ115" s="139"/>
      <c r="QEA115" s="139"/>
      <c r="QEB115" s="139"/>
      <c r="QEC115" s="139"/>
      <c r="QED115" s="139"/>
      <c r="QEE115" s="139"/>
      <c r="QEF115" s="139"/>
      <c r="QEG115" s="139"/>
      <c r="QEH115" s="139"/>
      <c r="QEI115" s="139"/>
      <c r="QEJ115" s="139"/>
      <c r="QEK115" s="139"/>
      <c r="QEL115" s="139"/>
      <c r="QEM115" s="139"/>
      <c r="QEN115" s="139"/>
      <c r="QEO115" s="139"/>
      <c r="QEP115" s="139"/>
      <c r="QEQ115" s="139"/>
      <c r="QER115" s="139"/>
      <c r="QES115" s="139"/>
      <c r="QET115" s="139"/>
      <c r="QEU115" s="139"/>
      <c r="QEV115" s="139"/>
      <c r="QEW115" s="139"/>
      <c r="QEX115" s="139"/>
      <c r="QEY115" s="139"/>
      <c r="QEZ115" s="139"/>
      <c r="QFA115" s="139"/>
      <c r="QFB115" s="139"/>
      <c r="QFC115" s="139"/>
      <c r="QFD115" s="139"/>
      <c r="QFE115" s="139"/>
      <c r="QFF115" s="139"/>
      <c r="QFG115" s="139"/>
      <c r="QFH115" s="139"/>
      <c r="QFI115" s="139"/>
      <c r="QFJ115" s="139"/>
      <c r="QFK115" s="139"/>
      <c r="QFL115" s="139"/>
      <c r="QFM115" s="139"/>
      <c r="QFN115" s="139"/>
      <c r="QFO115" s="139"/>
      <c r="QFP115" s="139"/>
      <c r="QFQ115" s="139"/>
      <c r="QFR115" s="139"/>
      <c r="QFS115" s="139"/>
      <c r="QFT115" s="139"/>
      <c r="QFU115" s="139"/>
      <c r="QFV115" s="139"/>
      <c r="QFW115" s="139"/>
      <c r="QFX115" s="139"/>
      <c r="QFY115" s="139"/>
      <c r="QFZ115" s="139"/>
      <c r="QGA115" s="139"/>
      <c r="QGB115" s="139"/>
      <c r="QGC115" s="139"/>
      <c r="QGD115" s="139"/>
      <c r="QGE115" s="139"/>
      <c r="QGF115" s="139"/>
      <c r="QGG115" s="139"/>
      <c r="QGH115" s="139"/>
      <c r="QGI115" s="139"/>
      <c r="QGJ115" s="139"/>
      <c r="QGK115" s="139"/>
      <c r="QGL115" s="139"/>
      <c r="QGM115" s="139"/>
      <c r="QGN115" s="139"/>
      <c r="QGO115" s="139"/>
      <c r="QGP115" s="139"/>
      <c r="QGQ115" s="139"/>
      <c r="QGR115" s="139"/>
      <c r="QGS115" s="139"/>
      <c r="QGT115" s="139"/>
      <c r="QGU115" s="139"/>
      <c r="QGV115" s="139"/>
      <c r="QGW115" s="139"/>
      <c r="QGX115" s="139"/>
      <c r="QGY115" s="139"/>
      <c r="QGZ115" s="139"/>
      <c r="QHA115" s="139"/>
      <c r="QHB115" s="139"/>
      <c r="QHC115" s="139"/>
      <c r="QHD115" s="139"/>
      <c r="QHE115" s="139"/>
      <c r="QHF115" s="139"/>
      <c r="QHG115" s="139"/>
      <c r="QHH115" s="139"/>
      <c r="QHI115" s="139"/>
      <c r="QHJ115" s="139"/>
      <c r="QHK115" s="139"/>
      <c r="QHL115" s="139"/>
      <c r="QHM115" s="139"/>
      <c r="QHN115" s="139"/>
      <c r="QHO115" s="139"/>
      <c r="QHP115" s="139"/>
      <c r="QHQ115" s="139"/>
      <c r="QHR115" s="139"/>
      <c r="QHS115" s="139"/>
      <c r="QHT115" s="139"/>
      <c r="QHU115" s="139"/>
      <c r="QHV115" s="139"/>
      <c r="QHW115" s="139"/>
      <c r="QHX115" s="139"/>
      <c r="QHY115" s="139"/>
      <c r="QHZ115" s="139"/>
      <c r="QIA115" s="139"/>
      <c r="QIB115" s="139"/>
      <c r="QIC115" s="139"/>
      <c r="QID115" s="139"/>
      <c r="QIE115" s="139"/>
      <c r="QIF115" s="139"/>
      <c r="QIG115" s="139"/>
      <c r="QIH115" s="139"/>
      <c r="QII115" s="139"/>
      <c r="QIJ115" s="139"/>
      <c r="QIK115" s="139"/>
      <c r="QIL115" s="139"/>
      <c r="QIM115" s="139"/>
      <c r="QIN115" s="139"/>
      <c r="QIO115" s="139"/>
      <c r="QIP115" s="139"/>
      <c r="QIQ115" s="139"/>
      <c r="QIR115" s="139"/>
      <c r="QIS115" s="139"/>
      <c r="QIT115" s="139"/>
      <c r="QIU115" s="139"/>
      <c r="QIV115" s="139"/>
      <c r="QIW115" s="139"/>
      <c r="QIX115" s="139"/>
      <c r="QIY115" s="139"/>
      <c r="QIZ115" s="139"/>
      <c r="QJA115" s="139"/>
      <c r="QJB115" s="139"/>
      <c r="QJC115" s="139"/>
      <c r="QJD115" s="139"/>
      <c r="QJE115" s="139"/>
      <c r="QJF115" s="139"/>
      <c r="QJG115" s="139"/>
      <c r="QJH115" s="139"/>
      <c r="QJI115" s="139"/>
      <c r="QJJ115" s="139"/>
      <c r="QJK115" s="139"/>
      <c r="QJL115" s="139"/>
      <c r="QJM115" s="139"/>
      <c r="QJN115" s="139"/>
      <c r="QJO115" s="139"/>
      <c r="QJP115" s="139"/>
      <c r="QJQ115" s="139"/>
      <c r="QJR115" s="139"/>
      <c r="QJS115" s="139"/>
      <c r="QJT115" s="139"/>
      <c r="QJU115" s="139"/>
      <c r="QJV115" s="139"/>
      <c r="QJW115" s="139"/>
      <c r="QJX115" s="139"/>
      <c r="QJY115" s="139"/>
      <c r="QJZ115" s="139"/>
      <c r="QKA115" s="139"/>
      <c r="QKB115" s="139"/>
      <c r="QKC115" s="139"/>
      <c r="QKD115" s="139"/>
      <c r="QKE115" s="139"/>
      <c r="QKF115" s="139"/>
      <c r="QKG115" s="139"/>
      <c r="QKH115" s="139"/>
      <c r="QKI115" s="139"/>
      <c r="QKJ115" s="139"/>
      <c r="QKK115" s="139"/>
      <c r="QKL115" s="139"/>
      <c r="QKM115" s="139"/>
      <c r="QKN115" s="139"/>
      <c r="QKO115" s="139"/>
      <c r="QKP115" s="139"/>
      <c r="QKQ115" s="139"/>
      <c r="QKR115" s="139"/>
      <c r="QKS115" s="139"/>
      <c r="QKT115" s="139"/>
      <c r="QKU115" s="139"/>
      <c r="QKV115" s="139"/>
      <c r="QKW115" s="139"/>
      <c r="QKX115" s="139"/>
      <c r="QKY115" s="139"/>
      <c r="QKZ115" s="139"/>
      <c r="QLA115" s="139"/>
      <c r="QLB115" s="139"/>
      <c r="QLC115" s="139"/>
      <c r="QLD115" s="139"/>
      <c r="QLE115" s="139"/>
      <c r="QLF115" s="139"/>
      <c r="QLG115" s="139"/>
      <c r="QLH115" s="139"/>
      <c r="QLI115" s="139"/>
      <c r="QLJ115" s="139"/>
      <c r="QLK115" s="139"/>
      <c r="QLL115" s="139"/>
      <c r="QLM115" s="139"/>
      <c r="QLN115" s="139"/>
      <c r="QLO115" s="139"/>
      <c r="QLP115" s="139"/>
      <c r="QLQ115" s="139"/>
      <c r="QLR115" s="139"/>
      <c r="QLS115" s="139"/>
      <c r="QLT115" s="139"/>
      <c r="QLU115" s="139"/>
      <c r="QLV115" s="139"/>
      <c r="QLW115" s="139"/>
      <c r="QLX115" s="139"/>
      <c r="QLY115" s="139"/>
      <c r="QLZ115" s="139"/>
      <c r="QMA115" s="139"/>
      <c r="QMB115" s="139"/>
      <c r="QMC115" s="139"/>
      <c r="QMD115" s="139"/>
      <c r="QME115" s="139"/>
      <c r="QMF115" s="139"/>
      <c r="QMG115" s="139"/>
      <c r="QMH115" s="139"/>
      <c r="QMI115" s="139"/>
      <c r="QMJ115" s="139"/>
      <c r="QMK115" s="139"/>
      <c r="QML115" s="139"/>
      <c r="QMM115" s="139"/>
      <c r="QMN115" s="139"/>
      <c r="QMO115" s="139"/>
      <c r="QMP115" s="139"/>
      <c r="QMQ115" s="139"/>
      <c r="QMR115" s="139"/>
      <c r="QMS115" s="139"/>
      <c r="QMT115" s="139"/>
      <c r="QMU115" s="139"/>
      <c r="QMV115" s="139"/>
      <c r="QMW115" s="139"/>
      <c r="QMX115" s="139"/>
      <c r="QMY115" s="139"/>
      <c r="QMZ115" s="139"/>
      <c r="QNA115" s="139"/>
      <c r="QNB115" s="139"/>
      <c r="QNC115" s="139"/>
      <c r="QND115" s="139"/>
      <c r="QNE115" s="139"/>
      <c r="QNF115" s="139"/>
      <c r="QNG115" s="139"/>
      <c r="QNH115" s="139"/>
      <c r="QNI115" s="139"/>
      <c r="QNJ115" s="139"/>
      <c r="QNK115" s="139"/>
      <c r="QNL115" s="139"/>
      <c r="QNM115" s="139"/>
      <c r="QNN115" s="139"/>
      <c r="QNO115" s="139"/>
      <c r="QNP115" s="139"/>
      <c r="QNQ115" s="139"/>
      <c r="QNR115" s="139"/>
      <c r="QNS115" s="139"/>
      <c r="QNT115" s="139"/>
      <c r="QNU115" s="139"/>
      <c r="QNV115" s="139"/>
      <c r="QNW115" s="139"/>
      <c r="QNX115" s="139"/>
      <c r="QNY115" s="139"/>
      <c r="QNZ115" s="139"/>
      <c r="QOA115" s="139"/>
      <c r="QOB115" s="139"/>
      <c r="QOC115" s="139"/>
      <c r="QOD115" s="139"/>
      <c r="QOE115" s="139"/>
      <c r="QOF115" s="139"/>
      <c r="QOG115" s="139"/>
      <c r="QOH115" s="139"/>
      <c r="QOI115" s="139"/>
      <c r="QOJ115" s="139"/>
      <c r="QOK115" s="139"/>
      <c r="QOL115" s="139"/>
      <c r="QOM115" s="139"/>
      <c r="QON115" s="139"/>
      <c r="QOO115" s="139"/>
      <c r="QOP115" s="139"/>
      <c r="QOQ115" s="139"/>
      <c r="QOR115" s="139"/>
      <c r="QOS115" s="139"/>
      <c r="QOT115" s="139"/>
      <c r="QOU115" s="139"/>
      <c r="QOV115" s="139"/>
      <c r="QOW115" s="139"/>
      <c r="QOX115" s="139"/>
      <c r="QOY115" s="139"/>
      <c r="QOZ115" s="139"/>
      <c r="QPA115" s="139"/>
      <c r="QPB115" s="139"/>
      <c r="QPC115" s="139"/>
      <c r="QPD115" s="139"/>
      <c r="QPE115" s="139"/>
      <c r="QPF115" s="139"/>
      <c r="QPG115" s="139"/>
      <c r="QPH115" s="139"/>
      <c r="QPI115" s="139"/>
      <c r="QPJ115" s="139"/>
      <c r="QPK115" s="139"/>
      <c r="QPL115" s="139"/>
      <c r="QPM115" s="139"/>
      <c r="QPN115" s="139"/>
      <c r="QPO115" s="139"/>
      <c r="QPP115" s="139"/>
      <c r="QPQ115" s="139"/>
      <c r="QPR115" s="139"/>
      <c r="QPS115" s="139"/>
      <c r="QPT115" s="139"/>
      <c r="QPU115" s="139"/>
      <c r="QPV115" s="139"/>
      <c r="QPW115" s="139"/>
      <c r="QPX115" s="139"/>
      <c r="QPY115" s="139"/>
      <c r="QPZ115" s="139"/>
      <c r="QQA115" s="139"/>
      <c r="QQB115" s="139"/>
      <c r="QQC115" s="139"/>
      <c r="QQD115" s="139"/>
      <c r="QQE115" s="139"/>
      <c r="QQF115" s="139"/>
      <c r="QQG115" s="139"/>
      <c r="QQH115" s="139"/>
      <c r="QQI115" s="139"/>
      <c r="QQJ115" s="139"/>
      <c r="QQK115" s="139"/>
      <c r="QQL115" s="139"/>
      <c r="QQM115" s="139"/>
      <c r="QQN115" s="139"/>
      <c r="QQO115" s="139"/>
      <c r="QQP115" s="139"/>
      <c r="QQQ115" s="139"/>
      <c r="QQR115" s="139"/>
      <c r="QQS115" s="139"/>
      <c r="QQT115" s="139"/>
      <c r="QQU115" s="139"/>
      <c r="QQV115" s="139"/>
      <c r="QQW115" s="139"/>
      <c r="QQX115" s="139"/>
      <c r="QQY115" s="139"/>
      <c r="QQZ115" s="139"/>
      <c r="QRA115" s="139"/>
      <c r="QRB115" s="139"/>
      <c r="QRC115" s="139"/>
      <c r="QRD115" s="139"/>
      <c r="QRE115" s="139"/>
      <c r="QRF115" s="139"/>
      <c r="QRG115" s="139"/>
      <c r="QRH115" s="139"/>
      <c r="QRI115" s="139"/>
      <c r="QRJ115" s="139"/>
      <c r="QRK115" s="139"/>
      <c r="QRL115" s="139"/>
      <c r="QRM115" s="139"/>
      <c r="QRN115" s="139"/>
      <c r="QRO115" s="139"/>
      <c r="QRP115" s="139"/>
      <c r="QRQ115" s="139"/>
      <c r="QRR115" s="139"/>
      <c r="QRS115" s="139"/>
      <c r="QRT115" s="139"/>
      <c r="QRU115" s="139"/>
      <c r="QRV115" s="139"/>
      <c r="QRW115" s="139"/>
      <c r="QRX115" s="139"/>
      <c r="QRY115" s="139"/>
      <c r="QRZ115" s="139"/>
      <c r="QSA115" s="139"/>
      <c r="QSB115" s="139"/>
      <c r="QSC115" s="139"/>
      <c r="QSD115" s="139"/>
      <c r="QSE115" s="139"/>
      <c r="QSF115" s="139"/>
      <c r="QSG115" s="139"/>
      <c r="QSH115" s="139"/>
      <c r="QSI115" s="139"/>
      <c r="QSJ115" s="139"/>
      <c r="QSK115" s="139"/>
      <c r="QSL115" s="139"/>
      <c r="QSM115" s="139"/>
      <c r="QSN115" s="139"/>
      <c r="QSO115" s="139"/>
      <c r="QSP115" s="139"/>
      <c r="QSQ115" s="139"/>
      <c r="QSR115" s="139"/>
      <c r="QSS115" s="139"/>
      <c r="QST115" s="139"/>
      <c r="QSU115" s="139"/>
      <c r="QSV115" s="139"/>
      <c r="QSW115" s="139"/>
      <c r="QSX115" s="139"/>
      <c r="QSY115" s="139"/>
      <c r="QSZ115" s="139"/>
      <c r="QTA115" s="139"/>
      <c r="QTB115" s="139"/>
      <c r="QTC115" s="139"/>
      <c r="QTD115" s="139"/>
      <c r="QTE115" s="139"/>
      <c r="QTF115" s="139"/>
      <c r="QTG115" s="139"/>
      <c r="QTH115" s="139"/>
      <c r="QTI115" s="139"/>
      <c r="QTJ115" s="139"/>
      <c r="QTK115" s="139"/>
      <c r="QTL115" s="139"/>
      <c r="QTM115" s="139"/>
      <c r="QTN115" s="139"/>
      <c r="QTO115" s="139"/>
      <c r="QTP115" s="139"/>
      <c r="QTQ115" s="139"/>
      <c r="QTR115" s="139"/>
      <c r="QTS115" s="139"/>
      <c r="QTT115" s="139"/>
      <c r="QTU115" s="139"/>
      <c r="QTV115" s="139"/>
      <c r="QTW115" s="139"/>
      <c r="QTX115" s="139"/>
      <c r="QTY115" s="139"/>
      <c r="QTZ115" s="139"/>
      <c r="QUA115" s="139"/>
      <c r="QUB115" s="139"/>
      <c r="QUC115" s="139"/>
      <c r="QUD115" s="139"/>
      <c r="QUE115" s="139"/>
      <c r="QUF115" s="139"/>
      <c r="QUG115" s="139"/>
      <c r="QUH115" s="139"/>
      <c r="QUI115" s="139"/>
      <c r="QUJ115" s="139"/>
      <c r="QUK115" s="139"/>
      <c r="QUL115" s="139"/>
      <c r="QUM115" s="139"/>
      <c r="QUN115" s="139"/>
      <c r="QUO115" s="139"/>
      <c r="QUP115" s="139"/>
      <c r="QUQ115" s="139"/>
      <c r="QUR115" s="139"/>
      <c r="QUS115" s="139"/>
      <c r="QUT115" s="139"/>
      <c r="QUU115" s="139"/>
      <c r="QUV115" s="139"/>
      <c r="QUW115" s="139"/>
      <c r="QUX115" s="139"/>
      <c r="QUY115" s="139"/>
      <c r="QUZ115" s="139"/>
      <c r="QVA115" s="139"/>
      <c r="QVB115" s="139"/>
      <c r="QVC115" s="139"/>
      <c r="QVD115" s="139"/>
      <c r="QVE115" s="139"/>
      <c r="QVF115" s="139"/>
      <c r="QVG115" s="139"/>
      <c r="QVH115" s="139"/>
      <c r="QVI115" s="139"/>
      <c r="QVJ115" s="139"/>
      <c r="QVK115" s="139"/>
      <c r="QVL115" s="139"/>
      <c r="QVM115" s="139"/>
      <c r="QVN115" s="139"/>
      <c r="QVO115" s="139"/>
      <c r="QVP115" s="139"/>
      <c r="QVQ115" s="139"/>
      <c r="QVR115" s="139"/>
      <c r="QVS115" s="139"/>
      <c r="QVT115" s="139"/>
      <c r="QVU115" s="139"/>
      <c r="QVV115" s="139"/>
      <c r="QVW115" s="139"/>
      <c r="QVX115" s="139"/>
      <c r="QVY115" s="139"/>
      <c r="QVZ115" s="139"/>
      <c r="QWA115" s="139"/>
      <c r="QWB115" s="139"/>
      <c r="QWC115" s="139"/>
      <c r="QWD115" s="139"/>
      <c r="QWE115" s="139"/>
      <c r="QWF115" s="139"/>
      <c r="QWG115" s="139"/>
      <c r="QWH115" s="139"/>
      <c r="QWI115" s="139"/>
      <c r="QWJ115" s="139"/>
      <c r="QWK115" s="139"/>
      <c r="QWL115" s="139"/>
      <c r="QWM115" s="139"/>
      <c r="QWN115" s="139"/>
      <c r="QWO115" s="139"/>
      <c r="QWP115" s="139"/>
      <c r="QWQ115" s="139"/>
      <c r="QWR115" s="139"/>
      <c r="QWS115" s="139"/>
      <c r="QWT115" s="139"/>
      <c r="QWU115" s="139"/>
      <c r="QWV115" s="139"/>
      <c r="QWW115" s="139"/>
      <c r="QWX115" s="139"/>
      <c r="QWY115" s="139"/>
      <c r="QWZ115" s="139"/>
      <c r="QXA115" s="139"/>
      <c r="QXB115" s="139"/>
      <c r="QXC115" s="139"/>
      <c r="QXD115" s="139"/>
      <c r="QXE115" s="139"/>
      <c r="QXF115" s="139"/>
      <c r="QXG115" s="139"/>
      <c r="QXH115" s="139"/>
      <c r="QXI115" s="139"/>
      <c r="QXJ115" s="139"/>
      <c r="QXK115" s="139"/>
      <c r="QXL115" s="139"/>
      <c r="QXM115" s="139"/>
      <c r="QXN115" s="139"/>
      <c r="QXO115" s="139"/>
      <c r="QXP115" s="139"/>
      <c r="QXQ115" s="139"/>
      <c r="QXR115" s="139"/>
      <c r="QXS115" s="139"/>
      <c r="QXT115" s="139"/>
      <c r="QXU115" s="139"/>
      <c r="QXV115" s="139"/>
      <c r="QXW115" s="139"/>
      <c r="QXX115" s="139"/>
      <c r="QXY115" s="139"/>
      <c r="QXZ115" s="139"/>
      <c r="QYA115" s="139"/>
      <c r="QYB115" s="139"/>
      <c r="QYC115" s="139"/>
      <c r="QYD115" s="139"/>
      <c r="QYE115" s="139"/>
      <c r="QYF115" s="139"/>
      <c r="QYG115" s="139"/>
      <c r="QYH115" s="139"/>
      <c r="QYI115" s="139"/>
      <c r="QYJ115" s="139"/>
      <c r="QYK115" s="139"/>
      <c r="QYL115" s="139"/>
      <c r="QYM115" s="139"/>
      <c r="QYN115" s="139"/>
      <c r="QYO115" s="139"/>
      <c r="QYP115" s="139"/>
      <c r="QYQ115" s="139"/>
      <c r="QYR115" s="139"/>
      <c r="QYS115" s="139"/>
      <c r="QYT115" s="139"/>
      <c r="QYU115" s="139"/>
      <c r="QYV115" s="139"/>
      <c r="QYW115" s="139"/>
      <c r="QYX115" s="139"/>
      <c r="QYY115" s="139"/>
      <c r="QYZ115" s="139"/>
      <c r="QZA115" s="139"/>
      <c r="QZB115" s="139"/>
      <c r="QZC115" s="139"/>
      <c r="QZD115" s="139"/>
      <c r="QZE115" s="139"/>
      <c r="QZF115" s="139"/>
      <c r="QZG115" s="139"/>
      <c r="QZH115" s="139"/>
      <c r="QZI115" s="139"/>
      <c r="QZJ115" s="139"/>
      <c r="QZK115" s="139"/>
      <c r="QZL115" s="139"/>
      <c r="QZM115" s="139"/>
      <c r="QZN115" s="139"/>
      <c r="QZO115" s="139"/>
      <c r="QZP115" s="139"/>
      <c r="QZQ115" s="139"/>
      <c r="QZR115" s="139"/>
      <c r="QZS115" s="139"/>
      <c r="QZT115" s="139"/>
      <c r="QZU115" s="139"/>
      <c r="QZV115" s="139"/>
      <c r="QZW115" s="139"/>
      <c r="QZX115" s="139"/>
      <c r="QZY115" s="139"/>
      <c r="QZZ115" s="139"/>
      <c r="RAA115" s="139"/>
      <c r="RAB115" s="139"/>
      <c r="RAC115" s="139"/>
      <c r="RAD115" s="139"/>
      <c r="RAE115" s="139"/>
      <c r="RAF115" s="139"/>
      <c r="RAG115" s="139"/>
      <c r="RAH115" s="139"/>
      <c r="RAI115" s="139"/>
      <c r="RAJ115" s="139"/>
      <c r="RAK115" s="139"/>
      <c r="RAL115" s="139"/>
      <c r="RAM115" s="139"/>
      <c r="RAN115" s="139"/>
      <c r="RAO115" s="139"/>
      <c r="RAP115" s="139"/>
      <c r="RAQ115" s="139"/>
      <c r="RAR115" s="139"/>
      <c r="RAS115" s="139"/>
      <c r="RAT115" s="139"/>
      <c r="RAU115" s="139"/>
      <c r="RAV115" s="139"/>
      <c r="RAW115" s="139"/>
      <c r="RAX115" s="139"/>
      <c r="RAY115" s="139"/>
      <c r="RAZ115" s="139"/>
      <c r="RBA115" s="139"/>
      <c r="RBB115" s="139"/>
      <c r="RBC115" s="139"/>
      <c r="RBD115" s="139"/>
      <c r="RBE115" s="139"/>
      <c r="RBF115" s="139"/>
      <c r="RBG115" s="139"/>
      <c r="RBH115" s="139"/>
      <c r="RBI115" s="139"/>
      <c r="RBJ115" s="139"/>
      <c r="RBK115" s="139"/>
      <c r="RBL115" s="139"/>
      <c r="RBM115" s="139"/>
      <c r="RBN115" s="139"/>
      <c r="RBO115" s="139"/>
      <c r="RBP115" s="139"/>
      <c r="RBQ115" s="139"/>
      <c r="RBR115" s="139"/>
      <c r="RBS115" s="139"/>
      <c r="RBT115" s="139"/>
      <c r="RBU115" s="139"/>
      <c r="RBV115" s="139"/>
      <c r="RBW115" s="139"/>
      <c r="RBX115" s="139"/>
      <c r="RBY115" s="139"/>
      <c r="RBZ115" s="139"/>
      <c r="RCA115" s="139"/>
      <c r="RCB115" s="139"/>
      <c r="RCC115" s="139"/>
      <c r="RCD115" s="139"/>
      <c r="RCE115" s="139"/>
      <c r="RCF115" s="139"/>
      <c r="RCG115" s="139"/>
      <c r="RCH115" s="139"/>
      <c r="RCI115" s="139"/>
      <c r="RCJ115" s="139"/>
      <c r="RCK115" s="139"/>
      <c r="RCL115" s="139"/>
      <c r="RCM115" s="139"/>
      <c r="RCN115" s="139"/>
      <c r="RCO115" s="139"/>
      <c r="RCP115" s="139"/>
      <c r="RCQ115" s="139"/>
      <c r="RCR115" s="139"/>
      <c r="RCS115" s="139"/>
      <c r="RCT115" s="139"/>
      <c r="RCU115" s="139"/>
      <c r="RCV115" s="139"/>
      <c r="RCW115" s="139"/>
      <c r="RCX115" s="139"/>
      <c r="RCY115" s="139"/>
      <c r="RCZ115" s="139"/>
      <c r="RDA115" s="139"/>
      <c r="RDB115" s="139"/>
      <c r="RDC115" s="139"/>
      <c r="RDD115" s="139"/>
      <c r="RDE115" s="139"/>
      <c r="RDF115" s="139"/>
      <c r="RDG115" s="139"/>
      <c r="RDH115" s="139"/>
      <c r="RDI115" s="139"/>
      <c r="RDJ115" s="139"/>
      <c r="RDK115" s="139"/>
      <c r="RDL115" s="139"/>
      <c r="RDM115" s="139"/>
      <c r="RDN115" s="139"/>
      <c r="RDO115" s="139"/>
      <c r="RDP115" s="139"/>
      <c r="RDQ115" s="139"/>
      <c r="RDR115" s="139"/>
      <c r="RDS115" s="139"/>
      <c r="RDT115" s="139"/>
      <c r="RDU115" s="139"/>
      <c r="RDV115" s="139"/>
      <c r="RDW115" s="139"/>
      <c r="RDX115" s="139"/>
      <c r="RDY115" s="139"/>
      <c r="RDZ115" s="139"/>
      <c r="REA115" s="139"/>
      <c r="REB115" s="139"/>
      <c r="REC115" s="139"/>
      <c r="RED115" s="139"/>
      <c r="REE115" s="139"/>
      <c r="REF115" s="139"/>
      <c r="REG115" s="139"/>
      <c r="REH115" s="139"/>
      <c r="REI115" s="139"/>
      <c r="REJ115" s="139"/>
      <c r="REK115" s="139"/>
      <c r="REL115" s="139"/>
      <c r="REM115" s="139"/>
      <c r="REN115" s="139"/>
      <c r="REO115" s="139"/>
      <c r="REP115" s="139"/>
      <c r="REQ115" s="139"/>
      <c r="RER115" s="139"/>
      <c r="RES115" s="139"/>
      <c r="RET115" s="139"/>
      <c r="REU115" s="139"/>
      <c r="REV115" s="139"/>
      <c r="REW115" s="139"/>
      <c r="REX115" s="139"/>
      <c r="REY115" s="139"/>
      <c r="REZ115" s="139"/>
      <c r="RFA115" s="139"/>
      <c r="RFB115" s="139"/>
      <c r="RFC115" s="139"/>
      <c r="RFD115" s="139"/>
      <c r="RFE115" s="139"/>
      <c r="RFF115" s="139"/>
      <c r="RFG115" s="139"/>
      <c r="RFH115" s="139"/>
      <c r="RFI115" s="139"/>
      <c r="RFJ115" s="139"/>
      <c r="RFK115" s="139"/>
      <c r="RFL115" s="139"/>
      <c r="RFM115" s="139"/>
      <c r="RFN115" s="139"/>
      <c r="RFO115" s="139"/>
      <c r="RFP115" s="139"/>
      <c r="RFQ115" s="139"/>
      <c r="RFR115" s="139"/>
      <c r="RFS115" s="139"/>
      <c r="RFT115" s="139"/>
      <c r="RFU115" s="139"/>
      <c r="RFV115" s="139"/>
      <c r="RFW115" s="139"/>
      <c r="RFX115" s="139"/>
      <c r="RFY115" s="139"/>
      <c r="RFZ115" s="139"/>
      <c r="RGA115" s="139"/>
      <c r="RGB115" s="139"/>
      <c r="RGC115" s="139"/>
      <c r="RGD115" s="139"/>
      <c r="RGE115" s="139"/>
      <c r="RGF115" s="139"/>
      <c r="RGG115" s="139"/>
      <c r="RGH115" s="139"/>
      <c r="RGI115" s="139"/>
      <c r="RGJ115" s="139"/>
      <c r="RGK115" s="139"/>
      <c r="RGL115" s="139"/>
      <c r="RGM115" s="139"/>
      <c r="RGN115" s="139"/>
      <c r="RGO115" s="139"/>
      <c r="RGP115" s="139"/>
      <c r="RGQ115" s="139"/>
      <c r="RGR115" s="139"/>
      <c r="RGS115" s="139"/>
      <c r="RGT115" s="139"/>
      <c r="RGU115" s="139"/>
      <c r="RGV115" s="139"/>
      <c r="RGW115" s="139"/>
      <c r="RGX115" s="139"/>
      <c r="RGY115" s="139"/>
      <c r="RGZ115" s="139"/>
      <c r="RHA115" s="139"/>
      <c r="RHB115" s="139"/>
      <c r="RHC115" s="139"/>
      <c r="RHD115" s="139"/>
      <c r="RHE115" s="139"/>
      <c r="RHF115" s="139"/>
      <c r="RHG115" s="139"/>
      <c r="RHH115" s="139"/>
      <c r="RHI115" s="139"/>
      <c r="RHJ115" s="139"/>
      <c r="RHK115" s="139"/>
      <c r="RHL115" s="139"/>
      <c r="RHM115" s="139"/>
      <c r="RHN115" s="139"/>
      <c r="RHO115" s="139"/>
      <c r="RHP115" s="139"/>
      <c r="RHQ115" s="139"/>
      <c r="RHR115" s="139"/>
      <c r="RHS115" s="139"/>
      <c r="RHT115" s="139"/>
      <c r="RHU115" s="139"/>
      <c r="RHV115" s="139"/>
      <c r="RHW115" s="139"/>
      <c r="RHX115" s="139"/>
      <c r="RHY115" s="139"/>
      <c r="RHZ115" s="139"/>
      <c r="RIA115" s="139"/>
      <c r="RIB115" s="139"/>
      <c r="RIC115" s="139"/>
      <c r="RID115" s="139"/>
      <c r="RIE115" s="139"/>
      <c r="RIF115" s="139"/>
      <c r="RIG115" s="139"/>
      <c r="RIH115" s="139"/>
      <c r="RII115" s="139"/>
      <c r="RIJ115" s="139"/>
      <c r="RIK115" s="139"/>
      <c r="RIL115" s="139"/>
      <c r="RIM115" s="139"/>
      <c r="RIN115" s="139"/>
      <c r="RIO115" s="139"/>
      <c r="RIP115" s="139"/>
      <c r="RIQ115" s="139"/>
      <c r="RIR115" s="139"/>
      <c r="RIS115" s="139"/>
      <c r="RIT115" s="139"/>
      <c r="RIU115" s="139"/>
      <c r="RIV115" s="139"/>
      <c r="RIW115" s="139"/>
      <c r="RIX115" s="139"/>
      <c r="RIY115" s="139"/>
      <c r="RIZ115" s="139"/>
      <c r="RJA115" s="139"/>
      <c r="RJB115" s="139"/>
      <c r="RJC115" s="139"/>
      <c r="RJD115" s="139"/>
      <c r="RJE115" s="139"/>
      <c r="RJF115" s="139"/>
      <c r="RJG115" s="139"/>
      <c r="RJH115" s="139"/>
      <c r="RJI115" s="139"/>
      <c r="RJJ115" s="139"/>
      <c r="RJK115" s="139"/>
      <c r="RJL115" s="139"/>
      <c r="RJM115" s="139"/>
      <c r="RJN115" s="139"/>
      <c r="RJO115" s="139"/>
      <c r="RJP115" s="139"/>
      <c r="RJQ115" s="139"/>
      <c r="RJR115" s="139"/>
      <c r="RJS115" s="139"/>
      <c r="RJT115" s="139"/>
      <c r="RJU115" s="139"/>
      <c r="RJV115" s="139"/>
      <c r="RJW115" s="139"/>
      <c r="RJX115" s="139"/>
      <c r="RJY115" s="139"/>
      <c r="RJZ115" s="139"/>
      <c r="RKA115" s="139"/>
      <c r="RKB115" s="139"/>
      <c r="RKC115" s="139"/>
      <c r="RKD115" s="139"/>
      <c r="RKE115" s="139"/>
      <c r="RKF115" s="139"/>
      <c r="RKG115" s="139"/>
      <c r="RKH115" s="139"/>
      <c r="RKI115" s="139"/>
      <c r="RKJ115" s="139"/>
      <c r="RKK115" s="139"/>
      <c r="RKL115" s="139"/>
      <c r="RKM115" s="139"/>
      <c r="RKN115" s="139"/>
      <c r="RKO115" s="139"/>
      <c r="RKP115" s="139"/>
      <c r="RKQ115" s="139"/>
      <c r="RKR115" s="139"/>
      <c r="RKS115" s="139"/>
      <c r="RKT115" s="139"/>
      <c r="RKU115" s="139"/>
      <c r="RKV115" s="139"/>
      <c r="RKW115" s="139"/>
      <c r="RKX115" s="139"/>
      <c r="RKY115" s="139"/>
      <c r="RKZ115" s="139"/>
      <c r="RLA115" s="139"/>
      <c r="RLB115" s="139"/>
      <c r="RLC115" s="139"/>
      <c r="RLD115" s="139"/>
      <c r="RLE115" s="139"/>
      <c r="RLF115" s="139"/>
      <c r="RLG115" s="139"/>
      <c r="RLH115" s="139"/>
      <c r="RLI115" s="139"/>
      <c r="RLJ115" s="139"/>
      <c r="RLK115" s="139"/>
      <c r="RLL115" s="139"/>
      <c r="RLM115" s="139"/>
      <c r="RLN115" s="139"/>
      <c r="RLO115" s="139"/>
      <c r="RLP115" s="139"/>
      <c r="RLQ115" s="139"/>
      <c r="RLR115" s="139"/>
      <c r="RLS115" s="139"/>
      <c r="RLT115" s="139"/>
      <c r="RLU115" s="139"/>
      <c r="RLV115" s="139"/>
      <c r="RLW115" s="139"/>
      <c r="RLX115" s="139"/>
      <c r="RLY115" s="139"/>
      <c r="RLZ115" s="139"/>
      <c r="RMA115" s="139"/>
      <c r="RMB115" s="139"/>
      <c r="RMC115" s="139"/>
      <c r="RMD115" s="139"/>
      <c r="RME115" s="139"/>
      <c r="RMF115" s="139"/>
      <c r="RMG115" s="139"/>
      <c r="RMH115" s="139"/>
      <c r="RMI115" s="139"/>
      <c r="RMJ115" s="139"/>
      <c r="RMK115" s="139"/>
      <c r="RML115" s="139"/>
      <c r="RMM115" s="139"/>
      <c r="RMN115" s="139"/>
      <c r="RMO115" s="139"/>
      <c r="RMP115" s="139"/>
      <c r="RMQ115" s="139"/>
      <c r="RMR115" s="139"/>
      <c r="RMS115" s="139"/>
      <c r="RMT115" s="139"/>
      <c r="RMU115" s="139"/>
      <c r="RMV115" s="139"/>
      <c r="RMW115" s="139"/>
      <c r="RMX115" s="139"/>
      <c r="RMY115" s="139"/>
      <c r="RMZ115" s="139"/>
      <c r="RNA115" s="139"/>
      <c r="RNB115" s="139"/>
      <c r="RNC115" s="139"/>
      <c r="RND115" s="139"/>
      <c r="RNE115" s="139"/>
      <c r="RNF115" s="139"/>
      <c r="RNG115" s="139"/>
      <c r="RNH115" s="139"/>
      <c r="RNI115" s="139"/>
      <c r="RNJ115" s="139"/>
      <c r="RNK115" s="139"/>
      <c r="RNL115" s="139"/>
      <c r="RNM115" s="139"/>
      <c r="RNN115" s="139"/>
      <c r="RNO115" s="139"/>
      <c r="RNP115" s="139"/>
      <c r="RNQ115" s="139"/>
      <c r="RNR115" s="139"/>
      <c r="RNS115" s="139"/>
      <c r="RNT115" s="139"/>
      <c r="RNU115" s="139"/>
      <c r="RNV115" s="139"/>
      <c r="RNW115" s="139"/>
      <c r="RNX115" s="139"/>
      <c r="RNY115" s="139"/>
      <c r="RNZ115" s="139"/>
      <c r="ROA115" s="139"/>
      <c r="ROB115" s="139"/>
      <c r="ROC115" s="139"/>
      <c r="ROD115" s="139"/>
      <c r="ROE115" s="139"/>
      <c r="ROF115" s="139"/>
      <c r="ROG115" s="139"/>
      <c r="ROH115" s="139"/>
      <c r="ROI115" s="139"/>
      <c r="ROJ115" s="139"/>
      <c r="ROK115" s="139"/>
      <c r="ROL115" s="139"/>
      <c r="ROM115" s="139"/>
      <c r="RON115" s="139"/>
      <c r="ROO115" s="139"/>
      <c r="ROP115" s="139"/>
      <c r="ROQ115" s="139"/>
      <c r="ROR115" s="139"/>
      <c r="ROS115" s="139"/>
      <c r="ROT115" s="139"/>
      <c r="ROU115" s="139"/>
      <c r="ROV115" s="139"/>
      <c r="ROW115" s="139"/>
      <c r="ROX115" s="139"/>
      <c r="ROY115" s="139"/>
      <c r="ROZ115" s="139"/>
      <c r="RPA115" s="139"/>
      <c r="RPB115" s="139"/>
      <c r="RPC115" s="139"/>
      <c r="RPD115" s="139"/>
      <c r="RPE115" s="139"/>
      <c r="RPF115" s="139"/>
      <c r="RPG115" s="139"/>
      <c r="RPH115" s="139"/>
      <c r="RPI115" s="139"/>
      <c r="RPJ115" s="139"/>
      <c r="RPK115" s="139"/>
      <c r="RPL115" s="139"/>
      <c r="RPM115" s="139"/>
      <c r="RPN115" s="139"/>
      <c r="RPO115" s="139"/>
      <c r="RPP115" s="139"/>
      <c r="RPQ115" s="139"/>
      <c r="RPR115" s="139"/>
      <c r="RPS115" s="139"/>
      <c r="RPT115" s="139"/>
      <c r="RPU115" s="139"/>
      <c r="RPV115" s="139"/>
      <c r="RPW115" s="139"/>
      <c r="RPX115" s="139"/>
      <c r="RPY115" s="139"/>
      <c r="RPZ115" s="139"/>
      <c r="RQA115" s="139"/>
      <c r="RQB115" s="139"/>
      <c r="RQC115" s="139"/>
      <c r="RQD115" s="139"/>
      <c r="RQE115" s="139"/>
      <c r="RQF115" s="139"/>
      <c r="RQG115" s="139"/>
      <c r="RQH115" s="139"/>
      <c r="RQI115" s="139"/>
      <c r="RQJ115" s="139"/>
      <c r="RQK115" s="139"/>
      <c r="RQL115" s="139"/>
      <c r="RQM115" s="139"/>
      <c r="RQN115" s="139"/>
      <c r="RQO115" s="139"/>
      <c r="RQP115" s="139"/>
      <c r="RQQ115" s="139"/>
      <c r="RQR115" s="139"/>
      <c r="RQS115" s="139"/>
      <c r="RQT115" s="139"/>
      <c r="RQU115" s="139"/>
      <c r="RQV115" s="139"/>
      <c r="RQW115" s="139"/>
      <c r="RQX115" s="139"/>
      <c r="RQY115" s="139"/>
      <c r="RQZ115" s="139"/>
      <c r="RRA115" s="139"/>
      <c r="RRB115" s="139"/>
      <c r="RRC115" s="139"/>
      <c r="RRD115" s="139"/>
      <c r="RRE115" s="139"/>
      <c r="RRF115" s="139"/>
      <c r="RRG115" s="139"/>
      <c r="RRH115" s="139"/>
      <c r="RRI115" s="139"/>
      <c r="RRJ115" s="139"/>
      <c r="RRK115" s="139"/>
      <c r="RRL115" s="139"/>
      <c r="RRM115" s="139"/>
      <c r="RRN115" s="139"/>
      <c r="RRO115" s="139"/>
      <c r="RRP115" s="139"/>
      <c r="RRQ115" s="139"/>
      <c r="RRR115" s="139"/>
      <c r="RRS115" s="139"/>
      <c r="RRT115" s="139"/>
      <c r="RRU115" s="139"/>
      <c r="RRV115" s="139"/>
      <c r="RRW115" s="139"/>
      <c r="RRX115" s="139"/>
      <c r="RRY115" s="139"/>
      <c r="RRZ115" s="139"/>
      <c r="RSA115" s="139"/>
      <c r="RSB115" s="139"/>
      <c r="RSC115" s="139"/>
      <c r="RSD115" s="139"/>
      <c r="RSE115" s="139"/>
      <c r="RSF115" s="139"/>
      <c r="RSG115" s="139"/>
      <c r="RSH115" s="139"/>
      <c r="RSI115" s="139"/>
      <c r="RSJ115" s="139"/>
      <c r="RSK115" s="139"/>
      <c r="RSL115" s="139"/>
      <c r="RSM115" s="139"/>
      <c r="RSN115" s="139"/>
      <c r="RSO115" s="139"/>
      <c r="RSP115" s="139"/>
      <c r="RSQ115" s="139"/>
      <c r="RSR115" s="139"/>
      <c r="RSS115" s="139"/>
      <c r="RST115" s="139"/>
      <c r="RSU115" s="139"/>
      <c r="RSV115" s="139"/>
      <c r="RSW115" s="139"/>
      <c r="RSX115" s="139"/>
      <c r="RSY115" s="139"/>
      <c r="RSZ115" s="139"/>
      <c r="RTA115" s="139"/>
      <c r="RTB115" s="139"/>
      <c r="RTC115" s="139"/>
      <c r="RTD115" s="139"/>
      <c r="RTE115" s="139"/>
      <c r="RTF115" s="139"/>
      <c r="RTG115" s="139"/>
      <c r="RTH115" s="139"/>
      <c r="RTI115" s="139"/>
      <c r="RTJ115" s="139"/>
      <c r="RTK115" s="139"/>
      <c r="RTL115" s="139"/>
      <c r="RTM115" s="139"/>
      <c r="RTN115" s="139"/>
      <c r="RTO115" s="139"/>
      <c r="RTP115" s="139"/>
      <c r="RTQ115" s="139"/>
      <c r="RTR115" s="139"/>
      <c r="RTS115" s="139"/>
      <c r="RTT115" s="139"/>
      <c r="RTU115" s="139"/>
      <c r="RTV115" s="139"/>
      <c r="RTW115" s="139"/>
      <c r="RTX115" s="139"/>
      <c r="RTY115" s="139"/>
      <c r="RTZ115" s="139"/>
      <c r="RUA115" s="139"/>
      <c r="RUB115" s="139"/>
      <c r="RUC115" s="139"/>
      <c r="RUD115" s="139"/>
      <c r="RUE115" s="139"/>
      <c r="RUF115" s="139"/>
      <c r="RUG115" s="139"/>
      <c r="RUH115" s="139"/>
      <c r="RUI115" s="139"/>
      <c r="RUJ115" s="139"/>
      <c r="RUK115" s="139"/>
      <c r="RUL115" s="139"/>
      <c r="RUM115" s="139"/>
      <c r="RUN115" s="139"/>
      <c r="RUO115" s="139"/>
      <c r="RUP115" s="139"/>
      <c r="RUQ115" s="139"/>
      <c r="RUR115" s="139"/>
      <c r="RUS115" s="139"/>
      <c r="RUT115" s="139"/>
      <c r="RUU115" s="139"/>
      <c r="RUV115" s="139"/>
      <c r="RUW115" s="139"/>
      <c r="RUX115" s="139"/>
      <c r="RUY115" s="139"/>
      <c r="RUZ115" s="139"/>
      <c r="RVA115" s="139"/>
      <c r="RVB115" s="139"/>
      <c r="RVC115" s="139"/>
      <c r="RVD115" s="139"/>
      <c r="RVE115" s="139"/>
      <c r="RVF115" s="139"/>
      <c r="RVG115" s="139"/>
      <c r="RVH115" s="139"/>
      <c r="RVI115" s="139"/>
      <c r="RVJ115" s="139"/>
      <c r="RVK115" s="139"/>
      <c r="RVL115" s="139"/>
      <c r="RVM115" s="139"/>
      <c r="RVN115" s="139"/>
      <c r="RVO115" s="139"/>
      <c r="RVP115" s="139"/>
      <c r="RVQ115" s="139"/>
      <c r="RVR115" s="139"/>
      <c r="RVS115" s="139"/>
      <c r="RVT115" s="139"/>
      <c r="RVU115" s="139"/>
      <c r="RVV115" s="139"/>
      <c r="RVW115" s="139"/>
      <c r="RVX115" s="139"/>
      <c r="RVY115" s="139"/>
      <c r="RVZ115" s="139"/>
      <c r="RWA115" s="139"/>
      <c r="RWB115" s="139"/>
      <c r="RWC115" s="139"/>
      <c r="RWD115" s="139"/>
      <c r="RWE115" s="139"/>
      <c r="RWF115" s="139"/>
      <c r="RWG115" s="139"/>
      <c r="RWH115" s="139"/>
      <c r="RWI115" s="139"/>
      <c r="RWJ115" s="139"/>
      <c r="RWK115" s="139"/>
      <c r="RWL115" s="139"/>
      <c r="RWM115" s="139"/>
      <c r="RWN115" s="139"/>
      <c r="RWO115" s="139"/>
      <c r="RWP115" s="139"/>
      <c r="RWQ115" s="139"/>
      <c r="RWR115" s="139"/>
      <c r="RWS115" s="139"/>
      <c r="RWT115" s="139"/>
      <c r="RWU115" s="139"/>
      <c r="RWV115" s="139"/>
      <c r="RWW115" s="139"/>
      <c r="RWX115" s="139"/>
      <c r="RWY115" s="139"/>
      <c r="RWZ115" s="139"/>
      <c r="RXA115" s="139"/>
      <c r="RXB115" s="139"/>
      <c r="RXC115" s="139"/>
      <c r="RXD115" s="139"/>
      <c r="RXE115" s="139"/>
      <c r="RXF115" s="139"/>
      <c r="RXG115" s="139"/>
      <c r="RXH115" s="139"/>
      <c r="RXI115" s="139"/>
      <c r="RXJ115" s="139"/>
      <c r="RXK115" s="139"/>
      <c r="RXL115" s="139"/>
      <c r="RXM115" s="139"/>
      <c r="RXN115" s="139"/>
      <c r="RXO115" s="139"/>
      <c r="RXP115" s="139"/>
      <c r="RXQ115" s="139"/>
      <c r="RXR115" s="139"/>
      <c r="RXS115" s="139"/>
      <c r="RXT115" s="139"/>
      <c r="RXU115" s="139"/>
      <c r="RXV115" s="139"/>
      <c r="RXW115" s="139"/>
      <c r="RXX115" s="139"/>
      <c r="RXY115" s="139"/>
      <c r="RXZ115" s="139"/>
      <c r="RYA115" s="139"/>
      <c r="RYB115" s="139"/>
      <c r="RYC115" s="139"/>
      <c r="RYD115" s="139"/>
      <c r="RYE115" s="139"/>
      <c r="RYF115" s="139"/>
      <c r="RYG115" s="139"/>
      <c r="RYH115" s="139"/>
      <c r="RYI115" s="139"/>
      <c r="RYJ115" s="139"/>
      <c r="RYK115" s="139"/>
      <c r="RYL115" s="139"/>
      <c r="RYM115" s="139"/>
      <c r="RYN115" s="139"/>
      <c r="RYO115" s="139"/>
      <c r="RYP115" s="139"/>
      <c r="RYQ115" s="139"/>
      <c r="RYR115" s="139"/>
      <c r="RYS115" s="139"/>
      <c r="RYT115" s="139"/>
      <c r="RYU115" s="139"/>
      <c r="RYV115" s="139"/>
      <c r="RYW115" s="139"/>
      <c r="RYX115" s="139"/>
      <c r="RYY115" s="139"/>
      <c r="RYZ115" s="139"/>
      <c r="RZA115" s="139"/>
      <c r="RZB115" s="139"/>
      <c r="RZC115" s="139"/>
      <c r="RZD115" s="139"/>
      <c r="RZE115" s="139"/>
      <c r="RZF115" s="139"/>
      <c r="RZG115" s="139"/>
      <c r="RZH115" s="139"/>
      <c r="RZI115" s="139"/>
      <c r="RZJ115" s="139"/>
      <c r="RZK115" s="139"/>
      <c r="RZL115" s="139"/>
      <c r="RZM115" s="139"/>
      <c r="RZN115" s="139"/>
      <c r="RZO115" s="139"/>
      <c r="RZP115" s="139"/>
      <c r="RZQ115" s="139"/>
      <c r="RZR115" s="139"/>
      <c r="RZS115" s="139"/>
      <c r="RZT115" s="139"/>
      <c r="RZU115" s="139"/>
      <c r="RZV115" s="139"/>
      <c r="RZW115" s="139"/>
      <c r="RZX115" s="139"/>
      <c r="RZY115" s="139"/>
      <c r="RZZ115" s="139"/>
      <c r="SAA115" s="139"/>
      <c r="SAB115" s="139"/>
      <c r="SAC115" s="139"/>
      <c r="SAD115" s="139"/>
      <c r="SAE115" s="139"/>
      <c r="SAF115" s="139"/>
      <c r="SAG115" s="139"/>
      <c r="SAH115" s="139"/>
      <c r="SAI115" s="139"/>
      <c r="SAJ115" s="139"/>
      <c r="SAK115" s="139"/>
      <c r="SAL115" s="139"/>
      <c r="SAM115" s="139"/>
      <c r="SAN115" s="139"/>
      <c r="SAO115" s="139"/>
      <c r="SAP115" s="139"/>
      <c r="SAQ115" s="139"/>
      <c r="SAR115" s="139"/>
      <c r="SAS115" s="139"/>
      <c r="SAT115" s="139"/>
      <c r="SAU115" s="139"/>
      <c r="SAV115" s="139"/>
      <c r="SAW115" s="139"/>
      <c r="SAX115" s="139"/>
      <c r="SAY115" s="139"/>
      <c r="SAZ115" s="139"/>
      <c r="SBA115" s="139"/>
      <c r="SBB115" s="139"/>
      <c r="SBC115" s="139"/>
      <c r="SBD115" s="139"/>
      <c r="SBE115" s="139"/>
      <c r="SBF115" s="139"/>
      <c r="SBG115" s="139"/>
      <c r="SBH115" s="139"/>
      <c r="SBI115" s="139"/>
      <c r="SBJ115" s="139"/>
      <c r="SBK115" s="139"/>
      <c r="SBL115" s="139"/>
      <c r="SBM115" s="139"/>
      <c r="SBN115" s="139"/>
      <c r="SBO115" s="139"/>
      <c r="SBP115" s="139"/>
      <c r="SBQ115" s="139"/>
      <c r="SBR115" s="139"/>
      <c r="SBS115" s="139"/>
      <c r="SBT115" s="139"/>
      <c r="SBU115" s="139"/>
      <c r="SBV115" s="139"/>
      <c r="SBW115" s="139"/>
      <c r="SBX115" s="139"/>
      <c r="SBY115" s="139"/>
      <c r="SBZ115" s="139"/>
      <c r="SCA115" s="139"/>
      <c r="SCB115" s="139"/>
      <c r="SCC115" s="139"/>
      <c r="SCD115" s="139"/>
      <c r="SCE115" s="139"/>
      <c r="SCF115" s="139"/>
      <c r="SCG115" s="139"/>
      <c r="SCH115" s="139"/>
      <c r="SCI115" s="139"/>
      <c r="SCJ115" s="139"/>
      <c r="SCK115" s="139"/>
      <c r="SCL115" s="139"/>
      <c r="SCM115" s="139"/>
      <c r="SCN115" s="139"/>
      <c r="SCO115" s="139"/>
      <c r="SCP115" s="139"/>
      <c r="SCQ115" s="139"/>
      <c r="SCR115" s="139"/>
      <c r="SCS115" s="139"/>
      <c r="SCT115" s="139"/>
      <c r="SCU115" s="139"/>
      <c r="SCV115" s="139"/>
      <c r="SCW115" s="139"/>
      <c r="SCX115" s="139"/>
      <c r="SCY115" s="139"/>
      <c r="SCZ115" s="139"/>
      <c r="SDA115" s="139"/>
      <c r="SDB115" s="139"/>
      <c r="SDC115" s="139"/>
      <c r="SDD115" s="139"/>
      <c r="SDE115" s="139"/>
      <c r="SDF115" s="139"/>
      <c r="SDG115" s="139"/>
      <c r="SDH115" s="139"/>
      <c r="SDI115" s="139"/>
      <c r="SDJ115" s="139"/>
      <c r="SDK115" s="139"/>
      <c r="SDL115" s="139"/>
      <c r="SDM115" s="139"/>
      <c r="SDN115" s="139"/>
      <c r="SDO115" s="139"/>
      <c r="SDP115" s="139"/>
      <c r="SDQ115" s="139"/>
      <c r="SDR115" s="139"/>
      <c r="SDS115" s="139"/>
      <c r="SDT115" s="139"/>
      <c r="SDU115" s="139"/>
      <c r="SDV115" s="139"/>
      <c r="SDW115" s="139"/>
      <c r="SDX115" s="139"/>
      <c r="SDY115" s="139"/>
      <c r="SDZ115" s="139"/>
      <c r="SEA115" s="139"/>
      <c r="SEB115" s="139"/>
      <c r="SEC115" s="139"/>
      <c r="SED115" s="139"/>
      <c r="SEE115" s="139"/>
      <c r="SEF115" s="139"/>
      <c r="SEG115" s="139"/>
      <c r="SEH115" s="139"/>
      <c r="SEI115" s="139"/>
      <c r="SEJ115" s="139"/>
      <c r="SEK115" s="139"/>
      <c r="SEL115" s="139"/>
      <c r="SEM115" s="139"/>
      <c r="SEN115" s="139"/>
      <c r="SEO115" s="139"/>
      <c r="SEP115" s="139"/>
      <c r="SEQ115" s="139"/>
      <c r="SER115" s="139"/>
      <c r="SES115" s="139"/>
      <c r="SET115" s="139"/>
      <c r="SEU115" s="139"/>
      <c r="SEV115" s="139"/>
      <c r="SEW115" s="139"/>
      <c r="SEX115" s="139"/>
      <c r="SEY115" s="139"/>
      <c r="SEZ115" s="139"/>
      <c r="SFA115" s="139"/>
      <c r="SFB115" s="139"/>
      <c r="SFC115" s="139"/>
      <c r="SFD115" s="139"/>
      <c r="SFE115" s="139"/>
      <c r="SFF115" s="139"/>
      <c r="SFG115" s="139"/>
      <c r="SFH115" s="139"/>
      <c r="SFI115" s="139"/>
      <c r="SFJ115" s="139"/>
      <c r="SFK115" s="139"/>
      <c r="SFL115" s="139"/>
      <c r="SFM115" s="139"/>
      <c r="SFN115" s="139"/>
      <c r="SFO115" s="139"/>
      <c r="SFP115" s="139"/>
      <c r="SFQ115" s="139"/>
      <c r="SFR115" s="139"/>
      <c r="SFS115" s="139"/>
      <c r="SFT115" s="139"/>
      <c r="SFU115" s="139"/>
      <c r="SFV115" s="139"/>
      <c r="SFW115" s="139"/>
      <c r="SFX115" s="139"/>
      <c r="SFY115" s="139"/>
      <c r="SFZ115" s="139"/>
      <c r="SGA115" s="139"/>
      <c r="SGB115" s="139"/>
      <c r="SGC115" s="139"/>
      <c r="SGD115" s="139"/>
      <c r="SGE115" s="139"/>
      <c r="SGF115" s="139"/>
      <c r="SGG115" s="139"/>
      <c r="SGH115" s="139"/>
      <c r="SGI115" s="139"/>
      <c r="SGJ115" s="139"/>
      <c r="SGK115" s="139"/>
      <c r="SGL115" s="139"/>
      <c r="SGM115" s="139"/>
      <c r="SGN115" s="139"/>
      <c r="SGO115" s="139"/>
      <c r="SGP115" s="139"/>
      <c r="SGQ115" s="139"/>
      <c r="SGR115" s="139"/>
      <c r="SGS115" s="139"/>
      <c r="SGT115" s="139"/>
      <c r="SGU115" s="139"/>
      <c r="SGV115" s="139"/>
      <c r="SGW115" s="139"/>
      <c r="SGX115" s="139"/>
      <c r="SGY115" s="139"/>
      <c r="SGZ115" s="139"/>
      <c r="SHA115" s="139"/>
      <c r="SHB115" s="139"/>
      <c r="SHC115" s="139"/>
      <c r="SHD115" s="139"/>
      <c r="SHE115" s="139"/>
      <c r="SHF115" s="139"/>
      <c r="SHG115" s="139"/>
      <c r="SHH115" s="139"/>
      <c r="SHI115" s="139"/>
      <c r="SHJ115" s="139"/>
      <c r="SHK115" s="139"/>
      <c r="SHL115" s="139"/>
      <c r="SHM115" s="139"/>
      <c r="SHN115" s="139"/>
      <c r="SHO115" s="139"/>
      <c r="SHP115" s="139"/>
      <c r="SHQ115" s="139"/>
      <c r="SHR115" s="139"/>
      <c r="SHS115" s="139"/>
      <c r="SHT115" s="139"/>
      <c r="SHU115" s="139"/>
      <c r="SHV115" s="139"/>
      <c r="SHW115" s="139"/>
      <c r="SHX115" s="139"/>
      <c r="SHY115" s="139"/>
      <c r="SHZ115" s="139"/>
      <c r="SIA115" s="139"/>
      <c r="SIB115" s="139"/>
      <c r="SIC115" s="139"/>
      <c r="SID115" s="139"/>
      <c r="SIE115" s="139"/>
      <c r="SIF115" s="139"/>
      <c r="SIG115" s="139"/>
      <c r="SIH115" s="139"/>
      <c r="SII115" s="139"/>
      <c r="SIJ115" s="139"/>
      <c r="SIK115" s="139"/>
      <c r="SIL115" s="139"/>
      <c r="SIM115" s="139"/>
      <c r="SIN115" s="139"/>
      <c r="SIO115" s="139"/>
      <c r="SIP115" s="139"/>
      <c r="SIQ115" s="139"/>
      <c r="SIR115" s="139"/>
      <c r="SIS115" s="139"/>
      <c r="SIT115" s="139"/>
      <c r="SIU115" s="139"/>
      <c r="SIV115" s="139"/>
      <c r="SIW115" s="139"/>
      <c r="SIX115" s="139"/>
      <c r="SIY115" s="139"/>
      <c r="SIZ115" s="139"/>
      <c r="SJA115" s="139"/>
      <c r="SJB115" s="139"/>
      <c r="SJC115" s="139"/>
      <c r="SJD115" s="139"/>
      <c r="SJE115" s="139"/>
      <c r="SJF115" s="139"/>
      <c r="SJG115" s="139"/>
      <c r="SJH115" s="139"/>
      <c r="SJI115" s="139"/>
      <c r="SJJ115" s="139"/>
      <c r="SJK115" s="139"/>
      <c r="SJL115" s="139"/>
      <c r="SJM115" s="139"/>
      <c r="SJN115" s="139"/>
      <c r="SJO115" s="139"/>
      <c r="SJP115" s="139"/>
      <c r="SJQ115" s="139"/>
      <c r="SJR115" s="139"/>
      <c r="SJS115" s="139"/>
      <c r="SJT115" s="139"/>
      <c r="SJU115" s="139"/>
      <c r="SJV115" s="139"/>
      <c r="SJW115" s="139"/>
      <c r="SJX115" s="139"/>
      <c r="SJY115" s="139"/>
      <c r="SJZ115" s="139"/>
      <c r="SKA115" s="139"/>
      <c r="SKB115" s="139"/>
      <c r="SKC115" s="139"/>
      <c r="SKD115" s="139"/>
      <c r="SKE115" s="139"/>
      <c r="SKF115" s="139"/>
      <c r="SKG115" s="139"/>
      <c r="SKH115" s="139"/>
      <c r="SKI115" s="139"/>
      <c r="SKJ115" s="139"/>
      <c r="SKK115" s="139"/>
      <c r="SKL115" s="139"/>
      <c r="SKM115" s="139"/>
      <c r="SKN115" s="139"/>
      <c r="SKO115" s="139"/>
      <c r="SKP115" s="139"/>
      <c r="SKQ115" s="139"/>
      <c r="SKR115" s="139"/>
      <c r="SKS115" s="139"/>
      <c r="SKT115" s="139"/>
      <c r="SKU115" s="139"/>
      <c r="SKV115" s="139"/>
      <c r="SKW115" s="139"/>
      <c r="SKX115" s="139"/>
      <c r="SKY115" s="139"/>
      <c r="SKZ115" s="139"/>
      <c r="SLA115" s="139"/>
      <c r="SLB115" s="139"/>
      <c r="SLC115" s="139"/>
      <c r="SLD115" s="139"/>
      <c r="SLE115" s="139"/>
      <c r="SLF115" s="139"/>
      <c r="SLG115" s="139"/>
      <c r="SLH115" s="139"/>
      <c r="SLI115" s="139"/>
      <c r="SLJ115" s="139"/>
      <c r="SLK115" s="139"/>
      <c r="SLL115" s="139"/>
      <c r="SLM115" s="139"/>
      <c r="SLN115" s="139"/>
      <c r="SLO115" s="139"/>
      <c r="SLP115" s="139"/>
      <c r="SLQ115" s="139"/>
      <c r="SLR115" s="139"/>
      <c r="SLS115" s="139"/>
      <c r="SLT115" s="139"/>
      <c r="SLU115" s="139"/>
      <c r="SLV115" s="139"/>
      <c r="SLW115" s="139"/>
      <c r="SLX115" s="139"/>
      <c r="SLY115" s="139"/>
      <c r="SLZ115" s="139"/>
      <c r="SMA115" s="139"/>
      <c r="SMB115" s="139"/>
      <c r="SMC115" s="139"/>
      <c r="SMD115" s="139"/>
      <c r="SME115" s="139"/>
      <c r="SMF115" s="139"/>
      <c r="SMG115" s="139"/>
      <c r="SMH115" s="139"/>
      <c r="SMI115" s="139"/>
      <c r="SMJ115" s="139"/>
      <c r="SMK115" s="139"/>
      <c r="SML115" s="139"/>
      <c r="SMM115" s="139"/>
      <c r="SMN115" s="139"/>
      <c r="SMO115" s="139"/>
      <c r="SMP115" s="139"/>
      <c r="SMQ115" s="139"/>
      <c r="SMR115" s="139"/>
      <c r="SMS115" s="139"/>
      <c r="SMT115" s="139"/>
      <c r="SMU115" s="139"/>
      <c r="SMV115" s="139"/>
      <c r="SMW115" s="139"/>
      <c r="SMX115" s="139"/>
      <c r="SMY115" s="139"/>
      <c r="SMZ115" s="139"/>
      <c r="SNA115" s="139"/>
      <c r="SNB115" s="139"/>
      <c r="SNC115" s="139"/>
      <c r="SND115" s="139"/>
      <c r="SNE115" s="139"/>
      <c r="SNF115" s="139"/>
      <c r="SNG115" s="139"/>
      <c r="SNH115" s="139"/>
      <c r="SNI115" s="139"/>
      <c r="SNJ115" s="139"/>
      <c r="SNK115" s="139"/>
      <c r="SNL115" s="139"/>
      <c r="SNM115" s="139"/>
      <c r="SNN115" s="139"/>
      <c r="SNO115" s="139"/>
      <c r="SNP115" s="139"/>
      <c r="SNQ115" s="139"/>
      <c r="SNR115" s="139"/>
      <c r="SNS115" s="139"/>
      <c r="SNT115" s="139"/>
      <c r="SNU115" s="139"/>
      <c r="SNV115" s="139"/>
      <c r="SNW115" s="139"/>
      <c r="SNX115" s="139"/>
      <c r="SNY115" s="139"/>
      <c r="SNZ115" s="139"/>
      <c r="SOA115" s="139"/>
      <c r="SOB115" s="139"/>
      <c r="SOC115" s="139"/>
      <c r="SOD115" s="139"/>
      <c r="SOE115" s="139"/>
      <c r="SOF115" s="139"/>
      <c r="SOG115" s="139"/>
      <c r="SOH115" s="139"/>
      <c r="SOI115" s="139"/>
      <c r="SOJ115" s="139"/>
      <c r="SOK115" s="139"/>
      <c r="SOL115" s="139"/>
      <c r="SOM115" s="139"/>
      <c r="SON115" s="139"/>
      <c r="SOO115" s="139"/>
      <c r="SOP115" s="139"/>
      <c r="SOQ115" s="139"/>
      <c r="SOR115" s="139"/>
      <c r="SOS115" s="139"/>
      <c r="SOT115" s="139"/>
      <c r="SOU115" s="139"/>
      <c r="SOV115" s="139"/>
      <c r="SOW115" s="139"/>
      <c r="SOX115" s="139"/>
      <c r="SOY115" s="139"/>
      <c r="SOZ115" s="139"/>
      <c r="SPA115" s="139"/>
      <c r="SPB115" s="139"/>
      <c r="SPC115" s="139"/>
      <c r="SPD115" s="139"/>
      <c r="SPE115" s="139"/>
      <c r="SPF115" s="139"/>
      <c r="SPG115" s="139"/>
      <c r="SPH115" s="139"/>
      <c r="SPI115" s="139"/>
      <c r="SPJ115" s="139"/>
      <c r="SPK115" s="139"/>
      <c r="SPL115" s="139"/>
      <c r="SPM115" s="139"/>
      <c r="SPN115" s="139"/>
      <c r="SPO115" s="139"/>
      <c r="SPP115" s="139"/>
      <c r="SPQ115" s="139"/>
      <c r="SPR115" s="139"/>
      <c r="SPS115" s="139"/>
      <c r="SPT115" s="139"/>
      <c r="SPU115" s="139"/>
      <c r="SPV115" s="139"/>
      <c r="SPW115" s="139"/>
      <c r="SPX115" s="139"/>
      <c r="SPY115" s="139"/>
      <c r="SPZ115" s="139"/>
      <c r="SQA115" s="139"/>
      <c r="SQB115" s="139"/>
      <c r="SQC115" s="139"/>
      <c r="SQD115" s="139"/>
      <c r="SQE115" s="139"/>
      <c r="SQF115" s="139"/>
      <c r="SQG115" s="139"/>
      <c r="SQH115" s="139"/>
      <c r="SQI115" s="139"/>
      <c r="SQJ115" s="139"/>
      <c r="SQK115" s="139"/>
      <c r="SQL115" s="139"/>
      <c r="SQM115" s="139"/>
      <c r="SQN115" s="139"/>
      <c r="SQO115" s="139"/>
      <c r="SQP115" s="139"/>
      <c r="SQQ115" s="139"/>
      <c r="SQR115" s="139"/>
      <c r="SQS115" s="139"/>
      <c r="SQT115" s="139"/>
      <c r="SQU115" s="139"/>
      <c r="SQV115" s="139"/>
      <c r="SQW115" s="139"/>
      <c r="SQX115" s="139"/>
      <c r="SQY115" s="139"/>
      <c r="SQZ115" s="139"/>
      <c r="SRA115" s="139"/>
      <c r="SRB115" s="139"/>
      <c r="SRC115" s="139"/>
      <c r="SRD115" s="139"/>
      <c r="SRE115" s="139"/>
      <c r="SRF115" s="139"/>
      <c r="SRG115" s="139"/>
      <c r="SRH115" s="139"/>
      <c r="SRI115" s="139"/>
      <c r="SRJ115" s="139"/>
      <c r="SRK115" s="139"/>
      <c r="SRL115" s="139"/>
      <c r="SRM115" s="139"/>
      <c r="SRN115" s="139"/>
      <c r="SRO115" s="139"/>
      <c r="SRP115" s="139"/>
      <c r="SRQ115" s="139"/>
      <c r="SRR115" s="139"/>
      <c r="SRS115" s="139"/>
      <c r="SRT115" s="139"/>
      <c r="SRU115" s="139"/>
      <c r="SRV115" s="139"/>
      <c r="SRW115" s="139"/>
      <c r="SRX115" s="139"/>
      <c r="SRY115" s="139"/>
      <c r="SRZ115" s="139"/>
      <c r="SSA115" s="139"/>
      <c r="SSB115" s="139"/>
      <c r="SSC115" s="139"/>
      <c r="SSD115" s="139"/>
      <c r="SSE115" s="139"/>
      <c r="SSF115" s="139"/>
      <c r="SSG115" s="139"/>
      <c r="SSH115" s="139"/>
      <c r="SSI115" s="139"/>
      <c r="SSJ115" s="139"/>
      <c r="SSK115" s="139"/>
      <c r="SSL115" s="139"/>
      <c r="SSM115" s="139"/>
      <c r="SSN115" s="139"/>
      <c r="SSO115" s="139"/>
      <c r="SSP115" s="139"/>
      <c r="SSQ115" s="139"/>
      <c r="SSR115" s="139"/>
      <c r="SSS115" s="139"/>
      <c r="SST115" s="139"/>
      <c r="SSU115" s="139"/>
      <c r="SSV115" s="139"/>
      <c r="SSW115" s="139"/>
      <c r="SSX115" s="139"/>
      <c r="SSY115" s="139"/>
      <c r="SSZ115" s="139"/>
      <c r="STA115" s="139"/>
      <c r="STB115" s="139"/>
      <c r="STC115" s="139"/>
      <c r="STD115" s="139"/>
      <c r="STE115" s="139"/>
      <c r="STF115" s="139"/>
      <c r="STG115" s="139"/>
      <c r="STH115" s="139"/>
      <c r="STI115" s="139"/>
      <c r="STJ115" s="139"/>
      <c r="STK115" s="139"/>
      <c r="STL115" s="139"/>
      <c r="STM115" s="139"/>
      <c r="STN115" s="139"/>
      <c r="STO115" s="139"/>
      <c r="STP115" s="139"/>
      <c r="STQ115" s="139"/>
      <c r="STR115" s="139"/>
      <c r="STS115" s="139"/>
      <c r="STT115" s="139"/>
      <c r="STU115" s="139"/>
      <c r="STV115" s="139"/>
      <c r="STW115" s="139"/>
      <c r="STX115" s="139"/>
      <c r="STY115" s="139"/>
      <c r="STZ115" s="139"/>
      <c r="SUA115" s="139"/>
      <c r="SUB115" s="139"/>
      <c r="SUC115" s="139"/>
      <c r="SUD115" s="139"/>
      <c r="SUE115" s="139"/>
      <c r="SUF115" s="139"/>
      <c r="SUG115" s="139"/>
      <c r="SUH115" s="139"/>
      <c r="SUI115" s="139"/>
      <c r="SUJ115" s="139"/>
      <c r="SUK115" s="139"/>
      <c r="SUL115" s="139"/>
      <c r="SUM115" s="139"/>
      <c r="SUN115" s="139"/>
      <c r="SUO115" s="139"/>
      <c r="SUP115" s="139"/>
      <c r="SUQ115" s="139"/>
      <c r="SUR115" s="139"/>
      <c r="SUS115" s="139"/>
      <c r="SUT115" s="139"/>
      <c r="SUU115" s="139"/>
      <c r="SUV115" s="139"/>
      <c r="SUW115" s="139"/>
      <c r="SUX115" s="139"/>
      <c r="SUY115" s="139"/>
      <c r="SUZ115" s="139"/>
      <c r="SVA115" s="139"/>
      <c r="SVB115" s="139"/>
      <c r="SVC115" s="139"/>
      <c r="SVD115" s="139"/>
      <c r="SVE115" s="139"/>
      <c r="SVF115" s="139"/>
      <c r="SVG115" s="139"/>
      <c r="SVH115" s="139"/>
      <c r="SVI115" s="139"/>
      <c r="SVJ115" s="139"/>
      <c r="SVK115" s="139"/>
      <c r="SVL115" s="139"/>
      <c r="SVM115" s="139"/>
      <c r="SVN115" s="139"/>
      <c r="SVO115" s="139"/>
      <c r="SVP115" s="139"/>
      <c r="SVQ115" s="139"/>
      <c r="SVR115" s="139"/>
      <c r="SVS115" s="139"/>
      <c r="SVT115" s="139"/>
      <c r="SVU115" s="139"/>
      <c r="SVV115" s="139"/>
      <c r="SVW115" s="139"/>
      <c r="SVX115" s="139"/>
      <c r="SVY115" s="139"/>
      <c r="SVZ115" s="139"/>
      <c r="SWA115" s="139"/>
      <c r="SWB115" s="139"/>
      <c r="SWC115" s="139"/>
      <c r="SWD115" s="139"/>
      <c r="SWE115" s="139"/>
      <c r="SWF115" s="139"/>
      <c r="SWG115" s="139"/>
      <c r="SWH115" s="139"/>
      <c r="SWI115" s="139"/>
      <c r="SWJ115" s="139"/>
      <c r="SWK115" s="139"/>
      <c r="SWL115" s="139"/>
      <c r="SWM115" s="139"/>
      <c r="SWN115" s="139"/>
      <c r="SWO115" s="139"/>
      <c r="SWP115" s="139"/>
      <c r="SWQ115" s="139"/>
      <c r="SWR115" s="139"/>
      <c r="SWS115" s="139"/>
      <c r="SWT115" s="139"/>
      <c r="SWU115" s="139"/>
      <c r="SWV115" s="139"/>
      <c r="SWW115" s="139"/>
      <c r="SWX115" s="139"/>
      <c r="SWY115" s="139"/>
      <c r="SWZ115" s="139"/>
      <c r="SXA115" s="139"/>
      <c r="SXB115" s="139"/>
      <c r="SXC115" s="139"/>
      <c r="SXD115" s="139"/>
      <c r="SXE115" s="139"/>
      <c r="SXF115" s="139"/>
      <c r="SXG115" s="139"/>
      <c r="SXH115" s="139"/>
      <c r="SXI115" s="139"/>
      <c r="SXJ115" s="139"/>
      <c r="SXK115" s="139"/>
      <c r="SXL115" s="139"/>
      <c r="SXM115" s="139"/>
      <c r="SXN115" s="139"/>
      <c r="SXO115" s="139"/>
      <c r="SXP115" s="139"/>
      <c r="SXQ115" s="139"/>
      <c r="SXR115" s="139"/>
      <c r="SXS115" s="139"/>
      <c r="SXT115" s="139"/>
      <c r="SXU115" s="139"/>
      <c r="SXV115" s="139"/>
      <c r="SXW115" s="139"/>
      <c r="SXX115" s="139"/>
      <c r="SXY115" s="139"/>
      <c r="SXZ115" s="139"/>
      <c r="SYA115" s="139"/>
      <c r="SYB115" s="139"/>
      <c r="SYC115" s="139"/>
      <c r="SYD115" s="139"/>
      <c r="SYE115" s="139"/>
      <c r="SYF115" s="139"/>
      <c r="SYG115" s="139"/>
      <c r="SYH115" s="139"/>
      <c r="SYI115" s="139"/>
      <c r="SYJ115" s="139"/>
      <c r="SYK115" s="139"/>
      <c r="SYL115" s="139"/>
      <c r="SYM115" s="139"/>
      <c r="SYN115" s="139"/>
      <c r="SYO115" s="139"/>
      <c r="SYP115" s="139"/>
      <c r="SYQ115" s="139"/>
      <c r="SYR115" s="139"/>
      <c r="SYS115" s="139"/>
      <c r="SYT115" s="139"/>
      <c r="SYU115" s="139"/>
      <c r="SYV115" s="139"/>
      <c r="SYW115" s="139"/>
      <c r="SYX115" s="139"/>
      <c r="SYY115" s="139"/>
      <c r="SYZ115" s="139"/>
      <c r="SZA115" s="139"/>
      <c r="SZB115" s="139"/>
      <c r="SZC115" s="139"/>
      <c r="SZD115" s="139"/>
      <c r="SZE115" s="139"/>
      <c r="SZF115" s="139"/>
      <c r="SZG115" s="139"/>
      <c r="SZH115" s="139"/>
      <c r="SZI115" s="139"/>
      <c r="SZJ115" s="139"/>
      <c r="SZK115" s="139"/>
      <c r="SZL115" s="139"/>
      <c r="SZM115" s="139"/>
      <c r="SZN115" s="139"/>
      <c r="SZO115" s="139"/>
      <c r="SZP115" s="139"/>
      <c r="SZQ115" s="139"/>
      <c r="SZR115" s="139"/>
      <c r="SZS115" s="139"/>
      <c r="SZT115" s="139"/>
      <c r="SZU115" s="139"/>
      <c r="SZV115" s="139"/>
      <c r="SZW115" s="139"/>
      <c r="SZX115" s="139"/>
      <c r="SZY115" s="139"/>
      <c r="SZZ115" s="139"/>
      <c r="TAA115" s="139"/>
      <c r="TAB115" s="139"/>
      <c r="TAC115" s="139"/>
      <c r="TAD115" s="139"/>
      <c r="TAE115" s="139"/>
      <c r="TAF115" s="139"/>
      <c r="TAG115" s="139"/>
      <c r="TAH115" s="139"/>
      <c r="TAI115" s="139"/>
      <c r="TAJ115" s="139"/>
      <c r="TAK115" s="139"/>
      <c r="TAL115" s="139"/>
      <c r="TAM115" s="139"/>
      <c r="TAN115" s="139"/>
      <c r="TAO115" s="139"/>
      <c r="TAP115" s="139"/>
      <c r="TAQ115" s="139"/>
      <c r="TAR115" s="139"/>
      <c r="TAS115" s="139"/>
      <c r="TAT115" s="139"/>
      <c r="TAU115" s="139"/>
      <c r="TAV115" s="139"/>
      <c r="TAW115" s="139"/>
      <c r="TAX115" s="139"/>
      <c r="TAY115" s="139"/>
      <c r="TAZ115" s="139"/>
      <c r="TBA115" s="139"/>
      <c r="TBB115" s="139"/>
      <c r="TBC115" s="139"/>
      <c r="TBD115" s="139"/>
      <c r="TBE115" s="139"/>
      <c r="TBF115" s="139"/>
      <c r="TBG115" s="139"/>
      <c r="TBH115" s="139"/>
      <c r="TBI115" s="139"/>
      <c r="TBJ115" s="139"/>
      <c r="TBK115" s="139"/>
      <c r="TBL115" s="139"/>
      <c r="TBM115" s="139"/>
      <c r="TBN115" s="139"/>
      <c r="TBO115" s="139"/>
      <c r="TBP115" s="139"/>
      <c r="TBQ115" s="139"/>
      <c r="TBR115" s="139"/>
      <c r="TBS115" s="139"/>
      <c r="TBT115" s="139"/>
      <c r="TBU115" s="139"/>
      <c r="TBV115" s="139"/>
      <c r="TBW115" s="139"/>
      <c r="TBX115" s="139"/>
      <c r="TBY115" s="139"/>
      <c r="TBZ115" s="139"/>
      <c r="TCA115" s="139"/>
      <c r="TCB115" s="139"/>
      <c r="TCC115" s="139"/>
      <c r="TCD115" s="139"/>
      <c r="TCE115" s="139"/>
      <c r="TCF115" s="139"/>
      <c r="TCG115" s="139"/>
      <c r="TCH115" s="139"/>
      <c r="TCI115" s="139"/>
      <c r="TCJ115" s="139"/>
      <c r="TCK115" s="139"/>
      <c r="TCL115" s="139"/>
      <c r="TCM115" s="139"/>
      <c r="TCN115" s="139"/>
      <c r="TCO115" s="139"/>
      <c r="TCP115" s="139"/>
      <c r="TCQ115" s="139"/>
      <c r="TCR115" s="139"/>
      <c r="TCS115" s="139"/>
      <c r="TCT115" s="139"/>
      <c r="TCU115" s="139"/>
      <c r="TCV115" s="139"/>
      <c r="TCW115" s="139"/>
      <c r="TCX115" s="139"/>
      <c r="TCY115" s="139"/>
      <c r="TCZ115" s="139"/>
      <c r="TDA115" s="139"/>
      <c r="TDB115" s="139"/>
      <c r="TDC115" s="139"/>
      <c r="TDD115" s="139"/>
      <c r="TDE115" s="139"/>
      <c r="TDF115" s="139"/>
      <c r="TDG115" s="139"/>
      <c r="TDH115" s="139"/>
      <c r="TDI115" s="139"/>
      <c r="TDJ115" s="139"/>
      <c r="TDK115" s="139"/>
      <c r="TDL115" s="139"/>
      <c r="TDM115" s="139"/>
      <c r="TDN115" s="139"/>
      <c r="TDO115" s="139"/>
      <c r="TDP115" s="139"/>
      <c r="TDQ115" s="139"/>
      <c r="TDR115" s="139"/>
      <c r="TDS115" s="139"/>
      <c r="TDT115" s="139"/>
      <c r="TDU115" s="139"/>
      <c r="TDV115" s="139"/>
      <c r="TDW115" s="139"/>
      <c r="TDX115" s="139"/>
      <c r="TDY115" s="139"/>
      <c r="TDZ115" s="139"/>
      <c r="TEA115" s="139"/>
      <c r="TEB115" s="139"/>
      <c r="TEC115" s="139"/>
      <c r="TED115" s="139"/>
      <c r="TEE115" s="139"/>
      <c r="TEF115" s="139"/>
      <c r="TEG115" s="139"/>
      <c r="TEH115" s="139"/>
      <c r="TEI115" s="139"/>
      <c r="TEJ115" s="139"/>
      <c r="TEK115" s="139"/>
      <c r="TEL115" s="139"/>
      <c r="TEM115" s="139"/>
      <c r="TEN115" s="139"/>
      <c r="TEO115" s="139"/>
      <c r="TEP115" s="139"/>
      <c r="TEQ115" s="139"/>
      <c r="TER115" s="139"/>
      <c r="TES115" s="139"/>
      <c r="TET115" s="139"/>
      <c r="TEU115" s="139"/>
      <c r="TEV115" s="139"/>
      <c r="TEW115" s="139"/>
      <c r="TEX115" s="139"/>
      <c r="TEY115" s="139"/>
      <c r="TEZ115" s="139"/>
      <c r="TFA115" s="139"/>
      <c r="TFB115" s="139"/>
      <c r="TFC115" s="139"/>
      <c r="TFD115" s="139"/>
      <c r="TFE115" s="139"/>
      <c r="TFF115" s="139"/>
      <c r="TFG115" s="139"/>
      <c r="TFH115" s="139"/>
      <c r="TFI115" s="139"/>
      <c r="TFJ115" s="139"/>
      <c r="TFK115" s="139"/>
      <c r="TFL115" s="139"/>
      <c r="TFM115" s="139"/>
      <c r="TFN115" s="139"/>
      <c r="TFO115" s="139"/>
      <c r="TFP115" s="139"/>
      <c r="TFQ115" s="139"/>
      <c r="TFR115" s="139"/>
      <c r="TFS115" s="139"/>
      <c r="TFT115" s="139"/>
      <c r="TFU115" s="139"/>
      <c r="TFV115" s="139"/>
      <c r="TFW115" s="139"/>
      <c r="TFX115" s="139"/>
      <c r="TFY115" s="139"/>
      <c r="TFZ115" s="139"/>
      <c r="TGA115" s="139"/>
      <c r="TGB115" s="139"/>
      <c r="TGC115" s="139"/>
      <c r="TGD115" s="139"/>
      <c r="TGE115" s="139"/>
      <c r="TGF115" s="139"/>
      <c r="TGG115" s="139"/>
      <c r="TGH115" s="139"/>
      <c r="TGI115" s="139"/>
      <c r="TGJ115" s="139"/>
      <c r="TGK115" s="139"/>
      <c r="TGL115" s="139"/>
      <c r="TGM115" s="139"/>
      <c r="TGN115" s="139"/>
      <c r="TGO115" s="139"/>
      <c r="TGP115" s="139"/>
      <c r="TGQ115" s="139"/>
      <c r="TGR115" s="139"/>
      <c r="TGS115" s="139"/>
      <c r="TGT115" s="139"/>
      <c r="TGU115" s="139"/>
      <c r="TGV115" s="139"/>
      <c r="TGW115" s="139"/>
      <c r="TGX115" s="139"/>
      <c r="TGY115" s="139"/>
      <c r="TGZ115" s="139"/>
      <c r="THA115" s="139"/>
      <c r="THB115" s="139"/>
      <c r="THC115" s="139"/>
      <c r="THD115" s="139"/>
      <c r="THE115" s="139"/>
      <c r="THF115" s="139"/>
      <c r="THG115" s="139"/>
      <c r="THH115" s="139"/>
      <c r="THI115" s="139"/>
      <c r="THJ115" s="139"/>
      <c r="THK115" s="139"/>
      <c r="THL115" s="139"/>
      <c r="THM115" s="139"/>
      <c r="THN115" s="139"/>
      <c r="THO115" s="139"/>
      <c r="THP115" s="139"/>
      <c r="THQ115" s="139"/>
      <c r="THR115" s="139"/>
      <c r="THS115" s="139"/>
      <c r="THT115" s="139"/>
      <c r="THU115" s="139"/>
      <c r="THV115" s="139"/>
      <c r="THW115" s="139"/>
      <c r="THX115" s="139"/>
      <c r="THY115" s="139"/>
      <c r="THZ115" s="139"/>
      <c r="TIA115" s="139"/>
      <c r="TIB115" s="139"/>
      <c r="TIC115" s="139"/>
      <c r="TID115" s="139"/>
      <c r="TIE115" s="139"/>
      <c r="TIF115" s="139"/>
      <c r="TIG115" s="139"/>
      <c r="TIH115" s="139"/>
      <c r="TII115" s="139"/>
      <c r="TIJ115" s="139"/>
      <c r="TIK115" s="139"/>
      <c r="TIL115" s="139"/>
      <c r="TIM115" s="139"/>
      <c r="TIN115" s="139"/>
      <c r="TIO115" s="139"/>
      <c r="TIP115" s="139"/>
      <c r="TIQ115" s="139"/>
      <c r="TIR115" s="139"/>
      <c r="TIS115" s="139"/>
      <c r="TIT115" s="139"/>
      <c r="TIU115" s="139"/>
      <c r="TIV115" s="139"/>
      <c r="TIW115" s="139"/>
      <c r="TIX115" s="139"/>
      <c r="TIY115" s="139"/>
      <c r="TIZ115" s="139"/>
      <c r="TJA115" s="139"/>
      <c r="TJB115" s="139"/>
      <c r="TJC115" s="139"/>
      <c r="TJD115" s="139"/>
      <c r="TJE115" s="139"/>
      <c r="TJF115" s="139"/>
      <c r="TJG115" s="139"/>
      <c r="TJH115" s="139"/>
      <c r="TJI115" s="139"/>
      <c r="TJJ115" s="139"/>
      <c r="TJK115" s="139"/>
      <c r="TJL115" s="139"/>
      <c r="TJM115" s="139"/>
      <c r="TJN115" s="139"/>
      <c r="TJO115" s="139"/>
      <c r="TJP115" s="139"/>
      <c r="TJQ115" s="139"/>
      <c r="TJR115" s="139"/>
      <c r="TJS115" s="139"/>
      <c r="TJT115" s="139"/>
      <c r="TJU115" s="139"/>
      <c r="TJV115" s="139"/>
      <c r="TJW115" s="139"/>
      <c r="TJX115" s="139"/>
      <c r="TJY115" s="139"/>
      <c r="TJZ115" s="139"/>
      <c r="TKA115" s="139"/>
      <c r="TKB115" s="139"/>
      <c r="TKC115" s="139"/>
      <c r="TKD115" s="139"/>
      <c r="TKE115" s="139"/>
      <c r="TKF115" s="139"/>
      <c r="TKG115" s="139"/>
      <c r="TKH115" s="139"/>
      <c r="TKI115" s="139"/>
      <c r="TKJ115" s="139"/>
      <c r="TKK115" s="139"/>
      <c r="TKL115" s="139"/>
      <c r="TKM115" s="139"/>
      <c r="TKN115" s="139"/>
      <c r="TKO115" s="139"/>
      <c r="TKP115" s="139"/>
      <c r="TKQ115" s="139"/>
      <c r="TKR115" s="139"/>
      <c r="TKS115" s="139"/>
      <c r="TKT115" s="139"/>
      <c r="TKU115" s="139"/>
      <c r="TKV115" s="139"/>
      <c r="TKW115" s="139"/>
      <c r="TKX115" s="139"/>
      <c r="TKY115" s="139"/>
      <c r="TKZ115" s="139"/>
      <c r="TLA115" s="139"/>
      <c r="TLB115" s="139"/>
      <c r="TLC115" s="139"/>
      <c r="TLD115" s="139"/>
      <c r="TLE115" s="139"/>
      <c r="TLF115" s="139"/>
      <c r="TLG115" s="139"/>
      <c r="TLH115" s="139"/>
      <c r="TLI115" s="139"/>
      <c r="TLJ115" s="139"/>
      <c r="TLK115" s="139"/>
      <c r="TLL115" s="139"/>
      <c r="TLM115" s="139"/>
      <c r="TLN115" s="139"/>
      <c r="TLO115" s="139"/>
      <c r="TLP115" s="139"/>
      <c r="TLQ115" s="139"/>
      <c r="TLR115" s="139"/>
      <c r="TLS115" s="139"/>
      <c r="TLT115" s="139"/>
      <c r="TLU115" s="139"/>
      <c r="TLV115" s="139"/>
      <c r="TLW115" s="139"/>
      <c r="TLX115" s="139"/>
      <c r="TLY115" s="139"/>
      <c r="TLZ115" s="139"/>
      <c r="TMA115" s="139"/>
      <c r="TMB115" s="139"/>
      <c r="TMC115" s="139"/>
      <c r="TMD115" s="139"/>
      <c r="TME115" s="139"/>
      <c r="TMF115" s="139"/>
      <c r="TMG115" s="139"/>
      <c r="TMH115" s="139"/>
      <c r="TMI115" s="139"/>
      <c r="TMJ115" s="139"/>
      <c r="TMK115" s="139"/>
      <c r="TML115" s="139"/>
      <c r="TMM115" s="139"/>
      <c r="TMN115" s="139"/>
      <c r="TMO115" s="139"/>
      <c r="TMP115" s="139"/>
      <c r="TMQ115" s="139"/>
      <c r="TMR115" s="139"/>
      <c r="TMS115" s="139"/>
      <c r="TMT115" s="139"/>
      <c r="TMU115" s="139"/>
      <c r="TMV115" s="139"/>
      <c r="TMW115" s="139"/>
      <c r="TMX115" s="139"/>
      <c r="TMY115" s="139"/>
      <c r="TMZ115" s="139"/>
      <c r="TNA115" s="139"/>
      <c r="TNB115" s="139"/>
      <c r="TNC115" s="139"/>
      <c r="TND115" s="139"/>
      <c r="TNE115" s="139"/>
      <c r="TNF115" s="139"/>
      <c r="TNG115" s="139"/>
      <c r="TNH115" s="139"/>
      <c r="TNI115" s="139"/>
      <c r="TNJ115" s="139"/>
      <c r="TNK115" s="139"/>
      <c r="TNL115" s="139"/>
      <c r="TNM115" s="139"/>
      <c r="TNN115" s="139"/>
      <c r="TNO115" s="139"/>
      <c r="TNP115" s="139"/>
      <c r="TNQ115" s="139"/>
      <c r="TNR115" s="139"/>
      <c r="TNS115" s="139"/>
      <c r="TNT115" s="139"/>
      <c r="TNU115" s="139"/>
      <c r="TNV115" s="139"/>
      <c r="TNW115" s="139"/>
      <c r="TNX115" s="139"/>
      <c r="TNY115" s="139"/>
      <c r="TNZ115" s="139"/>
      <c r="TOA115" s="139"/>
      <c r="TOB115" s="139"/>
      <c r="TOC115" s="139"/>
      <c r="TOD115" s="139"/>
      <c r="TOE115" s="139"/>
      <c r="TOF115" s="139"/>
      <c r="TOG115" s="139"/>
      <c r="TOH115" s="139"/>
      <c r="TOI115" s="139"/>
      <c r="TOJ115" s="139"/>
      <c r="TOK115" s="139"/>
      <c r="TOL115" s="139"/>
      <c r="TOM115" s="139"/>
      <c r="TON115" s="139"/>
      <c r="TOO115" s="139"/>
      <c r="TOP115" s="139"/>
      <c r="TOQ115" s="139"/>
      <c r="TOR115" s="139"/>
      <c r="TOS115" s="139"/>
      <c r="TOT115" s="139"/>
      <c r="TOU115" s="139"/>
      <c r="TOV115" s="139"/>
      <c r="TOW115" s="139"/>
      <c r="TOX115" s="139"/>
      <c r="TOY115" s="139"/>
      <c r="TOZ115" s="139"/>
      <c r="TPA115" s="139"/>
      <c r="TPB115" s="139"/>
      <c r="TPC115" s="139"/>
      <c r="TPD115" s="139"/>
      <c r="TPE115" s="139"/>
      <c r="TPF115" s="139"/>
      <c r="TPG115" s="139"/>
      <c r="TPH115" s="139"/>
      <c r="TPI115" s="139"/>
      <c r="TPJ115" s="139"/>
      <c r="TPK115" s="139"/>
      <c r="TPL115" s="139"/>
      <c r="TPM115" s="139"/>
      <c r="TPN115" s="139"/>
      <c r="TPO115" s="139"/>
      <c r="TPP115" s="139"/>
      <c r="TPQ115" s="139"/>
      <c r="TPR115" s="139"/>
      <c r="TPS115" s="139"/>
      <c r="TPT115" s="139"/>
      <c r="TPU115" s="139"/>
      <c r="TPV115" s="139"/>
      <c r="TPW115" s="139"/>
      <c r="TPX115" s="139"/>
      <c r="TPY115" s="139"/>
      <c r="TPZ115" s="139"/>
      <c r="TQA115" s="139"/>
      <c r="TQB115" s="139"/>
      <c r="TQC115" s="139"/>
      <c r="TQD115" s="139"/>
      <c r="TQE115" s="139"/>
      <c r="TQF115" s="139"/>
      <c r="TQG115" s="139"/>
      <c r="TQH115" s="139"/>
      <c r="TQI115" s="139"/>
      <c r="TQJ115" s="139"/>
      <c r="TQK115" s="139"/>
      <c r="TQL115" s="139"/>
      <c r="TQM115" s="139"/>
      <c r="TQN115" s="139"/>
      <c r="TQO115" s="139"/>
      <c r="TQP115" s="139"/>
      <c r="TQQ115" s="139"/>
      <c r="TQR115" s="139"/>
      <c r="TQS115" s="139"/>
      <c r="TQT115" s="139"/>
      <c r="TQU115" s="139"/>
      <c r="TQV115" s="139"/>
      <c r="TQW115" s="139"/>
      <c r="TQX115" s="139"/>
      <c r="TQY115" s="139"/>
      <c r="TQZ115" s="139"/>
      <c r="TRA115" s="139"/>
      <c r="TRB115" s="139"/>
      <c r="TRC115" s="139"/>
      <c r="TRD115" s="139"/>
      <c r="TRE115" s="139"/>
      <c r="TRF115" s="139"/>
      <c r="TRG115" s="139"/>
      <c r="TRH115" s="139"/>
      <c r="TRI115" s="139"/>
      <c r="TRJ115" s="139"/>
      <c r="TRK115" s="139"/>
      <c r="TRL115" s="139"/>
      <c r="TRM115" s="139"/>
      <c r="TRN115" s="139"/>
      <c r="TRO115" s="139"/>
      <c r="TRP115" s="139"/>
      <c r="TRQ115" s="139"/>
      <c r="TRR115" s="139"/>
      <c r="TRS115" s="139"/>
      <c r="TRT115" s="139"/>
      <c r="TRU115" s="139"/>
      <c r="TRV115" s="139"/>
      <c r="TRW115" s="139"/>
      <c r="TRX115" s="139"/>
      <c r="TRY115" s="139"/>
      <c r="TRZ115" s="139"/>
      <c r="TSA115" s="139"/>
      <c r="TSB115" s="139"/>
      <c r="TSC115" s="139"/>
      <c r="TSD115" s="139"/>
      <c r="TSE115" s="139"/>
      <c r="TSF115" s="139"/>
      <c r="TSG115" s="139"/>
      <c r="TSH115" s="139"/>
      <c r="TSI115" s="139"/>
      <c r="TSJ115" s="139"/>
      <c r="TSK115" s="139"/>
      <c r="TSL115" s="139"/>
      <c r="TSM115" s="139"/>
      <c r="TSN115" s="139"/>
      <c r="TSO115" s="139"/>
      <c r="TSP115" s="139"/>
      <c r="TSQ115" s="139"/>
      <c r="TSR115" s="139"/>
      <c r="TSS115" s="139"/>
      <c r="TST115" s="139"/>
      <c r="TSU115" s="139"/>
      <c r="TSV115" s="139"/>
      <c r="TSW115" s="139"/>
      <c r="TSX115" s="139"/>
      <c r="TSY115" s="139"/>
      <c r="TSZ115" s="139"/>
      <c r="TTA115" s="139"/>
      <c r="TTB115" s="139"/>
      <c r="TTC115" s="139"/>
      <c r="TTD115" s="139"/>
      <c r="TTE115" s="139"/>
      <c r="TTF115" s="139"/>
      <c r="TTG115" s="139"/>
      <c r="TTH115" s="139"/>
      <c r="TTI115" s="139"/>
      <c r="TTJ115" s="139"/>
      <c r="TTK115" s="139"/>
      <c r="TTL115" s="139"/>
      <c r="TTM115" s="139"/>
      <c r="TTN115" s="139"/>
      <c r="TTO115" s="139"/>
      <c r="TTP115" s="139"/>
      <c r="TTQ115" s="139"/>
      <c r="TTR115" s="139"/>
      <c r="TTS115" s="139"/>
      <c r="TTT115" s="139"/>
      <c r="TTU115" s="139"/>
      <c r="TTV115" s="139"/>
      <c r="TTW115" s="139"/>
      <c r="TTX115" s="139"/>
      <c r="TTY115" s="139"/>
      <c r="TTZ115" s="139"/>
      <c r="TUA115" s="139"/>
      <c r="TUB115" s="139"/>
      <c r="TUC115" s="139"/>
      <c r="TUD115" s="139"/>
      <c r="TUE115" s="139"/>
      <c r="TUF115" s="139"/>
      <c r="TUG115" s="139"/>
      <c r="TUH115" s="139"/>
      <c r="TUI115" s="139"/>
      <c r="TUJ115" s="139"/>
      <c r="TUK115" s="139"/>
      <c r="TUL115" s="139"/>
      <c r="TUM115" s="139"/>
      <c r="TUN115" s="139"/>
      <c r="TUO115" s="139"/>
      <c r="TUP115" s="139"/>
      <c r="TUQ115" s="139"/>
      <c r="TUR115" s="139"/>
      <c r="TUS115" s="139"/>
      <c r="TUT115" s="139"/>
      <c r="TUU115" s="139"/>
      <c r="TUV115" s="139"/>
      <c r="TUW115" s="139"/>
      <c r="TUX115" s="139"/>
      <c r="TUY115" s="139"/>
      <c r="TUZ115" s="139"/>
      <c r="TVA115" s="139"/>
      <c r="TVB115" s="139"/>
      <c r="TVC115" s="139"/>
      <c r="TVD115" s="139"/>
      <c r="TVE115" s="139"/>
      <c r="TVF115" s="139"/>
      <c r="TVG115" s="139"/>
      <c r="TVH115" s="139"/>
      <c r="TVI115" s="139"/>
      <c r="TVJ115" s="139"/>
      <c r="TVK115" s="139"/>
      <c r="TVL115" s="139"/>
      <c r="TVM115" s="139"/>
      <c r="TVN115" s="139"/>
      <c r="TVO115" s="139"/>
      <c r="TVP115" s="139"/>
      <c r="TVQ115" s="139"/>
      <c r="TVR115" s="139"/>
      <c r="TVS115" s="139"/>
      <c r="TVT115" s="139"/>
      <c r="TVU115" s="139"/>
      <c r="TVV115" s="139"/>
      <c r="TVW115" s="139"/>
      <c r="TVX115" s="139"/>
      <c r="TVY115" s="139"/>
      <c r="TVZ115" s="139"/>
      <c r="TWA115" s="139"/>
      <c r="TWB115" s="139"/>
      <c r="TWC115" s="139"/>
      <c r="TWD115" s="139"/>
      <c r="TWE115" s="139"/>
      <c r="TWF115" s="139"/>
      <c r="TWG115" s="139"/>
      <c r="TWH115" s="139"/>
      <c r="TWI115" s="139"/>
      <c r="TWJ115" s="139"/>
      <c r="TWK115" s="139"/>
      <c r="TWL115" s="139"/>
      <c r="TWM115" s="139"/>
      <c r="TWN115" s="139"/>
      <c r="TWO115" s="139"/>
      <c r="TWP115" s="139"/>
      <c r="TWQ115" s="139"/>
      <c r="TWR115" s="139"/>
      <c r="TWS115" s="139"/>
      <c r="TWT115" s="139"/>
      <c r="TWU115" s="139"/>
      <c r="TWV115" s="139"/>
      <c r="TWW115" s="139"/>
      <c r="TWX115" s="139"/>
      <c r="TWY115" s="139"/>
      <c r="TWZ115" s="139"/>
      <c r="TXA115" s="139"/>
      <c r="TXB115" s="139"/>
      <c r="TXC115" s="139"/>
      <c r="TXD115" s="139"/>
      <c r="TXE115" s="139"/>
      <c r="TXF115" s="139"/>
      <c r="TXG115" s="139"/>
      <c r="TXH115" s="139"/>
      <c r="TXI115" s="139"/>
      <c r="TXJ115" s="139"/>
      <c r="TXK115" s="139"/>
      <c r="TXL115" s="139"/>
      <c r="TXM115" s="139"/>
      <c r="TXN115" s="139"/>
      <c r="TXO115" s="139"/>
      <c r="TXP115" s="139"/>
      <c r="TXQ115" s="139"/>
      <c r="TXR115" s="139"/>
      <c r="TXS115" s="139"/>
      <c r="TXT115" s="139"/>
      <c r="TXU115" s="139"/>
      <c r="TXV115" s="139"/>
      <c r="TXW115" s="139"/>
      <c r="TXX115" s="139"/>
      <c r="TXY115" s="139"/>
      <c r="TXZ115" s="139"/>
      <c r="TYA115" s="139"/>
      <c r="TYB115" s="139"/>
      <c r="TYC115" s="139"/>
      <c r="TYD115" s="139"/>
      <c r="TYE115" s="139"/>
      <c r="TYF115" s="139"/>
      <c r="TYG115" s="139"/>
      <c r="TYH115" s="139"/>
      <c r="TYI115" s="139"/>
      <c r="TYJ115" s="139"/>
      <c r="TYK115" s="139"/>
      <c r="TYL115" s="139"/>
      <c r="TYM115" s="139"/>
      <c r="TYN115" s="139"/>
      <c r="TYO115" s="139"/>
      <c r="TYP115" s="139"/>
      <c r="TYQ115" s="139"/>
      <c r="TYR115" s="139"/>
      <c r="TYS115" s="139"/>
      <c r="TYT115" s="139"/>
      <c r="TYU115" s="139"/>
      <c r="TYV115" s="139"/>
      <c r="TYW115" s="139"/>
      <c r="TYX115" s="139"/>
      <c r="TYY115" s="139"/>
      <c r="TYZ115" s="139"/>
      <c r="TZA115" s="139"/>
      <c r="TZB115" s="139"/>
      <c r="TZC115" s="139"/>
      <c r="TZD115" s="139"/>
      <c r="TZE115" s="139"/>
      <c r="TZF115" s="139"/>
      <c r="TZG115" s="139"/>
      <c r="TZH115" s="139"/>
      <c r="TZI115" s="139"/>
      <c r="TZJ115" s="139"/>
      <c r="TZK115" s="139"/>
      <c r="TZL115" s="139"/>
      <c r="TZM115" s="139"/>
      <c r="TZN115" s="139"/>
      <c r="TZO115" s="139"/>
      <c r="TZP115" s="139"/>
      <c r="TZQ115" s="139"/>
      <c r="TZR115" s="139"/>
      <c r="TZS115" s="139"/>
      <c r="TZT115" s="139"/>
      <c r="TZU115" s="139"/>
      <c r="TZV115" s="139"/>
      <c r="TZW115" s="139"/>
      <c r="TZX115" s="139"/>
      <c r="TZY115" s="139"/>
      <c r="TZZ115" s="139"/>
      <c r="UAA115" s="139"/>
      <c r="UAB115" s="139"/>
      <c r="UAC115" s="139"/>
      <c r="UAD115" s="139"/>
      <c r="UAE115" s="139"/>
      <c r="UAF115" s="139"/>
      <c r="UAG115" s="139"/>
      <c r="UAH115" s="139"/>
      <c r="UAI115" s="139"/>
      <c r="UAJ115" s="139"/>
      <c r="UAK115" s="139"/>
      <c r="UAL115" s="139"/>
      <c r="UAM115" s="139"/>
      <c r="UAN115" s="139"/>
      <c r="UAO115" s="139"/>
      <c r="UAP115" s="139"/>
      <c r="UAQ115" s="139"/>
      <c r="UAR115" s="139"/>
      <c r="UAS115" s="139"/>
      <c r="UAT115" s="139"/>
      <c r="UAU115" s="139"/>
      <c r="UAV115" s="139"/>
      <c r="UAW115" s="139"/>
      <c r="UAX115" s="139"/>
      <c r="UAY115" s="139"/>
      <c r="UAZ115" s="139"/>
      <c r="UBA115" s="139"/>
      <c r="UBB115" s="139"/>
      <c r="UBC115" s="139"/>
      <c r="UBD115" s="139"/>
      <c r="UBE115" s="139"/>
      <c r="UBF115" s="139"/>
      <c r="UBG115" s="139"/>
      <c r="UBH115" s="139"/>
      <c r="UBI115" s="139"/>
      <c r="UBJ115" s="139"/>
      <c r="UBK115" s="139"/>
      <c r="UBL115" s="139"/>
      <c r="UBM115" s="139"/>
      <c r="UBN115" s="139"/>
      <c r="UBO115" s="139"/>
      <c r="UBP115" s="139"/>
      <c r="UBQ115" s="139"/>
      <c r="UBR115" s="139"/>
      <c r="UBS115" s="139"/>
      <c r="UBT115" s="139"/>
      <c r="UBU115" s="139"/>
      <c r="UBV115" s="139"/>
      <c r="UBW115" s="139"/>
      <c r="UBX115" s="139"/>
      <c r="UBY115" s="139"/>
      <c r="UBZ115" s="139"/>
      <c r="UCA115" s="139"/>
      <c r="UCB115" s="139"/>
      <c r="UCC115" s="139"/>
      <c r="UCD115" s="139"/>
      <c r="UCE115" s="139"/>
      <c r="UCF115" s="139"/>
      <c r="UCG115" s="139"/>
      <c r="UCH115" s="139"/>
      <c r="UCI115" s="139"/>
      <c r="UCJ115" s="139"/>
      <c r="UCK115" s="139"/>
      <c r="UCL115" s="139"/>
      <c r="UCM115" s="139"/>
      <c r="UCN115" s="139"/>
      <c r="UCO115" s="139"/>
      <c r="UCP115" s="139"/>
      <c r="UCQ115" s="139"/>
      <c r="UCR115" s="139"/>
      <c r="UCS115" s="139"/>
      <c r="UCT115" s="139"/>
      <c r="UCU115" s="139"/>
      <c r="UCV115" s="139"/>
      <c r="UCW115" s="139"/>
      <c r="UCX115" s="139"/>
      <c r="UCY115" s="139"/>
      <c r="UCZ115" s="139"/>
      <c r="UDA115" s="139"/>
      <c r="UDB115" s="139"/>
      <c r="UDC115" s="139"/>
      <c r="UDD115" s="139"/>
      <c r="UDE115" s="139"/>
      <c r="UDF115" s="139"/>
      <c r="UDG115" s="139"/>
      <c r="UDH115" s="139"/>
      <c r="UDI115" s="139"/>
      <c r="UDJ115" s="139"/>
      <c r="UDK115" s="139"/>
      <c r="UDL115" s="139"/>
      <c r="UDM115" s="139"/>
      <c r="UDN115" s="139"/>
      <c r="UDO115" s="139"/>
      <c r="UDP115" s="139"/>
      <c r="UDQ115" s="139"/>
      <c r="UDR115" s="139"/>
      <c r="UDS115" s="139"/>
      <c r="UDT115" s="139"/>
      <c r="UDU115" s="139"/>
      <c r="UDV115" s="139"/>
      <c r="UDW115" s="139"/>
      <c r="UDX115" s="139"/>
      <c r="UDY115" s="139"/>
      <c r="UDZ115" s="139"/>
      <c r="UEA115" s="139"/>
      <c r="UEB115" s="139"/>
      <c r="UEC115" s="139"/>
      <c r="UED115" s="139"/>
      <c r="UEE115" s="139"/>
      <c r="UEF115" s="139"/>
      <c r="UEG115" s="139"/>
      <c r="UEH115" s="139"/>
      <c r="UEI115" s="139"/>
      <c r="UEJ115" s="139"/>
      <c r="UEK115" s="139"/>
      <c r="UEL115" s="139"/>
      <c r="UEM115" s="139"/>
      <c r="UEN115" s="139"/>
      <c r="UEO115" s="139"/>
      <c r="UEP115" s="139"/>
      <c r="UEQ115" s="139"/>
      <c r="UER115" s="139"/>
      <c r="UES115" s="139"/>
      <c r="UET115" s="139"/>
      <c r="UEU115" s="139"/>
      <c r="UEV115" s="139"/>
      <c r="UEW115" s="139"/>
      <c r="UEX115" s="139"/>
      <c r="UEY115" s="139"/>
      <c r="UEZ115" s="139"/>
      <c r="UFA115" s="139"/>
      <c r="UFB115" s="139"/>
      <c r="UFC115" s="139"/>
      <c r="UFD115" s="139"/>
      <c r="UFE115" s="139"/>
      <c r="UFF115" s="139"/>
      <c r="UFG115" s="139"/>
      <c r="UFH115" s="139"/>
      <c r="UFI115" s="139"/>
      <c r="UFJ115" s="139"/>
      <c r="UFK115" s="139"/>
      <c r="UFL115" s="139"/>
      <c r="UFM115" s="139"/>
      <c r="UFN115" s="139"/>
      <c r="UFO115" s="139"/>
      <c r="UFP115" s="139"/>
      <c r="UFQ115" s="139"/>
      <c r="UFR115" s="139"/>
      <c r="UFS115" s="139"/>
      <c r="UFT115" s="139"/>
      <c r="UFU115" s="139"/>
      <c r="UFV115" s="139"/>
      <c r="UFW115" s="139"/>
      <c r="UFX115" s="139"/>
      <c r="UFY115" s="139"/>
      <c r="UFZ115" s="139"/>
      <c r="UGA115" s="139"/>
      <c r="UGB115" s="139"/>
      <c r="UGC115" s="139"/>
      <c r="UGD115" s="139"/>
      <c r="UGE115" s="139"/>
      <c r="UGF115" s="139"/>
      <c r="UGG115" s="139"/>
      <c r="UGH115" s="139"/>
      <c r="UGI115" s="139"/>
      <c r="UGJ115" s="139"/>
      <c r="UGK115" s="139"/>
      <c r="UGL115" s="139"/>
      <c r="UGM115" s="139"/>
      <c r="UGN115" s="139"/>
      <c r="UGO115" s="139"/>
      <c r="UGP115" s="139"/>
      <c r="UGQ115" s="139"/>
      <c r="UGR115" s="139"/>
      <c r="UGS115" s="139"/>
      <c r="UGT115" s="139"/>
      <c r="UGU115" s="139"/>
      <c r="UGV115" s="139"/>
      <c r="UGW115" s="139"/>
      <c r="UGX115" s="139"/>
      <c r="UGY115" s="139"/>
      <c r="UGZ115" s="139"/>
      <c r="UHA115" s="139"/>
      <c r="UHB115" s="139"/>
      <c r="UHC115" s="139"/>
      <c r="UHD115" s="139"/>
      <c r="UHE115" s="139"/>
      <c r="UHF115" s="139"/>
      <c r="UHG115" s="139"/>
      <c r="UHH115" s="139"/>
      <c r="UHI115" s="139"/>
      <c r="UHJ115" s="139"/>
      <c r="UHK115" s="139"/>
      <c r="UHL115" s="139"/>
      <c r="UHM115" s="139"/>
      <c r="UHN115" s="139"/>
      <c r="UHO115" s="139"/>
      <c r="UHP115" s="139"/>
      <c r="UHQ115" s="139"/>
      <c r="UHR115" s="139"/>
      <c r="UHS115" s="139"/>
      <c r="UHT115" s="139"/>
      <c r="UHU115" s="139"/>
      <c r="UHV115" s="139"/>
      <c r="UHW115" s="139"/>
      <c r="UHX115" s="139"/>
      <c r="UHY115" s="139"/>
      <c r="UHZ115" s="139"/>
      <c r="UIA115" s="139"/>
      <c r="UIB115" s="139"/>
      <c r="UIC115" s="139"/>
      <c r="UID115" s="139"/>
      <c r="UIE115" s="139"/>
      <c r="UIF115" s="139"/>
      <c r="UIG115" s="139"/>
      <c r="UIH115" s="139"/>
      <c r="UII115" s="139"/>
      <c r="UIJ115" s="139"/>
      <c r="UIK115" s="139"/>
      <c r="UIL115" s="139"/>
      <c r="UIM115" s="139"/>
      <c r="UIN115" s="139"/>
      <c r="UIO115" s="139"/>
      <c r="UIP115" s="139"/>
      <c r="UIQ115" s="139"/>
      <c r="UIR115" s="139"/>
      <c r="UIS115" s="139"/>
      <c r="UIT115" s="139"/>
      <c r="UIU115" s="139"/>
      <c r="UIV115" s="139"/>
      <c r="UIW115" s="139"/>
      <c r="UIX115" s="139"/>
      <c r="UIY115" s="139"/>
      <c r="UIZ115" s="139"/>
      <c r="UJA115" s="139"/>
      <c r="UJB115" s="139"/>
      <c r="UJC115" s="139"/>
      <c r="UJD115" s="139"/>
      <c r="UJE115" s="139"/>
      <c r="UJF115" s="139"/>
      <c r="UJG115" s="139"/>
      <c r="UJH115" s="139"/>
      <c r="UJI115" s="139"/>
      <c r="UJJ115" s="139"/>
      <c r="UJK115" s="139"/>
      <c r="UJL115" s="139"/>
      <c r="UJM115" s="139"/>
      <c r="UJN115" s="139"/>
      <c r="UJO115" s="139"/>
      <c r="UJP115" s="139"/>
      <c r="UJQ115" s="139"/>
      <c r="UJR115" s="139"/>
      <c r="UJS115" s="139"/>
      <c r="UJT115" s="139"/>
      <c r="UJU115" s="139"/>
      <c r="UJV115" s="139"/>
      <c r="UJW115" s="139"/>
      <c r="UJX115" s="139"/>
      <c r="UJY115" s="139"/>
      <c r="UJZ115" s="139"/>
      <c r="UKA115" s="139"/>
      <c r="UKB115" s="139"/>
      <c r="UKC115" s="139"/>
      <c r="UKD115" s="139"/>
      <c r="UKE115" s="139"/>
      <c r="UKF115" s="139"/>
      <c r="UKG115" s="139"/>
      <c r="UKH115" s="139"/>
      <c r="UKI115" s="139"/>
      <c r="UKJ115" s="139"/>
      <c r="UKK115" s="139"/>
      <c r="UKL115" s="139"/>
      <c r="UKM115" s="139"/>
      <c r="UKN115" s="139"/>
      <c r="UKO115" s="139"/>
      <c r="UKP115" s="139"/>
      <c r="UKQ115" s="139"/>
      <c r="UKR115" s="139"/>
      <c r="UKS115" s="139"/>
      <c r="UKT115" s="139"/>
      <c r="UKU115" s="139"/>
      <c r="UKV115" s="139"/>
      <c r="UKW115" s="139"/>
      <c r="UKX115" s="139"/>
      <c r="UKY115" s="139"/>
      <c r="UKZ115" s="139"/>
      <c r="ULA115" s="139"/>
      <c r="ULB115" s="139"/>
      <c r="ULC115" s="139"/>
      <c r="ULD115" s="139"/>
      <c r="ULE115" s="139"/>
      <c r="ULF115" s="139"/>
      <c r="ULG115" s="139"/>
      <c r="ULH115" s="139"/>
      <c r="ULI115" s="139"/>
      <c r="ULJ115" s="139"/>
      <c r="ULK115" s="139"/>
      <c r="ULL115" s="139"/>
      <c r="ULM115" s="139"/>
      <c r="ULN115" s="139"/>
      <c r="ULO115" s="139"/>
      <c r="ULP115" s="139"/>
      <c r="ULQ115" s="139"/>
      <c r="ULR115" s="139"/>
      <c r="ULS115" s="139"/>
      <c r="ULT115" s="139"/>
      <c r="ULU115" s="139"/>
      <c r="ULV115" s="139"/>
      <c r="ULW115" s="139"/>
      <c r="ULX115" s="139"/>
      <c r="ULY115" s="139"/>
      <c r="ULZ115" s="139"/>
      <c r="UMA115" s="139"/>
      <c r="UMB115" s="139"/>
      <c r="UMC115" s="139"/>
      <c r="UMD115" s="139"/>
      <c r="UME115" s="139"/>
      <c r="UMF115" s="139"/>
      <c r="UMG115" s="139"/>
      <c r="UMH115" s="139"/>
      <c r="UMI115" s="139"/>
      <c r="UMJ115" s="139"/>
      <c r="UMK115" s="139"/>
      <c r="UML115" s="139"/>
      <c r="UMM115" s="139"/>
      <c r="UMN115" s="139"/>
      <c r="UMO115" s="139"/>
      <c r="UMP115" s="139"/>
      <c r="UMQ115" s="139"/>
      <c r="UMR115" s="139"/>
      <c r="UMS115" s="139"/>
      <c r="UMT115" s="139"/>
      <c r="UMU115" s="139"/>
      <c r="UMV115" s="139"/>
      <c r="UMW115" s="139"/>
      <c r="UMX115" s="139"/>
      <c r="UMY115" s="139"/>
      <c r="UMZ115" s="139"/>
      <c r="UNA115" s="139"/>
      <c r="UNB115" s="139"/>
      <c r="UNC115" s="139"/>
      <c r="UND115" s="139"/>
      <c r="UNE115" s="139"/>
      <c r="UNF115" s="139"/>
      <c r="UNG115" s="139"/>
      <c r="UNH115" s="139"/>
      <c r="UNI115" s="139"/>
      <c r="UNJ115" s="139"/>
      <c r="UNK115" s="139"/>
      <c r="UNL115" s="139"/>
      <c r="UNM115" s="139"/>
      <c r="UNN115" s="139"/>
      <c r="UNO115" s="139"/>
      <c r="UNP115" s="139"/>
      <c r="UNQ115" s="139"/>
      <c r="UNR115" s="139"/>
      <c r="UNS115" s="139"/>
      <c r="UNT115" s="139"/>
      <c r="UNU115" s="139"/>
      <c r="UNV115" s="139"/>
      <c r="UNW115" s="139"/>
      <c r="UNX115" s="139"/>
      <c r="UNY115" s="139"/>
      <c r="UNZ115" s="139"/>
      <c r="UOA115" s="139"/>
      <c r="UOB115" s="139"/>
      <c r="UOC115" s="139"/>
      <c r="UOD115" s="139"/>
      <c r="UOE115" s="139"/>
      <c r="UOF115" s="139"/>
      <c r="UOG115" s="139"/>
      <c r="UOH115" s="139"/>
      <c r="UOI115" s="139"/>
      <c r="UOJ115" s="139"/>
      <c r="UOK115" s="139"/>
      <c r="UOL115" s="139"/>
      <c r="UOM115" s="139"/>
      <c r="UON115" s="139"/>
      <c r="UOO115" s="139"/>
      <c r="UOP115" s="139"/>
      <c r="UOQ115" s="139"/>
      <c r="UOR115" s="139"/>
      <c r="UOS115" s="139"/>
      <c r="UOT115" s="139"/>
      <c r="UOU115" s="139"/>
      <c r="UOV115" s="139"/>
      <c r="UOW115" s="139"/>
      <c r="UOX115" s="139"/>
      <c r="UOY115" s="139"/>
      <c r="UOZ115" s="139"/>
      <c r="UPA115" s="139"/>
      <c r="UPB115" s="139"/>
      <c r="UPC115" s="139"/>
      <c r="UPD115" s="139"/>
      <c r="UPE115" s="139"/>
      <c r="UPF115" s="139"/>
      <c r="UPG115" s="139"/>
      <c r="UPH115" s="139"/>
      <c r="UPI115" s="139"/>
      <c r="UPJ115" s="139"/>
      <c r="UPK115" s="139"/>
      <c r="UPL115" s="139"/>
      <c r="UPM115" s="139"/>
      <c r="UPN115" s="139"/>
      <c r="UPO115" s="139"/>
      <c r="UPP115" s="139"/>
      <c r="UPQ115" s="139"/>
      <c r="UPR115" s="139"/>
      <c r="UPS115" s="139"/>
      <c r="UPT115" s="139"/>
      <c r="UPU115" s="139"/>
      <c r="UPV115" s="139"/>
      <c r="UPW115" s="139"/>
      <c r="UPX115" s="139"/>
      <c r="UPY115" s="139"/>
      <c r="UPZ115" s="139"/>
      <c r="UQA115" s="139"/>
      <c r="UQB115" s="139"/>
      <c r="UQC115" s="139"/>
      <c r="UQD115" s="139"/>
      <c r="UQE115" s="139"/>
      <c r="UQF115" s="139"/>
      <c r="UQG115" s="139"/>
      <c r="UQH115" s="139"/>
      <c r="UQI115" s="139"/>
      <c r="UQJ115" s="139"/>
      <c r="UQK115" s="139"/>
      <c r="UQL115" s="139"/>
      <c r="UQM115" s="139"/>
      <c r="UQN115" s="139"/>
      <c r="UQO115" s="139"/>
      <c r="UQP115" s="139"/>
      <c r="UQQ115" s="139"/>
      <c r="UQR115" s="139"/>
      <c r="UQS115" s="139"/>
      <c r="UQT115" s="139"/>
      <c r="UQU115" s="139"/>
      <c r="UQV115" s="139"/>
      <c r="UQW115" s="139"/>
      <c r="UQX115" s="139"/>
      <c r="UQY115" s="139"/>
      <c r="UQZ115" s="139"/>
      <c r="URA115" s="139"/>
      <c r="URB115" s="139"/>
      <c r="URC115" s="139"/>
      <c r="URD115" s="139"/>
      <c r="URE115" s="139"/>
      <c r="URF115" s="139"/>
      <c r="URG115" s="139"/>
      <c r="URH115" s="139"/>
      <c r="URI115" s="139"/>
      <c r="URJ115" s="139"/>
      <c r="URK115" s="139"/>
      <c r="URL115" s="139"/>
      <c r="URM115" s="139"/>
      <c r="URN115" s="139"/>
      <c r="URO115" s="139"/>
      <c r="URP115" s="139"/>
      <c r="URQ115" s="139"/>
      <c r="URR115" s="139"/>
      <c r="URS115" s="139"/>
      <c r="URT115" s="139"/>
      <c r="URU115" s="139"/>
      <c r="URV115" s="139"/>
      <c r="URW115" s="139"/>
      <c r="URX115" s="139"/>
      <c r="URY115" s="139"/>
      <c r="URZ115" s="139"/>
      <c r="USA115" s="139"/>
      <c r="USB115" s="139"/>
      <c r="USC115" s="139"/>
      <c r="USD115" s="139"/>
      <c r="USE115" s="139"/>
      <c r="USF115" s="139"/>
      <c r="USG115" s="139"/>
      <c r="USH115" s="139"/>
      <c r="USI115" s="139"/>
      <c r="USJ115" s="139"/>
      <c r="USK115" s="139"/>
      <c r="USL115" s="139"/>
      <c r="USM115" s="139"/>
      <c r="USN115" s="139"/>
      <c r="USO115" s="139"/>
      <c r="USP115" s="139"/>
      <c r="USQ115" s="139"/>
      <c r="USR115" s="139"/>
      <c r="USS115" s="139"/>
      <c r="UST115" s="139"/>
      <c r="USU115" s="139"/>
      <c r="USV115" s="139"/>
      <c r="USW115" s="139"/>
      <c r="USX115" s="139"/>
      <c r="USY115" s="139"/>
      <c r="USZ115" s="139"/>
      <c r="UTA115" s="139"/>
      <c r="UTB115" s="139"/>
      <c r="UTC115" s="139"/>
      <c r="UTD115" s="139"/>
      <c r="UTE115" s="139"/>
      <c r="UTF115" s="139"/>
      <c r="UTG115" s="139"/>
      <c r="UTH115" s="139"/>
      <c r="UTI115" s="139"/>
      <c r="UTJ115" s="139"/>
      <c r="UTK115" s="139"/>
      <c r="UTL115" s="139"/>
      <c r="UTM115" s="139"/>
      <c r="UTN115" s="139"/>
      <c r="UTO115" s="139"/>
      <c r="UTP115" s="139"/>
      <c r="UTQ115" s="139"/>
      <c r="UTR115" s="139"/>
      <c r="UTS115" s="139"/>
      <c r="UTT115" s="139"/>
      <c r="UTU115" s="139"/>
      <c r="UTV115" s="139"/>
      <c r="UTW115" s="139"/>
      <c r="UTX115" s="139"/>
      <c r="UTY115" s="139"/>
      <c r="UTZ115" s="139"/>
      <c r="UUA115" s="139"/>
      <c r="UUB115" s="139"/>
      <c r="UUC115" s="139"/>
      <c r="UUD115" s="139"/>
      <c r="UUE115" s="139"/>
      <c r="UUF115" s="139"/>
      <c r="UUG115" s="139"/>
      <c r="UUH115" s="139"/>
      <c r="UUI115" s="139"/>
      <c r="UUJ115" s="139"/>
      <c r="UUK115" s="139"/>
      <c r="UUL115" s="139"/>
      <c r="UUM115" s="139"/>
      <c r="UUN115" s="139"/>
      <c r="UUO115" s="139"/>
      <c r="UUP115" s="139"/>
      <c r="UUQ115" s="139"/>
      <c r="UUR115" s="139"/>
      <c r="UUS115" s="139"/>
      <c r="UUT115" s="139"/>
      <c r="UUU115" s="139"/>
      <c r="UUV115" s="139"/>
      <c r="UUW115" s="139"/>
      <c r="UUX115" s="139"/>
      <c r="UUY115" s="139"/>
      <c r="UUZ115" s="139"/>
      <c r="UVA115" s="139"/>
      <c r="UVB115" s="139"/>
      <c r="UVC115" s="139"/>
      <c r="UVD115" s="139"/>
      <c r="UVE115" s="139"/>
      <c r="UVF115" s="139"/>
      <c r="UVG115" s="139"/>
      <c r="UVH115" s="139"/>
      <c r="UVI115" s="139"/>
      <c r="UVJ115" s="139"/>
      <c r="UVK115" s="139"/>
      <c r="UVL115" s="139"/>
      <c r="UVM115" s="139"/>
      <c r="UVN115" s="139"/>
      <c r="UVO115" s="139"/>
      <c r="UVP115" s="139"/>
      <c r="UVQ115" s="139"/>
      <c r="UVR115" s="139"/>
      <c r="UVS115" s="139"/>
      <c r="UVT115" s="139"/>
      <c r="UVU115" s="139"/>
      <c r="UVV115" s="139"/>
      <c r="UVW115" s="139"/>
      <c r="UVX115" s="139"/>
      <c r="UVY115" s="139"/>
      <c r="UVZ115" s="139"/>
      <c r="UWA115" s="139"/>
      <c r="UWB115" s="139"/>
      <c r="UWC115" s="139"/>
      <c r="UWD115" s="139"/>
      <c r="UWE115" s="139"/>
      <c r="UWF115" s="139"/>
      <c r="UWG115" s="139"/>
      <c r="UWH115" s="139"/>
      <c r="UWI115" s="139"/>
      <c r="UWJ115" s="139"/>
      <c r="UWK115" s="139"/>
      <c r="UWL115" s="139"/>
      <c r="UWM115" s="139"/>
      <c r="UWN115" s="139"/>
      <c r="UWO115" s="139"/>
      <c r="UWP115" s="139"/>
      <c r="UWQ115" s="139"/>
      <c r="UWR115" s="139"/>
      <c r="UWS115" s="139"/>
      <c r="UWT115" s="139"/>
      <c r="UWU115" s="139"/>
      <c r="UWV115" s="139"/>
      <c r="UWW115" s="139"/>
      <c r="UWX115" s="139"/>
      <c r="UWY115" s="139"/>
      <c r="UWZ115" s="139"/>
      <c r="UXA115" s="139"/>
      <c r="UXB115" s="139"/>
      <c r="UXC115" s="139"/>
      <c r="UXD115" s="139"/>
      <c r="UXE115" s="139"/>
      <c r="UXF115" s="139"/>
      <c r="UXG115" s="139"/>
      <c r="UXH115" s="139"/>
      <c r="UXI115" s="139"/>
      <c r="UXJ115" s="139"/>
      <c r="UXK115" s="139"/>
      <c r="UXL115" s="139"/>
      <c r="UXM115" s="139"/>
      <c r="UXN115" s="139"/>
      <c r="UXO115" s="139"/>
      <c r="UXP115" s="139"/>
      <c r="UXQ115" s="139"/>
      <c r="UXR115" s="139"/>
      <c r="UXS115" s="139"/>
      <c r="UXT115" s="139"/>
      <c r="UXU115" s="139"/>
      <c r="UXV115" s="139"/>
      <c r="UXW115" s="139"/>
      <c r="UXX115" s="139"/>
      <c r="UXY115" s="139"/>
      <c r="UXZ115" s="139"/>
      <c r="UYA115" s="139"/>
      <c r="UYB115" s="139"/>
      <c r="UYC115" s="139"/>
      <c r="UYD115" s="139"/>
      <c r="UYE115" s="139"/>
      <c r="UYF115" s="139"/>
      <c r="UYG115" s="139"/>
      <c r="UYH115" s="139"/>
      <c r="UYI115" s="139"/>
      <c r="UYJ115" s="139"/>
      <c r="UYK115" s="139"/>
      <c r="UYL115" s="139"/>
      <c r="UYM115" s="139"/>
      <c r="UYN115" s="139"/>
      <c r="UYO115" s="139"/>
      <c r="UYP115" s="139"/>
      <c r="UYQ115" s="139"/>
      <c r="UYR115" s="139"/>
      <c r="UYS115" s="139"/>
      <c r="UYT115" s="139"/>
      <c r="UYU115" s="139"/>
      <c r="UYV115" s="139"/>
      <c r="UYW115" s="139"/>
      <c r="UYX115" s="139"/>
      <c r="UYY115" s="139"/>
      <c r="UYZ115" s="139"/>
      <c r="UZA115" s="139"/>
      <c r="UZB115" s="139"/>
      <c r="UZC115" s="139"/>
      <c r="UZD115" s="139"/>
      <c r="UZE115" s="139"/>
      <c r="UZF115" s="139"/>
      <c r="UZG115" s="139"/>
      <c r="UZH115" s="139"/>
      <c r="UZI115" s="139"/>
      <c r="UZJ115" s="139"/>
      <c r="UZK115" s="139"/>
      <c r="UZL115" s="139"/>
      <c r="UZM115" s="139"/>
      <c r="UZN115" s="139"/>
      <c r="UZO115" s="139"/>
      <c r="UZP115" s="139"/>
      <c r="UZQ115" s="139"/>
      <c r="UZR115" s="139"/>
      <c r="UZS115" s="139"/>
      <c r="UZT115" s="139"/>
      <c r="UZU115" s="139"/>
      <c r="UZV115" s="139"/>
      <c r="UZW115" s="139"/>
      <c r="UZX115" s="139"/>
      <c r="UZY115" s="139"/>
      <c r="UZZ115" s="139"/>
      <c r="VAA115" s="139"/>
      <c r="VAB115" s="139"/>
      <c r="VAC115" s="139"/>
      <c r="VAD115" s="139"/>
      <c r="VAE115" s="139"/>
      <c r="VAF115" s="139"/>
      <c r="VAG115" s="139"/>
      <c r="VAH115" s="139"/>
      <c r="VAI115" s="139"/>
      <c r="VAJ115" s="139"/>
      <c r="VAK115" s="139"/>
      <c r="VAL115" s="139"/>
      <c r="VAM115" s="139"/>
      <c r="VAN115" s="139"/>
      <c r="VAO115" s="139"/>
      <c r="VAP115" s="139"/>
      <c r="VAQ115" s="139"/>
      <c r="VAR115" s="139"/>
      <c r="VAS115" s="139"/>
      <c r="VAT115" s="139"/>
      <c r="VAU115" s="139"/>
      <c r="VAV115" s="139"/>
      <c r="VAW115" s="139"/>
      <c r="VAX115" s="139"/>
      <c r="VAY115" s="139"/>
      <c r="VAZ115" s="139"/>
      <c r="VBA115" s="139"/>
      <c r="VBB115" s="139"/>
      <c r="VBC115" s="139"/>
      <c r="VBD115" s="139"/>
      <c r="VBE115" s="139"/>
      <c r="VBF115" s="139"/>
      <c r="VBG115" s="139"/>
      <c r="VBH115" s="139"/>
      <c r="VBI115" s="139"/>
      <c r="VBJ115" s="139"/>
      <c r="VBK115" s="139"/>
      <c r="VBL115" s="139"/>
      <c r="VBM115" s="139"/>
      <c r="VBN115" s="139"/>
      <c r="VBO115" s="139"/>
      <c r="VBP115" s="139"/>
      <c r="VBQ115" s="139"/>
      <c r="VBR115" s="139"/>
      <c r="VBS115" s="139"/>
      <c r="VBT115" s="139"/>
      <c r="VBU115" s="139"/>
      <c r="VBV115" s="139"/>
      <c r="VBW115" s="139"/>
      <c r="VBX115" s="139"/>
      <c r="VBY115" s="139"/>
      <c r="VBZ115" s="139"/>
      <c r="VCA115" s="139"/>
      <c r="VCB115" s="139"/>
      <c r="VCC115" s="139"/>
      <c r="VCD115" s="139"/>
      <c r="VCE115" s="139"/>
      <c r="VCF115" s="139"/>
      <c r="VCG115" s="139"/>
      <c r="VCH115" s="139"/>
      <c r="VCI115" s="139"/>
      <c r="VCJ115" s="139"/>
      <c r="VCK115" s="139"/>
      <c r="VCL115" s="139"/>
      <c r="VCM115" s="139"/>
      <c r="VCN115" s="139"/>
      <c r="VCO115" s="139"/>
      <c r="VCP115" s="139"/>
      <c r="VCQ115" s="139"/>
      <c r="VCR115" s="139"/>
      <c r="VCS115" s="139"/>
      <c r="VCT115" s="139"/>
      <c r="VCU115" s="139"/>
      <c r="VCV115" s="139"/>
      <c r="VCW115" s="139"/>
      <c r="VCX115" s="139"/>
      <c r="VCY115" s="139"/>
      <c r="VCZ115" s="139"/>
      <c r="VDA115" s="139"/>
      <c r="VDB115" s="139"/>
      <c r="VDC115" s="139"/>
      <c r="VDD115" s="139"/>
      <c r="VDE115" s="139"/>
      <c r="VDF115" s="139"/>
      <c r="VDG115" s="139"/>
      <c r="VDH115" s="139"/>
      <c r="VDI115" s="139"/>
      <c r="VDJ115" s="139"/>
      <c r="VDK115" s="139"/>
      <c r="VDL115" s="139"/>
      <c r="VDM115" s="139"/>
      <c r="VDN115" s="139"/>
      <c r="VDO115" s="139"/>
      <c r="VDP115" s="139"/>
      <c r="VDQ115" s="139"/>
      <c r="VDR115" s="139"/>
      <c r="VDS115" s="139"/>
      <c r="VDT115" s="139"/>
      <c r="VDU115" s="139"/>
      <c r="VDV115" s="139"/>
      <c r="VDW115" s="139"/>
      <c r="VDX115" s="139"/>
      <c r="VDY115" s="139"/>
      <c r="VDZ115" s="139"/>
      <c r="VEA115" s="139"/>
      <c r="VEB115" s="139"/>
      <c r="VEC115" s="139"/>
      <c r="VED115" s="139"/>
      <c r="VEE115" s="139"/>
      <c r="VEF115" s="139"/>
      <c r="VEG115" s="139"/>
      <c r="VEH115" s="139"/>
      <c r="VEI115" s="139"/>
      <c r="VEJ115" s="139"/>
      <c r="VEK115" s="139"/>
      <c r="VEL115" s="139"/>
      <c r="VEM115" s="139"/>
      <c r="VEN115" s="139"/>
      <c r="VEO115" s="139"/>
      <c r="VEP115" s="139"/>
      <c r="VEQ115" s="139"/>
      <c r="VER115" s="139"/>
      <c r="VES115" s="139"/>
      <c r="VET115" s="139"/>
      <c r="VEU115" s="139"/>
      <c r="VEV115" s="139"/>
      <c r="VEW115" s="139"/>
      <c r="VEX115" s="139"/>
      <c r="VEY115" s="139"/>
      <c r="VEZ115" s="139"/>
      <c r="VFA115" s="139"/>
      <c r="VFB115" s="139"/>
      <c r="VFC115" s="139"/>
      <c r="VFD115" s="139"/>
      <c r="VFE115" s="139"/>
      <c r="VFF115" s="139"/>
      <c r="VFG115" s="139"/>
      <c r="VFH115" s="139"/>
      <c r="VFI115" s="139"/>
      <c r="VFJ115" s="139"/>
      <c r="VFK115" s="139"/>
      <c r="VFL115" s="139"/>
      <c r="VFM115" s="139"/>
      <c r="VFN115" s="139"/>
      <c r="VFO115" s="139"/>
      <c r="VFP115" s="139"/>
      <c r="VFQ115" s="139"/>
      <c r="VFR115" s="139"/>
      <c r="VFS115" s="139"/>
      <c r="VFT115" s="139"/>
      <c r="VFU115" s="139"/>
      <c r="VFV115" s="139"/>
      <c r="VFW115" s="139"/>
      <c r="VFX115" s="139"/>
      <c r="VFY115" s="139"/>
      <c r="VFZ115" s="139"/>
      <c r="VGA115" s="139"/>
      <c r="VGB115" s="139"/>
      <c r="VGC115" s="139"/>
      <c r="VGD115" s="139"/>
      <c r="VGE115" s="139"/>
      <c r="VGF115" s="139"/>
      <c r="VGG115" s="139"/>
      <c r="VGH115" s="139"/>
      <c r="VGI115" s="139"/>
      <c r="VGJ115" s="139"/>
      <c r="VGK115" s="139"/>
      <c r="VGL115" s="139"/>
      <c r="VGM115" s="139"/>
      <c r="VGN115" s="139"/>
      <c r="VGO115" s="139"/>
      <c r="VGP115" s="139"/>
      <c r="VGQ115" s="139"/>
      <c r="VGR115" s="139"/>
      <c r="VGS115" s="139"/>
      <c r="VGT115" s="139"/>
      <c r="VGU115" s="139"/>
      <c r="VGV115" s="139"/>
      <c r="VGW115" s="139"/>
      <c r="VGX115" s="139"/>
      <c r="VGY115" s="139"/>
      <c r="VGZ115" s="139"/>
      <c r="VHA115" s="139"/>
      <c r="VHB115" s="139"/>
      <c r="VHC115" s="139"/>
      <c r="VHD115" s="139"/>
      <c r="VHE115" s="139"/>
      <c r="VHF115" s="139"/>
      <c r="VHG115" s="139"/>
      <c r="VHH115" s="139"/>
      <c r="VHI115" s="139"/>
      <c r="VHJ115" s="139"/>
      <c r="VHK115" s="139"/>
      <c r="VHL115" s="139"/>
      <c r="VHM115" s="139"/>
      <c r="VHN115" s="139"/>
      <c r="VHO115" s="139"/>
      <c r="VHP115" s="139"/>
      <c r="VHQ115" s="139"/>
      <c r="VHR115" s="139"/>
      <c r="VHS115" s="139"/>
      <c r="VHT115" s="139"/>
      <c r="VHU115" s="139"/>
      <c r="VHV115" s="139"/>
      <c r="VHW115" s="139"/>
      <c r="VHX115" s="139"/>
      <c r="VHY115" s="139"/>
      <c r="VHZ115" s="139"/>
      <c r="VIA115" s="139"/>
      <c r="VIB115" s="139"/>
      <c r="VIC115" s="139"/>
      <c r="VID115" s="139"/>
      <c r="VIE115" s="139"/>
      <c r="VIF115" s="139"/>
      <c r="VIG115" s="139"/>
      <c r="VIH115" s="139"/>
      <c r="VII115" s="139"/>
      <c r="VIJ115" s="139"/>
      <c r="VIK115" s="139"/>
      <c r="VIL115" s="139"/>
      <c r="VIM115" s="139"/>
      <c r="VIN115" s="139"/>
      <c r="VIO115" s="139"/>
      <c r="VIP115" s="139"/>
      <c r="VIQ115" s="139"/>
      <c r="VIR115" s="139"/>
      <c r="VIS115" s="139"/>
      <c r="VIT115" s="139"/>
      <c r="VIU115" s="139"/>
      <c r="VIV115" s="139"/>
      <c r="VIW115" s="139"/>
      <c r="VIX115" s="139"/>
      <c r="VIY115" s="139"/>
      <c r="VIZ115" s="139"/>
      <c r="VJA115" s="139"/>
      <c r="VJB115" s="139"/>
      <c r="VJC115" s="139"/>
      <c r="VJD115" s="139"/>
      <c r="VJE115" s="139"/>
      <c r="VJF115" s="139"/>
      <c r="VJG115" s="139"/>
      <c r="VJH115" s="139"/>
      <c r="VJI115" s="139"/>
      <c r="VJJ115" s="139"/>
      <c r="VJK115" s="139"/>
      <c r="VJL115" s="139"/>
      <c r="VJM115" s="139"/>
      <c r="VJN115" s="139"/>
      <c r="VJO115" s="139"/>
      <c r="VJP115" s="139"/>
      <c r="VJQ115" s="139"/>
      <c r="VJR115" s="139"/>
      <c r="VJS115" s="139"/>
      <c r="VJT115" s="139"/>
      <c r="VJU115" s="139"/>
      <c r="VJV115" s="139"/>
      <c r="VJW115" s="139"/>
      <c r="VJX115" s="139"/>
      <c r="VJY115" s="139"/>
      <c r="VJZ115" s="139"/>
      <c r="VKA115" s="139"/>
      <c r="VKB115" s="139"/>
      <c r="VKC115" s="139"/>
      <c r="VKD115" s="139"/>
      <c r="VKE115" s="139"/>
      <c r="VKF115" s="139"/>
      <c r="VKG115" s="139"/>
      <c r="VKH115" s="139"/>
      <c r="VKI115" s="139"/>
      <c r="VKJ115" s="139"/>
      <c r="VKK115" s="139"/>
      <c r="VKL115" s="139"/>
      <c r="VKM115" s="139"/>
      <c r="VKN115" s="139"/>
      <c r="VKO115" s="139"/>
      <c r="VKP115" s="139"/>
      <c r="VKQ115" s="139"/>
      <c r="VKR115" s="139"/>
      <c r="VKS115" s="139"/>
      <c r="VKT115" s="139"/>
      <c r="VKU115" s="139"/>
      <c r="VKV115" s="139"/>
      <c r="VKW115" s="139"/>
      <c r="VKX115" s="139"/>
      <c r="VKY115" s="139"/>
      <c r="VKZ115" s="139"/>
      <c r="VLA115" s="139"/>
      <c r="VLB115" s="139"/>
      <c r="VLC115" s="139"/>
      <c r="VLD115" s="139"/>
      <c r="VLE115" s="139"/>
      <c r="VLF115" s="139"/>
      <c r="VLG115" s="139"/>
      <c r="VLH115" s="139"/>
      <c r="VLI115" s="139"/>
      <c r="VLJ115" s="139"/>
      <c r="VLK115" s="139"/>
      <c r="VLL115" s="139"/>
      <c r="VLM115" s="139"/>
      <c r="VLN115" s="139"/>
      <c r="VLO115" s="139"/>
      <c r="VLP115" s="139"/>
      <c r="VLQ115" s="139"/>
      <c r="VLR115" s="139"/>
      <c r="VLS115" s="139"/>
      <c r="VLT115" s="139"/>
      <c r="VLU115" s="139"/>
      <c r="VLV115" s="139"/>
      <c r="VLW115" s="139"/>
      <c r="VLX115" s="139"/>
      <c r="VLY115" s="139"/>
      <c r="VLZ115" s="139"/>
      <c r="VMA115" s="139"/>
      <c r="VMB115" s="139"/>
      <c r="VMC115" s="139"/>
      <c r="VMD115" s="139"/>
      <c r="VME115" s="139"/>
      <c r="VMF115" s="139"/>
      <c r="VMG115" s="139"/>
      <c r="VMH115" s="139"/>
      <c r="VMI115" s="139"/>
      <c r="VMJ115" s="139"/>
      <c r="VMK115" s="139"/>
      <c r="VML115" s="139"/>
      <c r="VMM115" s="139"/>
      <c r="VMN115" s="139"/>
      <c r="VMO115" s="139"/>
      <c r="VMP115" s="139"/>
      <c r="VMQ115" s="139"/>
      <c r="VMR115" s="139"/>
      <c r="VMS115" s="139"/>
      <c r="VMT115" s="139"/>
      <c r="VMU115" s="139"/>
      <c r="VMV115" s="139"/>
      <c r="VMW115" s="139"/>
      <c r="VMX115" s="139"/>
      <c r="VMY115" s="139"/>
      <c r="VMZ115" s="139"/>
      <c r="VNA115" s="139"/>
      <c r="VNB115" s="139"/>
      <c r="VNC115" s="139"/>
      <c r="VND115" s="139"/>
      <c r="VNE115" s="139"/>
      <c r="VNF115" s="139"/>
      <c r="VNG115" s="139"/>
      <c r="VNH115" s="139"/>
      <c r="VNI115" s="139"/>
      <c r="VNJ115" s="139"/>
      <c r="VNK115" s="139"/>
      <c r="VNL115" s="139"/>
      <c r="VNM115" s="139"/>
      <c r="VNN115" s="139"/>
      <c r="VNO115" s="139"/>
      <c r="VNP115" s="139"/>
      <c r="VNQ115" s="139"/>
      <c r="VNR115" s="139"/>
      <c r="VNS115" s="139"/>
      <c r="VNT115" s="139"/>
      <c r="VNU115" s="139"/>
      <c r="VNV115" s="139"/>
      <c r="VNW115" s="139"/>
      <c r="VNX115" s="139"/>
      <c r="VNY115" s="139"/>
      <c r="VNZ115" s="139"/>
      <c r="VOA115" s="139"/>
      <c r="VOB115" s="139"/>
      <c r="VOC115" s="139"/>
      <c r="VOD115" s="139"/>
      <c r="VOE115" s="139"/>
      <c r="VOF115" s="139"/>
      <c r="VOG115" s="139"/>
      <c r="VOH115" s="139"/>
      <c r="VOI115" s="139"/>
      <c r="VOJ115" s="139"/>
      <c r="VOK115" s="139"/>
      <c r="VOL115" s="139"/>
      <c r="VOM115" s="139"/>
      <c r="VON115" s="139"/>
      <c r="VOO115" s="139"/>
      <c r="VOP115" s="139"/>
      <c r="VOQ115" s="139"/>
      <c r="VOR115" s="139"/>
      <c r="VOS115" s="139"/>
      <c r="VOT115" s="139"/>
      <c r="VOU115" s="139"/>
      <c r="VOV115" s="139"/>
      <c r="VOW115" s="139"/>
      <c r="VOX115" s="139"/>
      <c r="VOY115" s="139"/>
      <c r="VOZ115" s="139"/>
      <c r="VPA115" s="139"/>
      <c r="VPB115" s="139"/>
      <c r="VPC115" s="139"/>
      <c r="VPD115" s="139"/>
      <c r="VPE115" s="139"/>
      <c r="VPF115" s="139"/>
      <c r="VPG115" s="139"/>
      <c r="VPH115" s="139"/>
      <c r="VPI115" s="139"/>
      <c r="VPJ115" s="139"/>
      <c r="VPK115" s="139"/>
      <c r="VPL115" s="139"/>
      <c r="VPM115" s="139"/>
      <c r="VPN115" s="139"/>
      <c r="VPO115" s="139"/>
      <c r="VPP115" s="139"/>
      <c r="VPQ115" s="139"/>
      <c r="VPR115" s="139"/>
      <c r="VPS115" s="139"/>
      <c r="VPT115" s="139"/>
      <c r="VPU115" s="139"/>
      <c r="VPV115" s="139"/>
      <c r="VPW115" s="139"/>
      <c r="VPX115" s="139"/>
      <c r="VPY115" s="139"/>
      <c r="VPZ115" s="139"/>
      <c r="VQA115" s="139"/>
      <c r="VQB115" s="139"/>
      <c r="VQC115" s="139"/>
      <c r="VQD115" s="139"/>
      <c r="VQE115" s="139"/>
      <c r="VQF115" s="139"/>
      <c r="VQG115" s="139"/>
      <c r="VQH115" s="139"/>
      <c r="VQI115" s="139"/>
      <c r="VQJ115" s="139"/>
      <c r="VQK115" s="139"/>
      <c r="VQL115" s="139"/>
      <c r="VQM115" s="139"/>
      <c r="VQN115" s="139"/>
      <c r="VQO115" s="139"/>
      <c r="VQP115" s="139"/>
      <c r="VQQ115" s="139"/>
      <c r="VQR115" s="139"/>
      <c r="VQS115" s="139"/>
      <c r="VQT115" s="139"/>
      <c r="VQU115" s="139"/>
      <c r="VQV115" s="139"/>
      <c r="VQW115" s="139"/>
      <c r="VQX115" s="139"/>
      <c r="VQY115" s="139"/>
      <c r="VQZ115" s="139"/>
      <c r="VRA115" s="139"/>
      <c r="VRB115" s="139"/>
      <c r="VRC115" s="139"/>
      <c r="VRD115" s="139"/>
      <c r="VRE115" s="139"/>
      <c r="VRF115" s="139"/>
      <c r="VRG115" s="139"/>
      <c r="VRH115" s="139"/>
      <c r="VRI115" s="139"/>
      <c r="VRJ115" s="139"/>
      <c r="VRK115" s="139"/>
      <c r="VRL115" s="139"/>
      <c r="VRM115" s="139"/>
      <c r="VRN115" s="139"/>
      <c r="VRO115" s="139"/>
      <c r="VRP115" s="139"/>
      <c r="VRQ115" s="139"/>
      <c r="VRR115" s="139"/>
      <c r="VRS115" s="139"/>
      <c r="VRT115" s="139"/>
      <c r="VRU115" s="139"/>
      <c r="VRV115" s="139"/>
      <c r="VRW115" s="139"/>
      <c r="VRX115" s="139"/>
      <c r="VRY115" s="139"/>
      <c r="VRZ115" s="139"/>
      <c r="VSA115" s="139"/>
      <c r="VSB115" s="139"/>
      <c r="VSC115" s="139"/>
      <c r="VSD115" s="139"/>
      <c r="VSE115" s="139"/>
      <c r="VSF115" s="139"/>
      <c r="VSG115" s="139"/>
      <c r="VSH115" s="139"/>
      <c r="VSI115" s="139"/>
      <c r="VSJ115" s="139"/>
      <c r="VSK115" s="139"/>
      <c r="VSL115" s="139"/>
      <c r="VSM115" s="139"/>
      <c r="VSN115" s="139"/>
      <c r="VSO115" s="139"/>
      <c r="VSP115" s="139"/>
      <c r="VSQ115" s="139"/>
      <c r="VSR115" s="139"/>
      <c r="VSS115" s="139"/>
      <c r="VST115" s="139"/>
      <c r="VSU115" s="139"/>
      <c r="VSV115" s="139"/>
      <c r="VSW115" s="139"/>
      <c r="VSX115" s="139"/>
      <c r="VSY115" s="139"/>
      <c r="VSZ115" s="139"/>
      <c r="VTA115" s="139"/>
      <c r="VTB115" s="139"/>
      <c r="VTC115" s="139"/>
      <c r="VTD115" s="139"/>
      <c r="VTE115" s="139"/>
      <c r="VTF115" s="139"/>
      <c r="VTG115" s="139"/>
      <c r="VTH115" s="139"/>
      <c r="VTI115" s="139"/>
      <c r="VTJ115" s="139"/>
      <c r="VTK115" s="139"/>
      <c r="VTL115" s="139"/>
      <c r="VTM115" s="139"/>
      <c r="VTN115" s="139"/>
      <c r="VTO115" s="139"/>
      <c r="VTP115" s="139"/>
      <c r="VTQ115" s="139"/>
      <c r="VTR115" s="139"/>
      <c r="VTS115" s="139"/>
      <c r="VTT115" s="139"/>
      <c r="VTU115" s="139"/>
      <c r="VTV115" s="139"/>
      <c r="VTW115" s="139"/>
      <c r="VTX115" s="139"/>
      <c r="VTY115" s="139"/>
      <c r="VTZ115" s="139"/>
      <c r="VUA115" s="139"/>
      <c r="VUB115" s="139"/>
      <c r="VUC115" s="139"/>
      <c r="VUD115" s="139"/>
      <c r="VUE115" s="139"/>
      <c r="VUF115" s="139"/>
      <c r="VUG115" s="139"/>
      <c r="VUH115" s="139"/>
      <c r="VUI115" s="139"/>
      <c r="VUJ115" s="139"/>
      <c r="VUK115" s="139"/>
      <c r="VUL115" s="139"/>
      <c r="VUM115" s="139"/>
      <c r="VUN115" s="139"/>
      <c r="VUO115" s="139"/>
      <c r="VUP115" s="139"/>
      <c r="VUQ115" s="139"/>
      <c r="VUR115" s="139"/>
      <c r="VUS115" s="139"/>
      <c r="VUT115" s="139"/>
      <c r="VUU115" s="139"/>
      <c r="VUV115" s="139"/>
      <c r="VUW115" s="139"/>
      <c r="VUX115" s="139"/>
      <c r="VUY115" s="139"/>
      <c r="VUZ115" s="139"/>
      <c r="VVA115" s="139"/>
      <c r="VVB115" s="139"/>
      <c r="VVC115" s="139"/>
      <c r="VVD115" s="139"/>
      <c r="VVE115" s="139"/>
      <c r="VVF115" s="139"/>
      <c r="VVG115" s="139"/>
      <c r="VVH115" s="139"/>
      <c r="VVI115" s="139"/>
      <c r="VVJ115" s="139"/>
      <c r="VVK115" s="139"/>
      <c r="VVL115" s="139"/>
      <c r="VVM115" s="139"/>
      <c r="VVN115" s="139"/>
      <c r="VVO115" s="139"/>
      <c r="VVP115" s="139"/>
      <c r="VVQ115" s="139"/>
      <c r="VVR115" s="139"/>
      <c r="VVS115" s="139"/>
      <c r="VVT115" s="139"/>
      <c r="VVU115" s="139"/>
      <c r="VVV115" s="139"/>
      <c r="VVW115" s="139"/>
      <c r="VVX115" s="139"/>
      <c r="VVY115" s="139"/>
      <c r="VVZ115" s="139"/>
      <c r="VWA115" s="139"/>
      <c r="VWB115" s="139"/>
      <c r="VWC115" s="139"/>
      <c r="VWD115" s="139"/>
      <c r="VWE115" s="139"/>
      <c r="VWF115" s="139"/>
      <c r="VWG115" s="139"/>
      <c r="VWH115" s="139"/>
      <c r="VWI115" s="139"/>
      <c r="VWJ115" s="139"/>
      <c r="VWK115" s="139"/>
      <c r="VWL115" s="139"/>
      <c r="VWM115" s="139"/>
      <c r="VWN115" s="139"/>
      <c r="VWO115" s="139"/>
      <c r="VWP115" s="139"/>
      <c r="VWQ115" s="139"/>
      <c r="VWR115" s="139"/>
      <c r="VWS115" s="139"/>
      <c r="VWT115" s="139"/>
      <c r="VWU115" s="139"/>
      <c r="VWV115" s="139"/>
      <c r="VWW115" s="139"/>
      <c r="VWX115" s="139"/>
      <c r="VWY115" s="139"/>
      <c r="VWZ115" s="139"/>
      <c r="VXA115" s="139"/>
      <c r="VXB115" s="139"/>
      <c r="VXC115" s="139"/>
      <c r="VXD115" s="139"/>
      <c r="VXE115" s="139"/>
      <c r="VXF115" s="139"/>
      <c r="VXG115" s="139"/>
      <c r="VXH115" s="139"/>
      <c r="VXI115" s="139"/>
      <c r="VXJ115" s="139"/>
      <c r="VXK115" s="139"/>
      <c r="VXL115" s="139"/>
      <c r="VXM115" s="139"/>
      <c r="VXN115" s="139"/>
      <c r="VXO115" s="139"/>
      <c r="VXP115" s="139"/>
      <c r="VXQ115" s="139"/>
      <c r="VXR115" s="139"/>
      <c r="VXS115" s="139"/>
      <c r="VXT115" s="139"/>
      <c r="VXU115" s="139"/>
      <c r="VXV115" s="139"/>
      <c r="VXW115" s="139"/>
      <c r="VXX115" s="139"/>
      <c r="VXY115" s="139"/>
      <c r="VXZ115" s="139"/>
      <c r="VYA115" s="139"/>
      <c r="VYB115" s="139"/>
      <c r="VYC115" s="139"/>
      <c r="VYD115" s="139"/>
      <c r="VYE115" s="139"/>
      <c r="VYF115" s="139"/>
      <c r="VYG115" s="139"/>
      <c r="VYH115" s="139"/>
      <c r="VYI115" s="139"/>
      <c r="VYJ115" s="139"/>
      <c r="VYK115" s="139"/>
      <c r="VYL115" s="139"/>
      <c r="VYM115" s="139"/>
      <c r="VYN115" s="139"/>
      <c r="VYO115" s="139"/>
      <c r="VYP115" s="139"/>
      <c r="VYQ115" s="139"/>
      <c r="VYR115" s="139"/>
      <c r="VYS115" s="139"/>
      <c r="VYT115" s="139"/>
      <c r="VYU115" s="139"/>
      <c r="VYV115" s="139"/>
      <c r="VYW115" s="139"/>
      <c r="VYX115" s="139"/>
      <c r="VYY115" s="139"/>
      <c r="VYZ115" s="139"/>
      <c r="VZA115" s="139"/>
      <c r="VZB115" s="139"/>
      <c r="VZC115" s="139"/>
      <c r="VZD115" s="139"/>
      <c r="VZE115" s="139"/>
      <c r="VZF115" s="139"/>
      <c r="VZG115" s="139"/>
      <c r="VZH115" s="139"/>
      <c r="VZI115" s="139"/>
      <c r="VZJ115" s="139"/>
      <c r="VZK115" s="139"/>
      <c r="VZL115" s="139"/>
      <c r="VZM115" s="139"/>
      <c r="VZN115" s="139"/>
      <c r="VZO115" s="139"/>
      <c r="VZP115" s="139"/>
      <c r="VZQ115" s="139"/>
      <c r="VZR115" s="139"/>
      <c r="VZS115" s="139"/>
      <c r="VZT115" s="139"/>
      <c r="VZU115" s="139"/>
      <c r="VZV115" s="139"/>
      <c r="VZW115" s="139"/>
      <c r="VZX115" s="139"/>
      <c r="VZY115" s="139"/>
      <c r="VZZ115" s="139"/>
      <c r="WAA115" s="139"/>
      <c r="WAB115" s="139"/>
      <c r="WAC115" s="139"/>
      <c r="WAD115" s="139"/>
      <c r="WAE115" s="139"/>
      <c r="WAF115" s="139"/>
      <c r="WAG115" s="139"/>
      <c r="WAH115" s="139"/>
      <c r="WAI115" s="139"/>
      <c r="WAJ115" s="139"/>
      <c r="WAK115" s="139"/>
      <c r="WAL115" s="139"/>
      <c r="WAM115" s="139"/>
      <c r="WAN115" s="139"/>
      <c r="WAO115" s="139"/>
      <c r="WAP115" s="139"/>
      <c r="WAQ115" s="139"/>
      <c r="WAR115" s="139"/>
      <c r="WAS115" s="139"/>
      <c r="WAT115" s="139"/>
      <c r="WAU115" s="139"/>
      <c r="WAV115" s="139"/>
      <c r="WAW115" s="139"/>
      <c r="WAX115" s="139"/>
      <c r="WAY115" s="139"/>
      <c r="WAZ115" s="139"/>
      <c r="WBA115" s="139"/>
      <c r="WBB115" s="139"/>
      <c r="WBC115" s="139"/>
      <c r="WBD115" s="139"/>
      <c r="WBE115" s="139"/>
      <c r="WBF115" s="139"/>
      <c r="WBG115" s="139"/>
      <c r="WBH115" s="139"/>
      <c r="WBI115" s="139"/>
      <c r="WBJ115" s="139"/>
      <c r="WBK115" s="139"/>
      <c r="WBL115" s="139"/>
      <c r="WBM115" s="139"/>
      <c r="WBN115" s="139"/>
      <c r="WBO115" s="139"/>
      <c r="WBP115" s="139"/>
      <c r="WBQ115" s="139"/>
      <c r="WBR115" s="139"/>
      <c r="WBS115" s="139"/>
      <c r="WBT115" s="139"/>
      <c r="WBU115" s="139"/>
      <c r="WBV115" s="139"/>
      <c r="WBW115" s="139"/>
      <c r="WBX115" s="139"/>
      <c r="WBY115" s="139"/>
      <c r="WBZ115" s="139"/>
      <c r="WCA115" s="139"/>
      <c r="WCB115" s="139"/>
      <c r="WCC115" s="139"/>
      <c r="WCD115" s="139"/>
      <c r="WCE115" s="139"/>
      <c r="WCF115" s="139"/>
      <c r="WCG115" s="139"/>
      <c r="WCH115" s="139"/>
      <c r="WCI115" s="139"/>
      <c r="WCJ115" s="139"/>
      <c r="WCK115" s="139"/>
      <c r="WCL115" s="139"/>
      <c r="WCM115" s="139"/>
      <c r="WCN115" s="139"/>
      <c r="WCO115" s="139"/>
      <c r="WCP115" s="139"/>
      <c r="WCQ115" s="139"/>
      <c r="WCR115" s="139"/>
      <c r="WCS115" s="139"/>
      <c r="WCT115" s="139"/>
      <c r="WCU115" s="139"/>
      <c r="WCV115" s="139"/>
      <c r="WCW115" s="139"/>
      <c r="WCX115" s="139"/>
      <c r="WCY115" s="139"/>
      <c r="WCZ115" s="139"/>
      <c r="WDA115" s="139"/>
      <c r="WDB115" s="139"/>
      <c r="WDC115" s="139"/>
      <c r="WDD115" s="139"/>
      <c r="WDE115" s="139"/>
      <c r="WDF115" s="139"/>
      <c r="WDG115" s="139"/>
      <c r="WDH115" s="139"/>
      <c r="WDI115" s="139"/>
      <c r="WDJ115" s="139"/>
      <c r="WDK115" s="139"/>
      <c r="WDL115" s="139"/>
      <c r="WDM115" s="139"/>
      <c r="WDN115" s="139"/>
      <c r="WDO115" s="139"/>
      <c r="WDP115" s="139"/>
      <c r="WDQ115" s="139"/>
      <c r="WDR115" s="139"/>
      <c r="WDS115" s="139"/>
      <c r="WDT115" s="139"/>
      <c r="WDU115" s="139"/>
      <c r="WDV115" s="139"/>
      <c r="WDW115" s="139"/>
      <c r="WDX115" s="139"/>
      <c r="WDY115" s="139"/>
      <c r="WDZ115" s="139"/>
      <c r="WEA115" s="139"/>
      <c r="WEB115" s="139"/>
      <c r="WEC115" s="139"/>
      <c r="WED115" s="139"/>
      <c r="WEE115" s="139"/>
      <c r="WEF115" s="139"/>
      <c r="WEG115" s="139"/>
      <c r="WEH115" s="139"/>
      <c r="WEI115" s="139"/>
      <c r="WEJ115" s="139"/>
      <c r="WEK115" s="139"/>
      <c r="WEL115" s="139"/>
      <c r="WEM115" s="139"/>
      <c r="WEN115" s="139"/>
      <c r="WEO115" s="139"/>
      <c r="WEP115" s="139"/>
      <c r="WEQ115" s="139"/>
      <c r="WER115" s="139"/>
      <c r="WES115" s="139"/>
      <c r="WET115" s="139"/>
      <c r="WEU115" s="139"/>
      <c r="WEV115" s="139"/>
      <c r="WEW115" s="139"/>
      <c r="WEX115" s="139"/>
      <c r="WEY115" s="139"/>
      <c r="WEZ115" s="139"/>
      <c r="WFA115" s="139"/>
      <c r="WFB115" s="139"/>
      <c r="WFC115" s="139"/>
      <c r="WFD115" s="139"/>
      <c r="WFE115" s="139"/>
      <c r="WFF115" s="139"/>
      <c r="WFG115" s="139"/>
      <c r="WFH115" s="139"/>
      <c r="WFI115" s="139"/>
      <c r="WFJ115" s="139"/>
      <c r="WFK115" s="139"/>
      <c r="WFL115" s="139"/>
      <c r="WFM115" s="139"/>
      <c r="WFN115" s="139"/>
      <c r="WFO115" s="139"/>
      <c r="WFP115" s="139"/>
      <c r="WFQ115" s="139"/>
      <c r="WFR115" s="139"/>
      <c r="WFS115" s="139"/>
      <c r="WFT115" s="139"/>
      <c r="WFU115" s="139"/>
      <c r="WFV115" s="139"/>
      <c r="WFW115" s="139"/>
      <c r="WFX115" s="139"/>
      <c r="WFY115" s="139"/>
      <c r="WFZ115" s="139"/>
      <c r="WGA115" s="139"/>
      <c r="WGB115" s="139"/>
      <c r="WGC115" s="139"/>
      <c r="WGD115" s="139"/>
      <c r="WGE115" s="139"/>
      <c r="WGF115" s="139"/>
      <c r="WGG115" s="139"/>
      <c r="WGH115" s="139"/>
      <c r="WGI115" s="139"/>
      <c r="WGJ115" s="139"/>
      <c r="WGK115" s="139"/>
      <c r="WGL115" s="139"/>
      <c r="WGM115" s="139"/>
      <c r="WGN115" s="139"/>
      <c r="WGO115" s="139"/>
      <c r="WGP115" s="139"/>
      <c r="WGQ115" s="139"/>
      <c r="WGR115" s="139"/>
      <c r="WGS115" s="139"/>
      <c r="WGT115" s="139"/>
      <c r="WGU115" s="139"/>
      <c r="WGV115" s="139"/>
      <c r="WGW115" s="139"/>
      <c r="WGX115" s="139"/>
      <c r="WGY115" s="139"/>
      <c r="WGZ115" s="139"/>
      <c r="WHA115" s="139"/>
      <c r="WHB115" s="139"/>
      <c r="WHC115" s="139"/>
      <c r="WHD115" s="139"/>
      <c r="WHE115" s="139"/>
      <c r="WHF115" s="139"/>
      <c r="WHG115" s="139"/>
      <c r="WHH115" s="139"/>
      <c r="WHI115" s="139"/>
      <c r="WHJ115" s="139"/>
      <c r="WHK115" s="139"/>
      <c r="WHL115" s="139"/>
      <c r="WHM115" s="139"/>
      <c r="WHN115" s="139"/>
      <c r="WHO115" s="139"/>
      <c r="WHP115" s="139"/>
      <c r="WHQ115" s="139"/>
      <c r="WHR115" s="139"/>
      <c r="WHS115" s="139"/>
      <c r="WHT115" s="139"/>
      <c r="WHU115" s="139"/>
      <c r="WHV115" s="139"/>
      <c r="WHW115" s="139"/>
      <c r="WHX115" s="139"/>
      <c r="WHY115" s="139"/>
      <c r="WHZ115" s="139"/>
      <c r="WIA115" s="139"/>
      <c r="WIB115" s="139"/>
      <c r="WIC115" s="139"/>
      <c r="WID115" s="139"/>
      <c r="WIE115" s="139"/>
      <c r="WIF115" s="139"/>
      <c r="WIG115" s="139"/>
      <c r="WIH115" s="139"/>
      <c r="WII115" s="139"/>
      <c r="WIJ115" s="139"/>
      <c r="WIK115" s="139"/>
      <c r="WIL115" s="139"/>
      <c r="WIM115" s="139"/>
      <c r="WIN115" s="139"/>
      <c r="WIO115" s="139"/>
      <c r="WIP115" s="139"/>
      <c r="WIQ115" s="139"/>
      <c r="WIR115" s="139"/>
      <c r="WIS115" s="139"/>
      <c r="WIT115" s="139"/>
      <c r="WIU115" s="139"/>
      <c r="WIV115" s="139"/>
      <c r="WIW115" s="139"/>
      <c r="WIX115" s="139"/>
      <c r="WIY115" s="139"/>
      <c r="WIZ115" s="139"/>
      <c r="WJA115" s="139"/>
      <c r="WJB115" s="139"/>
      <c r="WJC115" s="139"/>
      <c r="WJD115" s="139"/>
      <c r="WJE115" s="139"/>
      <c r="WJF115" s="139"/>
      <c r="WJG115" s="139"/>
      <c r="WJH115" s="139"/>
      <c r="WJI115" s="139"/>
      <c r="WJJ115" s="139"/>
      <c r="WJK115" s="139"/>
      <c r="WJL115" s="139"/>
      <c r="WJM115" s="139"/>
      <c r="WJN115" s="139"/>
      <c r="WJO115" s="139"/>
      <c r="WJP115" s="139"/>
      <c r="WJQ115" s="139"/>
      <c r="WJR115" s="139"/>
      <c r="WJS115" s="139"/>
      <c r="WJT115" s="139"/>
      <c r="WJU115" s="139"/>
      <c r="WJV115" s="139"/>
      <c r="WJW115" s="139"/>
      <c r="WJX115" s="139"/>
      <c r="WJY115" s="139"/>
      <c r="WJZ115" s="139"/>
      <c r="WKA115" s="139"/>
      <c r="WKB115" s="139"/>
      <c r="WKC115" s="139"/>
      <c r="WKD115" s="139"/>
      <c r="WKE115" s="139"/>
      <c r="WKF115" s="139"/>
      <c r="WKG115" s="139"/>
      <c r="WKH115" s="139"/>
      <c r="WKI115" s="139"/>
      <c r="WKJ115" s="139"/>
      <c r="WKK115" s="139"/>
      <c r="WKL115" s="139"/>
      <c r="WKM115" s="139"/>
      <c r="WKN115" s="139"/>
      <c r="WKO115" s="139"/>
      <c r="WKP115" s="139"/>
      <c r="WKQ115" s="139"/>
      <c r="WKR115" s="139"/>
      <c r="WKS115" s="139"/>
      <c r="WKT115" s="139"/>
      <c r="WKU115" s="139"/>
      <c r="WKV115" s="139"/>
      <c r="WKW115" s="139"/>
      <c r="WKX115" s="139"/>
      <c r="WKY115" s="139"/>
      <c r="WKZ115" s="139"/>
      <c r="WLA115" s="139"/>
      <c r="WLB115" s="139"/>
      <c r="WLC115" s="139"/>
      <c r="WLD115" s="139"/>
      <c r="WLE115" s="139"/>
      <c r="WLF115" s="139"/>
      <c r="WLG115" s="139"/>
      <c r="WLH115" s="139"/>
      <c r="WLI115" s="139"/>
      <c r="WLJ115" s="139"/>
      <c r="WLK115" s="139"/>
      <c r="WLL115" s="139"/>
      <c r="WLM115" s="139"/>
      <c r="WLN115" s="139"/>
      <c r="WLO115" s="139"/>
      <c r="WLP115" s="139"/>
      <c r="WLQ115" s="139"/>
      <c r="WLR115" s="139"/>
      <c r="WLS115" s="139"/>
      <c r="WLT115" s="139"/>
      <c r="WLU115" s="139"/>
      <c r="WLV115" s="139"/>
      <c r="WLW115" s="139"/>
      <c r="WLX115" s="139"/>
      <c r="WLY115" s="139"/>
      <c r="WLZ115" s="139"/>
      <c r="WMA115" s="139"/>
      <c r="WMB115" s="139"/>
      <c r="WMC115" s="139"/>
      <c r="WMD115" s="139"/>
      <c r="WME115" s="139"/>
      <c r="WMF115" s="139"/>
      <c r="WMG115" s="139"/>
      <c r="WMH115" s="139"/>
      <c r="WMI115" s="139"/>
      <c r="WMJ115" s="139"/>
      <c r="WMK115" s="139"/>
      <c r="WML115" s="139"/>
      <c r="WMM115" s="139"/>
      <c r="WMN115" s="139"/>
      <c r="WMO115" s="139"/>
      <c r="WMP115" s="139"/>
      <c r="WMQ115" s="139"/>
      <c r="WMR115" s="139"/>
      <c r="WMS115" s="139"/>
      <c r="WMT115" s="139"/>
      <c r="WMU115" s="139"/>
      <c r="WMV115" s="139"/>
      <c r="WMW115" s="139"/>
      <c r="WMX115" s="139"/>
      <c r="WMY115" s="139"/>
      <c r="WMZ115" s="139"/>
      <c r="WNA115" s="139"/>
      <c r="WNB115" s="139"/>
      <c r="WNC115" s="139"/>
      <c r="WND115" s="139"/>
      <c r="WNE115" s="139"/>
      <c r="WNF115" s="139"/>
      <c r="WNG115" s="139"/>
      <c r="WNH115" s="139"/>
      <c r="WNI115" s="139"/>
      <c r="WNJ115" s="139"/>
      <c r="WNK115" s="139"/>
      <c r="WNL115" s="139"/>
      <c r="WNM115" s="139"/>
      <c r="WNN115" s="139"/>
      <c r="WNO115" s="139"/>
      <c r="WNP115" s="139"/>
      <c r="WNQ115" s="139"/>
      <c r="WNR115" s="139"/>
      <c r="WNS115" s="139"/>
      <c r="WNT115" s="139"/>
      <c r="WNU115" s="139"/>
      <c r="WNV115" s="139"/>
      <c r="WNW115" s="139"/>
      <c r="WNX115" s="139"/>
      <c r="WNY115" s="139"/>
      <c r="WNZ115" s="139"/>
      <c r="WOA115" s="139"/>
      <c r="WOB115" s="139"/>
      <c r="WOC115" s="139"/>
      <c r="WOD115" s="139"/>
      <c r="WOE115" s="139"/>
      <c r="WOF115" s="139"/>
      <c r="WOG115" s="139"/>
      <c r="WOH115" s="139"/>
      <c r="WOI115" s="139"/>
      <c r="WOJ115" s="139"/>
      <c r="WOK115" s="139"/>
      <c r="WOL115" s="139"/>
      <c r="WOM115" s="139"/>
      <c r="WON115" s="139"/>
      <c r="WOO115" s="139"/>
      <c r="WOP115" s="139"/>
      <c r="WOQ115" s="139"/>
      <c r="WOR115" s="139"/>
      <c r="WOS115" s="139"/>
      <c r="WOT115" s="139"/>
      <c r="WOU115" s="139"/>
      <c r="WOV115" s="139"/>
      <c r="WOW115" s="139"/>
      <c r="WOX115" s="139"/>
      <c r="WOY115" s="139"/>
      <c r="WOZ115" s="139"/>
      <c r="WPA115" s="139"/>
      <c r="WPB115" s="139"/>
      <c r="WPC115" s="139"/>
      <c r="WPD115" s="139"/>
      <c r="WPE115" s="139"/>
      <c r="WPF115" s="139"/>
      <c r="WPG115" s="139"/>
      <c r="WPH115" s="139"/>
      <c r="WPI115" s="139"/>
      <c r="WPJ115" s="139"/>
      <c r="WPK115" s="139"/>
      <c r="WPL115" s="139"/>
      <c r="WPM115" s="139"/>
      <c r="WPN115" s="139"/>
      <c r="WPO115" s="139"/>
      <c r="WPP115" s="139"/>
      <c r="WPQ115" s="139"/>
      <c r="WPR115" s="139"/>
      <c r="WPS115" s="139"/>
      <c r="WPT115" s="139"/>
      <c r="WPU115" s="139"/>
      <c r="WPV115" s="139"/>
      <c r="WPW115" s="139"/>
      <c r="WPX115" s="139"/>
      <c r="WPY115" s="139"/>
      <c r="WPZ115" s="139"/>
      <c r="WQA115" s="139"/>
      <c r="WQB115" s="139"/>
      <c r="WQC115" s="139"/>
      <c r="WQD115" s="139"/>
      <c r="WQE115" s="139"/>
      <c r="WQF115" s="139"/>
      <c r="WQG115" s="139"/>
      <c r="WQH115" s="139"/>
      <c r="WQI115" s="139"/>
      <c r="WQJ115" s="139"/>
      <c r="WQK115" s="139"/>
      <c r="WQL115" s="139"/>
      <c r="WQM115" s="139"/>
      <c r="WQN115" s="139"/>
      <c r="WQO115" s="139"/>
      <c r="WQP115" s="139"/>
      <c r="WQQ115" s="139"/>
      <c r="WQR115" s="139"/>
      <c r="WQS115" s="139"/>
      <c r="WQT115" s="139"/>
      <c r="WQU115" s="139"/>
      <c r="WQV115" s="139"/>
      <c r="WQW115" s="139"/>
      <c r="WQX115" s="139"/>
      <c r="WQY115" s="139"/>
      <c r="WQZ115" s="139"/>
      <c r="WRA115" s="139"/>
      <c r="WRB115" s="139"/>
      <c r="WRC115" s="139"/>
      <c r="WRD115" s="139"/>
      <c r="WRE115" s="139"/>
      <c r="WRF115" s="139"/>
      <c r="WRG115" s="139"/>
      <c r="WRH115" s="139"/>
      <c r="WRI115" s="139"/>
      <c r="WRJ115" s="139"/>
      <c r="WRK115" s="139"/>
      <c r="WRL115" s="139"/>
      <c r="WRM115" s="139"/>
      <c r="WRN115" s="139"/>
      <c r="WRO115" s="139"/>
      <c r="WRP115" s="139"/>
      <c r="WRQ115" s="139"/>
      <c r="WRR115" s="139"/>
      <c r="WRS115" s="139"/>
      <c r="WRT115" s="139"/>
      <c r="WRU115" s="139"/>
      <c r="WRV115" s="139"/>
      <c r="WRW115" s="139"/>
      <c r="WRX115" s="139"/>
      <c r="WRY115" s="139"/>
      <c r="WRZ115" s="139"/>
      <c r="WSA115" s="139"/>
      <c r="WSB115" s="139"/>
      <c r="WSC115" s="139"/>
      <c r="WSD115" s="139"/>
      <c r="WSE115" s="139"/>
      <c r="WSF115" s="139"/>
      <c r="WSG115" s="139"/>
      <c r="WSH115" s="139"/>
      <c r="WSI115" s="139"/>
      <c r="WSJ115" s="139"/>
      <c r="WSK115" s="139"/>
      <c r="WSL115" s="139"/>
      <c r="WSM115" s="139"/>
      <c r="WSN115" s="139"/>
      <c r="WSO115" s="139"/>
      <c r="WSP115" s="139"/>
      <c r="WSQ115" s="139"/>
      <c r="WSR115" s="139"/>
      <c r="WSS115" s="139"/>
      <c r="WST115" s="139"/>
      <c r="WSU115" s="139"/>
      <c r="WSV115" s="139"/>
      <c r="WSW115" s="139"/>
      <c r="WSX115" s="139"/>
      <c r="WSY115" s="139"/>
      <c r="WSZ115" s="139"/>
      <c r="WTA115" s="139"/>
      <c r="WTB115" s="139"/>
      <c r="WTC115" s="139"/>
      <c r="WTD115" s="139"/>
      <c r="WTE115" s="139"/>
      <c r="WTF115" s="139"/>
      <c r="WTG115" s="139"/>
      <c r="WTH115" s="139"/>
      <c r="WTI115" s="139"/>
      <c r="WTJ115" s="139"/>
      <c r="WTK115" s="139"/>
      <c r="WTL115" s="139"/>
      <c r="WTM115" s="139"/>
      <c r="WTN115" s="139"/>
      <c r="WTO115" s="139"/>
      <c r="WTP115" s="139"/>
      <c r="WTQ115" s="139"/>
      <c r="WTR115" s="139"/>
      <c r="WTS115" s="139"/>
      <c r="WTT115" s="139"/>
      <c r="WTU115" s="139"/>
      <c r="WTV115" s="139"/>
      <c r="WTW115" s="139"/>
      <c r="WTX115" s="139"/>
      <c r="WTY115" s="139"/>
      <c r="WTZ115" s="139"/>
      <c r="WUA115" s="139"/>
      <c r="WUB115" s="139"/>
      <c r="WUC115" s="139"/>
      <c r="WUD115" s="139"/>
      <c r="WUE115" s="139"/>
      <c r="WUF115" s="139"/>
      <c r="WUG115" s="139"/>
      <c r="WUH115" s="139"/>
      <c r="WUI115" s="139"/>
      <c r="WUJ115" s="139"/>
      <c r="WUK115" s="139"/>
      <c r="WUL115" s="139"/>
      <c r="WUM115" s="139"/>
      <c r="WUN115" s="139"/>
      <c r="WUO115" s="139"/>
      <c r="WUP115" s="139"/>
      <c r="WUQ115" s="139"/>
      <c r="WUR115" s="139"/>
      <c r="WUS115" s="139"/>
      <c r="WUT115" s="139"/>
      <c r="WUU115" s="139"/>
      <c r="WUV115" s="139"/>
      <c r="WUW115" s="139"/>
      <c r="WUX115" s="139"/>
      <c r="WUY115" s="139"/>
      <c r="WUZ115" s="139"/>
      <c r="WVA115" s="139"/>
      <c r="WVB115" s="139"/>
      <c r="WVC115" s="139"/>
      <c r="WVD115" s="139"/>
      <c r="WVE115" s="139"/>
      <c r="WVF115" s="139"/>
      <c r="WVG115" s="139"/>
      <c r="WVH115" s="139"/>
      <c r="WVI115" s="139"/>
      <c r="WVJ115" s="139"/>
      <c r="WVK115" s="139"/>
      <c r="WVL115" s="139"/>
      <c r="WVM115" s="139"/>
      <c r="WVN115" s="139"/>
      <c r="WVO115" s="139"/>
      <c r="WVP115" s="139"/>
      <c r="WVQ115" s="139"/>
      <c r="WVR115" s="139"/>
      <c r="WVS115" s="139"/>
      <c r="WVT115" s="139"/>
      <c r="WVU115" s="139"/>
      <c r="WVV115" s="139"/>
      <c r="WVW115" s="139"/>
    </row>
    <row r="116" spans="1:16143" collapsed="1" x14ac:dyDescent="0.25"/>
    <row r="117" spans="1:16143" x14ac:dyDescent="0.25">
      <c r="B117" s="336" t="s">
        <v>394</v>
      </c>
      <c r="C117" s="337">
        <f>+C118+C126+C130+C135+C139+C143+C147+C122</f>
        <v>15000</v>
      </c>
      <c r="D117" s="337">
        <f t="shared" ref="D117:N117" si="34">+D118+D126+D130+D135+D139+D143+D147+D122</f>
        <v>13000</v>
      </c>
      <c r="E117" s="337">
        <f t="shared" si="34"/>
        <v>13000</v>
      </c>
      <c r="F117" s="337">
        <f t="shared" si="34"/>
        <v>14000</v>
      </c>
      <c r="G117" s="337">
        <f t="shared" si="34"/>
        <v>14000</v>
      </c>
      <c r="H117" s="337">
        <f t="shared" si="34"/>
        <v>11000</v>
      </c>
      <c r="I117" s="337">
        <f t="shared" si="34"/>
        <v>11000</v>
      </c>
      <c r="J117" s="337">
        <f t="shared" si="34"/>
        <v>11000</v>
      </c>
      <c r="K117" s="337">
        <f t="shared" si="34"/>
        <v>7000</v>
      </c>
      <c r="L117" s="337">
        <f t="shared" si="34"/>
        <v>4000</v>
      </c>
      <c r="M117" s="337">
        <f t="shared" si="34"/>
        <v>4000</v>
      </c>
      <c r="N117" s="337">
        <f t="shared" si="34"/>
        <v>4000</v>
      </c>
      <c r="P117" s="337">
        <f>SUM(C117:N117)</f>
        <v>121000</v>
      </c>
    </row>
    <row r="118" spans="1:16143" x14ac:dyDescent="0.25">
      <c r="B118" s="323" t="s">
        <v>209</v>
      </c>
      <c r="C118" s="324">
        <f>SUM(C119:C121)</f>
        <v>2000</v>
      </c>
      <c r="D118" s="324">
        <f t="shared" ref="D118:N118" si="35">SUM(D119:D121)</f>
        <v>2000</v>
      </c>
      <c r="E118" s="324">
        <f t="shared" si="35"/>
        <v>2000</v>
      </c>
      <c r="F118" s="324">
        <f t="shared" si="35"/>
        <v>3000</v>
      </c>
      <c r="G118" s="324">
        <f t="shared" si="35"/>
        <v>3000</v>
      </c>
      <c r="H118" s="324">
        <f t="shared" si="35"/>
        <v>0</v>
      </c>
      <c r="I118" s="324">
        <f t="shared" si="35"/>
        <v>0</v>
      </c>
      <c r="J118" s="324">
        <f t="shared" si="35"/>
        <v>0</v>
      </c>
      <c r="K118" s="324">
        <f t="shared" si="35"/>
        <v>0</v>
      </c>
      <c r="L118" s="324">
        <f t="shared" si="35"/>
        <v>0</v>
      </c>
      <c r="M118" s="324">
        <f t="shared" si="35"/>
        <v>0</v>
      </c>
      <c r="N118" s="324">
        <f t="shared" si="35"/>
        <v>0</v>
      </c>
      <c r="P118" s="324">
        <f>SUM(C118:N118)</f>
        <v>12000</v>
      </c>
    </row>
    <row r="119" spans="1:16143" x14ac:dyDescent="0.25">
      <c r="B119" s="322" t="str">
        <f>+APORTE!C34</f>
        <v>Teresa Campos</v>
      </c>
      <c r="C119" s="152"/>
      <c r="D119" s="152"/>
      <c r="E119" s="152"/>
      <c r="F119" s="152">
        <v>1000</v>
      </c>
      <c r="G119" s="152">
        <v>1000</v>
      </c>
      <c r="H119" s="152"/>
      <c r="I119" s="152"/>
      <c r="J119" s="152"/>
      <c r="K119" s="152"/>
      <c r="L119" s="152"/>
      <c r="M119" s="152"/>
      <c r="N119" s="152"/>
    </row>
    <row r="120" spans="1:16143" x14ac:dyDescent="0.25">
      <c r="B120" s="322" t="str">
        <f>+APORTE!C35</f>
        <v>Corina Coronel</v>
      </c>
      <c r="C120" s="152">
        <v>1000</v>
      </c>
      <c r="D120" s="152">
        <v>1000</v>
      </c>
      <c r="E120" s="152">
        <v>1000</v>
      </c>
      <c r="F120" s="152">
        <v>1000</v>
      </c>
      <c r="G120" s="152">
        <v>1000</v>
      </c>
      <c r="H120" s="152"/>
      <c r="I120" s="152"/>
      <c r="J120" s="152"/>
      <c r="K120" s="152"/>
      <c r="L120" s="152"/>
      <c r="M120" s="152"/>
      <c r="N120" s="152"/>
    </row>
    <row r="121" spans="1:16143" x14ac:dyDescent="0.25">
      <c r="B121" s="322" t="str">
        <f>+APORTE!C36</f>
        <v>Sandra Flores</v>
      </c>
      <c r="C121" s="152">
        <v>1000</v>
      </c>
      <c r="D121" s="152">
        <v>1000</v>
      </c>
      <c r="E121" s="152">
        <v>1000</v>
      </c>
      <c r="F121" s="152">
        <v>1000</v>
      </c>
      <c r="G121" s="152">
        <v>1000</v>
      </c>
      <c r="H121" s="152"/>
      <c r="I121" s="152"/>
      <c r="J121" s="152"/>
      <c r="K121" s="152"/>
      <c r="L121" s="152"/>
      <c r="M121" s="152"/>
      <c r="N121" s="152"/>
    </row>
    <row r="122" spans="1:16143" x14ac:dyDescent="0.25">
      <c r="B122" s="323" t="s">
        <v>213</v>
      </c>
      <c r="C122" s="324">
        <f>SUM(C123:C125)</f>
        <v>3000</v>
      </c>
      <c r="D122" s="324">
        <f t="shared" ref="D122:N122" si="36">SUM(D123:D125)</f>
        <v>3000</v>
      </c>
      <c r="E122" s="324">
        <f t="shared" si="36"/>
        <v>3000</v>
      </c>
      <c r="F122" s="324">
        <f t="shared" si="36"/>
        <v>3000</v>
      </c>
      <c r="G122" s="324">
        <f t="shared" si="36"/>
        <v>3000</v>
      </c>
      <c r="H122" s="324">
        <f t="shared" si="36"/>
        <v>3000</v>
      </c>
      <c r="I122" s="324">
        <f t="shared" si="36"/>
        <v>3000</v>
      </c>
      <c r="J122" s="324">
        <f t="shared" si="36"/>
        <v>3000</v>
      </c>
      <c r="K122" s="324">
        <f t="shared" si="36"/>
        <v>3000</v>
      </c>
      <c r="L122" s="324">
        <f t="shared" si="36"/>
        <v>3000</v>
      </c>
      <c r="M122" s="324">
        <f t="shared" si="36"/>
        <v>3000</v>
      </c>
      <c r="N122" s="324">
        <f t="shared" si="36"/>
        <v>3000</v>
      </c>
      <c r="P122" s="324">
        <f>SUM(C122:N122)</f>
        <v>36000</v>
      </c>
    </row>
    <row r="123" spans="1:16143" x14ac:dyDescent="0.25">
      <c r="B123" s="322" t="str">
        <f>+APORTE!C37</f>
        <v>Maria Eugenia Ortis</v>
      </c>
      <c r="C123" s="152">
        <v>1000</v>
      </c>
      <c r="D123" s="152">
        <v>1000</v>
      </c>
      <c r="E123" s="152">
        <v>1000</v>
      </c>
      <c r="F123" s="152">
        <v>1000</v>
      </c>
      <c r="G123" s="152">
        <v>1000</v>
      </c>
      <c r="H123" s="152">
        <v>1000</v>
      </c>
      <c r="I123" s="152">
        <v>1000</v>
      </c>
      <c r="J123" s="152">
        <v>1000</v>
      </c>
      <c r="K123" s="152">
        <v>1000</v>
      </c>
      <c r="L123" s="152">
        <v>1000</v>
      </c>
      <c r="M123" s="152">
        <v>1000</v>
      </c>
      <c r="N123" s="152">
        <v>1000</v>
      </c>
    </row>
    <row r="124" spans="1:16143" x14ac:dyDescent="0.25">
      <c r="B124" s="322" t="str">
        <f>+APORTE!C38</f>
        <v>Paulina Iturrieta</v>
      </c>
      <c r="C124" s="152">
        <v>1000</v>
      </c>
      <c r="D124" s="152">
        <v>1000</v>
      </c>
      <c r="E124" s="152">
        <v>1000</v>
      </c>
      <c r="F124" s="152">
        <v>1000</v>
      </c>
      <c r="G124" s="152">
        <v>1000</v>
      </c>
      <c r="H124" s="152">
        <v>1000</v>
      </c>
      <c r="I124" s="152">
        <v>1000</v>
      </c>
      <c r="J124" s="152">
        <v>1000</v>
      </c>
      <c r="K124" s="152">
        <v>1000</v>
      </c>
      <c r="L124" s="152">
        <v>1000</v>
      </c>
      <c r="M124" s="152">
        <v>1000</v>
      </c>
      <c r="N124" s="152">
        <v>1000</v>
      </c>
    </row>
    <row r="125" spans="1:16143" x14ac:dyDescent="0.25">
      <c r="B125" s="322" t="str">
        <f>+APORTE!C39</f>
        <v>Ruben Salamanca</v>
      </c>
      <c r="C125" s="152">
        <v>1000</v>
      </c>
      <c r="D125" s="152">
        <v>1000</v>
      </c>
      <c r="E125" s="152">
        <v>1000</v>
      </c>
      <c r="F125" s="152">
        <v>1000</v>
      </c>
      <c r="G125" s="152">
        <v>1000</v>
      </c>
      <c r="H125" s="152">
        <v>1000</v>
      </c>
      <c r="I125" s="152">
        <v>1000</v>
      </c>
      <c r="J125" s="152">
        <v>1000</v>
      </c>
      <c r="K125" s="152">
        <v>1000</v>
      </c>
      <c r="L125" s="152">
        <v>1000</v>
      </c>
      <c r="M125" s="152">
        <v>1000</v>
      </c>
      <c r="N125" s="152">
        <v>1000</v>
      </c>
    </row>
    <row r="126" spans="1:16143" x14ac:dyDescent="0.25">
      <c r="B126" s="323" t="s">
        <v>214</v>
      </c>
      <c r="C126" s="324">
        <f>SUM(C127:C129)</f>
        <v>3000</v>
      </c>
      <c r="D126" s="324">
        <f t="shared" ref="D126:N126" si="37">SUM(D127:D129)</f>
        <v>3000</v>
      </c>
      <c r="E126" s="324">
        <f t="shared" si="37"/>
        <v>3000</v>
      </c>
      <c r="F126" s="324">
        <f t="shared" si="37"/>
        <v>3000</v>
      </c>
      <c r="G126" s="324">
        <f t="shared" si="37"/>
        <v>3000</v>
      </c>
      <c r="H126" s="324">
        <f t="shared" si="37"/>
        <v>3000</v>
      </c>
      <c r="I126" s="324">
        <f t="shared" si="37"/>
        <v>3000</v>
      </c>
      <c r="J126" s="324">
        <f t="shared" si="37"/>
        <v>3000</v>
      </c>
      <c r="K126" s="324">
        <f t="shared" si="37"/>
        <v>3000</v>
      </c>
      <c r="L126" s="324">
        <f t="shared" si="37"/>
        <v>0</v>
      </c>
      <c r="M126" s="324">
        <f t="shared" si="37"/>
        <v>0</v>
      </c>
      <c r="N126" s="324">
        <f t="shared" si="37"/>
        <v>0</v>
      </c>
      <c r="P126" s="324">
        <f>SUM(C126:N126)</f>
        <v>27000</v>
      </c>
    </row>
    <row r="127" spans="1:16143" x14ac:dyDescent="0.25">
      <c r="B127" s="322" t="str">
        <f>+APORTE!C40</f>
        <v>Victor Trejo</v>
      </c>
      <c r="C127" s="152">
        <v>1000</v>
      </c>
      <c r="D127" s="152">
        <v>1000</v>
      </c>
      <c r="E127" s="152">
        <v>1000</v>
      </c>
      <c r="F127" s="152">
        <v>1000</v>
      </c>
      <c r="G127" s="152">
        <v>1000</v>
      </c>
      <c r="H127" s="152">
        <v>1000</v>
      </c>
      <c r="I127" s="152">
        <v>1000</v>
      </c>
      <c r="J127" s="152">
        <v>1000</v>
      </c>
      <c r="K127" s="152">
        <v>1000</v>
      </c>
      <c r="L127" s="152"/>
      <c r="M127" s="152"/>
      <c r="N127" s="152"/>
    </row>
    <row r="128" spans="1:16143" x14ac:dyDescent="0.25">
      <c r="B128" s="322" t="str">
        <f>+APORTE!C41</f>
        <v>Angie Muñoz</v>
      </c>
      <c r="C128" s="152">
        <v>1000</v>
      </c>
      <c r="D128" s="152">
        <v>1000</v>
      </c>
      <c r="E128" s="152">
        <v>1000</v>
      </c>
      <c r="F128" s="152">
        <v>1000</v>
      </c>
      <c r="G128" s="152">
        <v>1000</v>
      </c>
      <c r="H128" s="152">
        <v>1000</v>
      </c>
      <c r="I128" s="152">
        <v>1000</v>
      </c>
      <c r="J128" s="152">
        <v>1000</v>
      </c>
      <c r="K128" s="152">
        <v>1000</v>
      </c>
      <c r="L128" s="152"/>
      <c r="M128" s="152"/>
      <c r="N128" s="152"/>
    </row>
    <row r="129" spans="2:16" x14ac:dyDescent="0.25">
      <c r="B129" s="322" t="str">
        <f>+APORTE!C42</f>
        <v>Pablo Pino</v>
      </c>
      <c r="C129" s="152">
        <v>1000</v>
      </c>
      <c r="D129" s="152">
        <v>1000</v>
      </c>
      <c r="E129" s="152">
        <v>1000</v>
      </c>
      <c r="F129" s="152">
        <v>1000</v>
      </c>
      <c r="G129" s="152">
        <v>1000</v>
      </c>
      <c r="H129" s="152">
        <v>1000</v>
      </c>
      <c r="I129" s="152">
        <v>1000</v>
      </c>
      <c r="J129" s="152">
        <v>1000</v>
      </c>
      <c r="K129" s="152">
        <v>1000</v>
      </c>
      <c r="L129" s="152"/>
      <c r="M129" s="152"/>
      <c r="N129" s="152"/>
    </row>
    <row r="130" spans="2:16" x14ac:dyDescent="0.25">
      <c r="B130" s="323" t="s">
        <v>216</v>
      </c>
      <c r="C130" s="324">
        <f>SUM(C131:C134)</f>
        <v>1000</v>
      </c>
      <c r="D130" s="324">
        <f t="shared" ref="D130:N130" si="38">SUM(D131:D134)</f>
        <v>1000</v>
      </c>
      <c r="E130" s="324">
        <f t="shared" si="38"/>
        <v>1000</v>
      </c>
      <c r="F130" s="324">
        <f t="shared" si="38"/>
        <v>1000</v>
      </c>
      <c r="G130" s="324">
        <f t="shared" si="38"/>
        <v>1000</v>
      </c>
      <c r="H130" s="324">
        <f t="shared" si="38"/>
        <v>1000</v>
      </c>
      <c r="I130" s="324">
        <f t="shared" si="38"/>
        <v>1000</v>
      </c>
      <c r="J130" s="324">
        <f t="shared" si="38"/>
        <v>1000</v>
      </c>
      <c r="K130" s="324">
        <f t="shared" si="38"/>
        <v>0</v>
      </c>
      <c r="L130" s="324">
        <f t="shared" si="38"/>
        <v>0</v>
      </c>
      <c r="M130" s="324">
        <f t="shared" si="38"/>
        <v>0</v>
      </c>
      <c r="N130" s="324">
        <f t="shared" si="38"/>
        <v>0</v>
      </c>
      <c r="P130" s="324">
        <f>SUM(C130:N130)</f>
        <v>8000</v>
      </c>
    </row>
    <row r="131" spans="2:16" x14ac:dyDescent="0.25">
      <c r="B131" s="322" t="str">
        <f>+APORTE!C43</f>
        <v xml:space="preserve">Patricio Bustos </v>
      </c>
      <c r="C131" s="152">
        <v>1000</v>
      </c>
      <c r="D131" s="152">
        <v>1000</v>
      </c>
      <c r="E131" s="152">
        <v>1000</v>
      </c>
      <c r="F131" s="152">
        <v>1000</v>
      </c>
      <c r="G131" s="152">
        <v>1000</v>
      </c>
      <c r="H131" s="152">
        <v>1000</v>
      </c>
      <c r="I131" s="152">
        <v>1000</v>
      </c>
      <c r="J131" s="152">
        <v>1000</v>
      </c>
      <c r="K131" s="152"/>
      <c r="L131" s="152"/>
      <c r="M131" s="152"/>
      <c r="N131" s="152"/>
    </row>
    <row r="132" spans="2:16" x14ac:dyDescent="0.25">
      <c r="B132" s="322" t="str">
        <f>+APORTE!C44</f>
        <v>Oscar Lara</v>
      </c>
      <c r="C132" s="152"/>
      <c r="D132" s="152"/>
      <c r="E132" s="152"/>
      <c r="F132" s="152"/>
      <c r="G132" s="152"/>
      <c r="H132" s="152"/>
      <c r="I132" s="152"/>
      <c r="J132" s="152"/>
      <c r="K132" s="152"/>
      <c r="L132" s="152"/>
      <c r="M132" s="152"/>
      <c r="N132" s="152"/>
    </row>
    <row r="133" spans="2:16" x14ac:dyDescent="0.25">
      <c r="B133" s="322" t="str">
        <f>+APORTE!C45</f>
        <v>Maricela Campos</v>
      </c>
      <c r="C133" s="152"/>
      <c r="D133" s="152"/>
      <c r="E133" s="152"/>
      <c r="F133" s="152"/>
      <c r="G133" s="152"/>
      <c r="H133" s="152"/>
      <c r="I133" s="152"/>
      <c r="J133" s="152"/>
      <c r="K133" s="152"/>
      <c r="L133" s="152"/>
      <c r="M133" s="152"/>
      <c r="N133" s="152"/>
    </row>
    <row r="134" spans="2:16" x14ac:dyDescent="0.25">
      <c r="B134" s="322" t="str">
        <f>+APORTE!C46</f>
        <v>Andrea Diaz</v>
      </c>
      <c r="C134" s="152"/>
      <c r="D134" s="152"/>
      <c r="E134" s="152"/>
      <c r="F134" s="152"/>
      <c r="G134" s="152"/>
      <c r="H134" s="152"/>
      <c r="I134" s="152"/>
      <c r="J134" s="152"/>
      <c r="K134" s="152"/>
      <c r="L134" s="152"/>
      <c r="M134" s="152"/>
      <c r="N134" s="152"/>
    </row>
    <row r="135" spans="2:16" x14ac:dyDescent="0.25">
      <c r="B135" s="323" t="s">
        <v>217</v>
      </c>
      <c r="C135" s="324">
        <f>SUM(C136:C138)</f>
        <v>2000</v>
      </c>
      <c r="D135" s="324">
        <f t="shared" ref="D135:N135" si="39">SUM(D136:D138)</f>
        <v>0</v>
      </c>
      <c r="E135" s="324">
        <f t="shared" si="39"/>
        <v>0</v>
      </c>
      <c r="F135" s="324">
        <f t="shared" si="39"/>
        <v>0</v>
      </c>
      <c r="G135" s="324">
        <f t="shared" si="39"/>
        <v>0</v>
      </c>
      <c r="H135" s="324">
        <f t="shared" si="39"/>
        <v>0</v>
      </c>
      <c r="I135" s="324">
        <f t="shared" si="39"/>
        <v>0</v>
      </c>
      <c r="J135" s="324">
        <f t="shared" si="39"/>
        <v>0</v>
      </c>
      <c r="K135" s="324">
        <f t="shared" si="39"/>
        <v>0</v>
      </c>
      <c r="L135" s="324">
        <f t="shared" si="39"/>
        <v>0</v>
      </c>
      <c r="M135" s="324">
        <f t="shared" si="39"/>
        <v>0</v>
      </c>
      <c r="N135" s="324">
        <f t="shared" si="39"/>
        <v>0</v>
      </c>
      <c r="P135" s="324">
        <f>SUM(C135:N135)</f>
        <v>2000</v>
      </c>
    </row>
    <row r="136" spans="2:16" x14ac:dyDescent="0.25">
      <c r="B136" s="322" t="str">
        <f>+APORTE!C47</f>
        <v xml:space="preserve">Christian Torres </v>
      </c>
      <c r="C136" s="152">
        <v>1000</v>
      </c>
      <c r="D136" s="172"/>
      <c r="E136" s="172"/>
      <c r="F136" s="172"/>
      <c r="G136" s="172"/>
      <c r="H136" s="172"/>
      <c r="I136" s="172"/>
      <c r="J136" s="172"/>
      <c r="K136" s="152"/>
      <c r="L136" s="152"/>
      <c r="M136" s="152"/>
      <c r="N136" s="152"/>
    </row>
    <row r="137" spans="2:16" x14ac:dyDescent="0.25">
      <c r="B137" s="322" t="str">
        <f>+APORTE!C48</f>
        <v>Luis Espinoza</v>
      </c>
      <c r="C137" s="152">
        <v>1000</v>
      </c>
      <c r="D137" s="152"/>
      <c r="E137" s="152"/>
      <c r="F137" s="152"/>
      <c r="G137" s="152"/>
      <c r="H137" s="152"/>
      <c r="I137" s="152"/>
      <c r="J137" s="152"/>
      <c r="K137" s="152"/>
      <c r="L137" s="152"/>
      <c r="M137" s="152"/>
      <c r="N137" s="152"/>
    </row>
    <row r="138" spans="2:16" x14ac:dyDescent="0.25">
      <c r="B138" s="322" t="str">
        <f>+APORTE!C49</f>
        <v>Rosa vargas</v>
      </c>
      <c r="C138" s="152"/>
      <c r="D138" s="152"/>
      <c r="E138" s="152"/>
      <c r="F138" s="152"/>
      <c r="G138" s="152"/>
      <c r="H138" s="152"/>
      <c r="I138" s="152"/>
      <c r="J138" s="152"/>
      <c r="K138" s="152"/>
      <c r="L138" s="152"/>
      <c r="M138" s="152"/>
      <c r="N138" s="152"/>
    </row>
    <row r="139" spans="2:16" x14ac:dyDescent="0.25">
      <c r="B139" s="323" t="s">
        <v>218</v>
      </c>
      <c r="C139" s="324">
        <f>SUM(C140:C142)</f>
        <v>1000</v>
      </c>
      <c r="D139" s="324">
        <f t="shared" ref="D139:N139" si="40">SUM(D140:D142)</f>
        <v>1000</v>
      </c>
      <c r="E139" s="324">
        <f t="shared" si="40"/>
        <v>1000</v>
      </c>
      <c r="F139" s="324">
        <f t="shared" si="40"/>
        <v>1000</v>
      </c>
      <c r="G139" s="324">
        <f t="shared" si="40"/>
        <v>1000</v>
      </c>
      <c r="H139" s="324">
        <f t="shared" si="40"/>
        <v>1000</v>
      </c>
      <c r="I139" s="324">
        <f t="shared" si="40"/>
        <v>1000</v>
      </c>
      <c r="J139" s="324">
        <f t="shared" si="40"/>
        <v>1000</v>
      </c>
      <c r="K139" s="324">
        <f t="shared" si="40"/>
        <v>1000</v>
      </c>
      <c r="L139" s="324">
        <f t="shared" si="40"/>
        <v>1000</v>
      </c>
      <c r="M139" s="324">
        <f t="shared" si="40"/>
        <v>1000</v>
      </c>
      <c r="N139" s="324">
        <f t="shared" si="40"/>
        <v>1000</v>
      </c>
      <c r="P139" s="324">
        <f>SUM(C139:N139)</f>
        <v>12000</v>
      </c>
    </row>
    <row r="140" spans="2:16" x14ac:dyDescent="0.25">
      <c r="B140" s="322" t="str">
        <f>+APORTE!C50</f>
        <v>Richard Tolosa</v>
      </c>
      <c r="C140" s="152"/>
      <c r="D140" s="152"/>
      <c r="E140" s="152"/>
      <c r="F140" s="152"/>
      <c r="G140" s="152"/>
      <c r="H140" s="152"/>
      <c r="I140" s="152"/>
      <c r="J140" s="152"/>
      <c r="K140" s="152"/>
      <c r="L140" s="152"/>
      <c r="M140" s="152"/>
      <c r="N140" s="152"/>
    </row>
    <row r="141" spans="2:16" x14ac:dyDescent="0.25">
      <c r="B141" s="322" t="str">
        <f>+APORTE!C51</f>
        <v xml:space="preserve">Ingrid Paredes  </v>
      </c>
      <c r="C141" s="152"/>
      <c r="D141" s="152"/>
      <c r="E141" s="152"/>
      <c r="F141" s="152"/>
      <c r="G141" s="152"/>
      <c r="H141" s="152"/>
      <c r="I141" s="152"/>
      <c r="J141" s="152"/>
      <c r="K141" s="152"/>
      <c r="L141" s="152"/>
      <c r="M141" s="152"/>
      <c r="N141" s="152"/>
    </row>
    <row r="142" spans="2:16" x14ac:dyDescent="0.25">
      <c r="B142" s="322" t="str">
        <f>+APORTE!C52</f>
        <v>Carlos Moncada</v>
      </c>
      <c r="C142" s="152">
        <v>1000</v>
      </c>
      <c r="D142" s="152">
        <v>1000</v>
      </c>
      <c r="E142" s="152">
        <v>1000</v>
      </c>
      <c r="F142" s="152">
        <v>1000</v>
      </c>
      <c r="G142" s="152">
        <v>1000</v>
      </c>
      <c r="H142" s="152">
        <v>1000</v>
      </c>
      <c r="I142" s="152">
        <v>1000</v>
      </c>
      <c r="J142" s="152">
        <v>1000</v>
      </c>
      <c r="K142" s="152">
        <v>1000</v>
      </c>
      <c r="L142" s="152">
        <v>1000</v>
      </c>
      <c r="M142" s="152">
        <v>1000</v>
      </c>
      <c r="N142" s="152">
        <v>1000</v>
      </c>
    </row>
    <row r="143" spans="2:16" x14ac:dyDescent="0.25">
      <c r="B143" s="323" t="s">
        <v>141</v>
      </c>
      <c r="C143" s="324">
        <f>SUM(C144:C146)</f>
        <v>3000</v>
      </c>
      <c r="D143" s="324">
        <f t="shared" ref="D143:N143" si="41">SUM(D144:D146)</f>
        <v>3000</v>
      </c>
      <c r="E143" s="324">
        <f t="shared" si="41"/>
        <v>3000</v>
      </c>
      <c r="F143" s="324">
        <f t="shared" si="41"/>
        <v>3000</v>
      </c>
      <c r="G143" s="324">
        <f t="shared" si="41"/>
        <v>3000</v>
      </c>
      <c r="H143" s="324">
        <f t="shared" si="41"/>
        <v>3000</v>
      </c>
      <c r="I143" s="324">
        <f t="shared" si="41"/>
        <v>3000</v>
      </c>
      <c r="J143" s="324">
        <f t="shared" si="41"/>
        <v>3000</v>
      </c>
      <c r="K143" s="324">
        <f t="shared" si="41"/>
        <v>0</v>
      </c>
      <c r="L143" s="324">
        <f t="shared" si="41"/>
        <v>0</v>
      </c>
      <c r="M143" s="324">
        <f t="shared" si="41"/>
        <v>0</v>
      </c>
      <c r="N143" s="324">
        <f t="shared" si="41"/>
        <v>0</v>
      </c>
      <c r="P143" s="324">
        <f>SUM(C143:N143)</f>
        <v>24000</v>
      </c>
    </row>
    <row r="144" spans="2:16" x14ac:dyDescent="0.25">
      <c r="B144" s="322" t="str">
        <f>+APORTE!C53</f>
        <v>Felipe Salazar</v>
      </c>
      <c r="C144" s="152">
        <v>1000</v>
      </c>
      <c r="D144" s="152">
        <v>1000</v>
      </c>
      <c r="E144" s="152">
        <v>1000</v>
      </c>
      <c r="F144" s="152">
        <v>1000</v>
      </c>
      <c r="G144" s="152">
        <v>1000</v>
      </c>
      <c r="H144" s="152">
        <v>1000</v>
      </c>
      <c r="I144" s="152">
        <v>1000</v>
      </c>
      <c r="J144" s="152">
        <v>1000</v>
      </c>
      <c r="K144" s="152"/>
      <c r="L144" s="152"/>
      <c r="M144" s="152"/>
      <c r="N144" s="152"/>
    </row>
    <row r="145" spans="2:16" x14ac:dyDescent="0.25">
      <c r="B145" s="322" t="str">
        <f>+APORTE!C54</f>
        <v>Alejandra becerra</v>
      </c>
      <c r="C145" s="152">
        <v>1000</v>
      </c>
      <c r="D145" s="152">
        <v>1000</v>
      </c>
      <c r="E145" s="152">
        <v>1000</v>
      </c>
      <c r="F145" s="152">
        <v>1000</v>
      </c>
      <c r="G145" s="152">
        <v>1000</v>
      </c>
      <c r="H145" s="152">
        <v>1000</v>
      </c>
      <c r="I145" s="152">
        <v>1000</v>
      </c>
      <c r="J145" s="152">
        <v>1000</v>
      </c>
      <c r="K145" s="152"/>
      <c r="L145" s="152"/>
      <c r="M145" s="152"/>
      <c r="N145" s="152"/>
    </row>
    <row r="146" spans="2:16" x14ac:dyDescent="0.25">
      <c r="B146" s="322" t="str">
        <f>+APORTE!C55</f>
        <v xml:space="preserve">Cristian Reyes </v>
      </c>
      <c r="C146" s="152">
        <v>1000</v>
      </c>
      <c r="D146" s="152">
        <v>1000</v>
      </c>
      <c r="E146" s="152">
        <v>1000</v>
      </c>
      <c r="F146" s="152">
        <v>1000</v>
      </c>
      <c r="G146" s="152">
        <v>1000</v>
      </c>
      <c r="H146" s="152">
        <v>1000</v>
      </c>
      <c r="I146" s="152">
        <v>1000</v>
      </c>
      <c r="J146" s="152">
        <v>1000</v>
      </c>
      <c r="K146" s="152"/>
      <c r="L146" s="152"/>
      <c r="M146" s="152"/>
      <c r="N146" s="152"/>
    </row>
    <row r="147" spans="2:16" x14ac:dyDescent="0.25">
      <c r="B147" s="323" t="s">
        <v>219</v>
      </c>
      <c r="C147" s="324">
        <f>SUM(C148:C150)</f>
        <v>0</v>
      </c>
      <c r="D147" s="324">
        <f t="shared" ref="D147:N147" si="42">SUM(D148:D150)</f>
        <v>0</v>
      </c>
      <c r="E147" s="324">
        <f t="shared" si="42"/>
        <v>0</v>
      </c>
      <c r="F147" s="324">
        <f t="shared" si="42"/>
        <v>0</v>
      </c>
      <c r="G147" s="324">
        <f t="shared" si="42"/>
        <v>0</v>
      </c>
      <c r="H147" s="324">
        <f t="shared" si="42"/>
        <v>0</v>
      </c>
      <c r="I147" s="324">
        <f t="shared" si="42"/>
        <v>0</v>
      </c>
      <c r="J147" s="324">
        <f t="shared" si="42"/>
        <v>0</v>
      </c>
      <c r="K147" s="324">
        <f t="shared" si="42"/>
        <v>0</v>
      </c>
      <c r="L147" s="324">
        <f t="shared" si="42"/>
        <v>0</v>
      </c>
      <c r="M147" s="324">
        <f t="shared" si="42"/>
        <v>0</v>
      </c>
      <c r="N147" s="324">
        <f t="shared" si="42"/>
        <v>0</v>
      </c>
      <c r="P147" s="324">
        <f>SUM(C147:N147)</f>
        <v>0</v>
      </c>
    </row>
    <row r="148" spans="2:16" x14ac:dyDescent="0.25">
      <c r="B148" s="322" t="str">
        <f>+APORTE!C56</f>
        <v>Claudia Villagran</v>
      </c>
      <c r="C148" s="152"/>
      <c r="D148" s="152"/>
      <c r="E148" s="152"/>
      <c r="F148" s="152"/>
      <c r="G148" s="152"/>
      <c r="H148" s="152"/>
      <c r="I148" s="152"/>
      <c r="J148" s="152"/>
      <c r="K148" s="152"/>
      <c r="L148" s="152"/>
      <c r="M148" s="152"/>
      <c r="N148" s="152"/>
    </row>
    <row r="149" spans="2:16" x14ac:dyDescent="0.25">
      <c r="B149" s="322" t="str">
        <f>+APORTE!C58</f>
        <v>Alejandra Diaz</v>
      </c>
      <c r="C149" s="152"/>
      <c r="D149" s="152"/>
      <c r="E149" s="152"/>
      <c r="F149" s="152"/>
      <c r="G149" s="152"/>
      <c r="H149" s="152"/>
      <c r="I149" s="152"/>
      <c r="J149" s="152"/>
      <c r="K149" s="152"/>
      <c r="L149" s="152"/>
      <c r="M149" s="152"/>
      <c r="N149" s="152"/>
    </row>
    <row r="150" spans="2:16" x14ac:dyDescent="0.25">
      <c r="B150" s="322" t="str">
        <f>+APORTE!C57</f>
        <v>Carolina Saldivia</v>
      </c>
    </row>
  </sheetData>
  <mergeCells count="4">
    <mergeCell ref="C1:D1"/>
    <mergeCell ref="G1:H1"/>
    <mergeCell ref="K1:L1"/>
    <mergeCell ref="S1:T1"/>
  </mergeCells>
  <phoneticPr fontId="22" type="noConversion"/>
  <conditionalFormatting sqref="C77:N77">
    <cfRule type="cellIs" dxfId="168" priority="3" operator="lessThan">
      <formula>0</formula>
    </cfRule>
    <cfRule type="cellIs" dxfId="167" priority="80" operator="greaterThan">
      <formula>0</formula>
    </cfRule>
  </conditionalFormatting>
  <conditionalFormatting sqref="C108:D108">
    <cfRule type="cellIs" dxfId="166" priority="79" operator="equal">
      <formula>"ok"</formula>
    </cfRule>
  </conditionalFormatting>
  <conditionalFormatting sqref="C125:N125 C119:N121">
    <cfRule type="cellIs" dxfId="165" priority="63" operator="equal">
      <formula>1000</formula>
    </cfRule>
  </conditionalFormatting>
  <conditionalFormatting sqref="C134:N134">
    <cfRule type="cellIs" dxfId="164" priority="58" operator="equal">
      <formula>1000</formula>
    </cfRule>
  </conditionalFormatting>
  <conditionalFormatting sqref="C109:D109">
    <cfRule type="cellIs" dxfId="163" priority="51" operator="equal">
      <formula>"ok"</formula>
    </cfRule>
  </conditionalFormatting>
  <conditionalFormatting sqref="C110:D110 C111:C113">
    <cfRule type="cellIs" dxfId="162" priority="50" operator="equal">
      <formula>"ok"</formula>
    </cfRule>
  </conditionalFormatting>
  <conditionalFormatting sqref="D111">
    <cfRule type="cellIs" dxfId="161" priority="49" operator="equal">
      <formula>"ok"</formula>
    </cfRule>
  </conditionalFormatting>
  <conditionalFormatting sqref="D112">
    <cfRule type="cellIs" dxfId="160" priority="48" operator="equal">
      <formula>"ok"</formula>
    </cfRule>
  </conditionalFormatting>
  <conditionalFormatting sqref="D113">
    <cfRule type="cellIs" dxfId="159" priority="47" operator="equal">
      <formula>"ok"</formula>
    </cfRule>
  </conditionalFormatting>
  <conditionalFormatting sqref="C114:D114">
    <cfRule type="cellIs" dxfId="158" priority="46" operator="equal">
      <formula>"ok"</formula>
    </cfRule>
  </conditionalFormatting>
  <conditionalFormatting sqref="C115:D115">
    <cfRule type="cellIs" dxfId="157" priority="45" operator="equal">
      <formula>"ok"</formula>
    </cfRule>
  </conditionalFormatting>
  <conditionalFormatting sqref="C123:N125">
    <cfRule type="cellIs" dxfId="156" priority="42" operator="equal">
      <formula>1000</formula>
    </cfRule>
  </conditionalFormatting>
  <conditionalFormatting sqref="C131:N134">
    <cfRule type="cellIs" dxfId="155" priority="40" operator="equal">
      <formula>1000</formula>
    </cfRule>
  </conditionalFormatting>
  <conditionalFormatting sqref="C138:I138 K138:N138">
    <cfRule type="cellIs" dxfId="154" priority="39" operator="equal">
      <formula>1000</formula>
    </cfRule>
  </conditionalFormatting>
  <conditionalFormatting sqref="K136:N138 C136:I138 E136:J136">
    <cfRule type="cellIs" dxfId="153" priority="38" operator="equal">
      <formula>1000</formula>
    </cfRule>
  </conditionalFormatting>
  <conditionalFormatting sqref="C142:N142">
    <cfRule type="cellIs" dxfId="152" priority="37" operator="equal">
      <formula>1000</formula>
    </cfRule>
  </conditionalFormatting>
  <conditionalFormatting sqref="C140:N142">
    <cfRule type="cellIs" dxfId="151" priority="36" operator="equal">
      <formula>1000</formula>
    </cfRule>
  </conditionalFormatting>
  <conditionalFormatting sqref="C146:N146">
    <cfRule type="cellIs" dxfId="150" priority="35" operator="equal">
      <formula>1000</formula>
    </cfRule>
  </conditionalFormatting>
  <conditionalFormatting sqref="C144:N146">
    <cfRule type="cellIs" dxfId="149" priority="34" operator="equal">
      <formula>1000</formula>
    </cfRule>
  </conditionalFormatting>
  <conditionalFormatting sqref="E108">
    <cfRule type="cellIs" dxfId="148" priority="31" operator="equal">
      <formula>"ok"</formula>
    </cfRule>
  </conditionalFormatting>
  <conditionalFormatting sqref="E109">
    <cfRule type="cellIs" dxfId="147" priority="28" operator="equal">
      <formula>"ok"</formula>
    </cfRule>
  </conditionalFormatting>
  <conditionalFormatting sqref="E110">
    <cfRule type="cellIs" dxfId="146" priority="27" operator="equal">
      <formula>"ok"</formula>
    </cfRule>
  </conditionalFormatting>
  <conditionalFormatting sqref="E111:E113 F111">
    <cfRule type="cellIs" dxfId="145" priority="26" operator="equal">
      <formula>"ok"</formula>
    </cfRule>
  </conditionalFormatting>
  <conditionalFormatting sqref="E114">
    <cfRule type="cellIs" dxfId="144" priority="23" operator="equal">
      <formula>"ok"</formula>
    </cfRule>
  </conditionalFormatting>
  <conditionalFormatting sqref="E115">
    <cfRule type="cellIs" dxfId="143" priority="22" operator="equal">
      <formula>"ok"</formula>
    </cfRule>
  </conditionalFormatting>
  <conditionalFormatting sqref="F108:N108">
    <cfRule type="cellIs" dxfId="142" priority="21" operator="equal">
      <formula>"ok"</formula>
    </cfRule>
  </conditionalFormatting>
  <conditionalFormatting sqref="F109:N109 F110">
    <cfRule type="cellIs" dxfId="141" priority="18" operator="equal">
      <formula>"ok"</formula>
    </cfRule>
  </conditionalFormatting>
  <conditionalFormatting sqref="G110:N110">
    <cfRule type="cellIs" dxfId="140" priority="17" operator="equal">
      <formula>"ok"</formula>
    </cfRule>
  </conditionalFormatting>
  <conditionalFormatting sqref="G111:N111">
    <cfRule type="cellIs" dxfId="139" priority="16" operator="equal">
      <formula>"ok"</formula>
    </cfRule>
  </conditionalFormatting>
  <conditionalFormatting sqref="F112:N112">
    <cfRule type="cellIs" dxfId="138" priority="15" operator="equal">
      <formula>"ok"</formula>
    </cfRule>
  </conditionalFormatting>
  <conditionalFormatting sqref="F113:N113">
    <cfRule type="cellIs" dxfId="137" priority="14" operator="equal">
      <formula>"ok"</formula>
    </cfRule>
  </conditionalFormatting>
  <conditionalFormatting sqref="F114:N114">
    <cfRule type="cellIs" dxfId="136" priority="13" operator="equal">
      <formula>"ok"</formula>
    </cfRule>
  </conditionalFormatting>
  <conditionalFormatting sqref="F115:N115">
    <cfRule type="cellIs" dxfId="135" priority="12" operator="equal">
      <formula>"ok"</formula>
    </cfRule>
  </conditionalFormatting>
  <conditionalFormatting sqref="C148:N149">
    <cfRule type="cellIs" dxfId="134" priority="5" operator="equal">
      <formula>1000</formula>
    </cfRule>
  </conditionalFormatting>
  <conditionalFormatting sqref="J136:J138">
    <cfRule type="cellIs" dxfId="133" priority="4" operator="equal">
      <formula>1000</formula>
    </cfRule>
  </conditionalFormatting>
  <conditionalFormatting sqref="C129:N129">
    <cfRule type="cellIs" dxfId="132" priority="2" operator="equal">
      <formula>1000</formula>
    </cfRule>
  </conditionalFormatting>
  <conditionalFormatting sqref="C127:N129">
    <cfRule type="cellIs" dxfId="131" priority="1" operator="equal">
      <formula>1000</formula>
    </cfRule>
  </conditionalFormatting>
  <printOptions horizontalCentered="1" verticalCentered="1"/>
  <pageMargins left="0.23622047244094491" right="0.23622047244094491" top="0.74803149606299213" bottom="0.74803149606299213" header="0.31496062992125984" footer="0.31496062992125984"/>
  <pageSetup scale="71" orientation="landscape" horizontalDpi="300" verticalDpi="300" r:id="rId1"/>
  <rowBreaks count="2" manualBreakCount="2">
    <brk id="35" min="1" max="16" man="1"/>
    <brk id="77" min="1" max="16" man="1"/>
  </rowBreaks>
  <ignoredErrors>
    <ignoredError sqref="C32:N32" formulaRange="1"/>
    <ignoredError sqref="C102:C104" formula="1"/>
    <ignoredError sqref="E54:H54 D54 D60 J44" numberStoredAsText="1"/>
  </ignoredError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A1:O35"/>
  <sheetViews>
    <sheetView showGridLines="0" workbookViewId="0">
      <selection activeCell="O33" sqref="O33"/>
    </sheetView>
  </sheetViews>
  <sheetFormatPr baseColWidth="10" defaultRowHeight="15" x14ac:dyDescent="0.25"/>
  <cols>
    <col min="1" max="1" width="14" style="758" bestFit="1" customWidth="1"/>
    <col min="2" max="2" width="12.85546875" bestFit="1" customWidth="1"/>
    <col min="3" max="3" width="6.5703125" bestFit="1" customWidth="1"/>
    <col min="4" max="4" width="7.42578125" bestFit="1" customWidth="1"/>
    <col min="5" max="5" width="9" bestFit="1" customWidth="1"/>
    <col min="6" max="6" width="6" bestFit="1" customWidth="1"/>
    <col min="7" max="7" width="6.85546875" bestFit="1" customWidth="1"/>
    <col min="8" max="8" width="7.5703125" bestFit="1" customWidth="1"/>
    <col min="9" max="9" width="6.42578125" bestFit="1" customWidth="1"/>
    <col min="10" max="10" width="7" bestFit="1" customWidth="1"/>
    <col min="11" max="11" width="6.28515625" bestFit="1" customWidth="1"/>
    <col min="12" max="12" width="7.140625" bestFit="1" customWidth="1"/>
    <col min="13" max="13" width="6.7109375" bestFit="1" customWidth="1"/>
    <col min="14" max="14" width="9" bestFit="1" customWidth="1"/>
  </cols>
  <sheetData>
    <row r="1" spans="1:15" x14ac:dyDescent="0.25">
      <c r="A1" s="785" t="s">
        <v>399</v>
      </c>
      <c r="B1" s="786" t="s">
        <v>46</v>
      </c>
      <c r="C1" s="786" t="s">
        <v>47</v>
      </c>
      <c r="D1" s="786" t="s">
        <v>48</v>
      </c>
      <c r="E1" s="787"/>
      <c r="F1" s="787"/>
      <c r="G1" s="787"/>
      <c r="H1" s="787"/>
      <c r="I1" s="787"/>
      <c r="J1" s="787"/>
      <c r="K1" s="787"/>
      <c r="L1" s="787"/>
      <c r="M1" s="787"/>
      <c r="N1" s="787"/>
      <c r="O1" s="788"/>
    </row>
    <row r="2" spans="1:15" x14ac:dyDescent="0.25">
      <c r="A2" s="783" t="s">
        <v>55</v>
      </c>
      <c r="B2" s="759">
        <v>17500</v>
      </c>
      <c r="C2" s="759">
        <v>16500</v>
      </c>
      <c r="D2" s="759">
        <v>15500</v>
      </c>
      <c r="E2" s="47"/>
      <c r="F2" s="47"/>
      <c r="G2" s="47"/>
      <c r="H2" s="47"/>
      <c r="I2" s="47"/>
      <c r="J2" s="47"/>
      <c r="K2" s="47"/>
      <c r="L2" s="47"/>
      <c r="M2" s="47"/>
      <c r="N2" s="47"/>
      <c r="O2" s="760"/>
    </row>
    <row r="3" spans="1:15" x14ac:dyDescent="0.25">
      <c r="A3" s="783" t="s">
        <v>489</v>
      </c>
      <c r="B3" s="759">
        <f>+B2/500</f>
        <v>35</v>
      </c>
      <c r="C3" s="759">
        <f>+C2/500</f>
        <v>33</v>
      </c>
      <c r="D3" s="759">
        <f>+D2/500</f>
        <v>31</v>
      </c>
      <c r="E3" s="47"/>
      <c r="F3" s="47"/>
      <c r="G3" s="47"/>
      <c r="H3" s="47"/>
      <c r="I3" s="47"/>
      <c r="J3" s="47"/>
      <c r="K3" s="47"/>
      <c r="L3" s="47"/>
      <c r="M3" s="47"/>
      <c r="N3" s="47"/>
      <c r="O3" s="760"/>
    </row>
    <row r="4" spans="1:15" x14ac:dyDescent="0.25">
      <c r="A4" s="784" t="s">
        <v>488</v>
      </c>
      <c r="B4" s="761">
        <f>+(B3*730)-B2</f>
        <v>8050</v>
      </c>
      <c r="C4" s="761">
        <f>+(C3*730)-C2</f>
        <v>7590</v>
      </c>
      <c r="D4" s="761">
        <f>+(D3*730)-D2</f>
        <v>7130</v>
      </c>
      <c r="E4" s="762"/>
      <c r="F4" s="762"/>
      <c r="G4" s="762"/>
      <c r="H4" s="762"/>
      <c r="I4" s="762"/>
      <c r="J4" s="762"/>
      <c r="K4" s="762"/>
      <c r="L4" s="762"/>
      <c r="M4" s="762"/>
      <c r="N4" s="762"/>
      <c r="O4" s="763">
        <f>SUM(B4:D4)</f>
        <v>22770</v>
      </c>
    </row>
    <row r="6" spans="1:15" x14ac:dyDescent="0.25">
      <c r="A6" s="785" t="s">
        <v>487</v>
      </c>
      <c r="B6" s="786" t="s">
        <v>46</v>
      </c>
      <c r="C6" s="786" t="s">
        <v>47</v>
      </c>
      <c r="D6" s="786" t="s">
        <v>48</v>
      </c>
      <c r="E6" s="786" t="s">
        <v>49</v>
      </c>
      <c r="F6" s="786" t="s">
        <v>50</v>
      </c>
      <c r="G6" s="786" t="s">
        <v>51</v>
      </c>
      <c r="H6" s="786" t="s">
        <v>52</v>
      </c>
      <c r="I6" s="786" t="s">
        <v>53</v>
      </c>
      <c r="J6" s="786" t="s">
        <v>54</v>
      </c>
      <c r="K6" s="786" t="s">
        <v>43</v>
      </c>
      <c r="L6" s="786" t="s">
        <v>44</v>
      </c>
      <c r="M6" s="786" t="s">
        <v>45</v>
      </c>
      <c r="N6" s="789"/>
      <c r="O6" s="788"/>
    </row>
    <row r="7" spans="1:15" x14ac:dyDescent="0.25">
      <c r="A7" s="783" t="s">
        <v>55</v>
      </c>
      <c r="B7" s="759">
        <v>17000</v>
      </c>
      <c r="C7" s="759">
        <v>17000</v>
      </c>
      <c r="D7" s="759">
        <v>17000</v>
      </c>
      <c r="E7" s="759">
        <v>17000</v>
      </c>
      <c r="F7" s="759">
        <v>18000</v>
      </c>
      <c r="G7" s="759">
        <v>17000</v>
      </c>
      <c r="H7" s="759">
        <v>18000</v>
      </c>
      <c r="I7" s="759">
        <v>18000</v>
      </c>
      <c r="J7" s="759">
        <v>17500</v>
      </c>
      <c r="K7" s="759">
        <v>16500</v>
      </c>
      <c r="L7" s="759">
        <v>17500</v>
      </c>
      <c r="M7" s="759">
        <v>17000</v>
      </c>
      <c r="N7" s="759"/>
      <c r="O7" s="760"/>
    </row>
    <row r="8" spans="1:15" x14ac:dyDescent="0.25">
      <c r="A8" s="783" t="s">
        <v>489</v>
      </c>
      <c r="B8" s="759">
        <f t="shared" ref="B8:M8" si="0">+B7/500</f>
        <v>34</v>
      </c>
      <c r="C8" s="759">
        <f t="shared" si="0"/>
        <v>34</v>
      </c>
      <c r="D8" s="759">
        <f t="shared" si="0"/>
        <v>34</v>
      </c>
      <c r="E8" s="759">
        <f t="shared" si="0"/>
        <v>34</v>
      </c>
      <c r="F8" s="759">
        <f t="shared" si="0"/>
        <v>36</v>
      </c>
      <c r="G8" s="759">
        <f t="shared" si="0"/>
        <v>34</v>
      </c>
      <c r="H8" s="759">
        <f t="shared" si="0"/>
        <v>36</v>
      </c>
      <c r="I8" s="759">
        <f t="shared" si="0"/>
        <v>36</v>
      </c>
      <c r="J8" s="759">
        <f t="shared" si="0"/>
        <v>35</v>
      </c>
      <c r="K8" s="759">
        <f t="shared" si="0"/>
        <v>33</v>
      </c>
      <c r="L8" s="759">
        <f t="shared" si="0"/>
        <v>35</v>
      </c>
      <c r="M8" s="759">
        <f t="shared" si="0"/>
        <v>34</v>
      </c>
      <c r="N8" s="759"/>
      <c r="O8" s="764"/>
    </row>
    <row r="9" spans="1:15" x14ac:dyDescent="0.25">
      <c r="A9" s="784" t="s">
        <v>488</v>
      </c>
      <c r="B9" s="761">
        <f>+(B8*700)-B7</f>
        <v>6800</v>
      </c>
      <c r="C9" s="761">
        <f t="shared" ref="C9:M9" si="1">+(C8*700)-C7</f>
        <v>6800</v>
      </c>
      <c r="D9" s="761">
        <f t="shared" si="1"/>
        <v>6800</v>
      </c>
      <c r="E9" s="761">
        <f t="shared" si="1"/>
        <v>6800</v>
      </c>
      <c r="F9" s="761">
        <f t="shared" si="1"/>
        <v>7200</v>
      </c>
      <c r="G9" s="761">
        <f t="shared" si="1"/>
        <v>6800</v>
      </c>
      <c r="H9" s="761">
        <f t="shared" si="1"/>
        <v>7200</v>
      </c>
      <c r="I9" s="761">
        <f t="shared" si="1"/>
        <v>7200</v>
      </c>
      <c r="J9" s="761">
        <f t="shared" si="1"/>
        <v>7000</v>
      </c>
      <c r="K9" s="761">
        <f t="shared" si="1"/>
        <v>6600</v>
      </c>
      <c r="L9" s="761">
        <f t="shared" si="1"/>
        <v>7000</v>
      </c>
      <c r="M9" s="761">
        <f t="shared" si="1"/>
        <v>6800</v>
      </c>
      <c r="N9" s="762"/>
      <c r="O9" s="763">
        <f>SUM(B9:M9)</f>
        <v>83000</v>
      </c>
    </row>
    <row r="11" spans="1:15" s="755" customFormat="1" x14ac:dyDescent="0.25">
      <c r="A11" s="792" t="s">
        <v>60</v>
      </c>
      <c r="B11" s="793"/>
      <c r="C11" s="794"/>
      <c r="D11" s="794"/>
      <c r="E11" s="786">
        <v>44713</v>
      </c>
      <c r="F11" s="786">
        <v>44743</v>
      </c>
      <c r="G11" s="786">
        <v>44774</v>
      </c>
      <c r="H11" s="786">
        <v>44805</v>
      </c>
      <c r="I11" s="786">
        <v>44835</v>
      </c>
      <c r="J11" s="786">
        <v>44866</v>
      </c>
      <c r="K11" s="786">
        <v>44896</v>
      </c>
      <c r="L11" s="786">
        <v>44927</v>
      </c>
      <c r="M11" s="786">
        <v>44958</v>
      </c>
      <c r="N11" s="786">
        <v>44986</v>
      </c>
      <c r="O11" s="795">
        <f>SUM(O12:O14)</f>
        <v>0</v>
      </c>
    </row>
    <row r="12" spans="1:15" s="48" customFormat="1" x14ac:dyDescent="0.25">
      <c r="A12" s="765" t="s">
        <v>145</v>
      </c>
      <c r="B12" s="790"/>
      <c r="C12" s="766"/>
      <c r="D12" s="766"/>
      <c r="E12" s="756">
        <v>1000</v>
      </c>
      <c r="F12" s="756">
        <v>1000</v>
      </c>
      <c r="G12" s="756">
        <v>1000</v>
      </c>
      <c r="H12" s="756">
        <v>1000</v>
      </c>
      <c r="I12" s="756">
        <v>1000</v>
      </c>
      <c r="J12" s="756">
        <v>1000</v>
      </c>
      <c r="K12" s="756">
        <v>1000</v>
      </c>
      <c r="L12" s="756">
        <v>1000</v>
      </c>
      <c r="M12" s="756">
        <v>1000</v>
      </c>
      <c r="N12" s="756">
        <v>1000</v>
      </c>
      <c r="O12" s="767">
        <f>+COUNTIF(C12:N12,0)*1000</f>
        <v>0</v>
      </c>
    </row>
    <row r="13" spans="1:15" s="48" customFormat="1" x14ac:dyDescent="0.25">
      <c r="A13" s="765" t="s">
        <v>146</v>
      </c>
      <c r="B13" s="790"/>
      <c r="C13" s="766"/>
      <c r="D13" s="766"/>
      <c r="E13" s="756">
        <v>1000</v>
      </c>
      <c r="F13" s="756">
        <v>1000</v>
      </c>
      <c r="G13" s="756">
        <v>1000</v>
      </c>
      <c r="H13" s="756">
        <v>1000</v>
      </c>
      <c r="I13" s="756">
        <v>1000</v>
      </c>
      <c r="J13" s="756">
        <v>1000</v>
      </c>
      <c r="K13" s="756">
        <v>1000</v>
      </c>
      <c r="L13" s="756">
        <v>1000</v>
      </c>
      <c r="M13" s="756">
        <v>1000</v>
      </c>
      <c r="N13" s="756">
        <v>1000</v>
      </c>
      <c r="O13" s="767">
        <f>+COUNTIF(C13:N13,0)*1000</f>
        <v>0</v>
      </c>
    </row>
    <row r="14" spans="1:15" s="48" customFormat="1" x14ac:dyDescent="0.25">
      <c r="A14" s="768" t="s">
        <v>147</v>
      </c>
      <c r="B14" s="791"/>
      <c r="C14" s="771"/>
      <c r="D14" s="771"/>
      <c r="E14" s="769">
        <v>1000</v>
      </c>
      <c r="F14" s="769">
        <v>1000</v>
      </c>
      <c r="G14" s="769">
        <v>1000</v>
      </c>
      <c r="H14" s="769">
        <v>1000</v>
      </c>
      <c r="I14" s="769">
        <v>1000</v>
      </c>
      <c r="J14" s="769">
        <v>1000</v>
      </c>
      <c r="K14" s="769">
        <v>1000</v>
      </c>
      <c r="L14" s="769">
        <v>1000</v>
      </c>
      <c r="M14" s="769">
        <v>1000</v>
      </c>
      <c r="N14" s="769">
        <v>1000</v>
      </c>
      <c r="O14" s="770">
        <f>+COUNTIF(C14:N14,0)*1000</f>
        <v>0</v>
      </c>
    </row>
    <row r="15" spans="1:15" x14ac:dyDescent="0.25">
      <c r="A15" s="792" t="s">
        <v>60</v>
      </c>
      <c r="B15" s="793"/>
      <c r="C15" s="786">
        <v>45017</v>
      </c>
      <c r="D15" s="786">
        <v>45047</v>
      </c>
      <c r="E15" s="786">
        <v>45078</v>
      </c>
      <c r="F15" s="786">
        <v>45108</v>
      </c>
      <c r="G15" s="786">
        <v>45139</v>
      </c>
      <c r="H15" s="786">
        <v>45170</v>
      </c>
      <c r="I15" s="786">
        <v>45200</v>
      </c>
      <c r="J15" s="786">
        <v>45231</v>
      </c>
      <c r="K15" s="786">
        <v>45261</v>
      </c>
      <c r="L15" s="786">
        <v>45292</v>
      </c>
      <c r="M15" s="786">
        <v>45323</v>
      </c>
      <c r="N15" s="786">
        <v>45352</v>
      </c>
      <c r="O15" s="795">
        <f>SUM(O16:O18)</f>
        <v>10000</v>
      </c>
    </row>
    <row r="16" spans="1:15" x14ac:dyDescent="0.25">
      <c r="A16" s="765" t="s">
        <v>145</v>
      </c>
      <c r="B16" s="760"/>
      <c r="C16" s="756">
        <v>1000</v>
      </c>
      <c r="D16" s="756">
        <v>1000</v>
      </c>
      <c r="E16" s="757">
        <v>0</v>
      </c>
      <c r="F16" s="757">
        <v>0</v>
      </c>
      <c r="G16" s="757">
        <v>0</v>
      </c>
      <c r="H16" s="757">
        <v>0</v>
      </c>
      <c r="I16" s="757">
        <v>0</v>
      </c>
      <c r="J16" s="757">
        <v>0</v>
      </c>
      <c r="K16" s="757">
        <v>0</v>
      </c>
      <c r="L16" s="757">
        <v>0</v>
      </c>
      <c r="M16" s="757">
        <v>0</v>
      </c>
      <c r="N16" s="757">
        <v>0</v>
      </c>
      <c r="O16" s="796">
        <f>+COUNTIF(C16:N16,0)*1000</f>
        <v>10000</v>
      </c>
    </row>
    <row r="17" spans="1:15" x14ac:dyDescent="0.25">
      <c r="A17" s="765" t="s">
        <v>146</v>
      </c>
      <c r="B17" s="760"/>
      <c r="C17" s="756">
        <v>1000</v>
      </c>
      <c r="D17" s="756">
        <v>1000</v>
      </c>
      <c r="E17" s="756">
        <v>1000</v>
      </c>
      <c r="F17" s="756">
        <v>1000</v>
      </c>
      <c r="G17" s="756">
        <v>1000</v>
      </c>
      <c r="H17" s="756">
        <v>1000</v>
      </c>
      <c r="I17" s="756">
        <v>1000</v>
      </c>
      <c r="J17" s="756">
        <v>1000</v>
      </c>
      <c r="K17" s="756">
        <v>1000</v>
      </c>
      <c r="L17" s="756">
        <v>1000</v>
      </c>
      <c r="M17" s="756">
        <v>1000</v>
      </c>
      <c r="N17" s="756">
        <v>1000</v>
      </c>
      <c r="O17" s="767">
        <f t="shared" ref="O17:O26" si="2">+COUNTIF(C17:N17,0)*1000</f>
        <v>0</v>
      </c>
    </row>
    <row r="18" spans="1:15" x14ac:dyDescent="0.25">
      <c r="A18" s="768" t="s">
        <v>147</v>
      </c>
      <c r="B18" s="772"/>
      <c r="C18" s="769">
        <v>1000</v>
      </c>
      <c r="D18" s="769">
        <v>1000</v>
      </c>
      <c r="E18" s="769">
        <v>1000</v>
      </c>
      <c r="F18" s="769">
        <v>1000</v>
      </c>
      <c r="G18" s="769">
        <v>1000</v>
      </c>
      <c r="H18" s="769">
        <v>1000</v>
      </c>
      <c r="I18" s="769">
        <v>1000</v>
      </c>
      <c r="J18" s="769">
        <v>1000</v>
      </c>
      <c r="K18" s="769">
        <v>1000</v>
      </c>
      <c r="L18" s="769">
        <v>1000</v>
      </c>
      <c r="M18" s="769">
        <v>1000</v>
      </c>
      <c r="N18" s="769">
        <v>1000</v>
      </c>
      <c r="O18" s="770">
        <f t="shared" si="2"/>
        <v>0</v>
      </c>
    </row>
    <row r="19" spans="1:15" x14ac:dyDescent="0.25">
      <c r="A19" s="792" t="s">
        <v>60</v>
      </c>
      <c r="B19" s="793"/>
      <c r="C19" s="786">
        <v>45383</v>
      </c>
      <c r="D19" s="786">
        <v>45413</v>
      </c>
      <c r="E19" s="786">
        <v>45444</v>
      </c>
      <c r="F19" s="786">
        <v>45474</v>
      </c>
      <c r="G19" s="786">
        <v>45505</v>
      </c>
      <c r="H19" s="786">
        <v>45536</v>
      </c>
      <c r="I19" s="786">
        <v>45566</v>
      </c>
      <c r="J19" s="786">
        <v>45597</v>
      </c>
      <c r="K19" s="786">
        <v>45627</v>
      </c>
      <c r="L19" s="786">
        <v>45658</v>
      </c>
      <c r="M19" s="786">
        <v>45689</v>
      </c>
      <c r="N19" s="786">
        <v>45717</v>
      </c>
      <c r="O19" s="795">
        <f>SUM(O20:O22)</f>
        <v>24000</v>
      </c>
    </row>
    <row r="20" spans="1:15" x14ac:dyDescent="0.25">
      <c r="A20" s="765" t="s">
        <v>145</v>
      </c>
      <c r="B20" s="760"/>
      <c r="C20" s="757">
        <v>0</v>
      </c>
      <c r="D20" s="757">
        <v>0</v>
      </c>
      <c r="E20" s="757">
        <v>0</v>
      </c>
      <c r="F20" s="757">
        <v>0</v>
      </c>
      <c r="G20" s="757">
        <v>0</v>
      </c>
      <c r="H20" s="757">
        <v>0</v>
      </c>
      <c r="I20" s="757">
        <v>0</v>
      </c>
      <c r="J20" s="757">
        <v>0</v>
      </c>
      <c r="K20" s="757">
        <v>0</v>
      </c>
      <c r="L20" s="757">
        <v>0</v>
      </c>
      <c r="M20" s="757">
        <v>0</v>
      </c>
      <c r="N20" s="757">
        <v>0</v>
      </c>
      <c r="O20" s="796">
        <f t="shared" si="2"/>
        <v>12000</v>
      </c>
    </row>
    <row r="21" spans="1:15" x14ac:dyDescent="0.25">
      <c r="A21" s="765" t="s">
        <v>146</v>
      </c>
      <c r="B21" s="760"/>
      <c r="C21" s="756">
        <v>1000</v>
      </c>
      <c r="D21" s="756">
        <v>1000</v>
      </c>
      <c r="E21" s="756">
        <v>1000</v>
      </c>
      <c r="F21" s="756">
        <v>1000</v>
      </c>
      <c r="G21" s="756">
        <v>1000</v>
      </c>
      <c r="H21" s="756">
        <v>1000</v>
      </c>
      <c r="I21" s="756">
        <v>0</v>
      </c>
      <c r="J21" s="756">
        <v>0</v>
      </c>
      <c r="K21" s="756">
        <v>0</v>
      </c>
      <c r="L21" s="756">
        <v>0</v>
      </c>
      <c r="M21" s="756">
        <v>0</v>
      </c>
      <c r="N21" s="756">
        <v>0</v>
      </c>
      <c r="O21" s="767">
        <f t="shared" si="2"/>
        <v>6000</v>
      </c>
    </row>
    <row r="22" spans="1:15" x14ac:dyDescent="0.25">
      <c r="A22" s="768" t="s">
        <v>147</v>
      </c>
      <c r="B22" s="772"/>
      <c r="C22" s="769">
        <v>1000</v>
      </c>
      <c r="D22" s="769">
        <v>1000</v>
      </c>
      <c r="E22" s="769">
        <v>1000</v>
      </c>
      <c r="F22" s="769">
        <v>1000</v>
      </c>
      <c r="G22" s="769">
        <v>1000</v>
      </c>
      <c r="H22" s="769">
        <v>1000</v>
      </c>
      <c r="I22" s="769">
        <v>0</v>
      </c>
      <c r="J22" s="769">
        <v>0</v>
      </c>
      <c r="K22" s="769">
        <v>0</v>
      </c>
      <c r="L22" s="769">
        <v>0</v>
      </c>
      <c r="M22" s="769">
        <v>0</v>
      </c>
      <c r="N22" s="769">
        <v>0</v>
      </c>
      <c r="O22" s="770">
        <f t="shared" si="2"/>
        <v>6000</v>
      </c>
    </row>
    <row r="23" spans="1:15" x14ac:dyDescent="0.25">
      <c r="A23" s="792" t="s">
        <v>60</v>
      </c>
      <c r="B23" s="793"/>
      <c r="C23" s="786">
        <v>45748</v>
      </c>
      <c r="D23" s="786">
        <v>45778</v>
      </c>
      <c r="E23" s="786">
        <v>45809</v>
      </c>
      <c r="F23" s="786">
        <f>+E23+31</f>
        <v>45840</v>
      </c>
      <c r="G23" s="786">
        <f t="shared" ref="G23:N23" si="3">+F23+31</f>
        <v>45871</v>
      </c>
      <c r="H23" s="786">
        <f t="shared" si="3"/>
        <v>45902</v>
      </c>
      <c r="I23" s="786">
        <f t="shared" si="3"/>
        <v>45933</v>
      </c>
      <c r="J23" s="786">
        <f t="shared" si="3"/>
        <v>45964</v>
      </c>
      <c r="K23" s="786">
        <f t="shared" si="3"/>
        <v>45995</v>
      </c>
      <c r="L23" s="786">
        <f t="shared" si="3"/>
        <v>46026</v>
      </c>
      <c r="M23" s="786">
        <f t="shared" si="3"/>
        <v>46057</v>
      </c>
      <c r="N23" s="786">
        <f t="shared" si="3"/>
        <v>46088</v>
      </c>
      <c r="O23" s="795">
        <f>SUM(O24:O26)</f>
        <v>9000</v>
      </c>
    </row>
    <row r="24" spans="1:15" x14ac:dyDescent="0.25">
      <c r="A24" s="765" t="s">
        <v>145</v>
      </c>
      <c r="B24" s="760"/>
      <c r="C24" s="757">
        <v>0</v>
      </c>
      <c r="D24" s="757">
        <v>0</v>
      </c>
      <c r="E24" s="757">
        <v>0</v>
      </c>
      <c r="F24" s="47"/>
      <c r="G24" s="47"/>
      <c r="H24" s="47"/>
      <c r="I24" s="47"/>
      <c r="J24" s="47"/>
      <c r="K24" s="47"/>
      <c r="L24" s="47"/>
      <c r="M24" s="47"/>
      <c r="N24" s="47"/>
      <c r="O24" s="796">
        <f t="shared" si="2"/>
        <v>3000</v>
      </c>
    </row>
    <row r="25" spans="1:15" x14ac:dyDescent="0.25">
      <c r="A25" s="765" t="s">
        <v>146</v>
      </c>
      <c r="B25" s="760"/>
      <c r="C25" s="756">
        <v>0</v>
      </c>
      <c r="D25" s="756">
        <v>0</v>
      </c>
      <c r="E25" s="756">
        <v>0</v>
      </c>
      <c r="F25" s="47"/>
      <c r="G25" s="47"/>
      <c r="H25" s="47"/>
      <c r="I25" s="47"/>
      <c r="J25" s="47"/>
      <c r="K25" s="47"/>
      <c r="L25" s="47"/>
      <c r="M25" s="47"/>
      <c r="N25" s="47"/>
      <c r="O25" s="767">
        <f t="shared" si="2"/>
        <v>3000</v>
      </c>
    </row>
    <row r="26" spans="1:15" x14ac:dyDescent="0.25">
      <c r="A26" s="768" t="s">
        <v>147</v>
      </c>
      <c r="B26" s="772"/>
      <c r="C26" s="769">
        <v>0</v>
      </c>
      <c r="D26" s="769">
        <v>0</v>
      </c>
      <c r="E26" s="769">
        <v>0</v>
      </c>
      <c r="F26" s="762"/>
      <c r="G26" s="762"/>
      <c r="H26" s="762"/>
      <c r="I26" s="762"/>
      <c r="J26" s="762"/>
      <c r="K26" s="762"/>
      <c r="L26" s="762"/>
      <c r="M26" s="762"/>
      <c r="N26" s="762"/>
      <c r="O26" s="770">
        <f t="shared" si="2"/>
        <v>3000</v>
      </c>
    </row>
    <row r="27" spans="1:15" x14ac:dyDescent="0.25">
      <c r="A27" s="778"/>
      <c r="B27" s="47"/>
      <c r="C27" s="47"/>
      <c r="D27" s="47"/>
      <c r="E27" s="47"/>
      <c r="F27" s="47"/>
      <c r="G27" s="47"/>
      <c r="H27" s="47"/>
      <c r="I27" s="47"/>
      <c r="J27" s="47"/>
      <c r="K27" s="47"/>
      <c r="L27" s="47"/>
      <c r="M27" s="47"/>
      <c r="N27" s="47"/>
      <c r="O27" s="779"/>
    </row>
    <row r="28" spans="1:15" x14ac:dyDescent="0.25">
      <c r="A28" s="773" t="s">
        <v>490</v>
      </c>
      <c r="B28" s="773"/>
      <c r="C28" s="773"/>
      <c r="D28" s="773"/>
      <c r="E28" s="773"/>
      <c r="F28" s="773"/>
      <c r="G28" s="773"/>
      <c r="H28" s="773"/>
      <c r="I28" s="773"/>
      <c r="J28" s="773"/>
      <c r="K28" s="773"/>
      <c r="L28" s="773"/>
      <c r="M28" s="773"/>
      <c r="N28" s="773"/>
      <c r="O28" s="774">
        <f>+O9</f>
        <v>83000</v>
      </c>
    </row>
    <row r="29" spans="1:15" x14ac:dyDescent="0.25">
      <c r="A29" s="773" t="s">
        <v>491</v>
      </c>
      <c r="B29" s="773"/>
      <c r="C29" s="773"/>
      <c r="D29" s="773"/>
      <c r="E29" s="773"/>
      <c r="F29" s="773"/>
      <c r="G29" s="773"/>
      <c r="H29" s="773"/>
      <c r="I29" s="773"/>
      <c r="J29" s="773"/>
      <c r="K29" s="773"/>
      <c r="L29" s="773"/>
      <c r="M29" s="773"/>
      <c r="N29" s="773"/>
      <c r="O29" s="774">
        <f>+O4</f>
        <v>22770</v>
      </c>
    </row>
    <row r="30" spans="1:15" x14ac:dyDescent="0.25">
      <c r="A30" s="777" t="s">
        <v>493</v>
      </c>
      <c r="B30" s="775"/>
      <c r="C30" s="775"/>
      <c r="D30" s="775"/>
      <c r="E30" s="775"/>
      <c r="F30" s="775"/>
      <c r="G30" s="775"/>
      <c r="H30" s="775"/>
      <c r="I30" s="775"/>
      <c r="J30" s="775"/>
      <c r="K30" s="775"/>
      <c r="L30" s="775"/>
      <c r="M30" s="775"/>
      <c r="N30" s="775"/>
      <c r="O30" s="776">
        <f>+O15</f>
        <v>10000</v>
      </c>
    </row>
    <row r="31" spans="1:15" x14ac:dyDescent="0.25">
      <c r="A31" s="777" t="s">
        <v>492</v>
      </c>
      <c r="B31" s="775"/>
      <c r="C31" s="775"/>
      <c r="D31" s="775"/>
      <c r="E31" s="775"/>
      <c r="F31" s="775"/>
      <c r="G31" s="775"/>
      <c r="H31" s="775"/>
      <c r="I31" s="775"/>
      <c r="J31" s="775"/>
      <c r="K31" s="775"/>
      <c r="L31" s="775"/>
      <c r="M31" s="775"/>
      <c r="N31" s="775"/>
      <c r="O31" s="776">
        <f>+O19</f>
        <v>24000</v>
      </c>
    </row>
    <row r="32" spans="1:15" x14ac:dyDescent="0.25">
      <c r="A32" s="777" t="s">
        <v>492</v>
      </c>
      <c r="B32" s="775"/>
      <c r="C32" s="775"/>
      <c r="D32" s="775"/>
      <c r="E32" s="775"/>
      <c r="F32" s="775"/>
      <c r="G32" s="775"/>
      <c r="H32" s="775"/>
      <c r="I32" s="775"/>
      <c r="J32" s="775"/>
      <c r="K32" s="775"/>
      <c r="L32" s="775"/>
      <c r="M32" s="775"/>
      <c r="N32" s="775"/>
      <c r="O32" s="776">
        <f>+O23</f>
        <v>9000</v>
      </c>
    </row>
    <row r="33" spans="1:15" x14ac:dyDescent="0.25">
      <c r="A33" s="780" t="s">
        <v>494</v>
      </c>
      <c r="B33" s="781"/>
      <c r="C33" s="781"/>
      <c r="D33" s="781"/>
      <c r="E33" s="781"/>
      <c r="F33" s="781"/>
      <c r="G33" s="781"/>
      <c r="H33" s="781"/>
      <c r="I33" s="781"/>
      <c r="J33" s="781"/>
      <c r="K33" s="781"/>
      <c r="L33" s="781"/>
      <c r="M33" s="781"/>
      <c r="N33" s="781"/>
      <c r="O33" s="782">
        <f>SUM(O28:O32)</f>
        <v>148770</v>
      </c>
    </row>
    <row r="34" spans="1:15" x14ac:dyDescent="0.25">
      <c r="A34" s="797"/>
      <c r="B34" s="781"/>
      <c r="C34" s="781"/>
      <c r="D34" s="781"/>
      <c r="E34" s="781"/>
      <c r="F34" s="781"/>
      <c r="G34" s="781"/>
      <c r="H34" s="781"/>
      <c r="I34" s="781"/>
      <c r="J34" s="781"/>
      <c r="K34" s="781"/>
      <c r="L34" s="781"/>
      <c r="M34" s="781"/>
      <c r="N34" s="781"/>
      <c r="O34" s="781"/>
    </row>
    <row r="35" spans="1:15" ht="33.75" x14ac:dyDescent="0.5">
      <c r="A35" s="1123" t="s">
        <v>495</v>
      </c>
      <c r="B35" s="1123"/>
      <c r="C35" s="1123"/>
      <c r="D35" s="1123"/>
      <c r="E35" s="1123"/>
      <c r="F35" s="1123"/>
      <c r="G35" s="1123"/>
      <c r="H35" s="1123"/>
      <c r="I35" s="1123"/>
      <c r="J35" s="1123"/>
      <c r="K35" s="1123"/>
      <c r="L35" s="1123"/>
      <c r="M35" s="1123"/>
      <c r="N35" s="1123"/>
      <c r="O35" s="1123"/>
    </row>
  </sheetData>
  <mergeCells count="1">
    <mergeCell ref="A35:O3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rgb="FF92D050"/>
    <pageSetUpPr fitToPage="1"/>
  </sheetPr>
  <dimension ref="A1:S134"/>
  <sheetViews>
    <sheetView showGridLines="0" workbookViewId="0">
      <pane ySplit="2" topLeftCell="A72" activePane="bottomLeft" state="frozen"/>
      <selection activeCell="L160" sqref="L160:M162"/>
      <selection pane="bottomLeft" sqref="A1:A2"/>
    </sheetView>
  </sheetViews>
  <sheetFormatPr baseColWidth="10" defaultColWidth="11.42578125" defaultRowHeight="15" x14ac:dyDescent="0.25"/>
  <cols>
    <col min="1" max="1" width="17.140625" style="17" bestFit="1" customWidth="1"/>
    <col min="2" max="2" width="13.85546875" style="7" bestFit="1" customWidth="1"/>
    <col min="3" max="3" width="14" style="7" bestFit="1" customWidth="1"/>
    <col min="4" max="4" width="12.42578125" style="7" bestFit="1" customWidth="1"/>
    <col min="5" max="5" width="12.140625" style="7" bestFit="1" customWidth="1"/>
    <col min="6" max="6" width="13.28515625" style="7" bestFit="1" customWidth="1"/>
    <col min="7" max="7" width="11.85546875" style="7" bestFit="1" customWidth="1"/>
    <col min="8" max="9" width="13.42578125" style="7" bestFit="1" customWidth="1"/>
    <col min="10" max="10" width="14.7109375" style="7" bestFit="1" customWidth="1"/>
    <col min="11" max="11" width="4.42578125" style="7" customWidth="1"/>
    <col min="12" max="12" width="24.5703125" style="7" bestFit="1" customWidth="1"/>
    <col min="13" max="13" width="12" style="7" bestFit="1" customWidth="1"/>
    <col min="14" max="14" width="11" style="18" customWidth="1"/>
    <col min="15" max="15" width="12.85546875" style="7" bestFit="1" customWidth="1"/>
    <col min="16" max="16" width="23.28515625" style="7" bestFit="1" customWidth="1"/>
    <col min="17" max="17" width="12" style="7" bestFit="1" customWidth="1"/>
    <col min="18" max="18" width="23.28515625" style="7" bestFit="1" customWidth="1"/>
    <col min="19" max="19" width="12" style="7" bestFit="1" customWidth="1"/>
    <col min="20" max="16384" width="11.42578125" style="7"/>
  </cols>
  <sheetData>
    <row r="1" spans="1:16" s="4" customFormat="1" x14ac:dyDescent="0.25">
      <c r="A1" s="1124" t="s">
        <v>410</v>
      </c>
      <c r="B1" s="234" t="s">
        <v>363</v>
      </c>
      <c r="C1" s="234" t="s">
        <v>105</v>
      </c>
      <c r="D1" s="234" t="s">
        <v>107</v>
      </c>
      <c r="E1" s="234" t="s">
        <v>106</v>
      </c>
      <c r="F1" s="234" t="s">
        <v>108</v>
      </c>
      <c r="G1" s="234" t="s">
        <v>109</v>
      </c>
      <c r="H1" s="234" t="s">
        <v>110</v>
      </c>
      <c r="I1" s="234" t="s">
        <v>111</v>
      </c>
      <c r="J1" s="235" t="s">
        <v>112</v>
      </c>
      <c r="K1" s="1"/>
      <c r="L1" s="2" t="s">
        <v>11</v>
      </c>
      <c r="M1" s="3">
        <f>+M4+M14+M24+M34+M44+M54+M64+M74+M84+M94+M104+M114</f>
        <v>2462576</v>
      </c>
    </row>
    <row r="2" spans="1:16" s="5" customFormat="1" x14ac:dyDescent="0.25">
      <c r="A2" s="1125"/>
      <c r="B2" s="964" t="s">
        <v>291</v>
      </c>
      <c r="C2" s="964" t="s">
        <v>292</v>
      </c>
      <c r="D2" s="964" t="s">
        <v>293</v>
      </c>
      <c r="E2" s="965" t="s">
        <v>342</v>
      </c>
      <c r="F2" s="964" t="s">
        <v>381</v>
      </c>
      <c r="G2" s="964" t="s">
        <v>294</v>
      </c>
      <c r="H2" s="964" t="s">
        <v>295</v>
      </c>
      <c r="I2" s="964" t="s">
        <v>296</v>
      </c>
      <c r="J2" s="965" t="s">
        <v>382</v>
      </c>
      <c r="L2" s="5" t="s">
        <v>28</v>
      </c>
      <c r="M2" s="1" t="s">
        <v>114</v>
      </c>
    </row>
    <row r="3" spans="1:16" s="5" customFormat="1" x14ac:dyDescent="0.25">
      <c r="A3" s="972" t="s">
        <v>625</v>
      </c>
      <c r="B3" s="973">
        <v>1214</v>
      </c>
      <c r="C3" s="974">
        <v>1215</v>
      </c>
      <c r="D3" s="974">
        <v>1216</v>
      </c>
      <c r="E3" s="974">
        <v>1217</v>
      </c>
      <c r="F3" s="974"/>
      <c r="G3" s="974"/>
      <c r="H3" s="974"/>
      <c r="I3" s="974"/>
      <c r="J3" s="975"/>
      <c r="M3" s="1"/>
    </row>
    <row r="4" spans="1:16" x14ac:dyDescent="0.25">
      <c r="A4" s="968">
        <v>45748</v>
      </c>
      <c r="B4" s="969">
        <f>SUM(B5:B11)</f>
        <v>20000</v>
      </c>
      <c r="C4" s="970">
        <f>SUM(C5:C11)</f>
        <v>156367</v>
      </c>
      <c r="D4" s="970">
        <f t="shared" ref="D4:J4" si="0">SUM(D5:D11)</f>
        <v>49400</v>
      </c>
      <c r="E4" s="970">
        <f t="shared" si="0"/>
        <v>35006</v>
      </c>
      <c r="F4" s="970">
        <f t="shared" si="0"/>
        <v>0</v>
      </c>
      <c r="G4" s="970">
        <f t="shared" si="0"/>
        <v>0</v>
      </c>
      <c r="H4" s="970">
        <f t="shared" si="0"/>
        <v>0</v>
      </c>
      <c r="I4" s="970">
        <f t="shared" si="0"/>
        <v>0</v>
      </c>
      <c r="J4" s="971">
        <f t="shared" si="0"/>
        <v>0</v>
      </c>
      <c r="K4" s="5"/>
      <c r="L4" s="57">
        <f>+A4</f>
        <v>45748</v>
      </c>
      <c r="M4" s="58">
        <f>SUM(M5:M12)</f>
        <v>260773</v>
      </c>
      <c r="N4" s="41">
        <f>+IF($M$1=0,"-",+M4/$M$1)</f>
        <v>0.10589439676176492</v>
      </c>
      <c r="O4" s="6"/>
      <c r="P4" s="6"/>
    </row>
    <row r="5" spans="1:16" x14ac:dyDescent="0.25">
      <c r="A5" s="728" t="s">
        <v>7</v>
      </c>
      <c r="B5" s="743">
        <v>20000</v>
      </c>
      <c r="C5" s="743">
        <v>20000</v>
      </c>
      <c r="D5" s="743">
        <v>20000</v>
      </c>
      <c r="E5" s="743">
        <v>20000</v>
      </c>
      <c r="F5" s="369">
        <v>0</v>
      </c>
      <c r="G5" s="369">
        <v>0</v>
      </c>
      <c r="H5" s="369">
        <v>0</v>
      </c>
      <c r="I5" s="185">
        <v>0</v>
      </c>
      <c r="J5" s="186">
        <v>0</v>
      </c>
      <c r="K5" s="8"/>
      <c r="L5" s="76" t="s">
        <v>115</v>
      </c>
      <c r="M5" s="77">
        <f t="shared" ref="M5:M12" si="1">SUM(B5:J5)</f>
        <v>80000</v>
      </c>
      <c r="N5" s="41">
        <f>+IF(M4=0,"-",+M5/M4)</f>
        <v>0.30678022648050218</v>
      </c>
      <c r="O5" s="6"/>
    </row>
    <row r="6" spans="1:16" x14ac:dyDescent="0.25">
      <c r="A6" s="728" t="s">
        <v>61</v>
      </c>
      <c r="B6" s="369">
        <v>0</v>
      </c>
      <c r="C6" s="743">
        <v>38000</v>
      </c>
      <c r="D6" s="743">
        <v>22900</v>
      </c>
      <c r="E6" s="742">
        <v>0</v>
      </c>
      <c r="F6" s="369">
        <v>0</v>
      </c>
      <c r="G6" s="369">
        <v>0</v>
      </c>
      <c r="H6" s="369">
        <v>0</v>
      </c>
      <c r="I6" s="185">
        <v>0</v>
      </c>
      <c r="J6" s="186">
        <v>0</v>
      </c>
      <c r="K6" s="8"/>
      <c r="L6" s="9" t="s">
        <v>116</v>
      </c>
      <c r="M6" s="10">
        <f t="shared" si="1"/>
        <v>60900</v>
      </c>
      <c r="N6" s="41">
        <f>+IF(M4=0,"-",+M6/M4)</f>
        <v>0.2335364474082823</v>
      </c>
      <c r="O6" s="6"/>
    </row>
    <row r="7" spans="1:16" x14ac:dyDescent="0.25">
      <c r="A7" s="728" t="s">
        <v>62</v>
      </c>
      <c r="B7" s="369">
        <v>0</v>
      </c>
      <c r="C7" s="743">
        <v>17900</v>
      </c>
      <c r="D7" s="743">
        <v>5500</v>
      </c>
      <c r="E7" s="369">
        <v>0</v>
      </c>
      <c r="F7" s="369">
        <v>0</v>
      </c>
      <c r="G7" s="369">
        <v>0</v>
      </c>
      <c r="H7" s="369">
        <v>0</v>
      </c>
      <c r="I7" s="185">
        <v>0</v>
      </c>
      <c r="J7" s="186">
        <v>0</v>
      </c>
      <c r="K7" s="8"/>
      <c r="L7" s="9" t="s">
        <v>117</v>
      </c>
      <c r="M7" s="10">
        <f t="shared" si="1"/>
        <v>23400</v>
      </c>
      <c r="N7" s="41">
        <f>+IF(M4=0,"-",+M7/M4)</f>
        <v>8.9733216245546893E-2</v>
      </c>
      <c r="O7" s="6"/>
    </row>
    <row r="8" spans="1:16" x14ac:dyDescent="0.25">
      <c r="A8" s="728" t="s">
        <v>63</v>
      </c>
      <c r="B8" s="369">
        <v>0</v>
      </c>
      <c r="C8" s="743">
        <v>4000</v>
      </c>
      <c r="D8" s="742">
        <v>0</v>
      </c>
      <c r="E8" s="742">
        <v>0</v>
      </c>
      <c r="F8" s="369">
        <v>0</v>
      </c>
      <c r="G8" s="369">
        <v>0</v>
      </c>
      <c r="H8" s="369">
        <v>0</v>
      </c>
      <c r="I8" s="185">
        <v>0</v>
      </c>
      <c r="J8" s="186">
        <v>0</v>
      </c>
      <c r="K8" s="8"/>
      <c r="L8" s="9" t="s">
        <v>118</v>
      </c>
      <c r="M8" s="10">
        <f t="shared" si="1"/>
        <v>4000</v>
      </c>
      <c r="N8" s="41">
        <f>+IF(M4=0,"-",+M8/M4)</f>
        <v>1.533901132402511E-2</v>
      </c>
      <c r="O8" s="6"/>
    </row>
    <row r="9" spans="1:16" x14ac:dyDescent="0.25">
      <c r="A9" s="728" t="s">
        <v>119</v>
      </c>
      <c r="B9" s="369">
        <v>0</v>
      </c>
      <c r="C9" s="743">
        <v>4037</v>
      </c>
      <c r="D9" s="743">
        <v>1000</v>
      </c>
      <c r="E9" s="742">
        <v>0</v>
      </c>
      <c r="F9" s="369">
        <v>0</v>
      </c>
      <c r="G9" s="369">
        <v>0</v>
      </c>
      <c r="H9" s="369">
        <v>0</v>
      </c>
      <c r="I9" s="185">
        <v>0</v>
      </c>
      <c r="J9" s="186">
        <v>0</v>
      </c>
      <c r="K9" s="8"/>
      <c r="L9" s="9" t="s">
        <v>120</v>
      </c>
      <c r="M9" s="10">
        <f t="shared" si="1"/>
        <v>5037</v>
      </c>
      <c r="N9" s="41">
        <f>+IF(M4=0,"-",+M9/M4)</f>
        <v>1.9315650009778619E-2</v>
      </c>
      <c r="O9" s="6"/>
    </row>
    <row r="10" spans="1:16" x14ac:dyDescent="0.25">
      <c r="A10" s="728" t="s">
        <v>65</v>
      </c>
      <c r="B10" s="369">
        <v>0</v>
      </c>
      <c r="C10" s="743">
        <v>600</v>
      </c>
      <c r="D10" s="369">
        <v>0</v>
      </c>
      <c r="E10" s="742">
        <v>0</v>
      </c>
      <c r="F10" s="369">
        <v>0</v>
      </c>
      <c r="G10" s="369">
        <v>0</v>
      </c>
      <c r="H10" s="369">
        <v>0</v>
      </c>
      <c r="I10" s="185">
        <v>0</v>
      </c>
      <c r="J10" s="186">
        <v>0</v>
      </c>
      <c r="K10" s="8"/>
      <c r="L10" s="9" t="s">
        <v>121</v>
      </c>
      <c r="M10" s="10">
        <f t="shared" si="1"/>
        <v>600</v>
      </c>
      <c r="N10" s="41">
        <f>+IF(M4=0,"-",+M10/M4)</f>
        <v>2.3008516986037664E-3</v>
      </c>
      <c r="O10" s="6"/>
    </row>
    <row r="11" spans="1:16" x14ac:dyDescent="0.25">
      <c r="A11" s="728" t="s">
        <v>67</v>
      </c>
      <c r="B11" s="369">
        <v>0</v>
      </c>
      <c r="C11" s="743">
        <v>71830</v>
      </c>
      <c r="D11" s="369">
        <v>0</v>
      </c>
      <c r="E11" s="855">
        <v>15006</v>
      </c>
      <c r="F11" s="369">
        <v>0</v>
      </c>
      <c r="G11" s="369">
        <v>0</v>
      </c>
      <c r="H11" s="369">
        <v>0</v>
      </c>
      <c r="I11" s="185">
        <v>0</v>
      </c>
      <c r="J11" s="186">
        <v>0</v>
      </c>
      <c r="K11" s="8"/>
      <c r="L11" s="9" t="s">
        <v>123</v>
      </c>
      <c r="M11" s="10">
        <f t="shared" si="1"/>
        <v>86836</v>
      </c>
      <c r="N11" s="41">
        <f>+IF(M4=0,"-",+M11/M4)</f>
        <v>0.3329945968332611</v>
      </c>
      <c r="O11" s="6"/>
    </row>
    <row r="12" spans="1:16" x14ac:dyDescent="0.25">
      <c r="A12" s="729" t="s">
        <v>122</v>
      </c>
      <c r="B12" s="187">
        <v>0</v>
      </c>
      <c r="C12" s="187">
        <v>0</v>
      </c>
      <c r="D12" s="187">
        <v>0</v>
      </c>
      <c r="E12" s="187"/>
      <c r="F12" s="187">
        <v>0</v>
      </c>
      <c r="G12" s="187">
        <v>0</v>
      </c>
      <c r="H12" s="187">
        <v>0</v>
      </c>
      <c r="I12" s="187">
        <v>0</v>
      </c>
      <c r="J12" s="188">
        <v>0</v>
      </c>
      <c r="K12" s="8"/>
      <c r="L12" s="11" t="s">
        <v>236</v>
      </c>
      <c r="M12" s="12">
        <f t="shared" si="1"/>
        <v>0</v>
      </c>
      <c r="N12" s="41">
        <f>+IF(M4=0,"-",+M12/M4)</f>
        <v>0</v>
      </c>
      <c r="O12" s="6"/>
    </row>
    <row r="13" spans="1:16" s="5" customFormat="1" x14ac:dyDescent="0.25">
      <c r="A13" s="972" t="s">
        <v>625</v>
      </c>
      <c r="B13" s="973">
        <v>1220</v>
      </c>
      <c r="C13" s="974">
        <v>1221</v>
      </c>
      <c r="D13" s="974">
        <v>1222</v>
      </c>
      <c r="E13" s="974">
        <v>1219</v>
      </c>
      <c r="F13" s="974">
        <v>1223</v>
      </c>
      <c r="G13" s="974">
        <v>1224</v>
      </c>
      <c r="H13" s="974">
        <v>1225</v>
      </c>
      <c r="I13" s="974"/>
      <c r="J13" s="975">
        <v>1226</v>
      </c>
      <c r="M13" s="1"/>
    </row>
    <row r="14" spans="1:16" x14ac:dyDescent="0.25">
      <c r="A14" s="968">
        <f>+A4+33</f>
        <v>45781</v>
      </c>
      <c r="B14" s="969">
        <f t="shared" ref="B14:J14" si="2">SUM(B15:B21)</f>
        <v>60200</v>
      </c>
      <c r="C14" s="970">
        <f t="shared" si="2"/>
        <v>134226</v>
      </c>
      <c r="D14" s="970">
        <f t="shared" si="2"/>
        <v>5000</v>
      </c>
      <c r="E14" s="970">
        <f t="shared" si="2"/>
        <v>177790</v>
      </c>
      <c r="F14" s="970">
        <f t="shared" si="2"/>
        <v>5000</v>
      </c>
      <c r="G14" s="970">
        <f t="shared" si="2"/>
        <v>5000</v>
      </c>
      <c r="H14" s="970">
        <f t="shared" si="2"/>
        <v>5000</v>
      </c>
      <c r="I14" s="970">
        <f t="shared" si="2"/>
        <v>0</v>
      </c>
      <c r="J14" s="971">
        <f t="shared" si="2"/>
        <v>5000</v>
      </c>
      <c r="K14" s="5"/>
      <c r="L14" s="57">
        <f>+A14</f>
        <v>45781</v>
      </c>
      <c r="M14" s="58">
        <f>SUM(M15:M22)</f>
        <v>407216</v>
      </c>
      <c r="N14" s="41">
        <f>+IF($M$1=0,"-",+M14/$M$1)</f>
        <v>0.16536180000129946</v>
      </c>
      <c r="O14" s="6"/>
      <c r="P14" s="6"/>
    </row>
    <row r="15" spans="1:16" x14ac:dyDescent="0.25">
      <c r="A15" s="728" t="s">
        <v>7</v>
      </c>
      <c r="B15" s="742">
        <f>20000</f>
        <v>20000</v>
      </c>
      <c r="C15" s="742">
        <f>5000+20000</f>
        <v>25000</v>
      </c>
      <c r="D15" s="742">
        <v>5000</v>
      </c>
      <c r="E15" s="742">
        <f>5000+20000</f>
        <v>25000</v>
      </c>
      <c r="F15" s="742">
        <v>5000</v>
      </c>
      <c r="G15" s="742">
        <v>5000</v>
      </c>
      <c r="H15" s="742">
        <v>5000</v>
      </c>
      <c r="I15" s="185">
        <v>0</v>
      </c>
      <c r="J15" s="186">
        <v>5000</v>
      </c>
      <c r="K15" s="8"/>
      <c r="L15" s="76" t="s">
        <v>115</v>
      </c>
      <c r="M15" s="77">
        <f t="shared" ref="M15:M22" si="3">SUM(B15:J15)</f>
        <v>95000</v>
      </c>
      <c r="N15" s="41">
        <f>+IF(M14=0,"-",+M15/M14)</f>
        <v>0.23329142273388079</v>
      </c>
      <c r="O15" s="6"/>
      <c r="P15" s="6"/>
    </row>
    <row r="16" spans="1:16" x14ac:dyDescent="0.25">
      <c r="A16" s="728" t="s">
        <v>61</v>
      </c>
      <c r="B16" s="742">
        <f>20900+8000+3800+3000+1500*3</f>
        <v>40200</v>
      </c>
      <c r="C16" s="742">
        <v>43570</v>
      </c>
      <c r="D16" s="742">
        <v>0</v>
      </c>
      <c r="E16" s="742">
        <v>42520</v>
      </c>
      <c r="F16" s="742">
        <v>0</v>
      </c>
      <c r="G16" s="742">
        <v>0</v>
      </c>
      <c r="H16" s="742">
        <v>0</v>
      </c>
      <c r="I16" s="185">
        <v>0</v>
      </c>
      <c r="J16" s="186">
        <v>0</v>
      </c>
      <c r="K16" s="8"/>
      <c r="L16" s="9" t="s">
        <v>116</v>
      </c>
      <c r="M16" s="10">
        <f t="shared" si="3"/>
        <v>126290</v>
      </c>
      <c r="N16" s="41">
        <f>+IF(M14=0,"-",+M16/M14)</f>
        <v>0.31013025028486113</v>
      </c>
      <c r="O16" s="6"/>
      <c r="P16" s="6"/>
    </row>
    <row r="17" spans="1:19" x14ac:dyDescent="0.25">
      <c r="A17" s="728" t="s">
        <v>62</v>
      </c>
      <c r="B17" s="742">
        <v>0</v>
      </c>
      <c r="C17" s="742">
        <v>7780</v>
      </c>
      <c r="D17" s="742">
        <v>0</v>
      </c>
      <c r="E17" s="742">
        <f>32650</f>
        <v>32650</v>
      </c>
      <c r="F17" s="742">
        <v>0</v>
      </c>
      <c r="G17" s="742">
        <v>0</v>
      </c>
      <c r="H17" s="742">
        <v>0</v>
      </c>
      <c r="I17" s="185">
        <v>0</v>
      </c>
      <c r="J17" s="186">
        <v>0</v>
      </c>
      <c r="K17" s="8"/>
      <c r="L17" s="9" t="s">
        <v>117</v>
      </c>
      <c r="M17" s="10">
        <f t="shared" si="3"/>
        <v>40430</v>
      </c>
      <c r="N17" s="41">
        <f>+IF(M14=0,"-",+M17/M14)</f>
        <v>9.9283918117166317E-2</v>
      </c>
      <c r="O17" s="6"/>
      <c r="P17" s="6"/>
    </row>
    <row r="18" spans="1:19" x14ac:dyDescent="0.25">
      <c r="A18" s="728" t="s">
        <v>63</v>
      </c>
      <c r="B18" s="742">
        <v>0</v>
      </c>
      <c r="C18" s="742">
        <v>0</v>
      </c>
      <c r="D18" s="742">
        <v>0</v>
      </c>
      <c r="E18" s="742">
        <v>3000</v>
      </c>
      <c r="F18" s="742">
        <v>0</v>
      </c>
      <c r="G18" s="742">
        <v>0</v>
      </c>
      <c r="H18" s="742">
        <v>0</v>
      </c>
      <c r="I18" s="185">
        <v>0</v>
      </c>
      <c r="J18" s="186">
        <v>0</v>
      </c>
      <c r="K18" s="8"/>
      <c r="L18" s="9" t="s">
        <v>118</v>
      </c>
      <c r="M18" s="10">
        <f t="shared" si="3"/>
        <v>3000</v>
      </c>
      <c r="N18" s="41">
        <f>+IF(M14=0,"-",+M18/M14)</f>
        <v>7.3670975600172882E-3</v>
      </c>
      <c r="O18" s="6"/>
      <c r="P18" s="6"/>
      <c r="R18" s="13"/>
      <c r="S18" s="14"/>
    </row>
    <row r="19" spans="1:19" x14ac:dyDescent="0.25">
      <c r="A19" s="728" t="s">
        <v>119</v>
      </c>
      <c r="B19" s="742">
        <v>0</v>
      </c>
      <c r="C19" s="742">
        <v>6976</v>
      </c>
      <c r="D19" s="742">
        <v>0</v>
      </c>
      <c r="E19" s="742">
        <v>9020</v>
      </c>
      <c r="F19" s="742">
        <v>0</v>
      </c>
      <c r="G19" s="742">
        <v>0</v>
      </c>
      <c r="H19" s="742">
        <v>0</v>
      </c>
      <c r="I19" s="185">
        <v>0</v>
      </c>
      <c r="J19" s="186">
        <v>0</v>
      </c>
      <c r="K19" s="8"/>
      <c r="L19" s="9" t="s">
        <v>120</v>
      </c>
      <c r="M19" s="10">
        <f t="shared" si="3"/>
        <v>15996</v>
      </c>
      <c r="N19" s="41">
        <f>+IF(M14=0,"-",+M19/M14)</f>
        <v>3.9281364190012179E-2</v>
      </c>
      <c r="O19" s="6"/>
      <c r="P19" s="6"/>
      <c r="R19" s="13"/>
      <c r="S19" s="14"/>
    </row>
    <row r="20" spans="1:19" x14ac:dyDescent="0.25">
      <c r="A20" s="728" t="s">
        <v>65</v>
      </c>
      <c r="B20" s="742">
        <v>0</v>
      </c>
      <c r="C20" s="742">
        <v>0</v>
      </c>
      <c r="D20" s="742">
        <v>0</v>
      </c>
      <c r="E20" s="742">
        <v>0</v>
      </c>
      <c r="F20" s="742">
        <v>0</v>
      </c>
      <c r="G20" s="742">
        <v>0</v>
      </c>
      <c r="H20" s="742">
        <v>0</v>
      </c>
      <c r="I20" s="185">
        <v>0</v>
      </c>
      <c r="J20" s="186">
        <v>0</v>
      </c>
      <c r="K20" s="8"/>
      <c r="L20" s="9" t="s">
        <v>121</v>
      </c>
      <c r="M20" s="10">
        <f t="shared" si="3"/>
        <v>0</v>
      </c>
      <c r="N20" s="41">
        <f>+IF(M14=0,"-",+M20/M14)</f>
        <v>0</v>
      </c>
      <c r="O20" s="6"/>
      <c r="P20" s="6"/>
    </row>
    <row r="21" spans="1:19" x14ac:dyDescent="0.25">
      <c r="A21" s="728" t="s">
        <v>67</v>
      </c>
      <c r="B21" s="742">
        <v>0</v>
      </c>
      <c r="C21" s="742">
        <v>50900</v>
      </c>
      <c r="D21" s="822">
        <v>0</v>
      </c>
      <c r="E21" s="742">
        <f>600+65000</f>
        <v>65600</v>
      </c>
      <c r="F21" s="742">
        <v>0</v>
      </c>
      <c r="G21" s="742">
        <v>0</v>
      </c>
      <c r="H21" s="742">
        <v>0</v>
      </c>
      <c r="I21" s="185">
        <v>0</v>
      </c>
      <c r="J21" s="186">
        <v>0</v>
      </c>
      <c r="K21" s="8"/>
      <c r="L21" s="9" t="s">
        <v>123</v>
      </c>
      <c r="M21" s="10">
        <f t="shared" si="3"/>
        <v>116500</v>
      </c>
      <c r="N21" s="41">
        <f>+IF(M14=0,"-",+M21/M14)</f>
        <v>0.28608895524733802</v>
      </c>
      <c r="O21" s="6"/>
      <c r="P21" s="6"/>
    </row>
    <row r="22" spans="1:19" x14ac:dyDescent="0.25">
      <c r="A22" s="729" t="s">
        <v>122</v>
      </c>
      <c r="B22" s="187">
        <v>0</v>
      </c>
      <c r="C22" s="187">
        <f>5000+5000</f>
        <v>10000</v>
      </c>
      <c r="D22" s="187">
        <v>0</v>
      </c>
      <c r="E22" s="187">
        <v>0</v>
      </c>
      <c r="F22" s="187">
        <v>0</v>
      </c>
      <c r="G22" s="187">
        <v>0</v>
      </c>
      <c r="H22" s="187">
        <v>0</v>
      </c>
      <c r="I22" s="187">
        <v>0</v>
      </c>
      <c r="J22" s="188">
        <v>0</v>
      </c>
      <c r="K22" s="8"/>
      <c r="L22" s="11" t="s">
        <v>236</v>
      </c>
      <c r="M22" s="12">
        <f t="shared" si="3"/>
        <v>10000</v>
      </c>
      <c r="N22" s="41">
        <f>+IF(M14=0,"-",+M22/M14)</f>
        <v>2.4556991866724293E-2</v>
      </c>
      <c r="O22" s="6"/>
      <c r="P22" s="6"/>
    </row>
    <row r="23" spans="1:19" s="5" customFormat="1" x14ac:dyDescent="0.25">
      <c r="A23" s="972" t="s">
        <v>625</v>
      </c>
      <c r="B23" s="973">
        <v>1227</v>
      </c>
      <c r="C23" s="974">
        <v>1230</v>
      </c>
      <c r="D23" s="974">
        <v>1231</v>
      </c>
      <c r="E23" s="974">
        <v>1232</v>
      </c>
      <c r="F23" s="974"/>
      <c r="G23" s="974">
        <v>1233</v>
      </c>
      <c r="H23" s="974"/>
      <c r="I23" s="974"/>
      <c r="J23" s="975">
        <v>1234</v>
      </c>
      <c r="M23" s="1"/>
    </row>
    <row r="24" spans="1:19" x14ac:dyDescent="0.25">
      <c r="A24" s="968">
        <f>+A14+33</f>
        <v>45814</v>
      </c>
      <c r="B24" s="969">
        <f t="shared" ref="B24:J24" si="4">SUM(B25:B31)</f>
        <v>130470</v>
      </c>
      <c r="C24" s="970">
        <f t="shared" si="4"/>
        <v>87426</v>
      </c>
      <c r="D24" s="970">
        <f t="shared" si="4"/>
        <v>55580</v>
      </c>
      <c r="E24" s="970">
        <f t="shared" si="4"/>
        <v>25000</v>
      </c>
      <c r="F24" s="970">
        <f t="shared" si="4"/>
        <v>0</v>
      </c>
      <c r="G24" s="970">
        <f t="shared" si="4"/>
        <v>5000</v>
      </c>
      <c r="H24" s="970">
        <f t="shared" si="4"/>
        <v>0</v>
      </c>
      <c r="I24" s="970">
        <f t="shared" si="4"/>
        <v>0</v>
      </c>
      <c r="J24" s="971">
        <f t="shared" si="4"/>
        <v>5000</v>
      </c>
      <c r="K24" s="5"/>
      <c r="L24" s="57">
        <f>+A24</f>
        <v>45814</v>
      </c>
      <c r="M24" s="58">
        <f>SUM(M25:M32)</f>
        <v>313476</v>
      </c>
      <c r="N24" s="41">
        <f>+IF($M$1=0,"-",+M24/$M$1)</f>
        <v>0.1272959697487509</v>
      </c>
      <c r="O24" s="6"/>
      <c r="P24" s="6"/>
    </row>
    <row r="25" spans="1:19" x14ac:dyDescent="0.25">
      <c r="A25" s="728" t="s">
        <v>7</v>
      </c>
      <c r="B25" s="369">
        <v>25000</v>
      </c>
      <c r="C25" s="369">
        <v>25000</v>
      </c>
      <c r="D25" s="369">
        <v>25000</v>
      </c>
      <c r="E25" s="369">
        <v>25000</v>
      </c>
      <c r="F25" s="369">
        <v>0</v>
      </c>
      <c r="G25" s="369">
        <v>5000</v>
      </c>
      <c r="H25" s="369">
        <v>0</v>
      </c>
      <c r="I25" s="185">
        <v>0</v>
      </c>
      <c r="J25" s="186">
        <v>5000</v>
      </c>
      <c r="K25" s="8"/>
      <c r="L25" s="76" t="s">
        <v>115</v>
      </c>
      <c r="M25" s="77">
        <f t="shared" ref="M25:M32" si="5">SUM(B25:J25)</f>
        <v>110000</v>
      </c>
      <c r="N25" s="41">
        <f>+IF(M24=0,"-",+M25/M24)</f>
        <v>0.35090405645089257</v>
      </c>
      <c r="O25" s="15"/>
      <c r="P25" s="6"/>
    </row>
    <row r="26" spans="1:19" x14ac:dyDescent="0.25">
      <c r="A26" s="728" t="s">
        <v>61</v>
      </c>
      <c r="B26" s="369">
        <v>28000</v>
      </c>
      <c r="C26" s="369">
        <v>39370</v>
      </c>
      <c r="D26" s="369">
        <v>12600</v>
      </c>
      <c r="E26" s="369">
        <v>0</v>
      </c>
      <c r="F26" s="369">
        <v>0</v>
      </c>
      <c r="G26" s="369">
        <v>0</v>
      </c>
      <c r="H26" s="369">
        <v>0</v>
      </c>
      <c r="I26" s="185">
        <v>0</v>
      </c>
      <c r="J26" s="186">
        <v>0</v>
      </c>
      <c r="K26" s="8"/>
      <c r="L26" s="9" t="s">
        <v>116</v>
      </c>
      <c r="M26" s="10">
        <f t="shared" si="5"/>
        <v>79970</v>
      </c>
      <c r="N26" s="41">
        <f>+IF(M24=0,"-",+M26/M24)</f>
        <v>0.25510724903979892</v>
      </c>
      <c r="O26" s="6"/>
      <c r="P26" s="6"/>
    </row>
    <row r="27" spans="1:19" x14ac:dyDescent="0.25">
      <c r="A27" s="728" t="s">
        <v>62</v>
      </c>
      <c r="B27" s="369">
        <v>0</v>
      </c>
      <c r="C27" s="369">
        <v>15160</v>
      </c>
      <c r="D27" s="369">
        <v>2990</v>
      </c>
      <c r="E27" s="369">
        <v>0</v>
      </c>
      <c r="F27" s="369">
        <v>0</v>
      </c>
      <c r="G27" s="369">
        <v>0</v>
      </c>
      <c r="H27" s="369">
        <v>0</v>
      </c>
      <c r="I27" s="185">
        <v>0</v>
      </c>
      <c r="J27" s="186">
        <v>0</v>
      </c>
      <c r="K27" s="8"/>
      <c r="L27" s="9" t="s">
        <v>117</v>
      </c>
      <c r="M27" s="10">
        <f t="shared" si="5"/>
        <v>18150</v>
      </c>
      <c r="N27" s="41">
        <f>+IF(M24=0,"-",+M27/M24)</f>
        <v>5.7899169314397272E-2</v>
      </c>
      <c r="O27" s="6"/>
      <c r="P27" s="6"/>
    </row>
    <row r="28" spans="1:19" x14ac:dyDescent="0.25">
      <c r="A28" s="728" t="s">
        <v>63</v>
      </c>
      <c r="B28" s="369">
        <v>3000</v>
      </c>
      <c r="C28" s="369">
        <v>2000</v>
      </c>
      <c r="D28" s="369">
        <v>3000</v>
      </c>
      <c r="E28" s="369">
        <v>0</v>
      </c>
      <c r="F28" s="369">
        <v>0</v>
      </c>
      <c r="G28" s="369">
        <v>0</v>
      </c>
      <c r="H28" s="369">
        <v>0</v>
      </c>
      <c r="I28" s="185">
        <v>0</v>
      </c>
      <c r="J28" s="186">
        <v>0</v>
      </c>
      <c r="K28" s="8"/>
      <c r="L28" s="9" t="s">
        <v>118</v>
      </c>
      <c r="M28" s="10">
        <f t="shared" si="5"/>
        <v>8000</v>
      </c>
      <c r="N28" s="41">
        <f>+IF(M24=0,"-",+M28/M24)</f>
        <v>2.552029501461037E-2</v>
      </c>
      <c r="O28" s="6"/>
      <c r="P28" s="6"/>
    </row>
    <row r="29" spans="1:19" x14ac:dyDescent="0.25">
      <c r="A29" s="728" t="s">
        <v>119</v>
      </c>
      <c r="B29" s="369">
        <v>0</v>
      </c>
      <c r="C29" s="369">
        <v>5296</v>
      </c>
      <c r="D29" s="369">
        <v>3500</v>
      </c>
      <c r="E29" s="369">
        <v>0</v>
      </c>
      <c r="F29" s="369">
        <v>0</v>
      </c>
      <c r="G29" s="369">
        <v>0</v>
      </c>
      <c r="H29" s="369">
        <v>0</v>
      </c>
      <c r="I29" s="185">
        <v>0</v>
      </c>
      <c r="J29" s="186">
        <v>0</v>
      </c>
      <c r="K29" s="8"/>
      <c r="L29" s="9" t="s">
        <v>120</v>
      </c>
      <c r="M29" s="10">
        <f t="shared" si="5"/>
        <v>8796</v>
      </c>
      <c r="N29" s="41">
        <f>+IF(M24=0,"-",+M29/M24)</f>
        <v>2.8059564368564101E-2</v>
      </c>
      <c r="O29" s="6"/>
      <c r="P29" s="6"/>
    </row>
    <row r="30" spans="1:19" x14ac:dyDescent="0.25">
      <c r="A30" s="728" t="s">
        <v>65</v>
      </c>
      <c r="B30" s="369">
        <v>0</v>
      </c>
      <c r="C30" s="369">
        <v>0</v>
      </c>
      <c r="D30" s="369">
        <v>0</v>
      </c>
      <c r="E30" s="369">
        <v>0</v>
      </c>
      <c r="F30" s="369">
        <v>0</v>
      </c>
      <c r="G30" s="369">
        <v>0</v>
      </c>
      <c r="H30" s="369">
        <v>0</v>
      </c>
      <c r="I30" s="185">
        <v>0</v>
      </c>
      <c r="J30" s="186">
        <v>0</v>
      </c>
      <c r="K30" s="8"/>
      <c r="L30" s="9" t="s">
        <v>121</v>
      </c>
      <c r="M30" s="10">
        <f t="shared" si="5"/>
        <v>0</v>
      </c>
      <c r="N30" s="41">
        <f>+IF(M24=0,"-",+M30/M24)</f>
        <v>0</v>
      </c>
      <c r="O30" s="6"/>
      <c r="P30" s="6"/>
    </row>
    <row r="31" spans="1:19" x14ac:dyDescent="0.25">
      <c r="A31" s="728" t="s">
        <v>67</v>
      </c>
      <c r="B31" s="369">
        <v>74470</v>
      </c>
      <c r="C31" s="369">
        <v>600</v>
      </c>
      <c r="D31" s="822">
        <v>8490</v>
      </c>
      <c r="E31" s="369">
        <v>0</v>
      </c>
      <c r="F31" s="369">
        <v>0</v>
      </c>
      <c r="G31" s="369">
        <v>0</v>
      </c>
      <c r="H31" s="369">
        <v>0</v>
      </c>
      <c r="I31" s="185">
        <v>0</v>
      </c>
      <c r="J31" s="186">
        <v>0</v>
      </c>
      <c r="K31" s="8"/>
      <c r="L31" s="9" t="s">
        <v>123</v>
      </c>
      <c r="M31" s="10">
        <f t="shared" si="5"/>
        <v>83560</v>
      </c>
      <c r="N31" s="41">
        <f>+IF(M24=0,"-",+M31/M24)</f>
        <v>0.26655948142760533</v>
      </c>
      <c r="O31" s="6"/>
      <c r="P31" s="6"/>
    </row>
    <row r="32" spans="1:19" x14ac:dyDescent="0.25">
      <c r="A32" s="729" t="s">
        <v>122</v>
      </c>
      <c r="B32" s="187">
        <v>0</v>
      </c>
      <c r="C32" s="187">
        <v>5000</v>
      </c>
      <c r="D32" s="187">
        <v>0</v>
      </c>
      <c r="E32" s="187">
        <v>0</v>
      </c>
      <c r="F32" s="187">
        <v>0</v>
      </c>
      <c r="G32" s="187">
        <v>0</v>
      </c>
      <c r="H32" s="187">
        <v>0</v>
      </c>
      <c r="I32" s="187">
        <v>0</v>
      </c>
      <c r="J32" s="188">
        <v>0</v>
      </c>
      <c r="K32" s="8"/>
      <c r="L32" s="11" t="s">
        <v>236</v>
      </c>
      <c r="M32" s="12">
        <f t="shared" si="5"/>
        <v>5000</v>
      </c>
      <c r="N32" s="41">
        <f>+IF(M24=0,"-",+M32/M24)</f>
        <v>1.5950184384131479E-2</v>
      </c>
      <c r="O32" s="6"/>
      <c r="P32" s="6"/>
    </row>
    <row r="33" spans="1:16" s="5" customFormat="1" x14ac:dyDescent="0.25">
      <c r="A33" s="972" t="s">
        <v>625</v>
      </c>
      <c r="B33" s="973"/>
      <c r="C33" s="974"/>
      <c r="D33" s="974"/>
      <c r="E33" s="974"/>
      <c r="F33" s="974"/>
      <c r="G33" s="974"/>
      <c r="H33" s="974"/>
      <c r="I33" s="974"/>
      <c r="J33" s="975"/>
      <c r="M33" s="1"/>
    </row>
    <row r="34" spans="1:16" x14ac:dyDescent="0.25">
      <c r="A34" s="968">
        <f>+A24+33</f>
        <v>45847</v>
      </c>
      <c r="B34" s="969">
        <f t="shared" ref="B34:J34" si="6">SUM(B35:B41)</f>
        <v>0</v>
      </c>
      <c r="C34" s="970">
        <f t="shared" si="6"/>
        <v>0</v>
      </c>
      <c r="D34" s="970">
        <f t="shared" si="6"/>
        <v>0</v>
      </c>
      <c r="E34" s="970">
        <f t="shared" si="6"/>
        <v>0</v>
      </c>
      <c r="F34" s="970">
        <f t="shared" si="6"/>
        <v>0</v>
      </c>
      <c r="G34" s="970">
        <f t="shared" si="6"/>
        <v>0</v>
      </c>
      <c r="H34" s="970">
        <f t="shared" si="6"/>
        <v>0</v>
      </c>
      <c r="I34" s="970">
        <f t="shared" si="6"/>
        <v>0</v>
      </c>
      <c r="J34" s="971">
        <f t="shared" si="6"/>
        <v>0</v>
      </c>
      <c r="K34" s="5"/>
      <c r="L34" s="57">
        <f>+A34</f>
        <v>45847</v>
      </c>
      <c r="M34" s="58">
        <f>SUM(M35:M42)</f>
        <v>0</v>
      </c>
      <c r="N34" s="41">
        <f>+IF($M$1=0,"-",+M34/$M$1)</f>
        <v>0</v>
      </c>
      <c r="O34" s="6"/>
      <c r="P34" s="6"/>
    </row>
    <row r="35" spans="1:16" x14ac:dyDescent="0.25">
      <c r="A35" s="728" t="s">
        <v>7</v>
      </c>
      <c r="B35" s="369">
        <v>0</v>
      </c>
      <c r="C35" s="369">
        <v>0</v>
      </c>
      <c r="D35" s="369">
        <v>0</v>
      </c>
      <c r="E35" s="369">
        <v>0</v>
      </c>
      <c r="F35" s="369">
        <v>0</v>
      </c>
      <c r="G35" s="369">
        <v>0</v>
      </c>
      <c r="H35" s="369">
        <v>0</v>
      </c>
      <c r="I35" s="185">
        <v>0</v>
      </c>
      <c r="J35" s="186">
        <v>0</v>
      </c>
      <c r="K35" s="8"/>
      <c r="L35" s="76" t="s">
        <v>115</v>
      </c>
      <c r="M35" s="77">
        <f t="shared" ref="M35:M42" si="7">SUM(B35:J35)</f>
        <v>0</v>
      </c>
      <c r="N35" s="41" t="str">
        <f>+IF(M34=0,"-",+M35/M34)</f>
        <v>-</v>
      </c>
      <c r="O35" s="6"/>
      <c r="P35" s="6"/>
    </row>
    <row r="36" spans="1:16" x14ac:dyDescent="0.25">
      <c r="A36" s="728" t="s">
        <v>61</v>
      </c>
      <c r="B36" s="369">
        <v>0</v>
      </c>
      <c r="C36" s="369">
        <v>0</v>
      </c>
      <c r="D36" s="369">
        <v>0</v>
      </c>
      <c r="E36" s="369">
        <v>0</v>
      </c>
      <c r="F36" s="369">
        <v>0</v>
      </c>
      <c r="G36" s="369">
        <v>0</v>
      </c>
      <c r="H36" s="369">
        <v>0</v>
      </c>
      <c r="I36" s="185">
        <v>0</v>
      </c>
      <c r="J36" s="186">
        <v>0</v>
      </c>
      <c r="K36" s="8"/>
      <c r="L36" s="9" t="s">
        <v>116</v>
      </c>
      <c r="M36" s="10">
        <f t="shared" si="7"/>
        <v>0</v>
      </c>
      <c r="N36" s="41" t="str">
        <f>+IF(M34=0,"-",+M36/M34)</f>
        <v>-</v>
      </c>
      <c r="O36" s="6"/>
      <c r="P36" s="6"/>
    </row>
    <row r="37" spans="1:16" x14ac:dyDescent="0.25">
      <c r="A37" s="728" t="s">
        <v>62</v>
      </c>
      <c r="B37" s="369">
        <v>0</v>
      </c>
      <c r="C37" s="369">
        <v>0</v>
      </c>
      <c r="D37" s="369">
        <v>0</v>
      </c>
      <c r="E37" s="369">
        <v>0</v>
      </c>
      <c r="F37" s="369">
        <v>0</v>
      </c>
      <c r="G37" s="369">
        <v>0</v>
      </c>
      <c r="H37" s="369">
        <v>0</v>
      </c>
      <c r="I37" s="185">
        <v>0</v>
      </c>
      <c r="J37" s="186">
        <v>0</v>
      </c>
      <c r="K37" s="8"/>
      <c r="L37" s="9" t="s">
        <v>117</v>
      </c>
      <c r="M37" s="10">
        <f t="shared" si="7"/>
        <v>0</v>
      </c>
      <c r="N37" s="41" t="str">
        <f>+IF(M34=0,"-",+M37/M34)</f>
        <v>-</v>
      </c>
      <c r="O37" s="6"/>
      <c r="P37" s="6"/>
    </row>
    <row r="38" spans="1:16" x14ac:dyDescent="0.25">
      <c r="A38" s="728" t="s">
        <v>63</v>
      </c>
      <c r="B38" s="369">
        <v>0</v>
      </c>
      <c r="C38" s="369">
        <v>0</v>
      </c>
      <c r="D38" s="369">
        <v>0</v>
      </c>
      <c r="E38" s="369">
        <v>0</v>
      </c>
      <c r="F38" s="369">
        <v>0</v>
      </c>
      <c r="G38" s="369">
        <v>0</v>
      </c>
      <c r="H38" s="369">
        <v>0</v>
      </c>
      <c r="I38" s="185">
        <v>0</v>
      </c>
      <c r="J38" s="186">
        <v>0</v>
      </c>
      <c r="K38" s="8"/>
      <c r="L38" s="9" t="s">
        <v>118</v>
      </c>
      <c r="M38" s="10">
        <f t="shared" si="7"/>
        <v>0</v>
      </c>
      <c r="N38" s="41" t="str">
        <f>+IF(M34=0,"-",+M38/M34)</f>
        <v>-</v>
      </c>
      <c r="O38" s="6"/>
      <c r="P38" s="6"/>
    </row>
    <row r="39" spans="1:16" x14ac:dyDescent="0.25">
      <c r="A39" s="728" t="s">
        <v>119</v>
      </c>
      <c r="B39" s="369">
        <v>0</v>
      </c>
      <c r="C39" s="369">
        <v>0</v>
      </c>
      <c r="D39" s="369">
        <v>0</v>
      </c>
      <c r="E39" s="369">
        <v>0</v>
      </c>
      <c r="F39" s="369">
        <v>0</v>
      </c>
      <c r="G39" s="369">
        <v>0</v>
      </c>
      <c r="H39" s="369">
        <v>0</v>
      </c>
      <c r="I39" s="185">
        <v>0</v>
      </c>
      <c r="J39" s="186">
        <v>0</v>
      </c>
      <c r="K39" s="8"/>
      <c r="L39" s="9" t="s">
        <v>120</v>
      </c>
      <c r="M39" s="10">
        <f t="shared" si="7"/>
        <v>0</v>
      </c>
      <c r="N39" s="41" t="str">
        <f>+IF(M34=0,"-",+M39/M34)</f>
        <v>-</v>
      </c>
      <c r="O39" s="6"/>
      <c r="P39" s="6"/>
    </row>
    <row r="40" spans="1:16" x14ac:dyDescent="0.25">
      <c r="A40" s="728" t="s">
        <v>65</v>
      </c>
      <c r="B40" s="369">
        <v>0</v>
      </c>
      <c r="C40" s="369">
        <v>0</v>
      </c>
      <c r="D40" s="369">
        <v>0</v>
      </c>
      <c r="E40" s="369">
        <v>0</v>
      </c>
      <c r="F40" s="369">
        <v>0</v>
      </c>
      <c r="G40" s="369">
        <v>0</v>
      </c>
      <c r="H40" s="369">
        <v>0</v>
      </c>
      <c r="I40" s="185">
        <v>0</v>
      </c>
      <c r="J40" s="186">
        <v>0</v>
      </c>
      <c r="K40" s="8"/>
      <c r="L40" s="9" t="s">
        <v>121</v>
      </c>
      <c r="M40" s="10">
        <f t="shared" si="7"/>
        <v>0</v>
      </c>
      <c r="N40" s="41" t="str">
        <f>+IF(M34=0,"-",+M40/M34)</f>
        <v>-</v>
      </c>
      <c r="O40" s="6"/>
      <c r="P40" s="6"/>
    </row>
    <row r="41" spans="1:16" x14ac:dyDescent="0.25">
      <c r="A41" s="728" t="s">
        <v>67</v>
      </c>
      <c r="B41" s="369">
        <v>0</v>
      </c>
      <c r="C41" s="369">
        <v>0</v>
      </c>
      <c r="D41" s="822">
        <v>0</v>
      </c>
      <c r="E41" s="369">
        <v>0</v>
      </c>
      <c r="F41" s="369">
        <v>0</v>
      </c>
      <c r="G41" s="369">
        <v>0</v>
      </c>
      <c r="H41" s="369">
        <v>0</v>
      </c>
      <c r="I41" s="185">
        <v>0</v>
      </c>
      <c r="J41" s="186">
        <v>0</v>
      </c>
      <c r="K41" s="8"/>
      <c r="L41" s="9" t="s">
        <v>123</v>
      </c>
      <c r="M41" s="10">
        <f t="shared" si="7"/>
        <v>0</v>
      </c>
      <c r="N41" s="41" t="str">
        <f>+IF(M34=0,"-",+M41/M34)</f>
        <v>-</v>
      </c>
      <c r="O41" s="6"/>
      <c r="P41" s="6"/>
    </row>
    <row r="42" spans="1:16" x14ac:dyDescent="0.25">
      <c r="A42" s="729" t="s">
        <v>122</v>
      </c>
      <c r="B42" s="187">
        <v>0</v>
      </c>
      <c r="C42" s="856">
        <v>0</v>
      </c>
      <c r="D42" s="187">
        <v>0</v>
      </c>
      <c r="E42" s="187">
        <v>0</v>
      </c>
      <c r="F42" s="187">
        <v>0</v>
      </c>
      <c r="G42" s="187">
        <v>0</v>
      </c>
      <c r="H42" s="187">
        <v>0</v>
      </c>
      <c r="I42" s="187">
        <v>0</v>
      </c>
      <c r="J42" s="188">
        <v>0</v>
      </c>
      <c r="K42" s="8"/>
      <c r="L42" s="11" t="s">
        <v>236</v>
      </c>
      <c r="M42" s="12">
        <f t="shared" si="7"/>
        <v>0</v>
      </c>
      <c r="N42" s="41" t="str">
        <f>+IF(M34=0,"-",+M42/M34)</f>
        <v>-</v>
      </c>
      <c r="O42" s="6"/>
      <c r="P42" s="6"/>
    </row>
    <row r="43" spans="1:16" s="5" customFormat="1" x14ac:dyDescent="0.25">
      <c r="A43" s="972" t="s">
        <v>625</v>
      </c>
      <c r="B43" s="973">
        <v>1236</v>
      </c>
      <c r="C43" s="974">
        <v>1237</v>
      </c>
      <c r="D43" s="974">
        <v>1238</v>
      </c>
      <c r="E43" s="974">
        <v>1239</v>
      </c>
      <c r="F43" s="974"/>
      <c r="G43" s="974"/>
      <c r="H43" s="974"/>
      <c r="I43" s="974"/>
      <c r="J43" s="975"/>
      <c r="M43" s="1"/>
    </row>
    <row r="44" spans="1:16" x14ac:dyDescent="0.25">
      <c r="A44" s="968">
        <f>+A34+33</f>
        <v>45880</v>
      </c>
      <c r="B44" s="969">
        <f t="shared" ref="B44:J44" si="8">SUM(B45:B51)</f>
        <v>193280</v>
      </c>
      <c r="C44" s="970">
        <f t="shared" si="8"/>
        <v>280569</v>
      </c>
      <c r="D44" s="970">
        <f t="shared" si="8"/>
        <v>100000</v>
      </c>
      <c r="E44" s="970">
        <f t="shared" si="8"/>
        <v>229087</v>
      </c>
      <c r="F44" s="970">
        <f t="shared" si="8"/>
        <v>0</v>
      </c>
      <c r="G44" s="970">
        <f t="shared" si="8"/>
        <v>0</v>
      </c>
      <c r="H44" s="970">
        <f t="shared" si="8"/>
        <v>0</v>
      </c>
      <c r="I44" s="970">
        <f t="shared" si="8"/>
        <v>0</v>
      </c>
      <c r="J44" s="971">
        <f t="shared" si="8"/>
        <v>0</v>
      </c>
      <c r="K44" s="5"/>
      <c r="L44" s="57">
        <f>+A44</f>
        <v>45880</v>
      </c>
      <c r="M44" s="58">
        <f>SUM(M45:M52)</f>
        <v>802936</v>
      </c>
      <c r="N44" s="41">
        <f>+IF($M$1=0,"-",+M44/$M$1)</f>
        <v>0.32605531768359636</v>
      </c>
      <c r="O44" s="6"/>
      <c r="P44" s="6"/>
    </row>
    <row r="45" spans="1:16" x14ac:dyDescent="0.25">
      <c r="A45" s="728" t="s">
        <v>7</v>
      </c>
      <c r="B45" s="369">
        <v>60000</v>
      </c>
      <c r="C45" s="369">
        <v>0</v>
      </c>
      <c r="D45" s="369">
        <v>0</v>
      </c>
      <c r="E45" s="369">
        <v>0</v>
      </c>
      <c r="F45" s="369">
        <v>0</v>
      </c>
      <c r="G45" s="369">
        <v>0</v>
      </c>
      <c r="H45" s="369">
        <v>0</v>
      </c>
      <c r="I45" s="185">
        <v>0</v>
      </c>
      <c r="J45" s="186">
        <v>0</v>
      </c>
      <c r="K45" s="8"/>
      <c r="L45" s="76" t="s">
        <v>115</v>
      </c>
      <c r="M45" s="77">
        <f t="shared" ref="M45:M52" si="9">SUM(B45:J45)</f>
        <v>60000</v>
      </c>
      <c r="N45" s="41">
        <f>+IF(M44=0,"-",+M45/M44)</f>
        <v>7.472575647374137E-2</v>
      </c>
      <c r="O45" s="6"/>
      <c r="P45" s="6"/>
    </row>
    <row r="46" spans="1:16" x14ac:dyDescent="0.25">
      <c r="A46" s="728" t="s">
        <v>61</v>
      </c>
      <c r="B46" s="369">
        <v>0</v>
      </c>
      <c r="C46" s="369">
        <v>0</v>
      </c>
      <c r="D46" s="369">
        <v>0</v>
      </c>
      <c r="E46" s="369">
        <v>0</v>
      </c>
      <c r="F46" s="369">
        <v>0</v>
      </c>
      <c r="G46" s="369">
        <v>0</v>
      </c>
      <c r="H46" s="369">
        <v>0</v>
      </c>
      <c r="I46" s="185">
        <v>0</v>
      </c>
      <c r="J46" s="186">
        <v>0</v>
      </c>
      <c r="K46" s="8"/>
      <c r="L46" s="9" t="s">
        <v>116</v>
      </c>
      <c r="M46" s="10">
        <f t="shared" si="9"/>
        <v>0</v>
      </c>
      <c r="N46" s="41">
        <f>+IF(M44=0,"-",+M46/M44)</f>
        <v>0</v>
      </c>
      <c r="O46" s="6"/>
      <c r="P46" s="6"/>
    </row>
    <row r="47" spans="1:16" x14ac:dyDescent="0.25">
      <c r="A47" s="728" t="s">
        <v>62</v>
      </c>
      <c r="B47" s="369">
        <v>0</v>
      </c>
      <c r="C47" s="369">
        <v>0</v>
      </c>
      <c r="D47" s="369">
        <v>0</v>
      </c>
      <c r="E47" s="369">
        <v>0</v>
      </c>
      <c r="F47" s="369">
        <v>0</v>
      </c>
      <c r="G47" s="369">
        <v>0</v>
      </c>
      <c r="H47" s="369">
        <v>0</v>
      </c>
      <c r="I47" s="185">
        <v>0</v>
      </c>
      <c r="J47" s="186">
        <v>0</v>
      </c>
      <c r="K47" s="8"/>
      <c r="L47" s="9" t="s">
        <v>117</v>
      </c>
      <c r="M47" s="10">
        <f t="shared" si="9"/>
        <v>0</v>
      </c>
      <c r="N47" s="41">
        <f>+IF(M44=0,"-",+M47/M44)</f>
        <v>0</v>
      </c>
      <c r="O47" s="6"/>
      <c r="P47" s="6"/>
    </row>
    <row r="48" spans="1:16" x14ac:dyDescent="0.25">
      <c r="A48" s="728" t="s">
        <v>63</v>
      </c>
      <c r="B48" s="369">
        <v>0</v>
      </c>
      <c r="C48" s="369">
        <v>0</v>
      </c>
      <c r="D48" s="369">
        <v>0</v>
      </c>
      <c r="E48" s="369">
        <v>0</v>
      </c>
      <c r="F48" s="369">
        <v>0</v>
      </c>
      <c r="G48" s="369">
        <v>0</v>
      </c>
      <c r="H48" s="369">
        <v>0</v>
      </c>
      <c r="I48" s="185">
        <v>0</v>
      </c>
      <c r="J48" s="186">
        <v>0</v>
      </c>
      <c r="K48" s="8"/>
      <c r="L48" s="9" t="s">
        <v>118</v>
      </c>
      <c r="M48" s="10">
        <f t="shared" si="9"/>
        <v>0</v>
      </c>
      <c r="N48" s="41">
        <f>+IF(M44=0,"-",+M48/M44)</f>
        <v>0</v>
      </c>
      <c r="O48" s="6"/>
      <c r="P48" s="6"/>
    </row>
    <row r="49" spans="1:16" x14ac:dyDescent="0.25">
      <c r="A49" s="728" t="s">
        <v>119</v>
      </c>
      <c r="B49" s="369">
        <v>0</v>
      </c>
      <c r="C49" s="369">
        <v>0</v>
      </c>
      <c r="D49" s="369">
        <v>0</v>
      </c>
      <c r="E49" s="369">
        <v>0</v>
      </c>
      <c r="F49" s="369">
        <v>0</v>
      </c>
      <c r="G49" s="369">
        <v>0</v>
      </c>
      <c r="H49" s="369">
        <v>0</v>
      </c>
      <c r="I49" s="185">
        <v>0</v>
      </c>
      <c r="J49" s="186">
        <v>0</v>
      </c>
      <c r="K49" s="8"/>
      <c r="L49" s="9" t="s">
        <v>120</v>
      </c>
      <c r="M49" s="10">
        <f t="shared" si="9"/>
        <v>0</v>
      </c>
      <c r="N49" s="41">
        <f>+IF(M44=0,"-",+M49/M44)</f>
        <v>0</v>
      </c>
      <c r="O49" s="6"/>
      <c r="P49" s="6"/>
    </row>
    <row r="50" spans="1:16" x14ac:dyDescent="0.25">
      <c r="A50" s="728" t="s">
        <v>65</v>
      </c>
      <c r="B50" s="369">
        <v>0</v>
      </c>
      <c r="C50" s="369">
        <v>0</v>
      </c>
      <c r="D50" s="369">
        <v>0</v>
      </c>
      <c r="E50" s="369">
        <v>0</v>
      </c>
      <c r="F50" s="369">
        <v>0</v>
      </c>
      <c r="G50" s="369">
        <v>0</v>
      </c>
      <c r="H50" s="369">
        <v>0</v>
      </c>
      <c r="I50" s="185">
        <v>0</v>
      </c>
      <c r="J50" s="186">
        <v>0</v>
      </c>
      <c r="K50" s="8"/>
      <c r="L50" s="9" t="s">
        <v>121</v>
      </c>
      <c r="M50" s="10">
        <f t="shared" si="9"/>
        <v>0</v>
      </c>
      <c r="N50" s="41">
        <f>+IF(M44=0,"-",+M50/M44)</f>
        <v>0</v>
      </c>
      <c r="O50" s="6"/>
      <c r="P50" s="6"/>
    </row>
    <row r="51" spans="1:16" x14ac:dyDescent="0.25">
      <c r="A51" s="728" t="s">
        <v>67</v>
      </c>
      <c r="B51" s="976">
        <v>133280</v>
      </c>
      <c r="C51" s="976">
        <v>280569</v>
      </c>
      <c r="D51" s="976">
        <v>100000</v>
      </c>
      <c r="E51" s="976">
        <v>229087</v>
      </c>
      <c r="F51" s="369">
        <v>0</v>
      </c>
      <c r="G51" s="369">
        <v>0</v>
      </c>
      <c r="H51" s="369">
        <v>0</v>
      </c>
      <c r="I51" s="185">
        <v>0</v>
      </c>
      <c r="J51" s="186">
        <v>0</v>
      </c>
      <c r="K51" s="8"/>
      <c r="L51" s="9" t="s">
        <v>123</v>
      </c>
      <c r="M51" s="10">
        <f t="shared" si="9"/>
        <v>742936</v>
      </c>
      <c r="N51" s="41">
        <f>+IF(M44=0,"-",+M51/M44)</f>
        <v>0.92527424352625864</v>
      </c>
      <c r="O51" s="6"/>
      <c r="P51" s="6"/>
    </row>
    <row r="52" spans="1:16" x14ac:dyDescent="0.25">
      <c r="A52" s="729" t="s">
        <v>122</v>
      </c>
      <c r="B52" s="187">
        <v>0</v>
      </c>
      <c r="C52" s="856">
        <v>0</v>
      </c>
      <c r="D52" s="187">
        <v>0</v>
      </c>
      <c r="E52" s="187">
        <v>0</v>
      </c>
      <c r="F52" s="187">
        <v>0</v>
      </c>
      <c r="G52" s="187">
        <v>0</v>
      </c>
      <c r="H52" s="187">
        <v>0</v>
      </c>
      <c r="I52" s="187">
        <v>0</v>
      </c>
      <c r="J52" s="188">
        <v>0</v>
      </c>
      <c r="K52" s="8"/>
      <c r="L52" s="11" t="s">
        <v>236</v>
      </c>
      <c r="M52" s="12">
        <f t="shared" si="9"/>
        <v>0</v>
      </c>
      <c r="N52" s="41">
        <f>+IF(M44=0,"-",+M52/M44)</f>
        <v>0</v>
      </c>
      <c r="O52" s="6"/>
      <c r="P52" s="6"/>
    </row>
    <row r="53" spans="1:16" s="5" customFormat="1" x14ac:dyDescent="0.25">
      <c r="A53" s="972" t="s">
        <v>625</v>
      </c>
      <c r="B53" s="973">
        <v>1240</v>
      </c>
      <c r="C53" s="974">
        <v>1241</v>
      </c>
      <c r="D53" s="974">
        <v>1242</v>
      </c>
      <c r="E53" s="974">
        <v>1243</v>
      </c>
      <c r="F53" s="974">
        <v>1244</v>
      </c>
      <c r="G53" s="974">
        <v>1245</v>
      </c>
      <c r="H53" s="974">
        <v>1246</v>
      </c>
      <c r="I53" s="974"/>
      <c r="J53" s="975">
        <v>1247</v>
      </c>
      <c r="M53" s="1"/>
    </row>
    <row r="54" spans="1:16" x14ac:dyDescent="0.25">
      <c r="A54" s="968">
        <f>+A44+33</f>
        <v>45913</v>
      </c>
      <c r="B54" s="969">
        <f t="shared" ref="B54:J54" si="10">SUM(B55:B61)</f>
        <v>96073</v>
      </c>
      <c r="C54" s="970">
        <f t="shared" si="10"/>
        <v>131558</v>
      </c>
      <c r="D54" s="970">
        <f t="shared" si="10"/>
        <v>62553</v>
      </c>
      <c r="E54" s="970">
        <f t="shared" si="10"/>
        <v>193546</v>
      </c>
      <c r="F54" s="970">
        <f t="shared" si="10"/>
        <v>43583</v>
      </c>
      <c r="G54" s="970">
        <f t="shared" si="10"/>
        <v>64333</v>
      </c>
      <c r="H54" s="970">
        <f t="shared" si="10"/>
        <v>10000</v>
      </c>
      <c r="I54" s="970">
        <f t="shared" si="10"/>
        <v>0</v>
      </c>
      <c r="J54" s="971">
        <f t="shared" si="10"/>
        <v>46083</v>
      </c>
      <c r="K54" s="5"/>
      <c r="L54" s="57">
        <f>+A54</f>
        <v>45913</v>
      </c>
      <c r="M54" s="58">
        <f>SUM(M55:M62)</f>
        <v>647729</v>
      </c>
      <c r="N54" s="41">
        <f>+IF($M$1=0,"-",+M54/$M$1)</f>
        <v>0.26302903950984657</v>
      </c>
      <c r="O54" s="6"/>
      <c r="P54" s="6"/>
    </row>
    <row r="55" spans="1:16" x14ac:dyDescent="0.25">
      <c r="A55" s="728" t="s">
        <v>7</v>
      </c>
      <c r="B55" s="369">
        <f>SUM(REUNION!F8:F15,REUNION!F17:F19)</f>
        <v>56083</v>
      </c>
      <c r="C55" s="369">
        <f>SUM(REUNION!G8:G19)</f>
        <v>56083</v>
      </c>
      <c r="D55" s="369">
        <f>SUM(REUNION!H8:H19)</f>
        <v>36083</v>
      </c>
      <c r="E55" s="369">
        <f>SUM(REUNION!K8:K19)</f>
        <v>56083</v>
      </c>
      <c r="F55" s="369">
        <f>SUM(REUNION!I8:I19)</f>
        <v>43583</v>
      </c>
      <c r="G55" s="369">
        <f>SUM(REUNION!J8:J19)</f>
        <v>52333</v>
      </c>
      <c r="H55" s="369">
        <f>SUM(REUNION!L8:L19)</f>
        <v>10000</v>
      </c>
      <c r="I55" s="185">
        <v>0</v>
      </c>
      <c r="J55" s="186">
        <f>SUM(REUNION!N8:N19)</f>
        <v>46083</v>
      </c>
      <c r="K55" s="8"/>
      <c r="L55" s="76" t="s">
        <v>115</v>
      </c>
      <c r="M55" s="77">
        <f t="shared" ref="M55:M62" si="11">SUM(B55:J55)</f>
        <v>356331</v>
      </c>
      <c r="N55" s="41">
        <f>+IF(M54=0,"-",+M55/M54)</f>
        <v>0.55012358563535058</v>
      </c>
      <c r="O55" s="6"/>
      <c r="P55" s="6"/>
    </row>
    <row r="56" spans="1:16" x14ac:dyDescent="0.25">
      <c r="A56" s="728" t="s">
        <v>61</v>
      </c>
      <c r="B56" s="369">
        <v>29000</v>
      </c>
      <c r="C56" s="369">
        <v>62000</v>
      </c>
      <c r="D56" s="369">
        <v>0</v>
      </c>
      <c r="E56" s="369">
        <v>0</v>
      </c>
      <c r="F56" s="369">
        <v>0</v>
      </c>
      <c r="G56" s="369">
        <v>7000</v>
      </c>
      <c r="H56" s="369">
        <v>0</v>
      </c>
      <c r="I56" s="185">
        <v>0</v>
      </c>
      <c r="J56" s="186">
        <v>0</v>
      </c>
      <c r="K56" s="8"/>
      <c r="L56" s="9" t="s">
        <v>116</v>
      </c>
      <c r="M56" s="10">
        <f t="shared" si="11"/>
        <v>98000</v>
      </c>
      <c r="N56" s="41">
        <f>+IF(M54=0,"-",+M56/M54)</f>
        <v>0.15129784215312267</v>
      </c>
      <c r="O56" s="6"/>
      <c r="P56" s="6"/>
    </row>
    <row r="57" spans="1:16" x14ac:dyDescent="0.25">
      <c r="A57" s="728" t="s">
        <v>62</v>
      </c>
      <c r="B57" s="369">
        <v>11990</v>
      </c>
      <c r="C57" s="369">
        <v>1200</v>
      </c>
      <c r="D57" s="369">
        <v>0</v>
      </c>
      <c r="E57" s="369">
        <v>129940</v>
      </c>
      <c r="F57" s="369">
        <v>0</v>
      </c>
      <c r="G57" s="369">
        <v>0</v>
      </c>
      <c r="H57" s="369">
        <v>0</v>
      </c>
      <c r="I57" s="185">
        <v>0</v>
      </c>
      <c r="J57" s="186">
        <v>0</v>
      </c>
      <c r="K57" s="8"/>
      <c r="L57" s="9" t="s">
        <v>117</v>
      </c>
      <c r="M57" s="10">
        <f t="shared" si="11"/>
        <v>143130</v>
      </c>
      <c r="N57" s="41">
        <f>+IF(M54=0,"-",+M57/M54)</f>
        <v>0.22097204232016784</v>
      </c>
      <c r="O57" s="6"/>
      <c r="P57" s="6"/>
    </row>
    <row r="58" spans="1:16" x14ac:dyDescent="0.25">
      <c r="A58" s="728" t="s">
        <v>63</v>
      </c>
      <c r="B58" s="369">
        <v>0</v>
      </c>
      <c r="C58" s="369">
        <v>0</v>
      </c>
      <c r="D58" s="369">
        <v>0</v>
      </c>
      <c r="E58" s="369">
        <v>0</v>
      </c>
      <c r="F58" s="369">
        <v>0</v>
      </c>
      <c r="G58" s="369">
        <v>5000</v>
      </c>
      <c r="H58" s="369">
        <v>0</v>
      </c>
      <c r="I58" s="185">
        <v>0</v>
      </c>
      <c r="J58" s="186">
        <v>0</v>
      </c>
      <c r="K58" s="8"/>
      <c r="L58" s="9" t="s">
        <v>118</v>
      </c>
      <c r="M58" s="10">
        <f t="shared" si="11"/>
        <v>5000</v>
      </c>
      <c r="N58" s="41">
        <f>+IF(M54=0,"-",+M58/M54)</f>
        <v>7.7192776608736059E-3</v>
      </c>
      <c r="O58" s="6"/>
      <c r="P58" s="6"/>
    </row>
    <row r="59" spans="1:16" x14ac:dyDescent="0.25">
      <c r="A59" s="728" t="s">
        <v>119</v>
      </c>
      <c r="B59" s="369">
        <v>0</v>
      </c>
      <c r="C59" s="369">
        <v>2275</v>
      </c>
      <c r="D59" s="369">
        <v>0</v>
      </c>
      <c r="E59" s="369">
        <v>6923</v>
      </c>
      <c r="F59" s="369">
        <v>0</v>
      </c>
      <c r="G59" s="369">
        <v>0</v>
      </c>
      <c r="H59" s="369">
        <v>0</v>
      </c>
      <c r="I59" s="185">
        <v>0</v>
      </c>
      <c r="J59" s="186">
        <v>0</v>
      </c>
      <c r="K59" s="8"/>
      <c r="L59" s="9" t="s">
        <v>120</v>
      </c>
      <c r="M59" s="10">
        <f t="shared" si="11"/>
        <v>9198</v>
      </c>
      <c r="N59" s="41">
        <f>+IF(M54=0,"-",+M59/M54)</f>
        <v>1.4200383184943086E-2</v>
      </c>
      <c r="O59" s="6"/>
      <c r="P59" s="6"/>
    </row>
    <row r="60" spans="1:16" x14ac:dyDescent="0.25">
      <c r="A60" s="728" t="s">
        <v>65</v>
      </c>
      <c r="B60" s="369">
        <v>0</v>
      </c>
      <c r="C60" s="369">
        <v>0</v>
      </c>
      <c r="D60" s="872">
        <v>1000</v>
      </c>
      <c r="E60" s="369">
        <v>0</v>
      </c>
      <c r="F60" s="369">
        <v>0</v>
      </c>
      <c r="G60" s="369">
        <v>0</v>
      </c>
      <c r="H60" s="369">
        <v>0</v>
      </c>
      <c r="I60" s="185">
        <v>0</v>
      </c>
      <c r="J60" s="186">
        <v>0</v>
      </c>
      <c r="K60" s="8"/>
      <c r="L60" s="9" t="s">
        <v>121</v>
      </c>
      <c r="M60" s="10">
        <f t="shared" si="11"/>
        <v>1000</v>
      </c>
      <c r="N60" s="41">
        <f>+IF(M54=0,"-",+M60/M54)</f>
        <v>1.5438555321747212E-3</v>
      </c>
      <c r="O60" s="6"/>
      <c r="P60" s="6"/>
    </row>
    <row r="61" spans="1:16" x14ac:dyDescent="0.25">
      <c r="A61" s="728" t="s">
        <v>67</v>
      </c>
      <c r="B61" s="872">
        <v>-1000</v>
      </c>
      <c r="C61" s="369">
        <v>10000</v>
      </c>
      <c r="D61" s="369">
        <f>+D31*3</f>
        <v>25470</v>
      </c>
      <c r="E61" s="369">
        <v>600</v>
      </c>
      <c r="F61" s="369">
        <v>0</v>
      </c>
      <c r="G61" s="369">
        <v>0</v>
      </c>
      <c r="H61" s="369">
        <v>0</v>
      </c>
      <c r="I61" s="185">
        <v>0</v>
      </c>
      <c r="J61" s="186">
        <v>0</v>
      </c>
      <c r="K61" s="8"/>
      <c r="L61" s="9" t="s">
        <v>123</v>
      </c>
      <c r="M61" s="10">
        <f t="shared" si="11"/>
        <v>35070</v>
      </c>
      <c r="N61" s="41">
        <f>+IF(M54=0,"-",+M61/M54)</f>
        <v>5.414301351336747E-2</v>
      </c>
      <c r="O61" s="6"/>
      <c r="P61" s="6"/>
    </row>
    <row r="62" spans="1:16" x14ac:dyDescent="0.25">
      <c r="A62" s="729" t="s">
        <v>122</v>
      </c>
      <c r="B62" s="187">
        <v>0</v>
      </c>
      <c r="C62" s="856">
        <v>0</v>
      </c>
      <c r="D62" s="187">
        <v>0</v>
      </c>
      <c r="E62" s="187">
        <v>0</v>
      </c>
      <c r="F62" s="187">
        <v>0</v>
      </c>
      <c r="G62" s="187">
        <v>0</v>
      </c>
      <c r="H62" s="187">
        <v>0</v>
      </c>
      <c r="I62" s="187">
        <v>0</v>
      </c>
      <c r="J62" s="188">
        <v>0</v>
      </c>
      <c r="K62" s="8"/>
      <c r="L62" s="11" t="s">
        <v>236</v>
      </c>
      <c r="M62" s="12">
        <f t="shared" si="11"/>
        <v>0</v>
      </c>
      <c r="N62" s="41">
        <f>+IF(M54=0,"-",+M62/M54)</f>
        <v>0</v>
      </c>
      <c r="O62" s="6"/>
      <c r="P62" s="6"/>
    </row>
    <row r="63" spans="1:16" s="5" customFormat="1" x14ac:dyDescent="0.25">
      <c r="A63" s="972" t="s">
        <v>625</v>
      </c>
      <c r="B63" s="973"/>
      <c r="C63" s="974"/>
      <c r="D63" s="974"/>
      <c r="E63" s="974"/>
      <c r="F63" s="974"/>
      <c r="G63" s="974"/>
      <c r="H63" s="974"/>
      <c r="I63" s="974"/>
      <c r="J63" s="975"/>
      <c r="M63" s="1"/>
    </row>
    <row r="64" spans="1:16" x14ac:dyDescent="0.25">
      <c r="A64" s="968">
        <f>+A54+33</f>
        <v>45946</v>
      </c>
      <c r="B64" s="969">
        <f t="shared" ref="B64:J64" si="12">SUM(B65:B71)</f>
        <v>0</v>
      </c>
      <c r="C64" s="970">
        <f t="shared" si="12"/>
        <v>0</v>
      </c>
      <c r="D64" s="970">
        <f t="shared" si="12"/>
        <v>0</v>
      </c>
      <c r="E64" s="970">
        <f t="shared" si="12"/>
        <v>0</v>
      </c>
      <c r="F64" s="970">
        <f t="shared" si="12"/>
        <v>0</v>
      </c>
      <c r="G64" s="970">
        <f t="shared" si="12"/>
        <v>0</v>
      </c>
      <c r="H64" s="970">
        <f t="shared" si="12"/>
        <v>0</v>
      </c>
      <c r="I64" s="970">
        <f t="shared" si="12"/>
        <v>0</v>
      </c>
      <c r="J64" s="971">
        <f t="shared" si="12"/>
        <v>0</v>
      </c>
      <c r="K64" s="5"/>
      <c r="L64" s="57">
        <f>+A64</f>
        <v>45946</v>
      </c>
      <c r="M64" s="58">
        <f>SUM(M65:M72)</f>
        <v>0</v>
      </c>
      <c r="N64" s="41">
        <f>+IF($M$1=0,"-",+M64/$M$1)</f>
        <v>0</v>
      </c>
      <c r="O64" s="6"/>
      <c r="P64" s="6"/>
    </row>
    <row r="65" spans="1:16" x14ac:dyDescent="0.25">
      <c r="A65" s="728" t="s">
        <v>7</v>
      </c>
      <c r="B65" s="369">
        <v>0</v>
      </c>
      <c r="C65" s="369">
        <v>0</v>
      </c>
      <c r="D65" s="369">
        <v>0</v>
      </c>
      <c r="E65" s="369">
        <v>0</v>
      </c>
      <c r="F65" s="369">
        <v>0</v>
      </c>
      <c r="G65" s="369">
        <v>0</v>
      </c>
      <c r="H65" s="369">
        <v>0</v>
      </c>
      <c r="I65" s="185">
        <v>0</v>
      </c>
      <c r="J65" s="186">
        <v>0</v>
      </c>
      <c r="K65" s="8"/>
      <c r="L65" s="76" t="s">
        <v>115</v>
      </c>
      <c r="M65" s="77">
        <f t="shared" ref="M65:M72" si="13">SUM(B65:J65)</f>
        <v>0</v>
      </c>
      <c r="N65" s="41" t="str">
        <f>+IF(M64=0,"-",+M65/M64)</f>
        <v>-</v>
      </c>
      <c r="O65" s="6"/>
      <c r="P65" s="6"/>
    </row>
    <row r="66" spans="1:16" x14ac:dyDescent="0.25">
      <c r="A66" s="728" t="s">
        <v>61</v>
      </c>
      <c r="B66" s="369">
        <v>0</v>
      </c>
      <c r="C66" s="369">
        <v>0</v>
      </c>
      <c r="D66" s="369">
        <v>0</v>
      </c>
      <c r="E66" s="369">
        <v>0</v>
      </c>
      <c r="F66" s="369">
        <v>0</v>
      </c>
      <c r="G66" s="369">
        <v>0</v>
      </c>
      <c r="H66" s="369">
        <v>0</v>
      </c>
      <c r="I66" s="185">
        <v>0</v>
      </c>
      <c r="J66" s="186">
        <v>0</v>
      </c>
      <c r="K66" s="8"/>
      <c r="L66" s="9" t="s">
        <v>116</v>
      </c>
      <c r="M66" s="10">
        <f t="shared" si="13"/>
        <v>0</v>
      </c>
      <c r="N66" s="41" t="str">
        <f>+IF(M64=0,"-",+M66/M64)</f>
        <v>-</v>
      </c>
      <c r="O66" s="6"/>
      <c r="P66" s="6"/>
    </row>
    <row r="67" spans="1:16" x14ac:dyDescent="0.25">
      <c r="A67" s="728" t="s">
        <v>62</v>
      </c>
      <c r="B67" s="369">
        <v>0</v>
      </c>
      <c r="C67" s="369">
        <v>0</v>
      </c>
      <c r="D67" s="369">
        <v>0</v>
      </c>
      <c r="E67" s="369">
        <v>0</v>
      </c>
      <c r="F67" s="369">
        <v>0</v>
      </c>
      <c r="G67" s="369">
        <v>0</v>
      </c>
      <c r="H67" s="369">
        <v>0</v>
      </c>
      <c r="I67" s="185">
        <v>0</v>
      </c>
      <c r="J67" s="186">
        <v>0</v>
      </c>
      <c r="K67" s="8"/>
      <c r="L67" s="9" t="s">
        <v>117</v>
      </c>
      <c r="M67" s="10">
        <f t="shared" si="13"/>
        <v>0</v>
      </c>
      <c r="N67" s="41" t="str">
        <f>+IF(M64=0,"-",+M67/M64)</f>
        <v>-</v>
      </c>
      <c r="O67" s="6"/>
      <c r="P67" s="6"/>
    </row>
    <row r="68" spans="1:16" x14ac:dyDescent="0.25">
      <c r="A68" s="728" t="s">
        <v>63</v>
      </c>
      <c r="B68" s="369">
        <v>0</v>
      </c>
      <c r="C68" s="369">
        <v>0</v>
      </c>
      <c r="D68" s="369">
        <v>0</v>
      </c>
      <c r="E68" s="369">
        <v>0</v>
      </c>
      <c r="F68" s="369">
        <v>0</v>
      </c>
      <c r="G68" s="369">
        <v>0</v>
      </c>
      <c r="H68" s="369">
        <v>0</v>
      </c>
      <c r="I68" s="185">
        <v>0</v>
      </c>
      <c r="J68" s="186">
        <v>0</v>
      </c>
      <c r="K68" s="8"/>
      <c r="L68" s="9" t="s">
        <v>118</v>
      </c>
      <c r="M68" s="10">
        <f t="shared" si="13"/>
        <v>0</v>
      </c>
      <c r="N68" s="41" t="str">
        <f>+IF(M64=0,"-",+M68/M64)</f>
        <v>-</v>
      </c>
      <c r="O68" s="6"/>
      <c r="P68" s="6"/>
    </row>
    <row r="69" spans="1:16" x14ac:dyDescent="0.25">
      <c r="A69" s="728" t="s">
        <v>119</v>
      </c>
      <c r="B69" s="369">
        <v>0</v>
      </c>
      <c r="C69" s="369">
        <v>0</v>
      </c>
      <c r="D69" s="369">
        <v>0</v>
      </c>
      <c r="E69" s="369">
        <v>0</v>
      </c>
      <c r="F69" s="369">
        <v>0</v>
      </c>
      <c r="G69" s="369">
        <v>0</v>
      </c>
      <c r="H69" s="369">
        <v>0</v>
      </c>
      <c r="I69" s="185">
        <v>0</v>
      </c>
      <c r="J69" s="186">
        <v>0</v>
      </c>
      <c r="K69" s="8"/>
      <c r="L69" s="9" t="s">
        <v>120</v>
      </c>
      <c r="M69" s="10">
        <f t="shared" si="13"/>
        <v>0</v>
      </c>
      <c r="N69" s="41" t="str">
        <f>+IF(M64=0,"-",+M69/M64)</f>
        <v>-</v>
      </c>
      <c r="O69" s="6"/>
      <c r="P69" s="6"/>
    </row>
    <row r="70" spans="1:16" x14ac:dyDescent="0.25">
      <c r="A70" s="728" t="s">
        <v>65</v>
      </c>
      <c r="B70" s="369">
        <v>0</v>
      </c>
      <c r="C70" s="369">
        <v>0</v>
      </c>
      <c r="D70" s="369">
        <v>0</v>
      </c>
      <c r="E70" s="369">
        <v>0</v>
      </c>
      <c r="F70" s="369">
        <v>0</v>
      </c>
      <c r="G70" s="369">
        <v>0</v>
      </c>
      <c r="H70" s="369">
        <v>0</v>
      </c>
      <c r="I70" s="185">
        <v>0</v>
      </c>
      <c r="J70" s="186">
        <v>0</v>
      </c>
      <c r="K70" s="8"/>
      <c r="L70" s="9" t="s">
        <v>121</v>
      </c>
      <c r="M70" s="10">
        <f t="shared" si="13"/>
        <v>0</v>
      </c>
      <c r="N70" s="41" t="str">
        <f>+IF(M64=0,"-",+M70/M64)</f>
        <v>-</v>
      </c>
      <c r="O70" s="6"/>
      <c r="P70" s="6"/>
    </row>
    <row r="71" spans="1:16" x14ac:dyDescent="0.25">
      <c r="A71" s="728" t="s">
        <v>67</v>
      </c>
      <c r="B71" s="369">
        <v>0</v>
      </c>
      <c r="C71" s="369">
        <v>0</v>
      </c>
      <c r="D71" s="822">
        <v>0</v>
      </c>
      <c r="E71" s="369">
        <v>0</v>
      </c>
      <c r="F71" s="369">
        <v>0</v>
      </c>
      <c r="G71" s="369">
        <v>0</v>
      </c>
      <c r="H71" s="369">
        <v>0</v>
      </c>
      <c r="I71" s="185">
        <v>0</v>
      </c>
      <c r="J71" s="186">
        <v>0</v>
      </c>
      <c r="K71" s="8"/>
      <c r="L71" s="9" t="s">
        <v>123</v>
      </c>
      <c r="M71" s="10">
        <f t="shared" si="13"/>
        <v>0</v>
      </c>
      <c r="N71" s="41" t="str">
        <f>+IF(M64=0,"-",+M71/M64)</f>
        <v>-</v>
      </c>
      <c r="O71" s="6"/>
      <c r="P71" s="6"/>
    </row>
    <row r="72" spans="1:16" x14ac:dyDescent="0.25">
      <c r="A72" s="729" t="s">
        <v>122</v>
      </c>
      <c r="B72" s="187">
        <v>0</v>
      </c>
      <c r="C72" s="856">
        <v>0</v>
      </c>
      <c r="D72" s="187">
        <v>0</v>
      </c>
      <c r="E72" s="187">
        <v>0</v>
      </c>
      <c r="F72" s="187">
        <v>0</v>
      </c>
      <c r="G72" s="187">
        <v>0</v>
      </c>
      <c r="H72" s="187">
        <v>0</v>
      </c>
      <c r="I72" s="187">
        <v>0</v>
      </c>
      <c r="J72" s="188">
        <v>0</v>
      </c>
      <c r="K72" s="8"/>
      <c r="L72" s="11" t="s">
        <v>236</v>
      </c>
      <c r="M72" s="12">
        <f t="shared" si="13"/>
        <v>0</v>
      </c>
      <c r="N72" s="41" t="str">
        <f>+IF(M64=0,"-",+M72/M64)</f>
        <v>-</v>
      </c>
      <c r="O72" s="6"/>
      <c r="P72" s="6"/>
    </row>
    <row r="73" spans="1:16" s="5" customFormat="1" x14ac:dyDescent="0.25">
      <c r="A73" s="972" t="s">
        <v>625</v>
      </c>
      <c r="B73" s="973"/>
      <c r="C73" s="974"/>
      <c r="D73" s="974"/>
      <c r="E73" s="974"/>
      <c r="F73" s="974"/>
      <c r="G73" s="974"/>
      <c r="H73" s="974"/>
      <c r="I73" s="974"/>
      <c r="J73" s="975"/>
      <c r="M73" s="1"/>
    </row>
    <row r="74" spans="1:16" x14ac:dyDescent="0.25">
      <c r="A74" s="968">
        <f>+A64+33</f>
        <v>45979</v>
      </c>
      <c r="B74" s="969">
        <f t="shared" ref="B74:J74" si="14">SUM(B75:B81)</f>
        <v>0</v>
      </c>
      <c r="C74" s="970">
        <f t="shared" si="14"/>
        <v>0</v>
      </c>
      <c r="D74" s="970">
        <f t="shared" si="14"/>
        <v>0</v>
      </c>
      <c r="E74" s="970">
        <f t="shared" si="14"/>
        <v>30446</v>
      </c>
      <c r="F74" s="970">
        <f t="shared" si="14"/>
        <v>0</v>
      </c>
      <c r="G74" s="970">
        <f t="shared" si="14"/>
        <v>0</v>
      </c>
      <c r="H74" s="970">
        <f t="shared" si="14"/>
        <v>0</v>
      </c>
      <c r="I74" s="970">
        <f t="shared" si="14"/>
        <v>0</v>
      </c>
      <c r="J74" s="971">
        <f t="shared" si="14"/>
        <v>0</v>
      </c>
      <c r="K74" s="5"/>
      <c r="L74" s="57">
        <f>+A74</f>
        <v>45979</v>
      </c>
      <c r="M74" s="58">
        <f>SUM(M75:M82)</f>
        <v>30446</v>
      </c>
      <c r="N74" s="41">
        <f>+IF($M$1=0,"-",+M74/$M$1)</f>
        <v>1.2363476294741766E-2</v>
      </c>
      <c r="O74" s="6"/>
      <c r="P74" s="6"/>
    </row>
    <row r="75" spans="1:16" x14ac:dyDescent="0.25">
      <c r="A75" s="728" t="s">
        <v>7</v>
      </c>
      <c r="B75" s="369">
        <v>0</v>
      </c>
      <c r="C75" s="369">
        <v>0</v>
      </c>
      <c r="D75" s="369">
        <v>0</v>
      </c>
      <c r="E75" s="369">
        <v>0</v>
      </c>
      <c r="F75" s="369">
        <v>0</v>
      </c>
      <c r="G75" s="369">
        <v>0</v>
      </c>
      <c r="H75" s="369">
        <v>0</v>
      </c>
      <c r="I75" s="185">
        <v>0</v>
      </c>
      <c r="J75" s="186">
        <v>0</v>
      </c>
      <c r="K75" s="8"/>
      <c r="L75" s="76" t="s">
        <v>115</v>
      </c>
      <c r="M75" s="77">
        <f t="shared" ref="M75:M82" si="15">SUM(B75:J75)</f>
        <v>0</v>
      </c>
      <c r="N75" s="41">
        <f>+IF(M74=0,"-",+M75/M74)</f>
        <v>0</v>
      </c>
      <c r="O75" s="6"/>
      <c r="P75" s="6"/>
    </row>
    <row r="76" spans="1:16" x14ac:dyDescent="0.25">
      <c r="A76" s="728" t="s">
        <v>61</v>
      </c>
      <c r="B76" s="369">
        <v>0</v>
      </c>
      <c r="C76" s="369">
        <v>0</v>
      </c>
      <c r="D76" s="369">
        <v>0</v>
      </c>
      <c r="E76" s="1015">
        <f>4120+4966</f>
        <v>9086</v>
      </c>
      <c r="F76" s="369">
        <v>0</v>
      </c>
      <c r="G76" s="369">
        <v>0</v>
      </c>
      <c r="H76" s="369">
        <v>0</v>
      </c>
      <c r="I76" s="185">
        <v>0</v>
      </c>
      <c r="J76" s="186">
        <v>0</v>
      </c>
      <c r="K76" s="8"/>
      <c r="L76" s="9" t="s">
        <v>116</v>
      </c>
      <c r="M76" s="10">
        <f t="shared" si="15"/>
        <v>9086</v>
      </c>
      <c r="N76" s="41">
        <f>+IF(M74=0,"-",+M76/M74)</f>
        <v>0.29843000722590818</v>
      </c>
      <c r="O76" s="16"/>
      <c r="P76" s="6"/>
    </row>
    <row r="77" spans="1:16" x14ac:dyDescent="0.25">
      <c r="A77" s="728" t="s">
        <v>62</v>
      </c>
      <c r="B77" s="369">
        <v>0</v>
      </c>
      <c r="C77" s="369">
        <v>0</v>
      </c>
      <c r="D77" s="369">
        <v>0</v>
      </c>
      <c r="E77" s="369">
        <f>14160+4000+1600+1600</f>
        <v>21360</v>
      </c>
      <c r="F77" s="369">
        <v>0</v>
      </c>
      <c r="G77" s="369">
        <v>0</v>
      </c>
      <c r="H77" s="369">
        <v>0</v>
      </c>
      <c r="I77" s="185">
        <v>0</v>
      </c>
      <c r="J77" s="186">
        <v>0</v>
      </c>
      <c r="K77" s="8"/>
      <c r="L77" s="9" t="s">
        <v>117</v>
      </c>
      <c r="M77" s="10">
        <f t="shared" si="15"/>
        <v>21360</v>
      </c>
      <c r="N77" s="41">
        <f>+IF(M74=0,"-",+M77/M74)</f>
        <v>0.70156999277409182</v>
      </c>
      <c r="O77" s="6"/>
      <c r="P77" s="6"/>
    </row>
    <row r="78" spans="1:16" x14ac:dyDescent="0.25">
      <c r="A78" s="728" t="s">
        <v>63</v>
      </c>
      <c r="B78" s="369">
        <v>0</v>
      </c>
      <c r="C78" s="369">
        <v>0</v>
      </c>
      <c r="D78" s="369">
        <v>0</v>
      </c>
      <c r="E78" s="369">
        <v>0</v>
      </c>
      <c r="F78" s="369">
        <v>0</v>
      </c>
      <c r="G78" s="369">
        <v>0</v>
      </c>
      <c r="H78" s="369">
        <v>0</v>
      </c>
      <c r="I78" s="185">
        <v>0</v>
      </c>
      <c r="J78" s="186">
        <v>0</v>
      </c>
      <c r="K78" s="8"/>
      <c r="L78" s="9" t="s">
        <v>118</v>
      </c>
      <c r="M78" s="10">
        <f t="shared" si="15"/>
        <v>0</v>
      </c>
      <c r="N78" s="41">
        <f>+IF(M74=0,"-",+M78/M74)</f>
        <v>0</v>
      </c>
      <c r="O78" s="6"/>
      <c r="P78" s="6"/>
    </row>
    <row r="79" spans="1:16" x14ac:dyDescent="0.25">
      <c r="A79" s="728" t="s">
        <v>119</v>
      </c>
      <c r="B79" s="369">
        <v>0</v>
      </c>
      <c r="C79" s="369">
        <v>0</v>
      </c>
      <c r="D79" s="369">
        <v>0</v>
      </c>
      <c r="E79" s="369">
        <v>0</v>
      </c>
      <c r="F79" s="369">
        <v>0</v>
      </c>
      <c r="G79" s="369">
        <v>0</v>
      </c>
      <c r="H79" s="369">
        <v>0</v>
      </c>
      <c r="I79" s="185">
        <v>0</v>
      </c>
      <c r="J79" s="186">
        <v>0</v>
      </c>
      <c r="K79" s="8"/>
      <c r="L79" s="9" t="s">
        <v>120</v>
      </c>
      <c r="M79" s="10">
        <f t="shared" si="15"/>
        <v>0</v>
      </c>
      <c r="N79" s="41">
        <f>+IF(M74=0,"-",+M79/M74)</f>
        <v>0</v>
      </c>
      <c r="O79" s="6"/>
      <c r="P79" s="6"/>
    </row>
    <row r="80" spans="1:16" x14ac:dyDescent="0.25">
      <c r="A80" s="728" t="s">
        <v>65</v>
      </c>
      <c r="B80" s="369">
        <v>0</v>
      </c>
      <c r="C80" s="369">
        <v>0</v>
      </c>
      <c r="D80" s="369">
        <v>0</v>
      </c>
      <c r="E80" s="369">
        <v>0</v>
      </c>
      <c r="F80" s="369">
        <v>0</v>
      </c>
      <c r="G80" s="369">
        <v>0</v>
      </c>
      <c r="H80" s="369">
        <v>0</v>
      </c>
      <c r="I80" s="185">
        <v>0</v>
      </c>
      <c r="J80" s="186">
        <v>0</v>
      </c>
      <c r="K80" s="8"/>
      <c r="L80" s="9" t="s">
        <v>121</v>
      </c>
      <c r="M80" s="10">
        <f t="shared" si="15"/>
        <v>0</v>
      </c>
      <c r="N80" s="41">
        <f>+IF(M74=0,"-",+M80/M74)</f>
        <v>0</v>
      </c>
      <c r="O80" s="6"/>
      <c r="P80" s="6"/>
    </row>
    <row r="81" spans="1:16" x14ac:dyDescent="0.25">
      <c r="A81" s="728" t="s">
        <v>67</v>
      </c>
      <c r="B81" s="369">
        <v>0</v>
      </c>
      <c r="C81" s="369">
        <v>0</v>
      </c>
      <c r="D81" s="1013" t="s">
        <v>1770</v>
      </c>
      <c r="E81" s="369">
        <v>0</v>
      </c>
      <c r="F81" s="369">
        <v>0</v>
      </c>
      <c r="G81" s="369">
        <v>0</v>
      </c>
      <c r="H81" s="369">
        <v>0</v>
      </c>
      <c r="I81" s="185">
        <v>0</v>
      </c>
      <c r="J81" s="186">
        <v>0</v>
      </c>
      <c r="K81" s="8"/>
      <c r="L81" s="9" t="s">
        <v>123</v>
      </c>
      <c r="M81" s="10">
        <f t="shared" si="15"/>
        <v>0</v>
      </c>
      <c r="N81" s="41">
        <f>+IF(M74=0,"-",+M81/M74)</f>
        <v>0</v>
      </c>
      <c r="O81" s="6"/>
      <c r="P81" s="6"/>
    </row>
    <row r="82" spans="1:16" x14ac:dyDescent="0.25">
      <c r="A82" s="729" t="s">
        <v>122</v>
      </c>
      <c r="B82" s="187">
        <v>0</v>
      </c>
      <c r="C82" s="1012" t="s">
        <v>1769</v>
      </c>
      <c r="D82" s="187">
        <v>0</v>
      </c>
      <c r="E82" s="187">
        <v>0</v>
      </c>
      <c r="F82" s="187">
        <v>0</v>
      </c>
      <c r="G82" s="187">
        <v>0</v>
      </c>
      <c r="H82" s="187">
        <v>0</v>
      </c>
      <c r="I82" s="187">
        <v>0</v>
      </c>
      <c r="J82" s="188">
        <v>0</v>
      </c>
      <c r="K82" s="8"/>
      <c r="L82" s="11" t="s">
        <v>236</v>
      </c>
      <c r="M82" s="12">
        <f t="shared" si="15"/>
        <v>0</v>
      </c>
      <c r="N82" s="41">
        <f>+IF(M74=0,"-",+M82/M74)</f>
        <v>0</v>
      </c>
      <c r="O82" s="6"/>
      <c r="P82" s="6"/>
    </row>
    <row r="83" spans="1:16" s="5" customFormat="1" x14ac:dyDescent="0.25">
      <c r="A83" s="972" t="s">
        <v>625</v>
      </c>
      <c r="B83" s="973"/>
      <c r="C83" s="974"/>
      <c r="D83" s="974"/>
      <c r="E83" s="974"/>
      <c r="F83" s="974"/>
      <c r="G83" s="974"/>
      <c r="H83" s="974"/>
      <c r="I83" s="974"/>
      <c r="J83" s="975"/>
      <c r="M83" s="1"/>
    </row>
    <row r="84" spans="1:16" x14ac:dyDescent="0.25">
      <c r="A84" s="968">
        <f>+A74+33</f>
        <v>46012</v>
      </c>
      <c r="B84" s="969">
        <f t="shared" ref="B84:J84" si="16">SUM(B85:B91)</f>
        <v>0</v>
      </c>
      <c r="C84" s="970">
        <f t="shared" si="16"/>
        <v>0</v>
      </c>
      <c r="D84" s="970">
        <f t="shared" si="16"/>
        <v>0</v>
      </c>
      <c r="E84" s="970">
        <f t="shared" si="16"/>
        <v>0</v>
      </c>
      <c r="F84" s="970">
        <f t="shared" si="16"/>
        <v>0</v>
      </c>
      <c r="G84" s="970">
        <f t="shared" si="16"/>
        <v>0</v>
      </c>
      <c r="H84" s="970">
        <f t="shared" si="16"/>
        <v>0</v>
      </c>
      <c r="I84" s="970">
        <f t="shared" si="16"/>
        <v>0</v>
      </c>
      <c r="J84" s="971">
        <f t="shared" si="16"/>
        <v>0</v>
      </c>
      <c r="K84" s="5"/>
      <c r="L84" s="57">
        <f>+A84</f>
        <v>46012</v>
      </c>
      <c r="M84" s="58">
        <f>SUM(M85:M92)</f>
        <v>0</v>
      </c>
      <c r="N84" s="41">
        <f>+IF($M$1=0,"-",+M84/$M$1)</f>
        <v>0</v>
      </c>
      <c r="O84" s="6"/>
      <c r="P84" s="6"/>
    </row>
    <row r="85" spans="1:16" x14ac:dyDescent="0.25">
      <c r="A85" s="728" t="s">
        <v>7</v>
      </c>
      <c r="B85" s="369">
        <v>0</v>
      </c>
      <c r="C85" s="369">
        <v>0</v>
      </c>
      <c r="D85" s="369">
        <v>0</v>
      </c>
      <c r="E85" s="369">
        <v>0</v>
      </c>
      <c r="F85" s="369">
        <v>0</v>
      </c>
      <c r="G85" s="369">
        <v>0</v>
      </c>
      <c r="H85" s="369">
        <v>0</v>
      </c>
      <c r="I85" s="185">
        <v>0</v>
      </c>
      <c r="J85" s="186">
        <v>0</v>
      </c>
      <c r="K85" s="8"/>
      <c r="L85" s="76" t="s">
        <v>115</v>
      </c>
      <c r="M85" s="77">
        <f t="shared" ref="M85:M92" si="17">SUM(B85:J85)</f>
        <v>0</v>
      </c>
      <c r="N85" s="41" t="str">
        <f>+IF(M84=0,"-",+M85/M84)</f>
        <v>-</v>
      </c>
      <c r="O85" s="6"/>
      <c r="P85" s="6"/>
    </row>
    <row r="86" spans="1:16" x14ac:dyDescent="0.25">
      <c r="A86" s="728" t="s">
        <v>61</v>
      </c>
      <c r="B86" s="369">
        <v>0</v>
      </c>
      <c r="C86" s="369">
        <v>0</v>
      </c>
      <c r="D86" s="369">
        <v>0</v>
      </c>
      <c r="E86" s="369">
        <v>0</v>
      </c>
      <c r="F86" s="369">
        <v>0</v>
      </c>
      <c r="G86" s="369">
        <v>0</v>
      </c>
      <c r="H86" s="369">
        <v>0</v>
      </c>
      <c r="I86" s="185">
        <v>0</v>
      </c>
      <c r="J86" s="186">
        <v>0</v>
      </c>
      <c r="K86" s="8"/>
      <c r="L86" s="9" t="s">
        <v>116</v>
      </c>
      <c r="M86" s="10">
        <f t="shared" si="17"/>
        <v>0</v>
      </c>
      <c r="N86" s="41" t="str">
        <f>+IF(M84=0,"-",+M86/M84)</f>
        <v>-</v>
      </c>
      <c r="O86" s="6"/>
      <c r="P86" s="6"/>
    </row>
    <row r="87" spans="1:16" x14ac:dyDescent="0.25">
      <c r="A87" s="728" t="s">
        <v>62</v>
      </c>
      <c r="B87" s="369">
        <v>0</v>
      </c>
      <c r="C87" s="369">
        <v>0</v>
      </c>
      <c r="D87" s="369">
        <v>0</v>
      </c>
      <c r="E87" s="369">
        <v>0</v>
      </c>
      <c r="F87" s="369">
        <v>0</v>
      </c>
      <c r="G87" s="369">
        <v>0</v>
      </c>
      <c r="H87" s="369">
        <v>0</v>
      </c>
      <c r="I87" s="185">
        <v>0</v>
      </c>
      <c r="J87" s="186">
        <v>0</v>
      </c>
      <c r="K87" s="8"/>
      <c r="L87" s="9" t="s">
        <v>117</v>
      </c>
      <c r="M87" s="10">
        <f t="shared" si="17"/>
        <v>0</v>
      </c>
      <c r="N87" s="41" t="str">
        <f>+IF(M84=0,"-",+M87/M84)</f>
        <v>-</v>
      </c>
      <c r="O87" s="6"/>
      <c r="P87" s="6"/>
    </row>
    <row r="88" spans="1:16" x14ac:dyDescent="0.25">
      <c r="A88" s="728" t="s">
        <v>63</v>
      </c>
      <c r="B88" s="369">
        <v>0</v>
      </c>
      <c r="C88" s="369">
        <v>0</v>
      </c>
      <c r="D88" s="369">
        <v>0</v>
      </c>
      <c r="E88" s="369">
        <v>0</v>
      </c>
      <c r="F88" s="369">
        <v>0</v>
      </c>
      <c r="G88" s="369">
        <v>0</v>
      </c>
      <c r="H88" s="369">
        <v>0</v>
      </c>
      <c r="I88" s="185">
        <v>0</v>
      </c>
      <c r="J88" s="186">
        <v>0</v>
      </c>
      <c r="K88" s="8"/>
      <c r="L88" s="9" t="s">
        <v>118</v>
      </c>
      <c r="M88" s="10">
        <f t="shared" si="17"/>
        <v>0</v>
      </c>
      <c r="N88" s="41" t="str">
        <f>+IF(M84=0,"-",+M88/M84)</f>
        <v>-</v>
      </c>
      <c r="O88" s="6"/>
      <c r="P88" s="6"/>
    </row>
    <row r="89" spans="1:16" x14ac:dyDescent="0.25">
      <c r="A89" s="728" t="s">
        <v>119</v>
      </c>
      <c r="B89" s="369">
        <v>0</v>
      </c>
      <c r="C89" s="369">
        <v>0</v>
      </c>
      <c r="D89" s="369">
        <v>0</v>
      </c>
      <c r="E89" s="369">
        <v>0</v>
      </c>
      <c r="F89" s="369">
        <v>0</v>
      </c>
      <c r="G89" s="369">
        <v>0</v>
      </c>
      <c r="H89" s="369">
        <v>0</v>
      </c>
      <c r="I89" s="185">
        <v>0</v>
      </c>
      <c r="J89" s="186">
        <v>0</v>
      </c>
      <c r="K89" s="8"/>
      <c r="L89" s="9" t="s">
        <v>120</v>
      </c>
      <c r="M89" s="10">
        <f t="shared" si="17"/>
        <v>0</v>
      </c>
      <c r="N89" s="41" t="str">
        <f>+IF(M84=0,"-",+M89/M84)</f>
        <v>-</v>
      </c>
      <c r="O89" s="6"/>
      <c r="P89" s="6"/>
    </row>
    <row r="90" spans="1:16" x14ac:dyDescent="0.25">
      <c r="A90" s="728" t="s">
        <v>65</v>
      </c>
      <c r="B90" s="369">
        <v>0</v>
      </c>
      <c r="C90" s="369">
        <v>0</v>
      </c>
      <c r="D90" s="369">
        <v>0</v>
      </c>
      <c r="E90" s="369">
        <v>0</v>
      </c>
      <c r="F90" s="369">
        <v>0</v>
      </c>
      <c r="G90" s="369">
        <v>0</v>
      </c>
      <c r="H90" s="369">
        <v>0</v>
      </c>
      <c r="I90" s="185">
        <v>0</v>
      </c>
      <c r="J90" s="186">
        <v>0</v>
      </c>
      <c r="K90" s="8"/>
      <c r="L90" s="9" t="s">
        <v>121</v>
      </c>
      <c r="M90" s="10">
        <f t="shared" si="17"/>
        <v>0</v>
      </c>
      <c r="N90" s="41" t="str">
        <f>+IF(M84=0,"-",+M90/M84)</f>
        <v>-</v>
      </c>
      <c r="O90" s="6"/>
      <c r="P90" s="6"/>
    </row>
    <row r="91" spans="1:16" x14ac:dyDescent="0.25">
      <c r="A91" s="728" t="s">
        <v>67</v>
      </c>
      <c r="B91" s="369">
        <v>0</v>
      </c>
      <c r="C91" s="369">
        <v>0</v>
      </c>
      <c r="D91" s="369">
        <v>0</v>
      </c>
      <c r="E91" s="369">
        <v>0</v>
      </c>
      <c r="F91" s="369">
        <v>0</v>
      </c>
      <c r="G91" s="369">
        <v>0</v>
      </c>
      <c r="H91" s="369">
        <v>0</v>
      </c>
      <c r="I91" s="185">
        <v>0</v>
      </c>
      <c r="J91" s="186">
        <v>0</v>
      </c>
      <c r="K91" s="8"/>
      <c r="L91" s="9" t="s">
        <v>123</v>
      </c>
      <c r="M91" s="10">
        <f t="shared" si="17"/>
        <v>0</v>
      </c>
      <c r="N91" s="41" t="str">
        <f>+IF(M84=0,"-",+M91/M84)</f>
        <v>-</v>
      </c>
      <c r="O91" s="6"/>
      <c r="P91" s="6"/>
    </row>
    <row r="92" spans="1:16" x14ac:dyDescent="0.25">
      <c r="A92" s="729" t="s">
        <v>122</v>
      </c>
      <c r="B92" s="187">
        <v>0</v>
      </c>
      <c r="C92" s="187">
        <v>0</v>
      </c>
      <c r="D92" s="187">
        <v>0</v>
      </c>
      <c r="E92" s="187">
        <v>0</v>
      </c>
      <c r="F92" s="187">
        <v>0</v>
      </c>
      <c r="G92" s="187">
        <v>0</v>
      </c>
      <c r="H92" s="187">
        <v>0</v>
      </c>
      <c r="I92" s="187">
        <v>0</v>
      </c>
      <c r="J92" s="188">
        <v>0</v>
      </c>
      <c r="K92" s="8"/>
      <c r="L92" s="11" t="s">
        <v>236</v>
      </c>
      <c r="M92" s="12">
        <f t="shared" si="17"/>
        <v>0</v>
      </c>
      <c r="N92" s="41" t="str">
        <f>+IF(M84=0,"-",+M92/M84)</f>
        <v>-</v>
      </c>
      <c r="O92" s="6"/>
      <c r="P92" s="6"/>
    </row>
    <row r="93" spans="1:16" s="5" customFormat="1" x14ac:dyDescent="0.25">
      <c r="A93" s="972" t="s">
        <v>625</v>
      </c>
      <c r="B93" s="973"/>
      <c r="C93" s="974"/>
      <c r="D93" s="974"/>
      <c r="E93" s="974"/>
      <c r="F93" s="974"/>
      <c r="G93" s="974"/>
      <c r="H93" s="974"/>
      <c r="I93" s="974"/>
      <c r="J93" s="975"/>
      <c r="M93" s="1"/>
    </row>
    <row r="94" spans="1:16" x14ac:dyDescent="0.25">
      <c r="A94" s="968">
        <f>+A84+33</f>
        <v>46045</v>
      </c>
      <c r="B94" s="969">
        <f t="shared" ref="B94:J94" si="18">SUM(B95:B101)</f>
        <v>0</v>
      </c>
      <c r="C94" s="970">
        <f t="shared" si="18"/>
        <v>0</v>
      </c>
      <c r="D94" s="970">
        <f t="shared" si="18"/>
        <v>0</v>
      </c>
      <c r="E94" s="970">
        <f t="shared" si="18"/>
        <v>0</v>
      </c>
      <c r="F94" s="970">
        <f t="shared" si="18"/>
        <v>0</v>
      </c>
      <c r="G94" s="970">
        <f t="shared" si="18"/>
        <v>0</v>
      </c>
      <c r="H94" s="970">
        <f t="shared" si="18"/>
        <v>0</v>
      </c>
      <c r="I94" s="970">
        <f t="shared" si="18"/>
        <v>0</v>
      </c>
      <c r="J94" s="971">
        <f t="shared" si="18"/>
        <v>0</v>
      </c>
      <c r="K94" s="5"/>
      <c r="L94" s="57">
        <f>+A94</f>
        <v>46045</v>
      </c>
      <c r="M94" s="58">
        <f>SUM(M95:M102)</f>
        <v>0</v>
      </c>
      <c r="N94" s="41">
        <f>+IF($M$1=0,"-",+M94/$M$1)</f>
        <v>0</v>
      </c>
      <c r="O94" s="6"/>
      <c r="P94" s="6"/>
    </row>
    <row r="95" spans="1:16" x14ac:dyDescent="0.25">
      <c r="A95" s="728" t="s">
        <v>7</v>
      </c>
      <c r="B95" s="369">
        <v>0</v>
      </c>
      <c r="C95" s="369">
        <v>0</v>
      </c>
      <c r="D95" s="369">
        <v>0</v>
      </c>
      <c r="E95" s="369">
        <v>0</v>
      </c>
      <c r="F95" s="369">
        <v>0</v>
      </c>
      <c r="G95" s="369">
        <v>0</v>
      </c>
      <c r="H95" s="369">
        <v>0</v>
      </c>
      <c r="I95" s="185">
        <v>0</v>
      </c>
      <c r="J95" s="186">
        <v>0</v>
      </c>
      <c r="K95" s="8"/>
      <c r="L95" s="76" t="s">
        <v>115</v>
      </c>
      <c r="M95" s="77">
        <f t="shared" ref="M95:M102" si="19">SUM(B95:J95)</f>
        <v>0</v>
      </c>
      <c r="N95" s="41" t="str">
        <f>+IF(M94=0,"-",+M95/M94)</f>
        <v>-</v>
      </c>
      <c r="O95" s="6"/>
      <c r="P95" s="6"/>
    </row>
    <row r="96" spans="1:16" x14ac:dyDescent="0.25">
      <c r="A96" s="728" t="s">
        <v>61</v>
      </c>
      <c r="B96" s="369">
        <v>0</v>
      </c>
      <c r="C96" s="369">
        <v>0</v>
      </c>
      <c r="D96" s="369">
        <v>0</v>
      </c>
      <c r="E96" s="369">
        <v>0</v>
      </c>
      <c r="F96" s="369">
        <v>0</v>
      </c>
      <c r="G96" s="369">
        <v>0</v>
      </c>
      <c r="H96" s="369">
        <v>0</v>
      </c>
      <c r="I96" s="185">
        <v>0</v>
      </c>
      <c r="J96" s="186">
        <v>0</v>
      </c>
      <c r="K96" s="8"/>
      <c r="L96" s="9" t="s">
        <v>116</v>
      </c>
      <c r="M96" s="10">
        <f t="shared" si="19"/>
        <v>0</v>
      </c>
      <c r="N96" s="41" t="str">
        <f>+IF(M94=0,"-",+M96/M94)</f>
        <v>-</v>
      </c>
      <c r="O96" s="6"/>
      <c r="P96" s="6"/>
    </row>
    <row r="97" spans="1:16" x14ac:dyDescent="0.25">
      <c r="A97" s="728" t="s">
        <v>62</v>
      </c>
      <c r="B97" s="369">
        <v>0</v>
      </c>
      <c r="C97" s="369">
        <v>0</v>
      </c>
      <c r="D97" s="369">
        <v>0</v>
      </c>
      <c r="E97" s="369">
        <v>0</v>
      </c>
      <c r="F97" s="369">
        <v>0</v>
      </c>
      <c r="G97" s="369">
        <v>0</v>
      </c>
      <c r="H97" s="369">
        <v>0</v>
      </c>
      <c r="I97" s="185">
        <v>0</v>
      </c>
      <c r="J97" s="186">
        <v>0</v>
      </c>
      <c r="K97" s="8"/>
      <c r="L97" s="9" t="s">
        <v>117</v>
      </c>
      <c r="M97" s="10">
        <f t="shared" si="19"/>
        <v>0</v>
      </c>
      <c r="N97" s="41" t="str">
        <f>+IF(M94=0,"-",+M97/M94)</f>
        <v>-</v>
      </c>
      <c r="O97" s="6"/>
      <c r="P97" s="6"/>
    </row>
    <row r="98" spans="1:16" x14ac:dyDescent="0.25">
      <c r="A98" s="728" t="s">
        <v>63</v>
      </c>
      <c r="B98" s="369">
        <v>0</v>
      </c>
      <c r="C98" s="369">
        <v>0</v>
      </c>
      <c r="D98" s="369">
        <v>0</v>
      </c>
      <c r="E98" s="369">
        <v>0</v>
      </c>
      <c r="F98" s="369">
        <v>0</v>
      </c>
      <c r="G98" s="369">
        <v>0</v>
      </c>
      <c r="H98" s="369">
        <v>0</v>
      </c>
      <c r="I98" s="185">
        <v>0</v>
      </c>
      <c r="J98" s="186">
        <v>0</v>
      </c>
      <c r="K98" s="8"/>
      <c r="L98" s="9" t="s">
        <v>118</v>
      </c>
      <c r="M98" s="10">
        <f t="shared" si="19"/>
        <v>0</v>
      </c>
      <c r="N98" s="41" t="str">
        <f>+IF(M94=0,"-",+M98/M94)</f>
        <v>-</v>
      </c>
      <c r="O98" s="6"/>
      <c r="P98" s="6"/>
    </row>
    <row r="99" spans="1:16" x14ac:dyDescent="0.25">
      <c r="A99" s="728" t="s">
        <v>119</v>
      </c>
      <c r="B99" s="369">
        <v>0</v>
      </c>
      <c r="C99" s="369">
        <v>0</v>
      </c>
      <c r="D99" s="369">
        <v>0</v>
      </c>
      <c r="E99" s="369">
        <v>0</v>
      </c>
      <c r="F99" s="369">
        <v>0</v>
      </c>
      <c r="G99" s="369">
        <v>0</v>
      </c>
      <c r="H99" s="369">
        <v>0</v>
      </c>
      <c r="I99" s="185">
        <v>0</v>
      </c>
      <c r="J99" s="186">
        <v>0</v>
      </c>
      <c r="K99" s="8"/>
      <c r="L99" s="9" t="s">
        <v>120</v>
      </c>
      <c r="M99" s="10">
        <f t="shared" si="19"/>
        <v>0</v>
      </c>
      <c r="N99" s="41" t="str">
        <f>+IF(M94=0,"-",+M99/M94)</f>
        <v>-</v>
      </c>
      <c r="O99" s="6"/>
      <c r="P99" s="6"/>
    </row>
    <row r="100" spans="1:16" x14ac:dyDescent="0.25">
      <c r="A100" s="728" t="s">
        <v>65</v>
      </c>
      <c r="B100" s="369">
        <v>0</v>
      </c>
      <c r="C100" s="369">
        <v>0</v>
      </c>
      <c r="D100" s="369">
        <v>0</v>
      </c>
      <c r="E100" s="369">
        <v>0</v>
      </c>
      <c r="F100" s="369">
        <v>0</v>
      </c>
      <c r="G100" s="369">
        <v>0</v>
      </c>
      <c r="H100" s="369">
        <v>0</v>
      </c>
      <c r="I100" s="185">
        <v>0</v>
      </c>
      <c r="J100" s="186">
        <v>0</v>
      </c>
      <c r="K100" s="8"/>
      <c r="L100" s="9" t="s">
        <v>121</v>
      </c>
      <c r="M100" s="10">
        <f t="shared" si="19"/>
        <v>0</v>
      </c>
      <c r="N100" s="41" t="str">
        <f>+IF(M94=0,"-",+M100/M94)</f>
        <v>-</v>
      </c>
      <c r="O100" s="6"/>
      <c r="P100" s="6"/>
    </row>
    <row r="101" spans="1:16" x14ac:dyDescent="0.25">
      <c r="A101" s="728" t="s">
        <v>67</v>
      </c>
      <c r="B101" s="369">
        <v>0</v>
      </c>
      <c r="C101" s="369">
        <v>0</v>
      </c>
      <c r="D101" s="369">
        <v>0</v>
      </c>
      <c r="E101" s="369">
        <v>0</v>
      </c>
      <c r="F101" s="369">
        <v>0</v>
      </c>
      <c r="G101" s="369">
        <v>0</v>
      </c>
      <c r="H101" s="369">
        <v>0</v>
      </c>
      <c r="I101" s="185">
        <v>0</v>
      </c>
      <c r="J101" s="186">
        <v>0</v>
      </c>
      <c r="K101" s="8"/>
      <c r="L101" s="9" t="s">
        <v>123</v>
      </c>
      <c r="M101" s="10">
        <f t="shared" si="19"/>
        <v>0</v>
      </c>
      <c r="N101" s="41" t="str">
        <f>+IF(M94=0,"-",+M101/M94)</f>
        <v>-</v>
      </c>
      <c r="O101" s="6"/>
      <c r="P101" s="6"/>
    </row>
    <row r="102" spans="1:16" x14ac:dyDescent="0.25">
      <c r="A102" s="729" t="s">
        <v>122</v>
      </c>
      <c r="B102" s="187">
        <v>0</v>
      </c>
      <c r="C102" s="187">
        <v>0</v>
      </c>
      <c r="D102" s="187">
        <v>0</v>
      </c>
      <c r="E102" s="187">
        <v>0</v>
      </c>
      <c r="F102" s="187">
        <v>0</v>
      </c>
      <c r="G102" s="187">
        <v>0</v>
      </c>
      <c r="H102" s="187">
        <v>0</v>
      </c>
      <c r="I102" s="187">
        <v>0</v>
      </c>
      <c r="J102" s="188">
        <v>0</v>
      </c>
      <c r="K102" s="8"/>
      <c r="L102" s="11" t="s">
        <v>236</v>
      </c>
      <c r="M102" s="12">
        <f t="shared" si="19"/>
        <v>0</v>
      </c>
      <c r="N102" s="41" t="str">
        <f>+IF(M94=0,"-",+M102/M94)</f>
        <v>-</v>
      </c>
      <c r="O102" s="6"/>
      <c r="P102" s="6"/>
    </row>
    <row r="103" spans="1:16" s="5" customFormat="1" x14ac:dyDescent="0.25">
      <c r="A103" s="972" t="s">
        <v>625</v>
      </c>
      <c r="B103" s="973"/>
      <c r="C103" s="974"/>
      <c r="D103" s="974"/>
      <c r="E103" s="974"/>
      <c r="F103" s="974"/>
      <c r="G103" s="974"/>
      <c r="H103" s="974"/>
      <c r="I103" s="974"/>
      <c r="J103" s="975"/>
      <c r="M103" s="1"/>
    </row>
    <row r="104" spans="1:16" x14ac:dyDescent="0.25">
      <c r="A104" s="968">
        <f>+A94+33</f>
        <v>46078</v>
      </c>
      <c r="B104" s="969">
        <f t="shared" ref="B104:J104" si="20">SUM(B105:B111)</f>
        <v>0</v>
      </c>
      <c r="C104" s="970">
        <f t="shared" si="20"/>
        <v>0</v>
      </c>
      <c r="D104" s="970">
        <f t="shared" si="20"/>
        <v>0</v>
      </c>
      <c r="E104" s="970">
        <f t="shared" si="20"/>
        <v>0</v>
      </c>
      <c r="F104" s="970">
        <f t="shared" si="20"/>
        <v>0</v>
      </c>
      <c r="G104" s="970">
        <f t="shared" si="20"/>
        <v>0</v>
      </c>
      <c r="H104" s="970">
        <f t="shared" si="20"/>
        <v>0</v>
      </c>
      <c r="I104" s="970">
        <f t="shared" si="20"/>
        <v>0</v>
      </c>
      <c r="J104" s="971">
        <f t="shared" si="20"/>
        <v>0</v>
      </c>
      <c r="K104" s="5"/>
      <c r="L104" s="57">
        <f>+A104</f>
        <v>46078</v>
      </c>
      <c r="M104" s="58">
        <f>SUM(M105:M112)</f>
        <v>0</v>
      </c>
      <c r="N104" s="41">
        <f>+IF($M$1=0,"-",+M104/$M$1)</f>
        <v>0</v>
      </c>
      <c r="O104" s="6"/>
      <c r="P104" s="6"/>
    </row>
    <row r="105" spans="1:16" x14ac:dyDescent="0.25">
      <c r="A105" s="728" t="s">
        <v>7</v>
      </c>
      <c r="B105" s="369">
        <v>0</v>
      </c>
      <c r="C105" s="369">
        <v>0</v>
      </c>
      <c r="D105" s="369">
        <v>0</v>
      </c>
      <c r="E105" s="369">
        <v>0</v>
      </c>
      <c r="F105" s="369">
        <v>0</v>
      </c>
      <c r="G105" s="369">
        <v>0</v>
      </c>
      <c r="H105" s="369">
        <v>0</v>
      </c>
      <c r="I105" s="185">
        <v>0</v>
      </c>
      <c r="J105" s="186">
        <v>0</v>
      </c>
      <c r="K105" s="8"/>
      <c r="L105" s="76" t="s">
        <v>115</v>
      </c>
      <c r="M105" s="77">
        <f t="shared" ref="M105:M112" si="21">SUM(B105:J105)</f>
        <v>0</v>
      </c>
      <c r="N105" s="41" t="str">
        <f>+IF(M104=0,"-",+M105/M104)</f>
        <v>-</v>
      </c>
      <c r="O105" s="6"/>
      <c r="P105" s="6"/>
    </row>
    <row r="106" spans="1:16" x14ac:dyDescent="0.25">
      <c r="A106" s="728" t="s">
        <v>61</v>
      </c>
      <c r="B106" s="369">
        <v>0</v>
      </c>
      <c r="C106" s="369">
        <v>0</v>
      </c>
      <c r="D106" s="369">
        <v>0</v>
      </c>
      <c r="E106" s="369">
        <v>0</v>
      </c>
      <c r="F106" s="369">
        <v>0</v>
      </c>
      <c r="G106" s="369">
        <v>0</v>
      </c>
      <c r="H106" s="369">
        <v>0</v>
      </c>
      <c r="I106" s="185">
        <v>0</v>
      </c>
      <c r="J106" s="186">
        <v>0</v>
      </c>
      <c r="K106" s="8"/>
      <c r="L106" s="9" t="s">
        <v>116</v>
      </c>
      <c r="M106" s="10">
        <f t="shared" si="21"/>
        <v>0</v>
      </c>
      <c r="N106" s="41" t="str">
        <f>+IF(M104=0,"-",+M106/M104)</f>
        <v>-</v>
      </c>
      <c r="O106" s="6"/>
      <c r="P106" s="6"/>
    </row>
    <row r="107" spans="1:16" x14ac:dyDescent="0.25">
      <c r="A107" s="728" t="s">
        <v>62</v>
      </c>
      <c r="B107" s="369">
        <v>0</v>
      </c>
      <c r="C107" s="369">
        <v>0</v>
      </c>
      <c r="D107" s="369">
        <v>0</v>
      </c>
      <c r="E107" s="369">
        <v>0</v>
      </c>
      <c r="F107" s="369">
        <v>0</v>
      </c>
      <c r="G107" s="369">
        <v>0</v>
      </c>
      <c r="H107" s="369">
        <v>0</v>
      </c>
      <c r="I107" s="185">
        <v>0</v>
      </c>
      <c r="J107" s="186">
        <v>0</v>
      </c>
      <c r="K107" s="8"/>
      <c r="L107" s="9" t="s">
        <v>117</v>
      </c>
      <c r="M107" s="10">
        <f t="shared" si="21"/>
        <v>0</v>
      </c>
      <c r="N107" s="41" t="str">
        <f>+IF(M104=0,"-",+M107/M104)</f>
        <v>-</v>
      </c>
      <c r="O107" s="6"/>
      <c r="P107" s="6"/>
    </row>
    <row r="108" spans="1:16" x14ac:dyDescent="0.25">
      <c r="A108" s="728" t="s">
        <v>63</v>
      </c>
      <c r="B108" s="369">
        <v>0</v>
      </c>
      <c r="C108" s="369">
        <v>0</v>
      </c>
      <c r="D108" s="369">
        <v>0</v>
      </c>
      <c r="E108" s="369">
        <v>0</v>
      </c>
      <c r="F108" s="369">
        <v>0</v>
      </c>
      <c r="G108" s="369">
        <v>0</v>
      </c>
      <c r="H108" s="369">
        <v>0</v>
      </c>
      <c r="I108" s="185">
        <v>0</v>
      </c>
      <c r="J108" s="186">
        <v>0</v>
      </c>
      <c r="K108" s="8"/>
      <c r="L108" s="9" t="s">
        <v>118</v>
      </c>
      <c r="M108" s="10">
        <f t="shared" si="21"/>
        <v>0</v>
      </c>
      <c r="N108" s="41" t="str">
        <f>+IF(M104=0,"-",+M108/M104)</f>
        <v>-</v>
      </c>
      <c r="O108" s="6"/>
      <c r="P108" s="6"/>
    </row>
    <row r="109" spans="1:16" x14ac:dyDescent="0.25">
      <c r="A109" s="728" t="s">
        <v>119</v>
      </c>
      <c r="B109" s="369">
        <v>0</v>
      </c>
      <c r="C109" s="369">
        <v>0</v>
      </c>
      <c r="D109" s="369">
        <v>0</v>
      </c>
      <c r="E109" s="369">
        <v>0</v>
      </c>
      <c r="F109" s="369">
        <v>0</v>
      </c>
      <c r="G109" s="369">
        <v>0</v>
      </c>
      <c r="H109" s="369">
        <v>0</v>
      </c>
      <c r="I109" s="185">
        <v>0</v>
      </c>
      <c r="J109" s="186">
        <v>0</v>
      </c>
      <c r="K109" s="8"/>
      <c r="L109" s="9" t="s">
        <v>120</v>
      </c>
      <c r="M109" s="10">
        <f t="shared" si="21"/>
        <v>0</v>
      </c>
      <c r="N109" s="41" t="str">
        <f>+IF(M104=0,"-",+M109/M104)</f>
        <v>-</v>
      </c>
      <c r="O109" s="6"/>
      <c r="P109" s="6"/>
    </row>
    <row r="110" spans="1:16" x14ac:dyDescent="0.25">
      <c r="A110" s="728" t="s">
        <v>65</v>
      </c>
      <c r="B110" s="369">
        <v>0</v>
      </c>
      <c r="C110" s="369">
        <v>0</v>
      </c>
      <c r="D110" s="369">
        <v>0</v>
      </c>
      <c r="E110" s="369">
        <v>0</v>
      </c>
      <c r="F110" s="369">
        <v>0</v>
      </c>
      <c r="G110" s="369">
        <v>0</v>
      </c>
      <c r="H110" s="369">
        <v>0</v>
      </c>
      <c r="I110" s="185">
        <v>0</v>
      </c>
      <c r="J110" s="186">
        <v>0</v>
      </c>
      <c r="K110" s="8"/>
      <c r="L110" s="9" t="s">
        <v>121</v>
      </c>
      <c r="M110" s="10">
        <f t="shared" si="21"/>
        <v>0</v>
      </c>
      <c r="N110" s="41" t="str">
        <f>+IF(M104=0,"-",+M110/M104)</f>
        <v>-</v>
      </c>
      <c r="O110" s="6"/>
      <c r="P110" s="6"/>
    </row>
    <row r="111" spans="1:16" x14ac:dyDescent="0.25">
      <c r="A111" s="728" t="s">
        <v>67</v>
      </c>
      <c r="B111" s="369">
        <v>0</v>
      </c>
      <c r="C111" s="369">
        <v>0</v>
      </c>
      <c r="D111" s="369">
        <v>0</v>
      </c>
      <c r="E111" s="369">
        <v>0</v>
      </c>
      <c r="F111" s="369">
        <v>0</v>
      </c>
      <c r="G111" s="369">
        <v>0</v>
      </c>
      <c r="H111" s="369">
        <v>0</v>
      </c>
      <c r="I111" s="185">
        <v>0</v>
      </c>
      <c r="J111" s="186">
        <v>0</v>
      </c>
      <c r="K111" s="8"/>
      <c r="L111" s="9" t="s">
        <v>123</v>
      </c>
      <c r="M111" s="10">
        <f t="shared" si="21"/>
        <v>0</v>
      </c>
      <c r="N111" s="41" t="str">
        <f>+IF(M104=0,"-",+M111/M104)</f>
        <v>-</v>
      </c>
      <c r="O111" s="6"/>
      <c r="P111" s="6"/>
    </row>
    <row r="112" spans="1:16" x14ac:dyDescent="0.25">
      <c r="A112" s="729" t="s">
        <v>122</v>
      </c>
      <c r="B112" s="187">
        <v>0</v>
      </c>
      <c r="C112" s="187">
        <v>0</v>
      </c>
      <c r="D112" s="187">
        <v>0</v>
      </c>
      <c r="E112" s="187">
        <v>0</v>
      </c>
      <c r="F112" s="187">
        <v>0</v>
      </c>
      <c r="G112" s="187">
        <v>0</v>
      </c>
      <c r="H112" s="187">
        <v>0</v>
      </c>
      <c r="I112" s="187">
        <v>0</v>
      </c>
      <c r="J112" s="188">
        <v>0</v>
      </c>
      <c r="K112" s="8"/>
      <c r="L112" s="11" t="s">
        <v>236</v>
      </c>
      <c r="M112" s="12">
        <f t="shared" si="21"/>
        <v>0</v>
      </c>
      <c r="N112" s="41" t="str">
        <f>+IF(M104=0,"-",+M112/M104)</f>
        <v>-</v>
      </c>
      <c r="O112" s="6"/>
      <c r="P112" s="6"/>
    </row>
    <row r="113" spans="1:16" s="5" customFormat="1" x14ac:dyDescent="0.25">
      <c r="A113" s="972" t="s">
        <v>625</v>
      </c>
      <c r="B113" s="973"/>
      <c r="C113" s="974"/>
      <c r="D113" s="974"/>
      <c r="E113" s="974"/>
      <c r="F113" s="974"/>
      <c r="G113" s="974"/>
      <c r="H113" s="974"/>
      <c r="I113" s="974"/>
      <c r="J113" s="975"/>
      <c r="M113" s="1"/>
    </row>
    <row r="114" spans="1:16" x14ac:dyDescent="0.25">
      <c r="A114" s="968">
        <f>+A104+33</f>
        <v>46111</v>
      </c>
      <c r="B114" s="969">
        <f t="shared" ref="B114:J114" si="22">SUM(B115:B121)</f>
        <v>0</v>
      </c>
      <c r="C114" s="970">
        <f t="shared" si="22"/>
        <v>0</v>
      </c>
      <c r="D114" s="970">
        <f t="shared" si="22"/>
        <v>0</v>
      </c>
      <c r="E114" s="970">
        <f t="shared" si="22"/>
        <v>0</v>
      </c>
      <c r="F114" s="970">
        <f t="shared" si="22"/>
        <v>0</v>
      </c>
      <c r="G114" s="970">
        <f t="shared" si="22"/>
        <v>0</v>
      </c>
      <c r="H114" s="970">
        <f t="shared" si="22"/>
        <v>0</v>
      </c>
      <c r="I114" s="970">
        <f t="shared" si="22"/>
        <v>0</v>
      </c>
      <c r="J114" s="971">
        <f t="shared" si="22"/>
        <v>0</v>
      </c>
      <c r="K114" s="5"/>
      <c r="L114" s="966">
        <f>+A114</f>
        <v>46111</v>
      </c>
      <c r="M114" s="967">
        <f>SUM(M115:M122)</f>
        <v>0</v>
      </c>
      <c r="N114" s="41">
        <f>+IF($M$1=0,"-",+M114/$M$1)</f>
        <v>0</v>
      </c>
      <c r="O114" s="6"/>
      <c r="P114" s="6"/>
    </row>
    <row r="115" spans="1:16" x14ac:dyDescent="0.25">
      <c r="A115" s="728" t="s">
        <v>7</v>
      </c>
      <c r="B115" s="369">
        <v>0</v>
      </c>
      <c r="C115" s="369">
        <v>0</v>
      </c>
      <c r="D115" s="369">
        <v>0</v>
      </c>
      <c r="E115" s="369">
        <v>0</v>
      </c>
      <c r="F115" s="369">
        <v>0</v>
      </c>
      <c r="G115" s="369">
        <v>0</v>
      </c>
      <c r="H115" s="369">
        <v>0</v>
      </c>
      <c r="I115" s="185">
        <v>0</v>
      </c>
      <c r="J115" s="186">
        <v>0</v>
      </c>
      <c r="K115" s="8"/>
      <c r="L115" s="76" t="s">
        <v>115</v>
      </c>
      <c r="M115" s="77">
        <f t="shared" ref="M115:M123" si="23">SUM(B115:J115)</f>
        <v>0</v>
      </c>
      <c r="N115" s="41" t="str">
        <f>+IF(M114=0,"-",+M115/M114)</f>
        <v>-</v>
      </c>
      <c r="O115" s="6"/>
      <c r="P115" s="6"/>
    </row>
    <row r="116" spans="1:16" x14ac:dyDescent="0.25">
      <c r="A116" s="728" t="s">
        <v>61</v>
      </c>
      <c r="B116" s="369">
        <v>0</v>
      </c>
      <c r="C116" s="369">
        <v>0</v>
      </c>
      <c r="D116" s="369">
        <v>0</v>
      </c>
      <c r="E116" s="369">
        <v>0</v>
      </c>
      <c r="F116" s="369">
        <v>0</v>
      </c>
      <c r="G116" s="369">
        <v>0</v>
      </c>
      <c r="H116" s="369">
        <v>0</v>
      </c>
      <c r="I116" s="185">
        <v>0</v>
      </c>
      <c r="J116" s="186">
        <v>0</v>
      </c>
      <c r="K116" s="8"/>
      <c r="L116" s="9" t="s">
        <v>116</v>
      </c>
      <c r="M116" s="10">
        <f t="shared" si="23"/>
        <v>0</v>
      </c>
      <c r="N116" s="41" t="str">
        <f>+IF(M114=0,"-",+M116/M114)</f>
        <v>-</v>
      </c>
      <c r="O116" s="6"/>
      <c r="P116" s="6"/>
    </row>
    <row r="117" spans="1:16" x14ac:dyDescent="0.25">
      <c r="A117" s="728" t="s">
        <v>62</v>
      </c>
      <c r="B117" s="369">
        <v>0</v>
      </c>
      <c r="C117" s="369">
        <v>0</v>
      </c>
      <c r="D117" s="369">
        <v>0</v>
      </c>
      <c r="E117" s="369">
        <v>0</v>
      </c>
      <c r="F117" s="369">
        <v>0</v>
      </c>
      <c r="G117" s="369">
        <v>0</v>
      </c>
      <c r="H117" s="369">
        <v>0</v>
      </c>
      <c r="I117" s="185">
        <v>0</v>
      </c>
      <c r="J117" s="186">
        <v>0</v>
      </c>
      <c r="K117" s="8"/>
      <c r="L117" s="9" t="s">
        <v>117</v>
      </c>
      <c r="M117" s="10">
        <f t="shared" si="23"/>
        <v>0</v>
      </c>
      <c r="N117" s="41" t="str">
        <f>+IF(M114=0,"-",+M117/M114)</f>
        <v>-</v>
      </c>
      <c r="O117" s="6"/>
      <c r="P117" s="6"/>
    </row>
    <row r="118" spans="1:16" x14ac:dyDescent="0.25">
      <c r="A118" s="728" t="s">
        <v>63</v>
      </c>
      <c r="B118" s="369">
        <v>0</v>
      </c>
      <c r="C118" s="369">
        <v>0</v>
      </c>
      <c r="D118" s="369">
        <v>0</v>
      </c>
      <c r="E118" s="369">
        <v>0</v>
      </c>
      <c r="F118" s="369">
        <v>0</v>
      </c>
      <c r="G118" s="369">
        <v>0</v>
      </c>
      <c r="H118" s="369">
        <v>0</v>
      </c>
      <c r="I118" s="185">
        <v>0</v>
      </c>
      <c r="J118" s="186">
        <v>0</v>
      </c>
      <c r="K118" s="8"/>
      <c r="L118" s="9" t="s">
        <v>118</v>
      </c>
      <c r="M118" s="10">
        <f t="shared" si="23"/>
        <v>0</v>
      </c>
      <c r="N118" s="41" t="str">
        <f>+IF(M114=0,"-",+M118/M114)</f>
        <v>-</v>
      </c>
      <c r="O118" s="6"/>
      <c r="P118" s="6"/>
    </row>
    <row r="119" spans="1:16" x14ac:dyDescent="0.25">
      <c r="A119" s="728" t="s">
        <v>119</v>
      </c>
      <c r="B119" s="369">
        <v>0</v>
      </c>
      <c r="C119" s="369">
        <v>0</v>
      </c>
      <c r="D119" s="369">
        <v>0</v>
      </c>
      <c r="E119" s="369">
        <v>0</v>
      </c>
      <c r="F119" s="369">
        <v>0</v>
      </c>
      <c r="G119" s="369">
        <v>0</v>
      </c>
      <c r="H119" s="369">
        <v>0</v>
      </c>
      <c r="I119" s="185">
        <v>0</v>
      </c>
      <c r="J119" s="186">
        <v>0</v>
      </c>
      <c r="K119" s="8"/>
      <c r="L119" s="9" t="s">
        <v>120</v>
      </c>
      <c r="M119" s="10">
        <f t="shared" si="23"/>
        <v>0</v>
      </c>
      <c r="N119" s="41" t="str">
        <f>+IF(M114=0,"-",+M119/M114)</f>
        <v>-</v>
      </c>
      <c r="O119" s="6"/>
      <c r="P119" s="6"/>
    </row>
    <row r="120" spans="1:16" x14ac:dyDescent="0.25">
      <c r="A120" s="728" t="s">
        <v>65</v>
      </c>
      <c r="B120" s="369">
        <v>0</v>
      </c>
      <c r="C120" s="369">
        <v>0</v>
      </c>
      <c r="D120" s="369">
        <v>0</v>
      </c>
      <c r="E120" s="369">
        <v>0</v>
      </c>
      <c r="F120" s="369">
        <v>0</v>
      </c>
      <c r="G120" s="369">
        <v>0</v>
      </c>
      <c r="H120" s="369">
        <v>0</v>
      </c>
      <c r="I120" s="185">
        <v>0</v>
      </c>
      <c r="J120" s="186">
        <v>0</v>
      </c>
      <c r="K120" s="8"/>
      <c r="L120" s="9" t="s">
        <v>121</v>
      </c>
      <c r="M120" s="10">
        <f t="shared" si="23"/>
        <v>0</v>
      </c>
      <c r="N120" s="41" t="str">
        <f>+IF(M114=0,"-",+M120/M114)</f>
        <v>-</v>
      </c>
      <c r="O120" s="6"/>
      <c r="P120" s="6"/>
    </row>
    <row r="121" spans="1:16" x14ac:dyDescent="0.25">
      <c r="A121" s="728" t="s">
        <v>67</v>
      </c>
      <c r="B121" s="369">
        <v>0</v>
      </c>
      <c r="C121" s="369">
        <v>0</v>
      </c>
      <c r="D121" s="369">
        <v>0</v>
      </c>
      <c r="E121" s="369">
        <v>0</v>
      </c>
      <c r="F121" s="369">
        <v>0</v>
      </c>
      <c r="G121" s="369">
        <v>0</v>
      </c>
      <c r="H121" s="369">
        <v>0</v>
      </c>
      <c r="I121" s="185">
        <v>0</v>
      </c>
      <c r="J121" s="186">
        <v>0</v>
      </c>
      <c r="K121" s="8"/>
      <c r="L121" s="9" t="s">
        <v>123</v>
      </c>
      <c r="M121" s="10">
        <f t="shared" si="23"/>
        <v>0</v>
      </c>
      <c r="N121" s="41" t="str">
        <f>+IF(M114=0,"-",+M121/M114)</f>
        <v>-</v>
      </c>
      <c r="O121" s="6"/>
      <c r="P121" s="6"/>
    </row>
    <row r="122" spans="1:16" ht="15.75" thickBot="1" x14ac:dyDescent="0.3">
      <c r="A122" s="729" t="s">
        <v>122</v>
      </c>
      <c r="B122" s="187">
        <v>0</v>
      </c>
      <c r="C122" s="187">
        <v>0</v>
      </c>
      <c r="D122" s="187">
        <v>0</v>
      </c>
      <c r="E122" s="187">
        <v>0</v>
      </c>
      <c r="F122" s="187">
        <v>0</v>
      </c>
      <c r="G122" s="187">
        <v>0</v>
      </c>
      <c r="H122" s="187">
        <v>0</v>
      </c>
      <c r="I122" s="187">
        <v>0</v>
      </c>
      <c r="J122" s="188">
        <v>0</v>
      </c>
      <c r="K122" s="8"/>
      <c r="L122" s="9" t="s">
        <v>236</v>
      </c>
      <c r="M122" s="10">
        <f t="shared" si="23"/>
        <v>0</v>
      </c>
      <c r="N122" s="41" t="str">
        <f>+IF(M114=0,"-",+M122/M114)</f>
        <v>-</v>
      </c>
      <c r="O122" s="6"/>
      <c r="P122" s="6"/>
    </row>
    <row r="123" spans="1:16" ht="15.75" thickBot="1" x14ac:dyDescent="0.3">
      <c r="A123" s="267" t="s">
        <v>7</v>
      </c>
      <c r="B123" s="268">
        <f t="shared" ref="B123:J123" si="24">+B115+B105+B95+B85+B75+B65+B55+B45+B35+B25+B15+B5</f>
        <v>181083</v>
      </c>
      <c r="C123" s="268">
        <f t="shared" si="24"/>
        <v>126083</v>
      </c>
      <c r="D123" s="268">
        <f t="shared" si="24"/>
        <v>86083</v>
      </c>
      <c r="E123" s="268">
        <f t="shared" si="24"/>
        <v>126083</v>
      </c>
      <c r="F123" s="268">
        <f t="shared" si="24"/>
        <v>48583</v>
      </c>
      <c r="G123" s="268">
        <f t="shared" si="24"/>
        <v>62333</v>
      </c>
      <c r="H123" s="268">
        <f t="shared" si="24"/>
        <v>15000</v>
      </c>
      <c r="I123" s="268">
        <f t="shared" si="24"/>
        <v>0</v>
      </c>
      <c r="J123" s="269">
        <f t="shared" si="24"/>
        <v>56083</v>
      </c>
      <c r="K123" s="18"/>
      <c r="L123" s="272" t="s">
        <v>316</v>
      </c>
      <c r="M123" s="273">
        <f t="shared" si="23"/>
        <v>701331</v>
      </c>
      <c r="N123" s="41"/>
      <c r="O123" s="6"/>
      <c r="P123" s="6"/>
    </row>
    <row r="124" spans="1:16" x14ac:dyDescent="0.25">
      <c r="A124" s="264" t="s">
        <v>61</v>
      </c>
      <c r="B124" s="265">
        <f t="shared" ref="B124:J124" si="25">+B116+B106+B96+B86+B76+B66+B56+B46+B36+B26+B16+B6</f>
        <v>97200</v>
      </c>
      <c r="C124" s="265">
        <f t="shared" si="25"/>
        <v>182940</v>
      </c>
      <c r="D124" s="265">
        <f t="shared" si="25"/>
        <v>35500</v>
      </c>
      <c r="E124" s="265">
        <f t="shared" si="25"/>
        <v>51606</v>
      </c>
      <c r="F124" s="265">
        <f t="shared" si="25"/>
        <v>0</v>
      </c>
      <c r="G124" s="265">
        <f t="shared" si="25"/>
        <v>7000</v>
      </c>
      <c r="H124" s="265">
        <f t="shared" si="25"/>
        <v>0</v>
      </c>
      <c r="I124" s="265">
        <f t="shared" si="25"/>
        <v>0</v>
      </c>
      <c r="J124" s="266">
        <f t="shared" si="25"/>
        <v>0</v>
      </c>
      <c r="K124" s="18"/>
      <c r="L124" s="270" t="s">
        <v>321</v>
      </c>
      <c r="M124" s="271">
        <f t="shared" ref="M124:M129" si="26">SUM(B124:J124)</f>
        <v>374246</v>
      </c>
      <c r="N124" s="41"/>
      <c r="O124" s="6"/>
      <c r="P124" s="6"/>
    </row>
    <row r="125" spans="1:16" x14ac:dyDescent="0.25">
      <c r="A125" s="254" t="s">
        <v>62</v>
      </c>
      <c r="B125" s="255">
        <f t="shared" ref="B125:J125" si="27">+B117+B107+B97+B87+B77+B67+B57+B47+B37+B27+B17+B7</f>
        <v>11990</v>
      </c>
      <c r="C125" s="255">
        <f t="shared" si="27"/>
        <v>42040</v>
      </c>
      <c r="D125" s="255">
        <f t="shared" si="27"/>
        <v>8490</v>
      </c>
      <c r="E125" s="255">
        <f t="shared" si="27"/>
        <v>183950</v>
      </c>
      <c r="F125" s="255">
        <f t="shared" si="27"/>
        <v>0</v>
      </c>
      <c r="G125" s="255">
        <f t="shared" si="27"/>
        <v>0</v>
      </c>
      <c r="H125" s="255">
        <f t="shared" si="27"/>
        <v>0</v>
      </c>
      <c r="I125" s="255">
        <f t="shared" si="27"/>
        <v>0</v>
      </c>
      <c r="J125" s="256">
        <f t="shared" si="27"/>
        <v>0</v>
      </c>
      <c r="K125" s="18"/>
      <c r="L125" s="260" t="s">
        <v>322</v>
      </c>
      <c r="M125" s="261">
        <f t="shared" si="26"/>
        <v>246470</v>
      </c>
      <c r="N125" s="41"/>
      <c r="O125" s="6"/>
      <c r="P125" s="6"/>
    </row>
    <row r="126" spans="1:16" x14ac:dyDescent="0.25">
      <c r="A126" s="254" t="s">
        <v>63</v>
      </c>
      <c r="B126" s="255">
        <f t="shared" ref="B126:J126" si="28">+B118+B108+B98+B88+B78+B68+B58+B48+B38+B28+B18+B8</f>
        <v>3000</v>
      </c>
      <c r="C126" s="255">
        <f t="shared" si="28"/>
        <v>6000</v>
      </c>
      <c r="D126" s="255">
        <f t="shared" si="28"/>
        <v>3000</v>
      </c>
      <c r="E126" s="255">
        <f t="shared" si="28"/>
        <v>3000</v>
      </c>
      <c r="F126" s="255">
        <f t="shared" si="28"/>
        <v>0</v>
      </c>
      <c r="G126" s="255">
        <f t="shared" si="28"/>
        <v>5000</v>
      </c>
      <c r="H126" s="255">
        <f t="shared" si="28"/>
        <v>0</v>
      </c>
      <c r="I126" s="255">
        <f t="shared" si="28"/>
        <v>0</v>
      </c>
      <c r="J126" s="256">
        <f t="shared" si="28"/>
        <v>0</v>
      </c>
      <c r="K126" s="18"/>
      <c r="L126" s="260" t="s">
        <v>323</v>
      </c>
      <c r="M126" s="261">
        <f t="shared" si="26"/>
        <v>20000</v>
      </c>
      <c r="N126" s="41"/>
      <c r="O126" s="6"/>
      <c r="P126" s="6"/>
    </row>
    <row r="127" spans="1:16" x14ac:dyDescent="0.25">
      <c r="A127" s="254" t="s">
        <v>119</v>
      </c>
      <c r="B127" s="255">
        <f t="shared" ref="B127:J127" si="29">+B119+B109+B99+B89+B79+B69+B59+B49+B39+B29+B19+B9</f>
        <v>0</v>
      </c>
      <c r="C127" s="255">
        <f t="shared" si="29"/>
        <v>18584</v>
      </c>
      <c r="D127" s="255">
        <f t="shared" si="29"/>
        <v>4500</v>
      </c>
      <c r="E127" s="255">
        <f t="shared" si="29"/>
        <v>15943</v>
      </c>
      <c r="F127" s="255">
        <f t="shared" si="29"/>
        <v>0</v>
      </c>
      <c r="G127" s="255">
        <f t="shared" si="29"/>
        <v>0</v>
      </c>
      <c r="H127" s="255">
        <f t="shared" si="29"/>
        <v>0</v>
      </c>
      <c r="I127" s="255">
        <f t="shared" si="29"/>
        <v>0</v>
      </c>
      <c r="J127" s="256">
        <f t="shared" si="29"/>
        <v>0</v>
      </c>
      <c r="K127" s="18"/>
      <c r="L127" s="260" t="s">
        <v>324</v>
      </c>
      <c r="M127" s="261">
        <f t="shared" si="26"/>
        <v>39027</v>
      </c>
      <c r="N127" s="41"/>
      <c r="O127" s="6"/>
      <c r="P127" s="6"/>
    </row>
    <row r="128" spans="1:16" x14ac:dyDescent="0.25">
      <c r="A128" s="254" t="s">
        <v>65</v>
      </c>
      <c r="B128" s="255">
        <f t="shared" ref="B128:J128" si="30">+B120+B110+B100+B90+B80+B70+B60+B50+B40+B30+B20+B10</f>
        <v>0</v>
      </c>
      <c r="C128" s="255">
        <f t="shared" si="30"/>
        <v>600</v>
      </c>
      <c r="D128" s="255">
        <f t="shared" si="30"/>
        <v>1000</v>
      </c>
      <c r="E128" s="255">
        <f t="shared" si="30"/>
        <v>0</v>
      </c>
      <c r="F128" s="255">
        <f t="shared" si="30"/>
        <v>0</v>
      </c>
      <c r="G128" s="255">
        <f t="shared" si="30"/>
        <v>0</v>
      </c>
      <c r="H128" s="255">
        <f t="shared" si="30"/>
        <v>0</v>
      </c>
      <c r="I128" s="255">
        <f t="shared" si="30"/>
        <v>0</v>
      </c>
      <c r="J128" s="256">
        <f t="shared" si="30"/>
        <v>0</v>
      </c>
      <c r="K128" s="18"/>
      <c r="L128" s="260" t="s">
        <v>347</v>
      </c>
      <c r="M128" s="261">
        <f t="shared" si="26"/>
        <v>1600</v>
      </c>
      <c r="N128" s="41"/>
      <c r="O128" s="6"/>
      <c r="P128" s="6"/>
    </row>
    <row r="129" spans="1:19" ht="15.75" thickBot="1" x14ac:dyDescent="0.3">
      <c r="A129" s="257" t="s">
        <v>67</v>
      </c>
      <c r="B129" s="258">
        <f t="shared" ref="B129:J129" si="31">+B121+B111+B101+B91+B81+B71+B61+B51+B41+B31+B21+B11</f>
        <v>206750</v>
      </c>
      <c r="C129" s="258">
        <f t="shared" si="31"/>
        <v>413899</v>
      </c>
      <c r="D129" s="258">
        <f t="shared" si="31"/>
        <v>150940</v>
      </c>
      <c r="E129" s="258">
        <f t="shared" si="31"/>
        <v>310293</v>
      </c>
      <c r="F129" s="258">
        <f t="shared" si="31"/>
        <v>0</v>
      </c>
      <c r="G129" s="258">
        <f t="shared" si="31"/>
        <v>0</v>
      </c>
      <c r="H129" s="258">
        <f t="shared" si="31"/>
        <v>0</v>
      </c>
      <c r="I129" s="258">
        <f t="shared" si="31"/>
        <v>0</v>
      </c>
      <c r="J129" s="259">
        <f t="shared" si="31"/>
        <v>0</v>
      </c>
      <c r="K129" s="18"/>
      <c r="L129" s="262" t="s">
        <v>325</v>
      </c>
      <c r="M129" s="263">
        <f t="shared" si="26"/>
        <v>1081882</v>
      </c>
      <c r="N129" s="41"/>
      <c r="O129" s="6"/>
      <c r="P129" s="6"/>
    </row>
    <row r="130" spans="1:19" ht="15.75" thickBot="1" x14ac:dyDescent="0.3">
      <c r="A130" s="307" t="s">
        <v>320</v>
      </c>
      <c r="B130" s="308">
        <f>+B114+B104+B94+B84+B74+B64+B54+B44+B34+B24+B14+B4</f>
        <v>500023</v>
      </c>
      <c r="C130" s="308">
        <f t="shared" ref="C130:J130" si="32">+C114+C104+C94+C84+C74+C64+C54+C44+C34+C24+C14+C4</f>
        <v>790146</v>
      </c>
      <c r="D130" s="308">
        <f t="shared" si="32"/>
        <v>272533</v>
      </c>
      <c r="E130" s="308">
        <f t="shared" si="32"/>
        <v>690875</v>
      </c>
      <c r="F130" s="308">
        <f t="shared" si="32"/>
        <v>48583</v>
      </c>
      <c r="G130" s="308">
        <f t="shared" si="32"/>
        <v>74333</v>
      </c>
      <c r="H130" s="308">
        <f t="shared" si="32"/>
        <v>15000</v>
      </c>
      <c r="I130" s="308">
        <f t="shared" si="32"/>
        <v>0</v>
      </c>
      <c r="J130" s="309">
        <f t="shared" si="32"/>
        <v>56083</v>
      </c>
      <c r="K130" s="5"/>
      <c r="L130" s="310" t="s">
        <v>319</v>
      </c>
      <c r="M130" s="311">
        <f>+M114+M104+M94+M84+M74+M64+M54+M44+M34+M24+M14+M4</f>
        <v>2462576</v>
      </c>
    </row>
    <row r="131" spans="1:19" ht="15.75" thickBot="1" x14ac:dyDescent="0.3">
      <c r="A131" s="307" t="s">
        <v>315</v>
      </c>
      <c r="B131" s="308">
        <f>+B122+B112+B102+B92+B82+B72+B62+B52+B42+B32+B22+B12</f>
        <v>0</v>
      </c>
      <c r="C131" s="308">
        <f t="shared" ref="C131:J131" si="33">+C122+C112+C102+C92+C82+C72+C62+C52+C42+C32+C22+C12</f>
        <v>40000</v>
      </c>
      <c r="D131" s="308">
        <f t="shared" si="33"/>
        <v>0</v>
      </c>
      <c r="E131" s="308">
        <f t="shared" si="33"/>
        <v>0</v>
      </c>
      <c r="F131" s="308">
        <f t="shared" si="33"/>
        <v>0</v>
      </c>
      <c r="G131" s="308">
        <f t="shared" si="33"/>
        <v>0</v>
      </c>
      <c r="H131" s="308">
        <f t="shared" si="33"/>
        <v>0</v>
      </c>
      <c r="I131" s="308">
        <f t="shared" si="33"/>
        <v>0</v>
      </c>
      <c r="J131" s="309">
        <f t="shared" si="33"/>
        <v>0</v>
      </c>
      <c r="K131" s="5"/>
      <c r="L131" s="310" t="s">
        <v>317</v>
      </c>
      <c r="M131" s="311">
        <f>+M122+M112+M102+M92+M82+M72+M62+M52+M42+M32+M22+M12</f>
        <v>15000</v>
      </c>
    </row>
    <row r="132" spans="1:19" ht="15.75" thickBot="1" x14ac:dyDescent="0.3">
      <c r="A132" s="7"/>
      <c r="L132" s="305" t="s">
        <v>318</v>
      </c>
      <c r="M132" s="306">
        <f>SUM(M123:M129)+M131</f>
        <v>2479556</v>
      </c>
      <c r="R132" s="76" t="s">
        <v>115</v>
      </c>
      <c r="S132" s="77">
        <f>+M5+M15+M25+M35+M45+M55+M65+M75+M85+M95+M105+M115</f>
        <v>701331</v>
      </c>
    </row>
    <row r="133" spans="1:19" x14ac:dyDescent="0.25">
      <c r="A133" s="7"/>
      <c r="M133" s="14"/>
      <c r="R133" s="9" t="s">
        <v>116</v>
      </c>
      <c r="S133" s="10">
        <f>+M6+M16+M26+M36+M46+M56+M66+M76+M86+M96+M106+M116</f>
        <v>374246</v>
      </c>
    </row>
    <row r="134" spans="1:19" x14ac:dyDescent="0.25">
      <c r="B134" s="253"/>
    </row>
  </sheetData>
  <autoFilter ref="A1:J122" xr:uid="{00000000-0009-0000-0000-000007000000}"/>
  <mergeCells count="1">
    <mergeCell ref="A1:A2"/>
  </mergeCells>
  <conditionalFormatting sqref="N4:N12 N14:N22 N24:N32 N34:N42 N44:N52 N54:N62 N64:N72 N74:N82 N84:N92 N94:N102 N104:N112 N114:N122">
    <cfRule type="colorScale" priority="1">
      <colorScale>
        <cfvo type="min"/>
        <cfvo type="max"/>
        <color rgb="FFFCFCFF"/>
        <color rgb="FFF8696B"/>
      </colorScale>
    </cfRule>
  </conditionalFormatting>
  <printOptions horizontalCentered="1" verticalCentered="1"/>
  <pageMargins left="0.70866141732283472" right="0.70866141732283472" top="0.74803149606299213" bottom="0.74803149606299213" header="0.31496062992125984" footer="0.31496062992125984"/>
  <pageSetup scale="54" orientation="landscape" horizontalDpi="300" verticalDpi="300" r:id="rId1"/>
  <rowBreaks count="1" manualBreakCount="1">
    <brk id="73" max="13" man="1"/>
  </rowBreaks>
  <colBreaks count="1" manualBreakCount="1">
    <brk id="14" max="1048575" man="1"/>
  </colBreaks>
  <ignoredErrors>
    <ignoredError sqref="B14 B114:J114 B104:J104 B94:J94 B84:J84 B74:J74 D14:J14 B4:L4 D123:L124 K114:L122 K5:M12 B24:J24 B34:J34 B44:J44 B54:J54 B64:J64 D126:L132 D125 F125:L125 K14:L22 K24:L32 K34:L42 K44:L52 K54:L62 K64:L72 K74:L82 K84:L92 K94:L102 K104:L112" formulaRange="1"/>
    <ignoredError sqref="M132 M131 M116:M121 M115 M122 M123:M130 M106 M105 M107:M112 M85:M91 M95:M102 M76:M81 M75 M82 M92 M65 M66:M72 M15:M22 M25:M32 M35:M42 M45:M52 M55:M62" formula="1" formulaRange="1"/>
    <ignoredError sqref="M14 M54"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0"/>
  <dimension ref="A1:J83"/>
  <sheetViews>
    <sheetView showGridLines="0" workbookViewId="0">
      <selection activeCell="A12" sqref="A12"/>
    </sheetView>
  </sheetViews>
  <sheetFormatPr baseColWidth="10" defaultColWidth="9.140625" defaultRowHeight="12.75" x14ac:dyDescent="0.2"/>
  <cols>
    <col min="1" max="1" width="15.5703125" style="932" bestFit="1" customWidth="1"/>
    <col min="2" max="2" width="51.42578125" style="932" bestFit="1" customWidth="1"/>
    <col min="3" max="3" width="29.140625" style="932" bestFit="1" customWidth="1"/>
    <col min="4" max="4" width="13" style="933" bestFit="1" customWidth="1"/>
    <col min="5" max="5" width="10.28515625" style="934" bestFit="1" customWidth="1"/>
    <col min="6" max="6" width="9.7109375" style="934" bestFit="1" customWidth="1"/>
    <col min="7" max="7" width="12.28515625" style="934" bestFit="1" customWidth="1"/>
    <col min="8" max="8" width="9.140625" style="932"/>
    <col min="9" max="9" width="12.28515625" style="984" bestFit="1" customWidth="1"/>
    <col min="10" max="10" width="10.140625" style="985" bestFit="1" customWidth="1"/>
    <col min="11" max="256" width="9.140625" style="932"/>
    <col min="257" max="257" width="15.5703125" style="932" bestFit="1" customWidth="1"/>
    <col min="258" max="258" width="51.42578125" style="932" bestFit="1" customWidth="1"/>
    <col min="259" max="259" width="29.140625" style="932" bestFit="1" customWidth="1"/>
    <col min="260" max="260" width="13" style="932" bestFit="1" customWidth="1"/>
    <col min="261" max="261" width="10.28515625" style="932" bestFit="1" customWidth="1"/>
    <col min="262" max="262" width="9.7109375" style="932" bestFit="1" customWidth="1"/>
    <col min="263" max="263" width="12.28515625" style="932" bestFit="1" customWidth="1"/>
    <col min="264" max="512" width="9.140625" style="932"/>
    <col min="513" max="513" width="15.5703125" style="932" bestFit="1" customWidth="1"/>
    <col min="514" max="514" width="51.42578125" style="932" bestFit="1" customWidth="1"/>
    <col min="515" max="515" width="29.140625" style="932" bestFit="1" customWidth="1"/>
    <col min="516" max="516" width="13" style="932" bestFit="1" customWidth="1"/>
    <col min="517" max="517" width="10.28515625" style="932" bestFit="1" customWidth="1"/>
    <col min="518" max="518" width="9.7109375" style="932" bestFit="1" customWidth="1"/>
    <col min="519" max="519" width="12.28515625" style="932" bestFit="1" customWidth="1"/>
    <col min="520" max="768" width="9.140625" style="932"/>
    <col min="769" max="769" width="15.5703125" style="932" bestFit="1" customWidth="1"/>
    <col min="770" max="770" width="51.42578125" style="932" bestFit="1" customWidth="1"/>
    <col min="771" max="771" width="29.140625" style="932" bestFit="1" customWidth="1"/>
    <col min="772" max="772" width="13" style="932" bestFit="1" customWidth="1"/>
    <col min="773" max="773" width="10.28515625" style="932" bestFit="1" customWidth="1"/>
    <col min="774" max="774" width="9.7109375" style="932" bestFit="1" customWidth="1"/>
    <col min="775" max="775" width="12.28515625" style="932" bestFit="1" customWidth="1"/>
    <col min="776" max="1024" width="9.140625" style="932"/>
    <col min="1025" max="1025" width="15.5703125" style="932" bestFit="1" customWidth="1"/>
    <col min="1026" max="1026" width="51.42578125" style="932" bestFit="1" customWidth="1"/>
    <col min="1027" max="1027" width="29.140625" style="932" bestFit="1" customWidth="1"/>
    <col min="1028" max="1028" width="13" style="932" bestFit="1" customWidth="1"/>
    <col min="1029" max="1029" width="10.28515625" style="932" bestFit="1" customWidth="1"/>
    <col min="1030" max="1030" width="9.7109375" style="932" bestFit="1" customWidth="1"/>
    <col min="1031" max="1031" width="12.28515625" style="932" bestFit="1" customWidth="1"/>
    <col min="1032" max="1280" width="9.140625" style="932"/>
    <col min="1281" max="1281" width="15.5703125" style="932" bestFit="1" customWidth="1"/>
    <col min="1282" max="1282" width="51.42578125" style="932" bestFit="1" customWidth="1"/>
    <col min="1283" max="1283" width="29.140625" style="932" bestFit="1" customWidth="1"/>
    <col min="1284" max="1284" width="13" style="932" bestFit="1" customWidth="1"/>
    <col min="1285" max="1285" width="10.28515625" style="932" bestFit="1" customWidth="1"/>
    <col min="1286" max="1286" width="9.7109375" style="932" bestFit="1" customWidth="1"/>
    <col min="1287" max="1287" width="12.28515625" style="932" bestFit="1" customWidth="1"/>
    <col min="1288" max="1536" width="9.140625" style="932"/>
    <col min="1537" max="1537" width="15.5703125" style="932" bestFit="1" customWidth="1"/>
    <col min="1538" max="1538" width="51.42578125" style="932" bestFit="1" customWidth="1"/>
    <col min="1539" max="1539" width="29.140625" style="932" bestFit="1" customWidth="1"/>
    <col min="1540" max="1540" width="13" style="932" bestFit="1" customWidth="1"/>
    <col min="1541" max="1541" width="10.28515625" style="932" bestFit="1" customWidth="1"/>
    <col min="1542" max="1542" width="9.7109375" style="932" bestFit="1" customWidth="1"/>
    <col min="1543" max="1543" width="12.28515625" style="932" bestFit="1" customWidth="1"/>
    <col min="1544" max="1792" width="9.140625" style="932"/>
    <col min="1793" max="1793" width="15.5703125" style="932" bestFit="1" customWidth="1"/>
    <col min="1794" max="1794" width="51.42578125" style="932" bestFit="1" customWidth="1"/>
    <col min="1795" max="1795" width="29.140625" style="932" bestFit="1" customWidth="1"/>
    <col min="1796" max="1796" width="13" style="932" bestFit="1" customWidth="1"/>
    <col min="1797" max="1797" width="10.28515625" style="932" bestFit="1" customWidth="1"/>
    <col min="1798" max="1798" width="9.7109375" style="932" bestFit="1" customWidth="1"/>
    <col min="1799" max="1799" width="12.28515625" style="932" bestFit="1" customWidth="1"/>
    <col min="1800" max="2048" width="9.140625" style="932"/>
    <col min="2049" max="2049" width="15.5703125" style="932" bestFit="1" customWidth="1"/>
    <col min="2050" max="2050" width="51.42578125" style="932" bestFit="1" customWidth="1"/>
    <col min="2051" max="2051" width="29.140625" style="932" bestFit="1" customWidth="1"/>
    <col min="2052" max="2052" width="13" style="932" bestFit="1" customWidth="1"/>
    <col min="2053" max="2053" width="10.28515625" style="932" bestFit="1" customWidth="1"/>
    <col min="2054" max="2054" width="9.7109375" style="932" bestFit="1" customWidth="1"/>
    <col min="2055" max="2055" width="12.28515625" style="932" bestFit="1" customWidth="1"/>
    <col min="2056" max="2304" width="9.140625" style="932"/>
    <col min="2305" max="2305" width="15.5703125" style="932" bestFit="1" customWidth="1"/>
    <col min="2306" max="2306" width="51.42578125" style="932" bestFit="1" customWidth="1"/>
    <col min="2307" max="2307" width="29.140625" style="932" bestFit="1" customWidth="1"/>
    <col min="2308" max="2308" width="13" style="932" bestFit="1" customWidth="1"/>
    <col min="2309" max="2309" width="10.28515625" style="932" bestFit="1" customWidth="1"/>
    <col min="2310" max="2310" width="9.7109375" style="932" bestFit="1" customWidth="1"/>
    <col min="2311" max="2311" width="12.28515625" style="932" bestFit="1" customWidth="1"/>
    <col min="2312" max="2560" width="9.140625" style="932"/>
    <col min="2561" max="2561" width="15.5703125" style="932" bestFit="1" customWidth="1"/>
    <col min="2562" max="2562" width="51.42578125" style="932" bestFit="1" customWidth="1"/>
    <col min="2563" max="2563" width="29.140625" style="932" bestFit="1" customWidth="1"/>
    <col min="2564" max="2564" width="13" style="932" bestFit="1" customWidth="1"/>
    <col min="2565" max="2565" width="10.28515625" style="932" bestFit="1" customWidth="1"/>
    <col min="2566" max="2566" width="9.7109375" style="932" bestFit="1" customWidth="1"/>
    <col min="2567" max="2567" width="12.28515625" style="932" bestFit="1" customWidth="1"/>
    <col min="2568" max="2816" width="9.140625" style="932"/>
    <col min="2817" max="2817" width="15.5703125" style="932" bestFit="1" customWidth="1"/>
    <col min="2818" max="2818" width="51.42578125" style="932" bestFit="1" customWidth="1"/>
    <col min="2819" max="2819" width="29.140625" style="932" bestFit="1" customWidth="1"/>
    <col min="2820" max="2820" width="13" style="932" bestFit="1" customWidth="1"/>
    <col min="2821" max="2821" width="10.28515625" style="932" bestFit="1" customWidth="1"/>
    <col min="2822" max="2822" width="9.7109375" style="932" bestFit="1" customWidth="1"/>
    <col min="2823" max="2823" width="12.28515625" style="932" bestFit="1" customWidth="1"/>
    <col min="2824" max="3072" width="9.140625" style="932"/>
    <col min="3073" max="3073" width="15.5703125" style="932" bestFit="1" customWidth="1"/>
    <col min="3074" max="3074" width="51.42578125" style="932" bestFit="1" customWidth="1"/>
    <col min="3075" max="3075" width="29.140625" style="932" bestFit="1" customWidth="1"/>
    <col min="3076" max="3076" width="13" style="932" bestFit="1" customWidth="1"/>
    <col min="3077" max="3077" width="10.28515625" style="932" bestFit="1" customWidth="1"/>
    <col min="3078" max="3078" width="9.7109375" style="932" bestFit="1" customWidth="1"/>
    <col min="3079" max="3079" width="12.28515625" style="932" bestFit="1" customWidth="1"/>
    <col min="3080" max="3328" width="9.140625" style="932"/>
    <col min="3329" max="3329" width="15.5703125" style="932" bestFit="1" customWidth="1"/>
    <col min="3330" max="3330" width="51.42578125" style="932" bestFit="1" customWidth="1"/>
    <col min="3331" max="3331" width="29.140625" style="932" bestFit="1" customWidth="1"/>
    <col min="3332" max="3332" width="13" style="932" bestFit="1" customWidth="1"/>
    <col min="3333" max="3333" width="10.28515625" style="932" bestFit="1" customWidth="1"/>
    <col min="3334" max="3334" width="9.7109375" style="932" bestFit="1" customWidth="1"/>
    <col min="3335" max="3335" width="12.28515625" style="932" bestFit="1" customWidth="1"/>
    <col min="3336" max="3584" width="9.140625" style="932"/>
    <col min="3585" max="3585" width="15.5703125" style="932" bestFit="1" customWidth="1"/>
    <col min="3586" max="3586" width="51.42578125" style="932" bestFit="1" customWidth="1"/>
    <col min="3587" max="3587" width="29.140625" style="932" bestFit="1" customWidth="1"/>
    <col min="3588" max="3588" width="13" style="932" bestFit="1" customWidth="1"/>
    <col min="3589" max="3589" width="10.28515625" style="932" bestFit="1" customWidth="1"/>
    <col min="3590" max="3590" width="9.7109375" style="932" bestFit="1" customWidth="1"/>
    <col min="3591" max="3591" width="12.28515625" style="932" bestFit="1" customWidth="1"/>
    <col min="3592" max="3840" width="9.140625" style="932"/>
    <col min="3841" max="3841" width="15.5703125" style="932" bestFit="1" customWidth="1"/>
    <col min="3842" max="3842" width="51.42578125" style="932" bestFit="1" customWidth="1"/>
    <col min="3843" max="3843" width="29.140625" style="932" bestFit="1" customWidth="1"/>
    <col min="3844" max="3844" width="13" style="932" bestFit="1" customWidth="1"/>
    <col min="3845" max="3845" width="10.28515625" style="932" bestFit="1" customWidth="1"/>
    <col min="3846" max="3846" width="9.7109375" style="932" bestFit="1" customWidth="1"/>
    <col min="3847" max="3847" width="12.28515625" style="932" bestFit="1" customWidth="1"/>
    <col min="3848" max="4096" width="9.140625" style="932"/>
    <col min="4097" max="4097" width="15.5703125" style="932" bestFit="1" customWidth="1"/>
    <col min="4098" max="4098" width="51.42578125" style="932" bestFit="1" customWidth="1"/>
    <col min="4099" max="4099" width="29.140625" style="932" bestFit="1" customWidth="1"/>
    <col min="4100" max="4100" width="13" style="932" bestFit="1" customWidth="1"/>
    <col min="4101" max="4101" width="10.28515625" style="932" bestFit="1" customWidth="1"/>
    <col min="4102" max="4102" width="9.7109375" style="932" bestFit="1" customWidth="1"/>
    <col min="4103" max="4103" width="12.28515625" style="932" bestFit="1" customWidth="1"/>
    <col min="4104" max="4352" width="9.140625" style="932"/>
    <col min="4353" max="4353" width="15.5703125" style="932" bestFit="1" customWidth="1"/>
    <col min="4354" max="4354" width="51.42578125" style="932" bestFit="1" customWidth="1"/>
    <col min="4355" max="4355" width="29.140625" style="932" bestFit="1" customWidth="1"/>
    <col min="4356" max="4356" width="13" style="932" bestFit="1" customWidth="1"/>
    <col min="4357" max="4357" width="10.28515625" style="932" bestFit="1" customWidth="1"/>
    <col min="4358" max="4358" width="9.7109375" style="932" bestFit="1" customWidth="1"/>
    <col min="4359" max="4359" width="12.28515625" style="932" bestFit="1" customWidth="1"/>
    <col min="4360" max="4608" width="9.140625" style="932"/>
    <col min="4609" max="4609" width="15.5703125" style="932" bestFit="1" customWidth="1"/>
    <col min="4610" max="4610" width="51.42578125" style="932" bestFit="1" customWidth="1"/>
    <col min="4611" max="4611" width="29.140625" style="932" bestFit="1" customWidth="1"/>
    <col min="4612" max="4612" width="13" style="932" bestFit="1" customWidth="1"/>
    <col min="4613" max="4613" width="10.28515625" style="932" bestFit="1" customWidth="1"/>
    <col min="4614" max="4614" width="9.7109375" style="932" bestFit="1" customWidth="1"/>
    <col min="4615" max="4615" width="12.28515625" style="932" bestFit="1" customWidth="1"/>
    <col min="4616" max="4864" width="9.140625" style="932"/>
    <col min="4865" max="4865" width="15.5703125" style="932" bestFit="1" customWidth="1"/>
    <col min="4866" max="4866" width="51.42578125" style="932" bestFit="1" customWidth="1"/>
    <col min="4867" max="4867" width="29.140625" style="932" bestFit="1" customWidth="1"/>
    <col min="4868" max="4868" width="13" style="932" bestFit="1" customWidth="1"/>
    <col min="4869" max="4869" width="10.28515625" style="932" bestFit="1" customWidth="1"/>
    <col min="4870" max="4870" width="9.7109375" style="932" bestFit="1" customWidth="1"/>
    <col min="4871" max="4871" width="12.28515625" style="932" bestFit="1" customWidth="1"/>
    <col min="4872" max="5120" width="9.140625" style="932"/>
    <col min="5121" max="5121" width="15.5703125" style="932" bestFit="1" customWidth="1"/>
    <col min="5122" max="5122" width="51.42578125" style="932" bestFit="1" customWidth="1"/>
    <col min="5123" max="5123" width="29.140625" style="932" bestFit="1" customWidth="1"/>
    <col min="5124" max="5124" width="13" style="932" bestFit="1" customWidth="1"/>
    <col min="5125" max="5125" width="10.28515625" style="932" bestFit="1" customWidth="1"/>
    <col min="5126" max="5126" width="9.7109375" style="932" bestFit="1" customWidth="1"/>
    <col min="5127" max="5127" width="12.28515625" style="932" bestFit="1" customWidth="1"/>
    <col min="5128" max="5376" width="9.140625" style="932"/>
    <col min="5377" max="5377" width="15.5703125" style="932" bestFit="1" customWidth="1"/>
    <col min="5378" max="5378" width="51.42578125" style="932" bestFit="1" customWidth="1"/>
    <col min="5379" max="5379" width="29.140625" style="932" bestFit="1" customWidth="1"/>
    <col min="5380" max="5380" width="13" style="932" bestFit="1" customWidth="1"/>
    <col min="5381" max="5381" width="10.28515625" style="932" bestFit="1" customWidth="1"/>
    <col min="5382" max="5382" width="9.7109375" style="932" bestFit="1" customWidth="1"/>
    <col min="5383" max="5383" width="12.28515625" style="932" bestFit="1" customWidth="1"/>
    <col min="5384" max="5632" width="9.140625" style="932"/>
    <col min="5633" max="5633" width="15.5703125" style="932" bestFit="1" customWidth="1"/>
    <col min="5634" max="5634" width="51.42578125" style="932" bestFit="1" customWidth="1"/>
    <col min="5635" max="5635" width="29.140625" style="932" bestFit="1" customWidth="1"/>
    <col min="5636" max="5636" width="13" style="932" bestFit="1" customWidth="1"/>
    <col min="5637" max="5637" width="10.28515625" style="932" bestFit="1" customWidth="1"/>
    <col min="5638" max="5638" width="9.7109375" style="932" bestFit="1" customWidth="1"/>
    <col min="5639" max="5639" width="12.28515625" style="932" bestFit="1" customWidth="1"/>
    <col min="5640" max="5888" width="9.140625" style="932"/>
    <col min="5889" max="5889" width="15.5703125" style="932" bestFit="1" customWidth="1"/>
    <col min="5890" max="5890" width="51.42578125" style="932" bestFit="1" customWidth="1"/>
    <col min="5891" max="5891" width="29.140625" style="932" bestFit="1" customWidth="1"/>
    <col min="5892" max="5892" width="13" style="932" bestFit="1" customWidth="1"/>
    <col min="5893" max="5893" width="10.28515625" style="932" bestFit="1" customWidth="1"/>
    <col min="5894" max="5894" width="9.7109375" style="932" bestFit="1" customWidth="1"/>
    <col min="5895" max="5895" width="12.28515625" style="932" bestFit="1" customWidth="1"/>
    <col min="5896" max="6144" width="9.140625" style="932"/>
    <col min="6145" max="6145" width="15.5703125" style="932" bestFit="1" customWidth="1"/>
    <col min="6146" max="6146" width="51.42578125" style="932" bestFit="1" customWidth="1"/>
    <col min="6147" max="6147" width="29.140625" style="932" bestFit="1" customWidth="1"/>
    <col min="6148" max="6148" width="13" style="932" bestFit="1" customWidth="1"/>
    <col min="6149" max="6149" width="10.28515625" style="932" bestFit="1" customWidth="1"/>
    <col min="6150" max="6150" width="9.7109375" style="932" bestFit="1" customWidth="1"/>
    <col min="6151" max="6151" width="12.28515625" style="932" bestFit="1" customWidth="1"/>
    <col min="6152" max="6400" width="9.140625" style="932"/>
    <col min="6401" max="6401" width="15.5703125" style="932" bestFit="1" customWidth="1"/>
    <col min="6402" max="6402" width="51.42578125" style="932" bestFit="1" customWidth="1"/>
    <col min="6403" max="6403" width="29.140625" style="932" bestFit="1" customWidth="1"/>
    <col min="6404" max="6404" width="13" style="932" bestFit="1" customWidth="1"/>
    <col min="6405" max="6405" width="10.28515625" style="932" bestFit="1" customWidth="1"/>
    <col min="6406" max="6406" width="9.7109375" style="932" bestFit="1" customWidth="1"/>
    <col min="6407" max="6407" width="12.28515625" style="932" bestFit="1" customWidth="1"/>
    <col min="6408" max="6656" width="9.140625" style="932"/>
    <col min="6657" max="6657" width="15.5703125" style="932" bestFit="1" customWidth="1"/>
    <col min="6658" max="6658" width="51.42578125" style="932" bestFit="1" customWidth="1"/>
    <col min="6659" max="6659" width="29.140625" style="932" bestFit="1" customWidth="1"/>
    <col min="6660" max="6660" width="13" style="932" bestFit="1" customWidth="1"/>
    <col min="6661" max="6661" width="10.28515625" style="932" bestFit="1" customWidth="1"/>
    <col min="6662" max="6662" width="9.7109375" style="932" bestFit="1" customWidth="1"/>
    <col min="6663" max="6663" width="12.28515625" style="932" bestFit="1" customWidth="1"/>
    <col min="6664" max="6912" width="9.140625" style="932"/>
    <col min="6913" max="6913" width="15.5703125" style="932" bestFit="1" customWidth="1"/>
    <col min="6914" max="6914" width="51.42578125" style="932" bestFit="1" customWidth="1"/>
    <col min="6915" max="6915" width="29.140625" style="932" bestFit="1" customWidth="1"/>
    <col min="6916" max="6916" width="13" style="932" bestFit="1" customWidth="1"/>
    <col min="6917" max="6917" width="10.28515625" style="932" bestFit="1" customWidth="1"/>
    <col min="6918" max="6918" width="9.7109375" style="932" bestFit="1" customWidth="1"/>
    <col min="6919" max="6919" width="12.28515625" style="932" bestFit="1" customWidth="1"/>
    <col min="6920" max="7168" width="9.140625" style="932"/>
    <col min="7169" max="7169" width="15.5703125" style="932" bestFit="1" customWidth="1"/>
    <col min="7170" max="7170" width="51.42578125" style="932" bestFit="1" customWidth="1"/>
    <col min="7171" max="7171" width="29.140625" style="932" bestFit="1" customWidth="1"/>
    <col min="7172" max="7172" width="13" style="932" bestFit="1" customWidth="1"/>
    <col min="7173" max="7173" width="10.28515625" style="932" bestFit="1" customWidth="1"/>
    <col min="7174" max="7174" width="9.7109375" style="932" bestFit="1" customWidth="1"/>
    <col min="7175" max="7175" width="12.28515625" style="932" bestFit="1" customWidth="1"/>
    <col min="7176" max="7424" width="9.140625" style="932"/>
    <col min="7425" max="7425" width="15.5703125" style="932" bestFit="1" customWidth="1"/>
    <col min="7426" max="7426" width="51.42578125" style="932" bestFit="1" customWidth="1"/>
    <col min="7427" max="7427" width="29.140625" style="932" bestFit="1" customWidth="1"/>
    <col min="7428" max="7428" width="13" style="932" bestFit="1" customWidth="1"/>
    <col min="7429" max="7429" width="10.28515625" style="932" bestFit="1" customWidth="1"/>
    <col min="7430" max="7430" width="9.7109375" style="932" bestFit="1" customWidth="1"/>
    <col min="7431" max="7431" width="12.28515625" style="932" bestFit="1" customWidth="1"/>
    <col min="7432" max="7680" width="9.140625" style="932"/>
    <col min="7681" max="7681" width="15.5703125" style="932" bestFit="1" customWidth="1"/>
    <col min="7682" max="7682" width="51.42578125" style="932" bestFit="1" customWidth="1"/>
    <col min="7683" max="7683" width="29.140625" style="932" bestFit="1" customWidth="1"/>
    <col min="7684" max="7684" width="13" style="932" bestFit="1" customWidth="1"/>
    <col min="7685" max="7685" width="10.28515625" style="932" bestFit="1" customWidth="1"/>
    <col min="7686" max="7686" width="9.7109375" style="932" bestFit="1" customWidth="1"/>
    <col min="7687" max="7687" width="12.28515625" style="932" bestFit="1" customWidth="1"/>
    <col min="7688" max="7936" width="9.140625" style="932"/>
    <col min="7937" max="7937" width="15.5703125" style="932" bestFit="1" customWidth="1"/>
    <col min="7938" max="7938" width="51.42578125" style="932" bestFit="1" customWidth="1"/>
    <col min="7939" max="7939" width="29.140625" style="932" bestFit="1" customWidth="1"/>
    <col min="7940" max="7940" width="13" style="932" bestFit="1" customWidth="1"/>
    <col min="7941" max="7941" width="10.28515625" style="932" bestFit="1" customWidth="1"/>
    <col min="7942" max="7942" width="9.7109375" style="932" bestFit="1" customWidth="1"/>
    <col min="7943" max="7943" width="12.28515625" style="932" bestFit="1" customWidth="1"/>
    <col min="7944" max="8192" width="9.140625" style="932"/>
    <col min="8193" max="8193" width="15.5703125" style="932" bestFit="1" customWidth="1"/>
    <col min="8194" max="8194" width="51.42578125" style="932" bestFit="1" customWidth="1"/>
    <col min="8195" max="8195" width="29.140625" style="932" bestFit="1" customWidth="1"/>
    <col min="8196" max="8196" width="13" style="932" bestFit="1" customWidth="1"/>
    <col min="8197" max="8197" width="10.28515625" style="932" bestFit="1" customWidth="1"/>
    <col min="8198" max="8198" width="9.7109375" style="932" bestFit="1" customWidth="1"/>
    <col min="8199" max="8199" width="12.28515625" style="932" bestFit="1" customWidth="1"/>
    <col min="8200" max="8448" width="9.140625" style="932"/>
    <col min="8449" max="8449" width="15.5703125" style="932" bestFit="1" customWidth="1"/>
    <col min="8450" max="8450" width="51.42578125" style="932" bestFit="1" customWidth="1"/>
    <col min="8451" max="8451" width="29.140625" style="932" bestFit="1" customWidth="1"/>
    <col min="8452" max="8452" width="13" style="932" bestFit="1" customWidth="1"/>
    <col min="8453" max="8453" width="10.28515625" style="932" bestFit="1" customWidth="1"/>
    <col min="8454" max="8454" width="9.7109375" style="932" bestFit="1" customWidth="1"/>
    <col min="8455" max="8455" width="12.28515625" style="932" bestFit="1" customWidth="1"/>
    <col min="8456" max="8704" width="9.140625" style="932"/>
    <col min="8705" max="8705" width="15.5703125" style="932" bestFit="1" customWidth="1"/>
    <col min="8706" max="8706" width="51.42578125" style="932" bestFit="1" customWidth="1"/>
    <col min="8707" max="8707" width="29.140625" style="932" bestFit="1" customWidth="1"/>
    <col min="8708" max="8708" width="13" style="932" bestFit="1" customWidth="1"/>
    <col min="8709" max="8709" width="10.28515625" style="932" bestFit="1" customWidth="1"/>
    <col min="8710" max="8710" width="9.7109375" style="932" bestFit="1" customWidth="1"/>
    <col min="8711" max="8711" width="12.28515625" style="932" bestFit="1" customWidth="1"/>
    <col min="8712" max="8960" width="9.140625" style="932"/>
    <col min="8961" max="8961" width="15.5703125" style="932" bestFit="1" customWidth="1"/>
    <col min="8962" max="8962" width="51.42578125" style="932" bestFit="1" customWidth="1"/>
    <col min="8963" max="8963" width="29.140625" style="932" bestFit="1" customWidth="1"/>
    <col min="8964" max="8964" width="13" style="932" bestFit="1" customWidth="1"/>
    <col min="8965" max="8965" width="10.28515625" style="932" bestFit="1" customWidth="1"/>
    <col min="8966" max="8966" width="9.7109375" style="932" bestFit="1" customWidth="1"/>
    <col min="8967" max="8967" width="12.28515625" style="932" bestFit="1" customWidth="1"/>
    <col min="8968" max="9216" width="9.140625" style="932"/>
    <col min="9217" max="9217" width="15.5703125" style="932" bestFit="1" customWidth="1"/>
    <col min="9218" max="9218" width="51.42578125" style="932" bestFit="1" customWidth="1"/>
    <col min="9219" max="9219" width="29.140625" style="932" bestFit="1" customWidth="1"/>
    <col min="9220" max="9220" width="13" style="932" bestFit="1" customWidth="1"/>
    <col min="9221" max="9221" width="10.28515625" style="932" bestFit="1" customWidth="1"/>
    <col min="9222" max="9222" width="9.7109375" style="932" bestFit="1" customWidth="1"/>
    <col min="9223" max="9223" width="12.28515625" style="932" bestFit="1" customWidth="1"/>
    <col min="9224" max="9472" width="9.140625" style="932"/>
    <col min="9473" max="9473" width="15.5703125" style="932" bestFit="1" customWidth="1"/>
    <col min="9474" max="9474" width="51.42578125" style="932" bestFit="1" customWidth="1"/>
    <col min="9475" max="9475" width="29.140625" style="932" bestFit="1" customWidth="1"/>
    <col min="9476" max="9476" width="13" style="932" bestFit="1" customWidth="1"/>
    <col min="9477" max="9477" width="10.28515625" style="932" bestFit="1" customWidth="1"/>
    <col min="9478" max="9478" width="9.7109375" style="932" bestFit="1" customWidth="1"/>
    <col min="9479" max="9479" width="12.28515625" style="932" bestFit="1" customWidth="1"/>
    <col min="9480" max="9728" width="9.140625" style="932"/>
    <col min="9729" max="9729" width="15.5703125" style="932" bestFit="1" customWidth="1"/>
    <col min="9730" max="9730" width="51.42578125" style="932" bestFit="1" customWidth="1"/>
    <col min="9731" max="9731" width="29.140625" style="932" bestFit="1" customWidth="1"/>
    <col min="9732" max="9732" width="13" style="932" bestFit="1" customWidth="1"/>
    <col min="9733" max="9733" width="10.28515625" style="932" bestFit="1" customWidth="1"/>
    <col min="9734" max="9734" width="9.7109375" style="932" bestFit="1" customWidth="1"/>
    <col min="9735" max="9735" width="12.28515625" style="932" bestFit="1" customWidth="1"/>
    <col min="9736" max="9984" width="9.140625" style="932"/>
    <col min="9985" max="9985" width="15.5703125" style="932" bestFit="1" customWidth="1"/>
    <col min="9986" max="9986" width="51.42578125" style="932" bestFit="1" customWidth="1"/>
    <col min="9987" max="9987" width="29.140625" style="932" bestFit="1" customWidth="1"/>
    <col min="9988" max="9988" width="13" style="932" bestFit="1" customWidth="1"/>
    <col min="9989" max="9989" width="10.28515625" style="932" bestFit="1" customWidth="1"/>
    <col min="9990" max="9990" width="9.7109375" style="932" bestFit="1" customWidth="1"/>
    <col min="9991" max="9991" width="12.28515625" style="932" bestFit="1" customWidth="1"/>
    <col min="9992" max="10240" width="9.140625" style="932"/>
    <col min="10241" max="10241" width="15.5703125" style="932" bestFit="1" customWidth="1"/>
    <col min="10242" max="10242" width="51.42578125" style="932" bestFit="1" customWidth="1"/>
    <col min="10243" max="10243" width="29.140625" style="932" bestFit="1" customWidth="1"/>
    <col min="10244" max="10244" width="13" style="932" bestFit="1" customWidth="1"/>
    <col min="10245" max="10245" width="10.28515625" style="932" bestFit="1" customWidth="1"/>
    <col min="10246" max="10246" width="9.7109375" style="932" bestFit="1" customWidth="1"/>
    <col min="10247" max="10247" width="12.28515625" style="932" bestFit="1" customWidth="1"/>
    <col min="10248" max="10496" width="9.140625" style="932"/>
    <col min="10497" max="10497" width="15.5703125" style="932" bestFit="1" customWidth="1"/>
    <col min="10498" max="10498" width="51.42578125" style="932" bestFit="1" customWidth="1"/>
    <col min="10499" max="10499" width="29.140625" style="932" bestFit="1" customWidth="1"/>
    <col min="10500" max="10500" width="13" style="932" bestFit="1" customWidth="1"/>
    <col min="10501" max="10501" width="10.28515625" style="932" bestFit="1" customWidth="1"/>
    <col min="10502" max="10502" width="9.7109375" style="932" bestFit="1" customWidth="1"/>
    <col min="10503" max="10503" width="12.28515625" style="932" bestFit="1" customWidth="1"/>
    <col min="10504" max="10752" width="9.140625" style="932"/>
    <col min="10753" max="10753" width="15.5703125" style="932" bestFit="1" customWidth="1"/>
    <col min="10754" max="10754" width="51.42578125" style="932" bestFit="1" customWidth="1"/>
    <col min="10755" max="10755" width="29.140625" style="932" bestFit="1" customWidth="1"/>
    <col min="10756" max="10756" width="13" style="932" bestFit="1" customWidth="1"/>
    <col min="10757" max="10757" width="10.28515625" style="932" bestFit="1" customWidth="1"/>
    <col min="10758" max="10758" width="9.7109375" style="932" bestFit="1" customWidth="1"/>
    <col min="10759" max="10759" width="12.28515625" style="932" bestFit="1" customWidth="1"/>
    <col min="10760" max="11008" width="9.140625" style="932"/>
    <col min="11009" max="11009" width="15.5703125" style="932" bestFit="1" customWidth="1"/>
    <col min="11010" max="11010" width="51.42578125" style="932" bestFit="1" customWidth="1"/>
    <col min="11011" max="11011" width="29.140625" style="932" bestFit="1" customWidth="1"/>
    <col min="11012" max="11012" width="13" style="932" bestFit="1" customWidth="1"/>
    <col min="11013" max="11013" width="10.28515625" style="932" bestFit="1" customWidth="1"/>
    <col min="11014" max="11014" width="9.7109375" style="932" bestFit="1" customWidth="1"/>
    <col min="11015" max="11015" width="12.28515625" style="932" bestFit="1" customWidth="1"/>
    <col min="11016" max="11264" width="9.140625" style="932"/>
    <col min="11265" max="11265" width="15.5703125" style="932" bestFit="1" customWidth="1"/>
    <col min="11266" max="11266" width="51.42578125" style="932" bestFit="1" customWidth="1"/>
    <col min="11267" max="11267" width="29.140625" style="932" bestFit="1" customWidth="1"/>
    <col min="11268" max="11268" width="13" style="932" bestFit="1" customWidth="1"/>
    <col min="11269" max="11269" width="10.28515625" style="932" bestFit="1" customWidth="1"/>
    <col min="11270" max="11270" width="9.7109375" style="932" bestFit="1" customWidth="1"/>
    <col min="11271" max="11271" width="12.28515625" style="932" bestFit="1" customWidth="1"/>
    <col min="11272" max="11520" width="9.140625" style="932"/>
    <col min="11521" max="11521" width="15.5703125" style="932" bestFit="1" customWidth="1"/>
    <col min="11522" max="11522" width="51.42578125" style="932" bestFit="1" customWidth="1"/>
    <col min="11523" max="11523" width="29.140625" style="932" bestFit="1" customWidth="1"/>
    <col min="11524" max="11524" width="13" style="932" bestFit="1" customWidth="1"/>
    <col min="11525" max="11525" width="10.28515625" style="932" bestFit="1" customWidth="1"/>
    <col min="11526" max="11526" width="9.7109375" style="932" bestFit="1" customWidth="1"/>
    <col min="11527" max="11527" width="12.28515625" style="932" bestFit="1" customWidth="1"/>
    <col min="11528" max="11776" width="9.140625" style="932"/>
    <col min="11777" max="11777" width="15.5703125" style="932" bestFit="1" customWidth="1"/>
    <col min="11778" max="11778" width="51.42578125" style="932" bestFit="1" customWidth="1"/>
    <col min="11779" max="11779" width="29.140625" style="932" bestFit="1" customWidth="1"/>
    <col min="11780" max="11780" width="13" style="932" bestFit="1" customWidth="1"/>
    <col min="11781" max="11781" width="10.28515625" style="932" bestFit="1" customWidth="1"/>
    <col min="11782" max="11782" width="9.7109375" style="932" bestFit="1" customWidth="1"/>
    <col min="11783" max="11783" width="12.28515625" style="932" bestFit="1" customWidth="1"/>
    <col min="11784" max="12032" width="9.140625" style="932"/>
    <col min="12033" max="12033" width="15.5703125" style="932" bestFit="1" customWidth="1"/>
    <col min="12034" max="12034" width="51.42578125" style="932" bestFit="1" customWidth="1"/>
    <col min="12035" max="12035" width="29.140625" style="932" bestFit="1" customWidth="1"/>
    <col min="12036" max="12036" width="13" style="932" bestFit="1" customWidth="1"/>
    <col min="12037" max="12037" width="10.28515625" style="932" bestFit="1" customWidth="1"/>
    <col min="12038" max="12038" width="9.7109375" style="932" bestFit="1" customWidth="1"/>
    <col min="12039" max="12039" width="12.28515625" style="932" bestFit="1" customWidth="1"/>
    <col min="12040" max="12288" width="9.140625" style="932"/>
    <col min="12289" max="12289" width="15.5703125" style="932" bestFit="1" customWidth="1"/>
    <col min="12290" max="12290" width="51.42578125" style="932" bestFit="1" customWidth="1"/>
    <col min="12291" max="12291" width="29.140625" style="932" bestFit="1" customWidth="1"/>
    <col min="12292" max="12292" width="13" style="932" bestFit="1" customWidth="1"/>
    <col min="12293" max="12293" width="10.28515625" style="932" bestFit="1" customWidth="1"/>
    <col min="12294" max="12294" width="9.7109375" style="932" bestFit="1" customWidth="1"/>
    <col min="12295" max="12295" width="12.28515625" style="932" bestFit="1" customWidth="1"/>
    <col min="12296" max="12544" width="9.140625" style="932"/>
    <col min="12545" max="12545" width="15.5703125" style="932" bestFit="1" customWidth="1"/>
    <col min="12546" max="12546" width="51.42578125" style="932" bestFit="1" customWidth="1"/>
    <col min="12547" max="12547" width="29.140625" style="932" bestFit="1" customWidth="1"/>
    <col min="12548" max="12548" width="13" style="932" bestFit="1" customWidth="1"/>
    <col min="12549" max="12549" width="10.28515625" style="932" bestFit="1" customWidth="1"/>
    <col min="12550" max="12550" width="9.7109375" style="932" bestFit="1" customWidth="1"/>
    <col min="12551" max="12551" width="12.28515625" style="932" bestFit="1" customWidth="1"/>
    <col min="12552" max="12800" width="9.140625" style="932"/>
    <col min="12801" max="12801" width="15.5703125" style="932" bestFit="1" customWidth="1"/>
    <col min="12802" max="12802" width="51.42578125" style="932" bestFit="1" customWidth="1"/>
    <col min="12803" max="12803" width="29.140625" style="932" bestFit="1" customWidth="1"/>
    <col min="12804" max="12804" width="13" style="932" bestFit="1" customWidth="1"/>
    <col min="12805" max="12805" width="10.28515625" style="932" bestFit="1" customWidth="1"/>
    <col min="12806" max="12806" width="9.7109375" style="932" bestFit="1" customWidth="1"/>
    <col min="12807" max="12807" width="12.28515625" style="932" bestFit="1" customWidth="1"/>
    <col min="12808" max="13056" width="9.140625" style="932"/>
    <col min="13057" max="13057" width="15.5703125" style="932" bestFit="1" customWidth="1"/>
    <col min="13058" max="13058" width="51.42578125" style="932" bestFit="1" customWidth="1"/>
    <col min="13059" max="13059" width="29.140625" style="932" bestFit="1" customWidth="1"/>
    <col min="13060" max="13060" width="13" style="932" bestFit="1" customWidth="1"/>
    <col min="13061" max="13061" width="10.28515625" style="932" bestFit="1" customWidth="1"/>
    <col min="13062" max="13062" width="9.7109375" style="932" bestFit="1" customWidth="1"/>
    <col min="13063" max="13063" width="12.28515625" style="932" bestFit="1" customWidth="1"/>
    <col min="13064" max="13312" width="9.140625" style="932"/>
    <col min="13313" max="13313" width="15.5703125" style="932" bestFit="1" customWidth="1"/>
    <col min="13314" max="13314" width="51.42578125" style="932" bestFit="1" customWidth="1"/>
    <col min="13315" max="13315" width="29.140625" style="932" bestFit="1" customWidth="1"/>
    <col min="13316" max="13316" width="13" style="932" bestFit="1" customWidth="1"/>
    <col min="13317" max="13317" width="10.28515625" style="932" bestFit="1" customWidth="1"/>
    <col min="13318" max="13318" width="9.7109375" style="932" bestFit="1" customWidth="1"/>
    <col min="13319" max="13319" width="12.28515625" style="932" bestFit="1" customWidth="1"/>
    <col min="13320" max="13568" width="9.140625" style="932"/>
    <col min="13569" max="13569" width="15.5703125" style="932" bestFit="1" customWidth="1"/>
    <col min="13570" max="13570" width="51.42578125" style="932" bestFit="1" customWidth="1"/>
    <col min="13571" max="13571" width="29.140625" style="932" bestFit="1" customWidth="1"/>
    <col min="13572" max="13572" width="13" style="932" bestFit="1" customWidth="1"/>
    <col min="13573" max="13573" width="10.28515625" style="932" bestFit="1" customWidth="1"/>
    <col min="13574" max="13574" width="9.7109375" style="932" bestFit="1" customWidth="1"/>
    <col min="13575" max="13575" width="12.28515625" style="932" bestFit="1" customWidth="1"/>
    <col min="13576" max="13824" width="9.140625" style="932"/>
    <col min="13825" max="13825" width="15.5703125" style="932" bestFit="1" customWidth="1"/>
    <col min="13826" max="13826" width="51.42578125" style="932" bestFit="1" customWidth="1"/>
    <col min="13827" max="13827" width="29.140625" style="932" bestFit="1" customWidth="1"/>
    <col min="13828" max="13828" width="13" style="932" bestFit="1" customWidth="1"/>
    <col min="13829" max="13829" width="10.28515625" style="932" bestFit="1" customWidth="1"/>
    <col min="13830" max="13830" width="9.7109375" style="932" bestFit="1" customWidth="1"/>
    <col min="13831" max="13831" width="12.28515625" style="932" bestFit="1" customWidth="1"/>
    <col min="13832" max="14080" width="9.140625" style="932"/>
    <col min="14081" max="14081" width="15.5703125" style="932" bestFit="1" customWidth="1"/>
    <col min="14082" max="14082" width="51.42578125" style="932" bestFit="1" customWidth="1"/>
    <col min="14083" max="14083" width="29.140625" style="932" bestFit="1" customWidth="1"/>
    <col min="14084" max="14084" width="13" style="932" bestFit="1" customWidth="1"/>
    <col min="14085" max="14085" width="10.28515625" style="932" bestFit="1" customWidth="1"/>
    <col min="14086" max="14086" width="9.7109375" style="932" bestFit="1" customWidth="1"/>
    <col min="14087" max="14087" width="12.28515625" style="932" bestFit="1" customWidth="1"/>
    <col min="14088" max="14336" width="9.140625" style="932"/>
    <col min="14337" max="14337" width="15.5703125" style="932" bestFit="1" customWidth="1"/>
    <col min="14338" max="14338" width="51.42578125" style="932" bestFit="1" customWidth="1"/>
    <col min="14339" max="14339" width="29.140625" style="932" bestFit="1" customWidth="1"/>
    <col min="14340" max="14340" width="13" style="932" bestFit="1" customWidth="1"/>
    <col min="14341" max="14341" width="10.28515625" style="932" bestFit="1" customWidth="1"/>
    <col min="14342" max="14342" width="9.7109375" style="932" bestFit="1" customWidth="1"/>
    <col min="14343" max="14343" width="12.28515625" style="932" bestFit="1" customWidth="1"/>
    <col min="14344" max="14592" width="9.140625" style="932"/>
    <col min="14593" max="14593" width="15.5703125" style="932" bestFit="1" customWidth="1"/>
    <col min="14594" max="14594" width="51.42578125" style="932" bestFit="1" customWidth="1"/>
    <col min="14595" max="14595" width="29.140625" style="932" bestFit="1" customWidth="1"/>
    <col min="14596" max="14596" width="13" style="932" bestFit="1" customWidth="1"/>
    <col min="14597" max="14597" width="10.28515625" style="932" bestFit="1" customWidth="1"/>
    <col min="14598" max="14598" width="9.7109375" style="932" bestFit="1" customWidth="1"/>
    <col min="14599" max="14599" width="12.28515625" style="932" bestFit="1" customWidth="1"/>
    <col min="14600" max="14848" width="9.140625" style="932"/>
    <col min="14849" max="14849" width="15.5703125" style="932" bestFit="1" customWidth="1"/>
    <col min="14850" max="14850" width="51.42578125" style="932" bestFit="1" customWidth="1"/>
    <col min="14851" max="14851" width="29.140625" style="932" bestFit="1" customWidth="1"/>
    <col min="14852" max="14852" width="13" style="932" bestFit="1" customWidth="1"/>
    <col min="14853" max="14853" width="10.28515625" style="932" bestFit="1" customWidth="1"/>
    <col min="14854" max="14854" width="9.7109375" style="932" bestFit="1" customWidth="1"/>
    <col min="14855" max="14855" width="12.28515625" style="932" bestFit="1" customWidth="1"/>
    <col min="14856" max="15104" width="9.140625" style="932"/>
    <col min="15105" max="15105" width="15.5703125" style="932" bestFit="1" customWidth="1"/>
    <col min="15106" max="15106" width="51.42578125" style="932" bestFit="1" customWidth="1"/>
    <col min="15107" max="15107" width="29.140625" style="932" bestFit="1" customWidth="1"/>
    <col min="15108" max="15108" width="13" style="932" bestFit="1" customWidth="1"/>
    <col min="15109" max="15109" width="10.28515625" style="932" bestFit="1" customWidth="1"/>
    <col min="15110" max="15110" width="9.7109375" style="932" bestFit="1" customWidth="1"/>
    <col min="15111" max="15111" width="12.28515625" style="932" bestFit="1" customWidth="1"/>
    <col min="15112" max="15360" width="9.140625" style="932"/>
    <col min="15361" max="15361" width="15.5703125" style="932" bestFit="1" customWidth="1"/>
    <col min="15362" max="15362" width="51.42578125" style="932" bestFit="1" customWidth="1"/>
    <col min="15363" max="15363" width="29.140625" style="932" bestFit="1" customWidth="1"/>
    <col min="15364" max="15364" width="13" style="932" bestFit="1" customWidth="1"/>
    <col min="15365" max="15365" width="10.28515625" style="932" bestFit="1" customWidth="1"/>
    <col min="15366" max="15366" width="9.7109375" style="932" bestFit="1" customWidth="1"/>
    <col min="15367" max="15367" width="12.28515625" style="932" bestFit="1" customWidth="1"/>
    <col min="15368" max="15616" width="9.140625" style="932"/>
    <col min="15617" max="15617" width="15.5703125" style="932" bestFit="1" customWidth="1"/>
    <col min="15618" max="15618" width="51.42578125" style="932" bestFit="1" customWidth="1"/>
    <col min="15619" max="15619" width="29.140625" style="932" bestFit="1" customWidth="1"/>
    <col min="15620" max="15620" width="13" style="932" bestFit="1" customWidth="1"/>
    <col min="15621" max="15621" width="10.28515625" style="932" bestFit="1" customWidth="1"/>
    <col min="15622" max="15622" width="9.7109375" style="932" bestFit="1" customWidth="1"/>
    <col min="15623" max="15623" width="12.28515625" style="932" bestFit="1" customWidth="1"/>
    <col min="15624" max="15872" width="9.140625" style="932"/>
    <col min="15873" max="15873" width="15.5703125" style="932" bestFit="1" customWidth="1"/>
    <col min="15874" max="15874" width="51.42578125" style="932" bestFit="1" customWidth="1"/>
    <col min="15875" max="15875" width="29.140625" style="932" bestFit="1" customWidth="1"/>
    <col min="15876" max="15876" width="13" style="932" bestFit="1" customWidth="1"/>
    <col min="15877" max="15877" width="10.28515625" style="932" bestFit="1" customWidth="1"/>
    <col min="15878" max="15878" width="9.7109375" style="932" bestFit="1" customWidth="1"/>
    <col min="15879" max="15879" width="12.28515625" style="932" bestFit="1" customWidth="1"/>
    <col min="15880" max="16128" width="9.140625" style="932"/>
    <col min="16129" max="16129" width="15.5703125" style="932" bestFit="1" customWidth="1"/>
    <col min="16130" max="16130" width="51.42578125" style="932" bestFit="1" customWidth="1"/>
    <col min="16131" max="16131" width="29.140625" style="932" bestFit="1" customWidth="1"/>
    <col min="16132" max="16132" width="13" style="932" bestFit="1" customWidth="1"/>
    <col min="16133" max="16133" width="10.28515625" style="932" bestFit="1" customWidth="1"/>
    <col min="16134" max="16134" width="9.7109375" style="932" bestFit="1" customWidth="1"/>
    <col min="16135" max="16135" width="12.28515625" style="932" bestFit="1" customWidth="1"/>
    <col min="16136" max="16384" width="9.140625" style="932"/>
  </cols>
  <sheetData>
    <row r="1" spans="1:10" x14ac:dyDescent="0.2">
      <c r="A1" s="932" t="s">
        <v>545</v>
      </c>
      <c r="B1" s="932" t="s">
        <v>546</v>
      </c>
    </row>
    <row r="2" spans="1:10" x14ac:dyDescent="0.2">
      <c r="A2" s="932" t="s">
        <v>547</v>
      </c>
      <c r="B2" s="932">
        <v>991544291</v>
      </c>
    </row>
    <row r="3" spans="1:10" x14ac:dyDescent="0.2">
      <c r="A3" s="932" t="s">
        <v>548</v>
      </c>
      <c r="B3" s="932" t="s">
        <v>549</v>
      </c>
    </row>
    <row r="4" spans="1:10" x14ac:dyDescent="0.2">
      <c r="A4" s="932" t="s">
        <v>550</v>
      </c>
      <c r="B4" s="932" t="s">
        <v>551</v>
      </c>
    </row>
    <row r="5" spans="1:10" x14ac:dyDescent="0.2">
      <c r="A5" s="932" t="s">
        <v>552</v>
      </c>
      <c r="B5" s="932" t="s">
        <v>553</v>
      </c>
    </row>
    <row r="6" spans="1:10" x14ac:dyDescent="0.2">
      <c r="A6" s="932" t="s">
        <v>554</v>
      </c>
      <c r="B6" s="932" t="s">
        <v>555</v>
      </c>
    </row>
    <row r="7" spans="1:10" x14ac:dyDescent="0.2">
      <c r="A7" s="932" t="s">
        <v>556</v>
      </c>
      <c r="B7" s="932">
        <v>0</v>
      </c>
    </row>
    <row r="8" spans="1:10" x14ac:dyDescent="0.2">
      <c r="A8" s="932" t="s">
        <v>557</v>
      </c>
      <c r="B8" s="932">
        <v>0</v>
      </c>
    </row>
    <row r="9" spans="1:10" x14ac:dyDescent="0.2">
      <c r="A9" s="932" t="s">
        <v>558</v>
      </c>
      <c r="B9" s="932">
        <v>0</v>
      </c>
    </row>
    <row r="10" spans="1:10" x14ac:dyDescent="0.2">
      <c r="A10" s="932" t="s">
        <v>559</v>
      </c>
      <c r="B10" s="934">
        <v>10895554</v>
      </c>
    </row>
    <row r="11" spans="1:10" x14ac:dyDescent="0.2">
      <c r="A11" s="977" t="s">
        <v>560</v>
      </c>
      <c r="B11" s="977" t="s">
        <v>561</v>
      </c>
      <c r="C11" s="977" t="s">
        <v>562</v>
      </c>
      <c r="D11" s="978" t="s">
        <v>563</v>
      </c>
      <c r="E11" s="979" t="s">
        <v>564</v>
      </c>
      <c r="F11" s="979" t="s">
        <v>565</v>
      </c>
      <c r="G11" s="979" t="s">
        <v>566</v>
      </c>
      <c r="H11" s="977"/>
    </row>
    <row r="12" spans="1:10" x14ac:dyDescent="0.2">
      <c r="A12" s="935" t="s">
        <v>555</v>
      </c>
      <c r="B12" s="936" t="s">
        <v>567</v>
      </c>
      <c r="C12" s="936" t="s">
        <v>568</v>
      </c>
      <c r="D12" s="937">
        <v>130035613377</v>
      </c>
      <c r="E12" s="938" t="s">
        <v>569</v>
      </c>
      <c r="F12" s="938">
        <v>141620</v>
      </c>
      <c r="G12" s="938">
        <v>10895554</v>
      </c>
      <c r="H12" s="939"/>
      <c r="I12" s="950"/>
      <c r="J12" s="934"/>
    </row>
    <row r="13" spans="1:10" x14ac:dyDescent="0.2">
      <c r="A13" s="940" t="s">
        <v>570</v>
      </c>
      <c r="B13" s="941" t="s">
        <v>571</v>
      </c>
      <c r="C13" s="941" t="s">
        <v>572</v>
      </c>
      <c r="D13" s="942">
        <v>5224451129</v>
      </c>
      <c r="E13" s="943" t="s">
        <v>569</v>
      </c>
      <c r="F13" s="943">
        <v>148920</v>
      </c>
      <c r="G13" s="943">
        <v>10753934</v>
      </c>
      <c r="H13" s="944"/>
      <c r="I13" s="950"/>
      <c r="J13" s="934"/>
    </row>
    <row r="14" spans="1:10" x14ac:dyDescent="0.2">
      <c r="A14" s="940" t="s">
        <v>573</v>
      </c>
      <c r="B14" s="941" t="s">
        <v>574</v>
      </c>
      <c r="C14" s="941" t="s">
        <v>575</v>
      </c>
      <c r="D14" s="942">
        <v>5216035255</v>
      </c>
      <c r="E14" s="943" t="s">
        <v>569</v>
      </c>
      <c r="F14" s="943">
        <v>3000</v>
      </c>
      <c r="G14" s="943">
        <v>10605014</v>
      </c>
      <c r="H14" s="944"/>
      <c r="I14" s="950"/>
      <c r="J14" s="934"/>
    </row>
    <row r="15" spans="1:10" x14ac:dyDescent="0.2">
      <c r="A15" s="940" t="s">
        <v>573</v>
      </c>
      <c r="B15" s="941" t="s">
        <v>574</v>
      </c>
      <c r="C15" s="941" t="s">
        <v>575</v>
      </c>
      <c r="D15" s="942">
        <v>5216035254</v>
      </c>
      <c r="E15" s="943" t="s">
        <v>569</v>
      </c>
      <c r="F15" s="943">
        <v>100010</v>
      </c>
      <c r="G15" s="943">
        <v>10602014</v>
      </c>
      <c r="H15" s="944"/>
      <c r="I15" s="950"/>
      <c r="J15" s="934"/>
    </row>
    <row r="16" spans="1:10" x14ac:dyDescent="0.2">
      <c r="A16" s="945" t="s">
        <v>573</v>
      </c>
      <c r="B16" s="946" t="s">
        <v>574</v>
      </c>
      <c r="C16" s="946" t="s">
        <v>575</v>
      </c>
      <c r="D16" s="947">
        <v>5216035253</v>
      </c>
      <c r="E16" s="948" t="s">
        <v>569</v>
      </c>
      <c r="F16" s="948">
        <v>60000</v>
      </c>
      <c r="G16" s="948">
        <v>10502004</v>
      </c>
      <c r="H16" s="949"/>
      <c r="I16" s="950"/>
      <c r="J16" s="934"/>
    </row>
    <row r="17" spans="1:10" x14ac:dyDescent="0.2">
      <c r="A17" s="935" t="s">
        <v>576</v>
      </c>
      <c r="B17" s="936" t="s">
        <v>571</v>
      </c>
      <c r="C17" s="936" t="s">
        <v>572</v>
      </c>
      <c r="D17" s="937">
        <v>5178180914</v>
      </c>
      <c r="E17" s="938" t="s">
        <v>569</v>
      </c>
      <c r="F17" s="938">
        <v>147460</v>
      </c>
      <c r="G17" s="938">
        <v>10442004</v>
      </c>
      <c r="H17" s="939"/>
      <c r="I17" s="950"/>
      <c r="J17" s="934"/>
    </row>
    <row r="18" spans="1:10" x14ac:dyDescent="0.2">
      <c r="A18" s="940" t="s">
        <v>577</v>
      </c>
      <c r="B18" s="941" t="s">
        <v>578</v>
      </c>
      <c r="C18" s="941" t="s">
        <v>572</v>
      </c>
      <c r="D18" s="942">
        <v>5165783717</v>
      </c>
      <c r="E18" s="943" t="s">
        <v>569</v>
      </c>
      <c r="F18" s="943">
        <v>24000</v>
      </c>
      <c r="G18" s="943">
        <v>10294544</v>
      </c>
      <c r="H18" s="944"/>
      <c r="I18" s="950"/>
      <c r="J18" s="934"/>
    </row>
    <row r="19" spans="1:10" x14ac:dyDescent="0.2">
      <c r="A19" s="940" t="s">
        <v>577</v>
      </c>
      <c r="B19" s="941" t="s">
        <v>578</v>
      </c>
      <c r="C19" s="941" t="s">
        <v>572</v>
      </c>
      <c r="D19" s="942">
        <v>5165778330</v>
      </c>
      <c r="E19" s="943" t="s">
        <v>569</v>
      </c>
      <c r="F19" s="943">
        <v>60000</v>
      </c>
      <c r="G19" s="943">
        <v>10270544</v>
      </c>
      <c r="H19" s="944"/>
      <c r="I19" s="950"/>
      <c r="J19" s="934"/>
    </row>
    <row r="20" spans="1:10" x14ac:dyDescent="0.2">
      <c r="A20" s="940" t="s">
        <v>579</v>
      </c>
      <c r="B20" s="941" t="s">
        <v>580</v>
      </c>
      <c r="C20" s="941" t="s">
        <v>572</v>
      </c>
      <c r="D20" s="942">
        <v>5160513692</v>
      </c>
      <c r="E20" s="943" t="s">
        <v>569</v>
      </c>
      <c r="F20" s="943">
        <v>22265</v>
      </c>
      <c r="G20" s="943">
        <v>10210544</v>
      </c>
      <c r="H20" s="944"/>
      <c r="I20" s="950"/>
      <c r="J20" s="934"/>
    </row>
    <row r="21" spans="1:10" x14ac:dyDescent="0.2">
      <c r="A21" s="940" t="s">
        <v>579</v>
      </c>
      <c r="B21" s="941" t="s">
        <v>580</v>
      </c>
      <c r="C21" s="941" t="s">
        <v>572</v>
      </c>
      <c r="D21" s="942">
        <v>5160491055</v>
      </c>
      <c r="E21" s="943" t="s">
        <v>569</v>
      </c>
      <c r="F21" s="943">
        <v>80300</v>
      </c>
      <c r="G21" s="943">
        <v>10188279</v>
      </c>
      <c r="H21" s="944"/>
      <c r="I21" s="950"/>
      <c r="J21" s="934"/>
    </row>
    <row r="22" spans="1:10" x14ac:dyDescent="0.2">
      <c r="A22" s="940" t="s">
        <v>579</v>
      </c>
      <c r="B22" s="941" t="s">
        <v>581</v>
      </c>
      <c r="C22" s="941" t="s">
        <v>575</v>
      </c>
      <c r="D22" s="942">
        <v>5159350270</v>
      </c>
      <c r="E22" s="981">
        <v>-150000</v>
      </c>
      <c r="F22" s="943" t="s">
        <v>569</v>
      </c>
      <c r="G22" s="943">
        <v>10107979</v>
      </c>
      <c r="H22" s="944"/>
      <c r="I22" s="984">
        <v>1249</v>
      </c>
      <c r="J22" s="985" t="s">
        <v>627</v>
      </c>
    </row>
    <row r="23" spans="1:10" x14ac:dyDescent="0.2">
      <c r="A23" s="940" t="s">
        <v>582</v>
      </c>
      <c r="B23" s="941" t="s">
        <v>581</v>
      </c>
      <c r="C23" s="941" t="s">
        <v>575</v>
      </c>
      <c r="D23" s="942">
        <v>5159320143</v>
      </c>
      <c r="E23" s="981">
        <v>-450000</v>
      </c>
      <c r="F23" s="943" t="s">
        <v>569</v>
      </c>
      <c r="G23" s="943">
        <v>10257979</v>
      </c>
      <c r="H23" s="944"/>
      <c r="I23" s="984">
        <v>1248</v>
      </c>
      <c r="J23" s="985" t="s">
        <v>626</v>
      </c>
    </row>
    <row r="24" spans="1:10" x14ac:dyDescent="0.2">
      <c r="A24" s="940" t="s">
        <v>583</v>
      </c>
      <c r="B24" s="941" t="s">
        <v>584</v>
      </c>
      <c r="C24" s="941" t="s">
        <v>575</v>
      </c>
      <c r="D24" s="942">
        <v>5155322782</v>
      </c>
      <c r="E24" s="943" t="s">
        <v>569</v>
      </c>
      <c r="F24" s="943">
        <v>99280</v>
      </c>
      <c r="G24" s="943">
        <v>10707979</v>
      </c>
      <c r="H24" s="944"/>
      <c r="I24" s="950"/>
      <c r="J24" s="934"/>
    </row>
    <row r="25" spans="1:10" x14ac:dyDescent="0.2">
      <c r="A25" s="940" t="s">
        <v>583</v>
      </c>
      <c r="B25" s="941" t="s">
        <v>584</v>
      </c>
      <c r="C25" s="941" t="s">
        <v>575</v>
      </c>
      <c r="D25" s="942">
        <v>5155248873</v>
      </c>
      <c r="E25" s="943" t="s">
        <v>569</v>
      </c>
      <c r="F25" s="943">
        <v>3000</v>
      </c>
      <c r="G25" s="943">
        <v>10608699</v>
      </c>
      <c r="H25" s="944"/>
      <c r="I25" s="950"/>
      <c r="J25" s="934"/>
    </row>
    <row r="26" spans="1:10" x14ac:dyDescent="0.2">
      <c r="A26" s="945" t="s">
        <v>585</v>
      </c>
      <c r="B26" s="946" t="s">
        <v>567</v>
      </c>
      <c r="C26" s="946" t="s">
        <v>568</v>
      </c>
      <c r="D26" s="947">
        <v>130034797702</v>
      </c>
      <c r="E26" s="948" t="s">
        <v>569</v>
      </c>
      <c r="F26" s="948">
        <v>146000</v>
      </c>
      <c r="G26" s="948">
        <v>10605699</v>
      </c>
      <c r="H26" s="949"/>
      <c r="I26" s="950"/>
      <c r="J26" s="934"/>
    </row>
    <row r="27" spans="1:10" x14ac:dyDescent="0.2">
      <c r="A27" s="935" t="s">
        <v>586</v>
      </c>
      <c r="B27" s="936" t="s">
        <v>580</v>
      </c>
      <c r="C27" s="936" t="s">
        <v>572</v>
      </c>
      <c r="D27" s="937">
        <v>5106183823</v>
      </c>
      <c r="E27" s="938" t="s">
        <v>569</v>
      </c>
      <c r="F27" s="938">
        <v>73500</v>
      </c>
      <c r="G27" s="938">
        <v>10459699</v>
      </c>
      <c r="H27" s="939"/>
      <c r="I27" s="950"/>
      <c r="J27" s="934"/>
    </row>
    <row r="28" spans="1:10" x14ac:dyDescent="0.2">
      <c r="A28" s="940" t="s">
        <v>587</v>
      </c>
      <c r="B28" s="941" t="s">
        <v>584</v>
      </c>
      <c r="C28" s="941" t="s">
        <v>575</v>
      </c>
      <c r="D28" s="942">
        <v>5090019268</v>
      </c>
      <c r="E28" s="943" t="s">
        <v>569</v>
      </c>
      <c r="F28" s="943">
        <v>101470</v>
      </c>
      <c r="G28" s="943">
        <v>10386199</v>
      </c>
      <c r="H28" s="944"/>
      <c r="I28" s="950"/>
      <c r="J28" s="934"/>
    </row>
    <row r="29" spans="1:10" x14ac:dyDescent="0.2">
      <c r="A29" s="940" t="s">
        <v>587</v>
      </c>
      <c r="B29" s="941" t="s">
        <v>584</v>
      </c>
      <c r="C29" s="941" t="s">
        <v>575</v>
      </c>
      <c r="D29" s="942">
        <v>5090050904</v>
      </c>
      <c r="E29" s="943" t="s">
        <v>569</v>
      </c>
      <c r="F29" s="943">
        <v>3000</v>
      </c>
      <c r="G29" s="943">
        <v>10284729</v>
      </c>
      <c r="H29" s="944"/>
      <c r="I29" s="950"/>
      <c r="J29" s="934"/>
    </row>
    <row r="30" spans="1:10" x14ac:dyDescent="0.2">
      <c r="A30" s="940" t="s">
        <v>588</v>
      </c>
      <c r="B30" s="941" t="s">
        <v>589</v>
      </c>
      <c r="C30" s="941" t="s">
        <v>575</v>
      </c>
      <c r="D30" s="942">
        <v>5076227363</v>
      </c>
      <c r="E30" s="981">
        <v>-96073</v>
      </c>
      <c r="F30" s="943" t="s">
        <v>569</v>
      </c>
      <c r="G30" s="943">
        <v>10281729</v>
      </c>
      <c r="H30" s="944"/>
      <c r="I30" s="950"/>
      <c r="J30" s="934"/>
    </row>
    <row r="31" spans="1:10" x14ac:dyDescent="0.2">
      <c r="A31" s="940" t="s">
        <v>588</v>
      </c>
      <c r="B31" s="941" t="s">
        <v>590</v>
      </c>
      <c r="C31" s="941" t="s">
        <v>575</v>
      </c>
      <c r="D31" s="942">
        <v>5076227340</v>
      </c>
      <c r="E31" s="981">
        <v>-131558</v>
      </c>
      <c r="F31" s="943" t="s">
        <v>569</v>
      </c>
      <c r="G31" s="943">
        <v>10377802</v>
      </c>
      <c r="H31" s="944"/>
      <c r="I31" s="950"/>
      <c r="J31" s="934"/>
    </row>
    <row r="32" spans="1:10" x14ac:dyDescent="0.2">
      <c r="A32" s="940" t="s">
        <v>588</v>
      </c>
      <c r="B32" s="941" t="s">
        <v>591</v>
      </c>
      <c r="C32" s="941" t="s">
        <v>575</v>
      </c>
      <c r="D32" s="942">
        <v>5076227326</v>
      </c>
      <c r="E32" s="981">
        <v>-62553</v>
      </c>
      <c r="F32" s="943" t="s">
        <v>569</v>
      </c>
      <c r="G32" s="943">
        <v>10509360</v>
      </c>
      <c r="H32" s="944"/>
      <c r="I32" s="950"/>
      <c r="J32" s="934"/>
    </row>
    <row r="33" spans="1:10" x14ac:dyDescent="0.2">
      <c r="A33" s="940" t="s">
        <v>588</v>
      </c>
      <c r="B33" s="941" t="s">
        <v>592</v>
      </c>
      <c r="C33" s="941" t="s">
        <v>575</v>
      </c>
      <c r="D33" s="942">
        <v>5076227629</v>
      </c>
      <c r="E33" s="981">
        <v>-193546</v>
      </c>
      <c r="F33" s="943" t="s">
        <v>569</v>
      </c>
      <c r="G33" s="943">
        <v>10571913</v>
      </c>
      <c r="H33" s="944"/>
      <c r="I33" s="950"/>
      <c r="J33" s="934"/>
    </row>
    <row r="34" spans="1:10" x14ac:dyDescent="0.2">
      <c r="A34" s="940" t="s">
        <v>588</v>
      </c>
      <c r="B34" s="941" t="s">
        <v>593</v>
      </c>
      <c r="C34" s="941" t="s">
        <v>575</v>
      </c>
      <c r="D34" s="942">
        <v>5076227623</v>
      </c>
      <c r="E34" s="981">
        <v>-43583</v>
      </c>
      <c r="F34" s="943" t="s">
        <v>569</v>
      </c>
      <c r="G34" s="943">
        <v>10765459</v>
      </c>
      <c r="H34" s="944"/>
      <c r="I34" s="950"/>
      <c r="J34" s="934"/>
    </row>
    <row r="35" spans="1:10" x14ac:dyDescent="0.2">
      <c r="A35" s="940" t="s">
        <v>588</v>
      </c>
      <c r="B35" s="941" t="s">
        <v>594</v>
      </c>
      <c r="C35" s="941" t="s">
        <v>575</v>
      </c>
      <c r="D35" s="942">
        <v>5076227614</v>
      </c>
      <c r="E35" s="981">
        <v>-64333</v>
      </c>
      <c r="F35" s="943" t="s">
        <v>569</v>
      </c>
      <c r="G35" s="943">
        <v>10809042</v>
      </c>
      <c r="H35" s="944"/>
      <c r="I35" s="950"/>
      <c r="J35" s="934"/>
    </row>
    <row r="36" spans="1:10" x14ac:dyDescent="0.2">
      <c r="A36" s="940" t="s">
        <v>588</v>
      </c>
      <c r="B36" s="941" t="s">
        <v>595</v>
      </c>
      <c r="C36" s="941" t="s">
        <v>575</v>
      </c>
      <c r="D36" s="942">
        <v>5076227296</v>
      </c>
      <c r="E36" s="981">
        <v>-10000</v>
      </c>
      <c r="F36" s="943" t="s">
        <v>569</v>
      </c>
      <c r="G36" s="943">
        <v>10873375</v>
      </c>
      <c r="H36" s="944"/>
      <c r="I36" s="950"/>
      <c r="J36" s="934"/>
    </row>
    <row r="37" spans="1:10" x14ac:dyDescent="0.2">
      <c r="A37" s="940" t="s">
        <v>588</v>
      </c>
      <c r="B37" s="941" t="s">
        <v>596</v>
      </c>
      <c r="C37" s="941" t="s">
        <v>575</v>
      </c>
      <c r="D37" s="942">
        <v>5076210983</v>
      </c>
      <c r="E37" s="981">
        <v>-46083</v>
      </c>
      <c r="F37" s="943" t="s">
        <v>569</v>
      </c>
      <c r="G37" s="943">
        <v>10883375</v>
      </c>
      <c r="H37" s="944"/>
      <c r="I37" s="950"/>
      <c r="J37" s="934"/>
    </row>
    <row r="38" spans="1:10" x14ac:dyDescent="0.2">
      <c r="A38" s="940" t="s">
        <v>588</v>
      </c>
      <c r="B38" s="941" t="s">
        <v>597</v>
      </c>
      <c r="C38" s="941" t="s">
        <v>572</v>
      </c>
      <c r="D38" s="942">
        <v>5076209949</v>
      </c>
      <c r="E38" s="943" t="s">
        <v>569</v>
      </c>
      <c r="F38" s="943">
        <v>1000</v>
      </c>
      <c r="G38" s="943">
        <v>10929458</v>
      </c>
      <c r="H38" s="944"/>
      <c r="I38" s="950"/>
      <c r="J38" s="934"/>
    </row>
    <row r="39" spans="1:10" x14ac:dyDescent="0.2">
      <c r="A39" s="940" t="s">
        <v>598</v>
      </c>
      <c r="B39" s="941" t="s">
        <v>571</v>
      </c>
      <c r="C39" s="941" t="s">
        <v>572</v>
      </c>
      <c r="D39" s="942">
        <v>5069341490</v>
      </c>
      <c r="E39" s="943" t="s">
        <v>569</v>
      </c>
      <c r="F39" s="943">
        <v>144500</v>
      </c>
      <c r="G39" s="943">
        <v>10928458</v>
      </c>
      <c r="H39" s="944"/>
      <c r="I39" s="950"/>
      <c r="J39" s="934"/>
    </row>
    <row r="40" spans="1:10" x14ac:dyDescent="0.2">
      <c r="A40" s="940" t="s">
        <v>598</v>
      </c>
      <c r="B40" s="941" t="s">
        <v>571</v>
      </c>
      <c r="C40" s="941" t="s">
        <v>572</v>
      </c>
      <c r="D40" s="942">
        <v>5069338621</v>
      </c>
      <c r="E40" s="943" t="s">
        <v>569</v>
      </c>
      <c r="F40" s="943">
        <v>60000</v>
      </c>
      <c r="G40" s="943">
        <v>10783958</v>
      </c>
      <c r="H40" s="944"/>
      <c r="I40" s="950"/>
      <c r="J40" s="934"/>
    </row>
    <row r="41" spans="1:10" x14ac:dyDescent="0.2">
      <c r="A41" s="945" t="s">
        <v>599</v>
      </c>
      <c r="B41" s="946" t="s">
        <v>567</v>
      </c>
      <c r="C41" s="946" t="s">
        <v>568</v>
      </c>
      <c r="D41" s="947">
        <v>130034177476</v>
      </c>
      <c r="E41" s="948" t="s">
        <v>569</v>
      </c>
      <c r="F41" s="948">
        <v>135050</v>
      </c>
      <c r="G41" s="948">
        <v>10723958</v>
      </c>
      <c r="H41" s="949"/>
      <c r="I41" s="950"/>
      <c r="J41" s="934"/>
    </row>
    <row r="42" spans="1:10" x14ac:dyDescent="0.2">
      <c r="A42" s="935" t="s">
        <v>600</v>
      </c>
      <c r="B42" s="936" t="s">
        <v>597</v>
      </c>
      <c r="C42" s="936" t="s">
        <v>572</v>
      </c>
      <c r="D42" s="937">
        <v>5052092009</v>
      </c>
      <c r="E42" s="938" t="s">
        <v>569</v>
      </c>
      <c r="F42" s="938">
        <v>40000</v>
      </c>
      <c r="G42" s="938">
        <v>10588908</v>
      </c>
      <c r="H42" s="939"/>
      <c r="I42" s="950"/>
      <c r="J42" s="934"/>
    </row>
    <row r="43" spans="1:10" x14ac:dyDescent="0.2">
      <c r="A43" s="940" t="s">
        <v>600</v>
      </c>
      <c r="B43" s="941" t="s">
        <v>601</v>
      </c>
      <c r="C43" s="941" t="s">
        <v>602</v>
      </c>
      <c r="D43" s="942">
        <v>7627183</v>
      </c>
      <c r="E43" s="943" t="s">
        <v>569</v>
      </c>
      <c r="F43" s="943">
        <v>76000</v>
      </c>
      <c r="G43" s="943">
        <v>10548908</v>
      </c>
      <c r="H43" s="944"/>
      <c r="I43" s="950"/>
      <c r="J43" s="934"/>
    </row>
    <row r="44" spans="1:10" x14ac:dyDescent="0.2">
      <c r="A44" s="940" t="s">
        <v>600</v>
      </c>
      <c r="B44" s="941" t="s">
        <v>601</v>
      </c>
      <c r="C44" s="941" t="s">
        <v>602</v>
      </c>
      <c r="D44" s="942">
        <v>7627180</v>
      </c>
      <c r="E44" s="943" t="s">
        <v>569</v>
      </c>
      <c r="F44" s="943">
        <v>3000</v>
      </c>
      <c r="G44" s="943">
        <v>10472908</v>
      </c>
      <c r="H44" s="944"/>
      <c r="I44" s="950"/>
      <c r="J44" s="934"/>
    </row>
    <row r="45" spans="1:10" x14ac:dyDescent="0.2">
      <c r="A45" s="940" t="s">
        <v>603</v>
      </c>
      <c r="B45" s="941" t="s">
        <v>590</v>
      </c>
      <c r="C45" s="941" t="s">
        <v>575</v>
      </c>
      <c r="D45" s="942">
        <v>5041923603</v>
      </c>
      <c r="E45" s="981">
        <v>-280569</v>
      </c>
      <c r="F45" s="943" t="s">
        <v>569</v>
      </c>
      <c r="G45" s="943">
        <v>10469908</v>
      </c>
      <c r="H45" s="944"/>
      <c r="I45" s="950"/>
      <c r="J45" s="934"/>
    </row>
    <row r="46" spans="1:10" x14ac:dyDescent="0.2">
      <c r="A46" s="940" t="s">
        <v>603</v>
      </c>
      <c r="B46" s="941" t="s">
        <v>589</v>
      </c>
      <c r="C46" s="941" t="s">
        <v>575</v>
      </c>
      <c r="D46" s="942">
        <v>5041909033</v>
      </c>
      <c r="E46" s="981">
        <v>-193280</v>
      </c>
      <c r="F46" s="943" t="s">
        <v>569</v>
      </c>
      <c r="G46" s="943">
        <v>10750477</v>
      </c>
      <c r="H46" s="944"/>
      <c r="I46" s="950"/>
      <c r="J46" s="934"/>
    </row>
    <row r="47" spans="1:10" x14ac:dyDescent="0.2">
      <c r="A47" s="940" t="s">
        <v>603</v>
      </c>
      <c r="B47" s="941" t="s">
        <v>591</v>
      </c>
      <c r="C47" s="941" t="s">
        <v>575</v>
      </c>
      <c r="D47" s="942">
        <v>5041921300</v>
      </c>
      <c r="E47" s="981">
        <v>-100000</v>
      </c>
      <c r="F47" s="943" t="s">
        <v>569</v>
      </c>
      <c r="G47" s="943">
        <v>10943757</v>
      </c>
      <c r="H47" s="944"/>
      <c r="I47" s="950"/>
      <c r="J47" s="934"/>
    </row>
    <row r="48" spans="1:10" x14ac:dyDescent="0.2">
      <c r="A48" s="940" t="s">
        <v>603</v>
      </c>
      <c r="B48" s="941" t="s">
        <v>592</v>
      </c>
      <c r="C48" s="941" t="s">
        <v>575</v>
      </c>
      <c r="D48" s="942">
        <v>5041908529</v>
      </c>
      <c r="E48" s="981">
        <v>-229087</v>
      </c>
      <c r="F48" s="943" t="s">
        <v>569</v>
      </c>
      <c r="G48" s="943">
        <v>11043757</v>
      </c>
      <c r="H48" s="944"/>
      <c r="I48" s="950"/>
      <c r="J48" s="934"/>
    </row>
    <row r="49" spans="1:10" x14ac:dyDescent="0.2">
      <c r="A49" s="940" t="s">
        <v>603</v>
      </c>
      <c r="B49" s="941" t="s">
        <v>580</v>
      </c>
      <c r="C49" s="941" t="s">
        <v>572</v>
      </c>
      <c r="D49" s="942">
        <v>5041869122</v>
      </c>
      <c r="E49" s="943" t="s">
        <v>569</v>
      </c>
      <c r="F49" s="943">
        <v>277190</v>
      </c>
      <c r="G49" s="943">
        <v>11272844</v>
      </c>
      <c r="H49" s="944"/>
      <c r="I49" s="950"/>
      <c r="J49" s="934"/>
    </row>
    <row r="50" spans="1:10" x14ac:dyDescent="0.2">
      <c r="A50" s="940" t="s">
        <v>604</v>
      </c>
      <c r="B50" s="941" t="s">
        <v>605</v>
      </c>
      <c r="C50" s="941" t="s">
        <v>572</v>
      </c>
      <c r="D50" s="942">
        <v>5039574289</v>
      </c>
      <c r="E50" s="943" t="s">
        <v>569</v>
      </c>
      <c r="F50" s="943">
        <v>60000</v>
      </c>
      <c r="G50" s="943">
        <v>10995654</v>
      </c>
      <c r="H50" s="944"/>
      <c r="I50" s="950"/>
      <c r="J50" s="934"/>
    </row>
    <row r="51" spans="1:10" x14ac:dyDescent="0.2">
      <c r="A51" s="940" t="s">
        <v>604</v>
      </c>
      <c r="B51" s="941" t="s">
        <v>606</v>
      </c>
      <c r="C51" s="941" t="s">
        <v>572</v>
      </c>
      <c r="D51" s="942">
        <v>5039576055</v>
      </c>
      <c r="E51" s="943" t="s">
        <v>569</v>
      </c>
      <c r="F51" s="943">
        <v>60000</v>
      </c>
      <c r="G51" s="943">
        <v>10935654</v>
      </c>
      <c r="H51" s="944"/>
      <c r="I51" s="950"/>
      <c r="J51" s="934"/>
    </row>
    <row r="52" spans="1:10" x14ac:dyDescent="0.2">
      <c r="A52" s="940" t="s">
        <v>604</v>
      </c>
      <c r="B52" s="941" t="s">
        <v>584</v>
      </c>
      <c r="C52" s="941" t="s">
        <v>575</v>
      </c>
      <c r="D52" s="942">
        <v>5039344752</v>
      </c>
      <c r="E52" s="943" t="s">
        <v>569</v>
      </c>
      <c r="F52" s="943">
        <v>60000</v>
      </c>
      <c r="G52" s="943">
        <v>10875654</v>
      </c>
      <c r="H52" s="944"/>
      <c r="I52" s="950"/>
      <c r="J52" s="934"/>
    </row>
    <row r="53" spans="1:10" x14ac:dyDescent="0.2">
      <c r="A53" s="940" t="s">
        <v>604</v>
      </c>
      <c r="B53" s="941" t="s">
        <v>580</v>
      </c>
      <c r="C53" s="941" t="s">
        <v>572</v>
      </c>
      <c r="D53" s="942">
        <v>5039361341</v>
      </c>
      <c r="E53" s="943" t="s">
        <v>569</v>
      </c>
      <c r="F53" s="943">
        <v>40000</v>
      </c>
      <c r="G53" s="943">
        <v>10815654</v>
      </c>
      <c r="H53" s="944"/>
      <c r="I53" s="950"/>
      <c r="J53" s="934"/>
    </row>
    <row r="54" spans="1:10" x14ac:dyDescent="0.2">
      <c r="A54" s="940" t="s">
        <v>607</v>
      </c>
      <c r="B54" s="941" t="s">
        <v>571</v>
      </c>
      <c r="C54" s="941" t="s">
        <v>572</v>
      </c>
      <c r="D54" s="942">
        <v>5029684063</v>
      </c>
      <c r="E54" s="943" t="s">
        <v>569</v>
      </c>
      <c r="F54" s="943">
        <v>143080</v>
      </c>
      <c r="G54" s="943">
        <v>10775654</v>
      </c>
      <c r="H54" s="944"/>
      <c r="I54" s="950"/>
      <c r="J54" s="934"/>
    </row>
    <row r="55" spans="1:10" x14ac:dyDescent="0.2">
      <c r="A55" s="940" t="s">
        <v>608</v>
      </c>
      <c r="B55" s="941" t="s">
        <v>567</v>
      </c>
      <c r="C55" s="941" t="s">
        <v>568</v>
      </c>
      <c r="D55" s="942">
        <v>130033746367</v>
      </c>
      <c r="E55" s="943" t="s">
        <v>569</v>
      </c>
      <c r="F55" s="943">
        <v>139430</v>
      </c>
      <c r="G55" s="943">
        <v>10632574</v>
      </c>
      <c r="H55" s="944"/>
      <c r="I55" s="950"/>
      <c r="J55" s="934"/>
    </row>
    <row r="56" spans="1:10" x14ac:dyDescent="0.2">
      <c r="A56" s="940" t="s">
        <v>609</v>
      </c>
      <c r="B56" s="941" t="s">
        <v>584</v>
      </c>
      <c r="C56" s="941" t="s">
        <v>575</v>
      </c>
      <c r="D56" s="942">
        <v>5006094810</v>
      </c>
      <c r="E56" s="943" t="s">
        <v>569</v>
      </c>
      <c r="F56" s="943">
        <v>102930</v>
      </c>
      <c r="G56" s="943">
        <v>10493144</v>
      </c>
      <c r="H56" s="944"/>
      <c r="I56" s="950"/>
      <c r="J56" s="934"/>
    </row>
    <row r="57" spans="1:10" x14ac:dyDescent="0.2">
      <c r="A57" s="945" t="s">
        <v>609</v>
      </c>
      <c r="B57" s="946" t="s">
        <v>584</v>
      </c>
      <c r="C57" s="946" t="s">
        <v>575</v>
      </c>
      <c r="D57" s="947">
        <v>5006065949</v>
      </c>
      <c r="E57" s="948" t="s">
        <v>569</v>
      </c>
      <c r="F57" s="948">
        <v>3000</v>
      </c>
      <c r="G57" s="948">
        <v>10390214</v>
      </c>
      <c r="H57" s="949"/>
      <c r="I57" s="950"/>
      <c r="J57" s="934"/>
    </row>
    <row r="58" spans="1:10" x14ac:dyDescent="0.2">
      <c r="A58" s="935" t="s">
        <v>610</v>
      </c>
      <c r="B58" s="936" t="s">
        <v>571</v>
      </c>
      <c r="C58" s="936" t="s">
        <v>572</v>
      </c>
      <c r="D58" s="937">
        <v>4993981596</v>
      </c>
      <c r="E58" s="938" t="s">
        <v>569</v>
      </c>
      <c r="F58" s="938">
        <v>141620</v>
      </c>
      <c r="G58" s="938">
        <v>10387214</v>
      </c>
      <c r="H58" s="939"/>
      <c r="I58" s="950"/>
      <c r="J58" s="934"/>
    </row>
    <row r="59" spans="1:10" x14ac:dyDescent="0.2">
      <c r="A59" s="940" t="s">
        <v>611</v>
      </c>
      <c r="B59" s="941" t="s">
        <v>567</v>
      </c>
      <c r="C59" s="941" t="s">
        <v>568</v>
      </c>
      <c r="D59" s="942">
        <v>130033183217</v>
      </c>
      <c r="E59" s="943" t="s">
        <v>569</v>
      </c>
      <c r="F59" s="943">
        <v>139430</v>
      </c>
      <c r="G59" s="943">
        <v>10245594</v>
      </c>
      <c r="H59" s="944"/>
      <c r="I59" s="950"/>
      <c r="J59" s="934"/>
    </row>
    <row r="60" spans="1:10" x14ac:dyDescent="0.2">
      <c r="A60" s="940" t="s">
        <v>612</v>
      </c>
      <c r="B60" s="941" t="s">
        <v>581</v>
      </c>
      <c r="C60" s="941" t="s">
        <v>575</v>
      </c>
      <c r="D60" s="942">
        <v>4948688254</v>
      </c>
      <c r="E60" s="981">
        <v>-150000</v>
      </c>
      <c r="F60" s="943" t="s">
        <v>569</v>
      </c>
      <c r="G60" s="943">
        <v>10106164</v>
      </c>
      <c r="H60" s="944"/>
      <c r="I60" s="984">
        <v>1235</v>
      </c>
      <c r="J60" s="985">
        <v>45839</v>
      </c>
    </row>
    <row r="61" spans="1:10" x14ac:dyDescent="0.2">
      <c r="A61" s="940" t="s">
        <v>613</v>
      </c>
      <c r="B61" s="941" t="s">
        <v>584</v>
      </c>
      <c r="C61" s="941" t="s">
        <v>575</v>
      </c>
      <c r="D61" s="942">
        <v>4942200541</v>
      </c>
      <c r="E61" s="943" t="s">
        <v>569</v>
      </c>
      <c r="F61" s="943">
        <v>103660</v>
      </c>
      <c r="G61" s="943">
        <v>10256164</v>
      </c>
      <c r="H61" s="944"/>
      <c r="I61" s="950"/>
      <c r="J61" s="934"/>
    </row>
    <row r="62" spans="1:10" x14ac:dyDescent="0.2">
      <c r="A62" s="945" t="s">
        <v>613</v>
      </c>
      <c r="B62" s="946" t="s">
        <v>584</v>
      </c>
      <c r="C62" s="946" t="s">
        <v>575</v>
      </c>
      <c r="D62" s="947">
        <v>4942227935</v>
      </c>
      <c r="E62" s="948" t="s">
        <v>569</v>
      </c>
      <c r="F62" s="948">
        <v>3000</v>
      </c>
      <c r="G62" s="948">
        <v>10152504</v>
      </c>
      <c r="H62" s="949"/>
      <c r="I62" s="950"/>
      <c r="J62" s="934"/>
    </row>
    <row r="63" spans="1:10" x14ac:dyDescent="0.2">
      <c r="A63" s="935" t="s">
        <v>614</v>
      </c>
      <c r="B63" s="936" t="s">
        <v>571</v>
      </c>
      <c r="C63" s="936" t="s">
        <v>572</v>
      </c>
      <c r="D63" s="937">
        <v>4929091997</v>
      </c>
      <c r="E63" s="938" t="s">
        <v>569</v>
      </c>
      <c r="F63" s="938">
        <v>138700</v>
      </c>
      <c r="G63" s="938">
        <v>10149504</v>
      </c>
      <c r="H63" s="939"/>
      <c r="I63" s="950"/>
      <c r="J63" s="934"/>
    </row>
    <row r="64" spans="1:10" x14ac:dyDescent="0.2">
      <c r="A64" s="940" t="s">
        <v>615</v>
      </c>
      <c r="B64" s="941" t="s">
        <v>581</v>
      </c>
      <c r="C64" s="941" t="s">
        <v>575</v>
      </c>
      <c r="D64" s="942">
        <v>4894884493</v>
      </c>
      <c r="E64" s="981">
        <v>-150000</v>
      </c>
      <c r="F64" s="943" t="s">
        <v>569</v>
      </c>
      <c r="G64" s="943">
        <v>10010804</v>
      </c>
      <c r="H64" s="944"/>
      <c r="I64" s="984">
        <v>1229</v>
      </c>
      <c r="J64" s="985">
        <v>45809</v>
      </c>
    </row>
    <row r="65" spans="1:10" x14ac:dyDescent="0.2">
      <c r="A65" s="940" t="s">
        <v>616</v>
      </c>
      <c r="B65" s="941" t="s">
        <v>567</v>
      </c>
      <c r="C65" s="941" t="s">
        <v>568</v>
      </c>
      <c r="D65" s="942">
        <v>130032478063</v>
      </c>
      <c r="E65" s="943" t="s">
        <v>569</v>
      </c>
      <c r="F65" s="943">
        <v>139430</v>
      </c>
      <c r="G65" s="943">
        <v>10160804</v>
      </c>
      <c r="H65" s="944"/>
      <c r="I65" s="950"/>
      <c r="J65" s="934"/>
    </row>
    <row r="66" spans="1:10" x14ac:dyDescent="0.2">
      <c r="A66" s="940" t="s">
        <v>616</v>
      </c>
      <c r="B66" s="941" t="s">
        <v>584</v>
      </c>
      <c r="C66" s="941" t="s">
        <v>575</v>
      </c>
      <c r="D66" s="942">
        <v>4880517023</v>
      </c>
      <c r="E66" s="943" t="s">
        <v>569</v>
      </c>
      <c r="F66" s="943">
        <v>3000</v>
      </c>
      <c r="G66" s="943">
        <v>10021374</v>
      </c>
      <c r="H66" s="944"/>
      <c r="I66" s="950"/>
      <c r="J66" s="934"/>
    </row>
    <row r="67" spans="1:10" x14ac:dyDescent="0.2">
      <c r="A67" s="940" t="s">
        <v>616</v>
      </c>
      <c r="B67" s="941" t="s">
        <v>584</v>
      </c>
      <c r="C67" s="941" t="s">
        <v>575</v>
      </c>
      <c r="D67" s="942">
        <v>4880447986</v>
      </c>
      <c r="E67" s="943" t="s">
        <v>569</v>
      </c>
      <c r="F67" s="943">
        <v>104390</v>
      </c>
      <c r="G67" s="943">
        <v>10018374</v>
      </c>
      <c r="H67" s="944"/>
      <c r="I67" s="950"/>
      <c r="J67" s="934"/>
    </row>
    <row r="68" spans="1:10" x14ac:dyDescent="0.2">
      <c r="A68" s="940" t="s">
        <v>617</v>
      </c>
      <c r="B68" s="941" t="s">
        <v>601</v>
      </c>
      <c r="C68" s="941" t="s">
        <v>575</v>
      </c>
      <c r="D68" s="942">
        <v>7092252</v>
      </c>
      <c r="E68" s="943" t="s">
        <v>569</v>
      </c>
      <c r="F68" s="943">
        <v>151800</v>
      </c>
      <c r="G68" s="943">
        <v>9913984</v>
      </c>
      <c r="H68" s="944"/>
      <c r="I68" s="950"/>
      <c r="J68" s="934"/>
    </row>
    <row r="69" spans="1:10" x14ac:dyDescent="0.2">
      <c r="A69" s="940" t="s">
        <v>617</v>
      </c>
      <c r="B69" s="941" t="s">
        <v>589</v>
      </c>
      <c r="C69" s="941" t="s">
        <v>575</v>
      </c>
      <c r="D69" s="942">
        <v>4874407353</v>
      </c>
      <c r="E69" s="981">
        <v>-130470</v>
      </c>
      <c r="F69" s="943" t="s">
        <v>569</v>
      </c>
      <c r="G69" s="943">
        <v>9762184</v>
      </c>
      <c r="H69" s="944"/>
      <c r="I69" s="950"/>
      <c r="J69" s="934"/>
    </row>
    <row r="70" spans="1:10" x14ac:dyDescent="0.2">
      <c r="A70" s="940" t="s">
        <v>617</v>
      </c>
      <c r="B70" s="941" t="s">
        <v>590</v>
      </c>
      <c r="C70" s="941" t="s">
        <v>575</v>
      </c>
      <c r="D70" s="942">
        <v>4874407334</v>
      </c>
      <c r="E70" s="981">
        <v>-92426</v>
      </c>
      <c r="F70" s="943" t="s">
        <v>569</v>
      </c>
      <c r="G70" s="943">
        <v>9892654</v>
      </c>
      <c r="H70" s="944"/>
      <c r="I70" s="950"/>
      <c r="J70" s="934"/>
    </row>
    <row r="71" spans="1:10" x14ac:dyDescent="0.2">
      <c r="A71" s="940" t="s">
        <v>617</v>
      </c>
      <c r="B71" s="941" t="s">
        <v>591</v>
      </c>
      <c r="C71" s="941" t="s">
        <v>575</v>
      </c>
      <c r="D71" s="942">
        <v>4874406637</v>
      </c>
      <c r="E71" s="981">
        <v>-55580</v>
      </c>
      <c r="F71" s="943" t="s">
        <v>569</v>
      </c>
      <c r="G71" s="943">
        <v>9985080</v>
      </c>
      <c r="H71" s="944"/>
      <c r="I71" s="950"/>
      <c r="J71" s="934"/>
    </row>
    <row r="72" spans="1:10" x14ac:dyDescent="0.2">
      <c r="A72" s="940" t="s">
        <v>617</v>
      </c>
      <c r="B72" s="941" t="s">
        <v>592</v>
      </c>
      <c r="C72" s="941" t="s">
        <v>575</v>
      </c>
      <c r="D72" s="942">
        <v>4874407322</v>
      </c>
      <c r="E72" s="981">
        <v>-25000</v>
      </c>
      <c r="F72" s="943" t="s">
        <v>569</v>
      </c>
      <c r="G72" s="943">
        <v>10040660</v>
      </c>
      <c r="H72" s="944"/>
      <c r="I72" s="950"/>
      <c r="J72" s="934"/>
    </row>
    <row r="73" spans="1:10" x14ac:dyDescent="0.2">
      <c r="A73" s="940" t="s">
        <v>617</v>
      </c>
      <c r="B73" s="941" t="s">
        <v>594</v>
      </c>
      <c r="C73" s="941" t="s">
        <v>575</v>
      </c>
      <c r="D73" s="942">
        <v>4874407306</v>
      </c>
      <c r="E73" s="981">
        <v>-5000</v>
      </c>
      <c r="F73" s="943" t="s">
        <v>569</v>
      </c>
      <c r="G73" s="943">
        <v>10065660</v>
      </c>
      <c r="H73" s="944"/>
      <c r="I73" s="950"/>
      <c r="J73" s="934"/>
    </row>
    <row r="74" spans="1:10" x14ac:dyDescent="0.2">
      <c r="A74" s="940" t="s">
        <v>617</v>
      </c>
      <c r="B74" s="941" t="s">
        <v>596</v>
      </c>
      <c r="C74" s="941" t="s">
        <v>575</v>
      </c>
      <c r="D74" s="942">
        <v>4874406627</v>
      </c>
      <c r="E74" s="981">
        <v>-5000</v>
      </c>
      <c r="F74" s="943" t="s">
        <v>569</v>
      </c>
      <c r="G74" s="943">
        <v>10070660</v>
      </c>
      <c r="H74" s="944"/>
      <c r="I74" s="950"/>
      <c r="J74" s="934"/>
    </row>
    <row r="75" spans="1:10" x14ac:dyDescent="0.2">
      <c r="A75" s="945" t="s">
        <v>617</v>
      </c>
      <c r="B75" s="946" t="s">
        <v>581</v>
      </c>
      <c r="C75" s="946" t="s">
        <v>575</v>
      </c>
      <c r="D75" s="947">
        <v>4874406623</v>
      </c>
      <c r="E75" s="982">
        <v>-150000</v>
      </c>
      <c r="F75" s="948" t="s">
        <v>569</v>
      </c>
      <c r="G75" s="948">
        <v>10075660</v>
      </c>
      <c r="H75" s="949"/>
      <c r="I75" s="984">
        <v>1228</v>
      </c>
      <c r="J75" s="985">
        <v>45778</v>
      </c>
    </row>
    <row r="76" spans="1:10" x14ac:dyDescent="0.2">
      <c r="A76" s="935" t="s">
        <v>618</v>
      </c>
      <c r="B76" s="936" t="s">
        <v>619</v>
      </c>
      <c r="C76" s="936" t="s">
        <v>568</v>
      </c>
      <c r="D76" s="937">
        <v>130031911838</v>
      </c>
      <c r="E76" s="980" t="s">
        <v>569</v>
      </c>
      <c r="F76" s="938">
        <v>142350</v>
      </c>
      <c r="G76" s="938">
        <v>10225660</v>
      </c>
      <c r="H76" s="939"/>
      <c r="I76" s="950">
        <v>10225660</v>
      </c>
      <c r="J76" s="934"/>
    </row>
    <row r="77" spans="1:10" x14ac:dyDescent="0.2">
      <c r="A77" s="940" t="s">
        <v>620</v>
      </c>
      <c r="B77" s="941" t="s">
        <v>584</v>
      </c>
      <c r="C77" s="941" t="s">
        <v>575</v>
      </c>
      <c r="D77" s="942">
        <v>4818248190</v>
      </c>
      <c r="E77" s="981" t="s">
        <v>569</v>
      </c>
      <c r="F77" s="943">
        <v>108770</v>
      </c>
      <c r="G77" s="943">
        <v>10083310</v>
      </c>
      <c r="H77" s="944"/>
      <c r="I77" s="950"/>
      <c r="J77" s="934"/>
    </row>
    <row r="78" spans="1:10" x14ac:dyDescent="0.2">
      <c r="A78" s="940" t="s">
        <v>620</v>
      </c>
      <c r="B78" s="941" t="s">
        <v>584</v>
      </c>
      <c r="C78" s="941" t="s">
        <v>575</v>
      </c>
      <c r="D78" s="942">
        <v>4818226334</v>
      </c>
      <c r="E78" s="981" t="s">
        <v>569</v>
      </c>
      <c r="F78" s="943">
        <v>3000</v>
      </c>
      <c r="G78" s="943">
        <v>9974540</v>
      </c>
      <c r="H78" s="944"/>
      <c r="I78" s="950"/>
      <c r="J78" s="934"/>
    </row>
    <row r="79" spans="1:10" x14ac:dyDescent="0.2">
      <c r="A79" s="940" t="s">
        <v>553</v>
      </c>
      <c r="B79" s="941" t="s">
        <v>592</v>
      </c>
      <c r="C79" s="941" t="s">
        <v>575</v>
      </c>
      <c r="D79" s="942">
        <v>4816749090</v>
      </c>
      <c r="E79" s="981">
        <v>-65000</v>
      </c>
      <c r="F79" s="943" t="s">
        <v>569</v>
      </c>
      <c r="G79" s="943">
        <v>9971540</v>
      </c>
      <c r="H79" s="944"/>
      <c r="I79" s="950"/>
      <c r="J79" s="934"/>
    </row>
    <row r="80" spans="1:10" x14ac:dyDescent="0.2">
      <c r="A80" s="940" t="s">
        <v>553</v>
      </c>
      <c r="B80" s="941" t="s">
        <v>590</v>
      </c>
      <c r="C80" s="941" t="s">
        <v>575</v>
      </c>
      <c r="D80" s="942">
        <v>4816554192</v>
      </c>
      <c r="E80" s="981">
        <v>-144226</v>
      </c>
      <c r="F80" s="943" t="s">
        <v>569</v>
      </c>
      <c r="G80" s="943">
        <v>10036540</v>
      </c>
      <c r="H80" s="944"/>
      <c r="I80" s="950"/>
      <c r="J80" s="934"/>
    </row>
    <row r="81" spans="1:10" x14ac:dyDescent="0.2">
      <c r="A81" s="940" t="s">
        <v>553</v>
      </c>
      <c r="B81" s="941" t="s">
        <v>592</v>
      </c>
      <c r="C81" s="941" t="s">
        <v>575</v>
      </c>
      <c r="D81" s="942">
        <v>4816556488</v>
      </c>
      <c r="E81" s="981">
        <v>-112790</v>
      </c>
      <c r="F81" s="943" t="s">
        <v>569</v>
      </c>
      <c r="G81" s="943">
        <v>10180766</v>
      </c>
      <c r="H81" s="944"/>
      <c r="I81" s="950"/>
      <c r="J81" s="934"/>
    </row>
    <row r="82" spans="1:10" x14ac:dyDescent="0.2">
      <c r="A82" s="945" t="s">
        <v>553</v>
      </c>
      <c r="B82" s="946" t="s">
        <v>591</v>
      </c>
      <c r="C82" s="946" t="s">
        <v>575</v>
      </c>
      <c r="D82" s="947">
        <v>4816587002</v>
      </c>
      <c r="E82" s="982">
        <v>-5000</v>
      </c>
      <c r="F82" s="948" t="s">
        <v>569</v>
      </c>
      <c r="G82" s="948">
        <v>10293556</v>
      </c>
      <c r="H82" s="949"/>
      <c r="I82" s="950"/>
      <c r="J82" s="934"/>
    </row>
    <row r="83" spans="1:10" x14ac:dyDescent="0.2">
      <c r="A83" s="983">
        <v>45768</v>
      </c>
      <c r="B83" s="941" t="s">
        <v>581</v>
      </c>
      <c r="C83" s="941" t="s">
        <v>575</v>
      </c>
      <c r="D83" s="942">
        <v>4948688254</v>
      </c>
      <c r="E83" s="981">
        <v>-150000</v>
      </c>
      <c r="I83" s="984">
        <v>1218</v>
      </c>
      <c r="J83" s="985">
        <v>45748</v>
      </c>
    </row>
  </sheetData>
  <autoFilter ref="A11:H83" xr:uid="{00000000-0009-0000-0000-000008000000}"/>
  <pageMargins left="0.75" right="0.75" top="1" bottom="1" header="0.5" footer="0.5"/>
  <pageSetup orientation="portrait" horizontalDpi="300" verticalDpi="30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7">
    <tabColor rgb="FF92D050"/>
  </sheetPr>
  <dimension ref="A2:K56"/>
  <sheetViews>
    <sheetView showGridLines="0" workbookViewId="0">
      <pane xSplit="1" ySplit="2" topLeftCell="B42" activePane="bottomRight" state="frozen"/>
      <selection pane="topRight" activeCell="B1" sqref="B1"/>
      <selection pane="bottomLeft" activeCell="A2" sqref="A2"/>
      <selection pane="bottomRight" activeCell="D37" sqref="D37"/>
    </sheetView>
  </sheetViews>
  <sheetFormatPr baseColWidth="10" defaultRowHeight="15" x14ac:dyDescent="0.25"/>
  <cols>
    <col min="1" max="1" width="15.5703125" bestFit="1" customWidth="1"/>
    <col min="2" max="9" width="13.7109375" customWidth="1"/>
    <col min="10" max="10" width="12.42578125" bestFit="1" customWidth="1"/>
  </cols>
  <sheetData>
    <row r="2" spans="1:11" x14ac:dyDescent="0.25">
      <c r="A2" s="713">
        <v>45748</v>
      </c>
      <c r="B2" s="727" t="s">
        <v>291</v>
      </c>
      <c r="C2" s="727" t="s">
        <v>292</v>
      </c>
      <c r="D2" s="727" t="s">
        <v>293</v>
      </c>
      <c r="E2" s="727" t="s">
        <v>342</v>
      </c>
      <c r="F2" s="727" t="s">
        <v>381</v>
      </c>
      <c r="G2" s="727" t="s">
        <v>294</v>
      </c>
      <c r="H2" s="727" t="s">
        <v>295</v>
      </c>
      <c r="I2" s="727" t="s">
        <v>476</v>
      </c>
    </row>
    <row r="3" spans="1:11" x14ac:dyDescent="0.25">
      <c r="A3" s="715"/>
      <c r="B3" s="741">
        <f>SUM(B4:B11)</f>
        <v>210670</v>
      </c>
      <c r="C3" s="741">
        <f t="shared" ref="C3:I3" si="0">SUM(C4:C11)</f>
        <v>393019</v>
      </c>
      <c r="D3" s="741">
        <f t="shared" si="0"/>
        <v>109980</v>
      </c>
      <c r="E3" s="741">
        <f t="shared" si="0"/>
        <v>237796</v>
      </c>
      <c r="F3" s="741">
        <f t="shared" si="0"/>
        <v>5000</v>
      </c>
      <c r="G3" s="741">
        <f t="shared" si="0"/>
        <v>10000</v>
      </c>
      <c r="H3" s="741">
        <f t="shared" si="0"/>
        <v>5000</v>
      </c>
      <c r="I3" s="741">
        <f t="shared" si="0"/>
        <v>10000</v>
      </c>
      <c r="J3" t="s">
        <v>478</v>
      </c>
      <c r="K3" s="731">
        <f>SUM(B3:J3)</f>
        <v>981465</v>
      </c>
    </row>
    <row r="4" spans="1:11" x14ac:dyDescent="0.25">
      <c r="A4" s="716" t="s">
        <v>7</v>
      </c>
      <c r="B4" s="741">
        <f>+B14+B24+B36</f>
        <v>65000</v>
      </c>
      <c r="C4" s="741">
        <f t="shared" ref="C4:I4" si="1">+C14+C24+C36</f>
        <v>70000</v>
      </c>
      <c r="D4" s="741">
        <f t="shared" si="1"/>
        <v>50000</v>
      </c>
      <c r="E4" s="741">
        <f t="shared" si="1"/>
        <v>70000</v>
      </c>
      <c r="F4" s="741">
        <f t="shared" si="1"/>
        <v>5000</v>
      </c>
      <c r="G4" s="741">
        <f t="shared" si="1"/>
        <v>10000</v>
      </c>
      <c r="H4" s="741">
        <f t="shared" si="1"/>
        <v>5000</v>
      </c>
      <c r="I4" s="741">
        <f t="shared" si="1"/>
        <v>10000</v>
      </c>
      <c r="J4" t="s">
        <v>479</v>
      </c>
    </row>
    <row r="5" spans="1:11" x14ac:dyDescent="0.25">
      <c r="A5" s="716" t="s">
        <v>61</v>
      </c>
      <c r="B5" s="741">
        <f t="shared" ref="B5:I11" si="2">+B15+B25+B37</f>
        <v>68200</v>
      </c>
      <c r="C5" s="741">
        <f t="shared" si="2"/>
        <v>120940</v>
      </c>
      <c r="D5" s="741">
        <f t="shared" si="2"/>
        <v>35500</v>
      </c>
      <c r="E5" s="741">
        <f t="shared" si="2"/>
        <v>42520</v>
      </c>
      <c r="F5" s="741">
        <f t="shared" si="2"/>
        <v>0</v>
      </c>
      <c r="G5" s="741">
        <f t="shared" si="2"/>
        <v>0</v>
      </c>
      <c r="H5" s="741">
        <f t="shared" si="2"/>
        <v>0</v>
      </c>
      <c r="I5" s="741">
        <f t="shared" si="2"/>
        <v>0</v>
      </c>
      <c r="J5" t="s">
        <v>479</v>
      </c>
    </row>
    <row r="6" spans="1:11" x14ac:dyDescent="0.25">
      <c r="A6" s="716" t="s">
        <v>62</v>
      </c>
      <c r="B6" s="741">
        <f t="shared" si="2"/>
        <v>0</v>
      </c>
      <c r="C6" s="741">
        <f t="shared" si="2"/>
        <v>40840</v>
      </c>
      <c r="D6" s="741">
        <f t="shared" si="2"/>
        <v>8490</v>
      </c>
      <c r="E6" s="741">
        <f t="shared" si="2"/>
        <v>32650</v>
      </c>
      <c r="F6" s="741">
        <f t="shared" si="2"/>
        <v>0</v>
      </c>
      <c r="G6" s="741">
        <f t="shared" si="2"/>
        <v>0</v>
      </c>
      <c r="H6" s="741">
        <f t="shared" si="2"/>
        <v>0</v>
      </c>
      <c r="I6" s="741">
        <f t="shared" si="2"/>
        <v>0</v>
      </c>
      <c r="J6" t="s">
        <v>479</v>
      </c>
    </row>
    <row r="7" spans="1:11" x14ac:dyDescent="0.25">
      <c r="A7" s="716" t="s">
        <v>63</v>
      </c>
      <c r="B7" s="741">
        <f t="shared" si="2"/>
        <v>3000</v>
      </c>
      <c r="C7" s="741">
        <f t="shared" si="2"/>
        <v>6000</v>
      </c>
      <c r="D7" s="741">
        <f t="shared" si="2"/>
        <v>3000</v>
      </c>
      <c r="E7" s="741">
        <f t="shared" si="2"/>
        <v>3000</v>
      </c>
      <c r="F7" s="741">
        <f t="shared" si="2"/>
        <v>0</v>
      </c>
      <c r="G7" s="741">
        <f t="shared" si="2"/>
        <v>0</v>
      </c>
      <c r="H7" s="741">
        <f t="shared" si="2"/>
        <v>0</v>
      </c>
      <c r="I7" s="741">
        <f t="shared" si="2"/>
        <v>0</v>
      </c>
      <c r="J7" t="s">
        <v>479</v>
      </c>
    </row>
    <row r="8" spans="1:11" x14ac:dyDescent="0.25">
      <c r="A8" s="716" t="s">
        <v>119</v>
      </c>
      <c r="B8" s="741">
        <f t="shared" si="2"/>
        <v>0</v>
      </c>
      <c r="C8" s="741">
        <f t="shared" si="2"/>
        <v>16309</v>
      </c>
      <c r="D8" s="741">
        <f t="shared" si="2"/>
        <v>4500</v>
      </c>
      <c r="E8" s="741">
        <f t="shared" si="2"/>
        <v>9020</v>
      </c>
      <c r="F8" s="741">
        <f t="shared" si="2"/>
        <v>0</v>
      </c>
      <c r="G8" s="741">
        <f t="shared" si="2"/>
        <v>0</v>
      </c>
      <c r="H8" s="741">
        <f t="shared" si="2"/>
        <v>0</v>
      </c>
      <c r="I8" s="741">
        <f t="shared" si="2"/>
        <v>0</v>
      </c>
      <c r="J8" t="s">
        <v>479</v>
      </c>
    </row>
    <row r="9" spans="1:11" x14ac:dyDescent="0.25">
      <c r="A9" s="716" t="s">
        <v>65</v>
      </c>
      <c r="B9" s="741">
        <f t="shared" si="2"/>
        <v>0</v>
      </c>
      <c r="C9" s="741">
        <f t="shared" si="2"/>
        <v>600</v>
      </c>
      <c r="D9" s="741">
        <f t="shared" si="2"/>
        <v>0</v>
      </c>
      <c r="E9" s="741">
        <f t="shared" si="2"/>
        <v>0</v>
      </c>
      <c r="F9" s="741">
        <f t="shared" si="2"/>
        <v>0</v>
      </c>
      <c r="G9" s="741">
        <f t="shared" si="2"/>
        <v>0</v>
      </c>
      <c r="H9" s="741">
        <f t="shared" si="2"/>
        <v>0</v>
      </c>
      <c r="I9" s="741">
        <f t="shared" si="2"/>
        <v>0</v>
      </c>
      <c r="J9" t="s">
        <v>479</v>
      </c>
    </row>
    <row r="10" spans="1:11" x14ac:dyDescent="0.25">
      <c r="A10" s="716" t="s">
        <v>67</v>
      </c>
      <c r="B10" s="741">
        <f t="shared" si="2"/>
        <v>74470</v>
      </c>
      <c r="C10" s="741">
        <f t="shared" si="2"/>
        <v>123330</v>
      </c>
      <c r="D10" s="741">
        <f t="shared" si="2"/>
        <v>8490</v>
      </c>
      <c r="E10" s="741">
        <f t="shared" si="2"/>
        <v>80606</v>
      </c>
      <c r="F10" s="741">
        <f t="shared" si="2"/>
        <v>0</v>
      </c>
      <c r="G10" s="741">
        <f t="shared" si="2"/>
        <v>0</v>
      </c>
      <c r="H10" s="741">
        <f t="shared" si="2"/>
        <v>0</v>
      </c>
      <c r="I10" s="741">
        <f t="shared" si="2"/>
        <v>0</v>
      </c>
      <c r="J10" t="s">
        <v>479</v>
      </c>
    </row>
    <row r="11" spans="1:11" x14ac:dyDescent="0.25">
      <c r="A11" s="716" t="s">
        <v>122</v>
      </c>
      <c r="B11" s="741">
        <f t="shared" si="2"/>
        <v>0</v>
      </c>
      <c r="C11" s="741">
        <f t="shared" si="2"/>
        <v>15000</v>
      </c>
      <c r="D11" s="741">
        <f t="shared" si="2"/>
        <v>0</v>
      </c>
      <c r="E11" s="741">
        <f t="shared" si="2"/>
        <v>0</v>
      </c>
      <c r="F11" s="741">
        <f t="shared" si="2"/>
        <v>0</v>
      </c>
      <c r="G11" s="741">
        <f t="shared" si="2"/>
        <v>0</v>
      </c>
      <c r="H11" s="741">
        <f t="shared" si="2"/>
        <v>0</v>
      </c>
      <c r="I11" s="741">
        <f t="shared" si="2"/>
        <v>0</v>
      </c>
      <c r="J11" t="s">
        <v>479</v>
      </c>
    </row>
    <row r="13" spans="1:11" x14ac:dyDescent="0.25">
      <c r="A13" s="714">
        <v>45768</v>
      </c>
      <c r="B13" s="735">
        <f t="shared" ref="B13:I13" si="3">SUM(B14:B21)</f>
        <v>20000</v>
      </c>
      <c r="C13" s="735">
        <f t="shared" si="3"/>
        <v>156367</v>
      </c>
      <c r="D13" s="735">
        <f t="shared" si="3"/>
        <v>49400</v>
      </c>
      <c r="E13" s="735">
        <f t="shared" si="3"/>
        <v>35006</v>
      </c>
      <c r="F13" s="712">
        <f t="shared" si="3"/>
        <v>0</v>
      </c>
      <c r="G13" s="712">
        <f t="shared" si="3"/>
        <v>0</v>
      </c>
      <c r="H13" s="712">
        <f t="shared" si="3"/>
        <v>0</v>
      </c>
      <c r="I13" s="712">
        <f t="shared" si="3"/>
        <v>0</v>
      </c>
      <c r="K13" s="731">
        <f>SUM(B13:J13)</f>
        <v>260773</v>
      </c>
    </row>
    <row r="14" spans="1:11" x14ac:dyDescent="0.25">
      <c r="A14" s="716" t="s">
        <v>7</v>
      </c>
      <c r="B14" s="738">
        <v>20000</v>
      </c>
      <c r="C14" s="738">
        <v>20000</v>
      </c>
      <c r="D14" s="738">
        <v>20000</v>
      </c>
      <c r="E14" s="738">
        <v>20000</v>
      </c>
      <c r="F14" s="717"/>
      <c r="G14" s="717"/>
      <c r="H14" s="717"/>
      <c r="I14" s="717"/>
      <c r="J14" t="s">
        <v>477</v>
      </c>
    </row>
    <row r="15" spans="1:11" x14ac:dyDescent="0.25">
      <c r="A15" s="716" t="s">
        <v>61</v>
      </c>
      <c r="B15" s="716"/>
      <c r="C15" s="738">
        <v>38000</v>
      </c>
      <c r="D15" s="738">
        <v>22900</v>
      </c>
      <c r="E15" s="739"/>
      <c r="F15" s="717"/>
      <c r="G15" s="717"/>
      <c r="H15" s="717"/>
      <c r="I15" s="717"/>
      <c r="J15" t="s">
        <v>477</v>
      </c>
    </row>
    <row r="16" spans="1:11" x14ac:dyDescent="0.25">
      <c r="A16" s="716" t="s">
        <v>62</v>
      </c>
      <c r="B16" s="717"/>
      <c r="C16" s="738">
        <v>17900</v>
      </c>
      <c r="D16" s="738">
        <v>5500</v>
      </c>
      <c r="E16" s="739"/>
      <c r="F16" s="717"/>
      <c r="G16" s="717"/>
      <c r="H16" s="717"/>
      <c r="I16" s="717"/>
      <c r="J16" t="s">
        <v>477</v>
      </c>
    </row>
    <row r="17" spans="1:11" x14ac:dyDescent="0.25">
      <c r="A17" s="716" t="s">
        <v>63</v>
      </c>
      <c r="B17" s="717"/>
      <c r="C17" s="738">
        <v>4000</v>
      </c>
      <c r="D17" s="739">
        <v>0</v>
      </c>
      <c r="E17" s="739"/>
      <c r="F17" s="717"/>
      <c r="G17" s="717"/>
      <c r="H17" s="717"/>
      <c r="I17" s="717"/>
      <c r="J17" t="s">
        <v>477</v>
      </c>
    </row>
    <row r="18" spans="1:11" x14ac:dyDescent="0.25">
      <c r="A18" s="716" t="s">
        <v>119</v>
      </c>
      <c r="B18" s="717"/>
      <c r="C18" s="738">
        <v>4037</v>
      </c>
      <c r="D18" s="738">
        <v>1000</v>
      </c>
      <c r="E18" s="739"/>
      <c r="F18" s="717"/>
      <c r="G18" s="717"/>
      <c r="H18" s="717"/>
      <c r="I18" s="717"/>
      <c r="J18" t="s">
        <v>477</v>
      </c>
    </row>
    <row r="19" spans="1:11" x14ac:dyDescent="0.25">
      <c r="A19" s="716" t="s">
        <v>65</v>
      </c>
      <c r="B19" s="717"/>
      <c r="C19" s="738">
        <v>600</v>
      </c>
      <c r="D19" s="717"/>
      <c r="E19" s="739"/>
      <c r="F19" s="717"/>
      <c r="G19" s="717"/>
      <c r="H19" s="717"/>
      <c r="I19" s="717"/>
      <c r="J19" t="s">
        <v>477</v>
      </c>
    </row>
    <row r="20" spans="1:11" x14ac:dyDescent="0.25">
      <c r="A20" s="716" t="s">
        <v>67</v>
      </c>
      <c r="B20" s="717"/>
      <c r="C20" s="738">
        <v>71830</v>
      </c>
      <c r="D20" s="717"/>
      <c r="E20" s="738">
        <v>15006</v>
      </c>
      <c r="F20" s="717"/>
      <c r="G20" s="717"/>
      <c r="H20" s="717"/>
      <c r="I20" s="717"/>
      <c r="J20" t="s">
        <v>477</v>
      </c>
    </row>
    <row r="21" spans="1:11" x14ac:dyDescent="0.25">
      <c r="A21" s="716" t="s">
        <v>122</v>
      </c>
      <c r="B21" s="717"/>
      <c r="C21" s="717"/>
      <c r="D21" s="717"/>
      <c r="E21" s="717"/>
      <c r="F21" s="717"/>
      <c r="G21" s="717"/>
      <c r="H21" s="717"/>
      <c r="I21" s="717"/>
      <c r="J21" t="s">
        <v>477</v>
      </c>
    </row>
    <row r="23" spans="1:11" x14ac:dyDescent="0.25">
      <c r="A23" s="714">
        <v>45775</v>
      </c>
      <c r="B23" s="735">
        <f t="shared" ref="B23:I23" si="4">SUM(B24:B31)</f>
        <v>60200</v>
      </c>
      <c r="C23" s="735">
        <f t="shared" si="4"/>
        <v>144226</v>
      </c>
      <c r="D23" s="735">
        <f t="shared" si="4"/>
        <v>5000</v>
      </c>
      <c r="E23" s="735">
        <f t="shared" si="4"/>
        <v>177790</v>
      </c>
      <c r="F23" s="735">
        <f t="shared" si="4"/>
        <v>5000</v>
      </c>
      <c r="G23" s="735">
        <f t="shared" si="4"/>
        <v>5000</v>
      </c>
      <c r="H23" s="735">
        <f t="shared" si="4"/>
        <v>5000</v>
      </c>
      <c r="I23" s="735">
        <f t="shared" si="4"/>
        <v>5000</v>
      </c>
      <c r="K23" s="731">
        <f>SUM(B23:J23)</f>
        <v>407216</v>
      </c>
    </row>
    <row r="24" spans="1:11" x14ac:dyDescent="0.25">
      <c r="A24" s="718" t="s">
        <v>7</v>
      </c>
      <c r="B24" s="738">
        <f>20000</f>
        <v>20000</v>
      </c>
      <c r="C24" s="738">
        <f>5000+20000</f>
        <v>25000</v>
      </c>
      <c r="D24" s="738">
        <v>5000</v>
      </c>
      <c r="E24" s="738">
        <f>5000+20000</f>
        <v>25000</v>
      </c>
      <c r="F24" s="738">
        <v>5000</v>
      </c>
      <c r="G24" s="738">
        <v>5000</v>
      </c>
      <c r="H24" s="738">
        <v>5000</v>
      </c>
      <c r="I24" s="738">
        <v>5000</v>
      </c>
      <c r="J24" t="s">
        <v>477</v>
      </c>
      <c r="K24" s="731"/>
    </row>
    <row r="25" spans="1:11" x14ac:dyDescent="0.25">
      <c r="A25" s="716" t="s">
        <v>61</v>
      </c>
      <c r="B25" s="738">
        <v>40200</v>
      </c>
      <c r="C25" s="738">
        <f>+VIATICOS!F21</f>
        <v>43570</v>
      </c>
      <c r="D25" s="717"/>
      <c r="E25" s="738">
        <f>+VIATICOS!F20</f>
        <v>42520</v>
      </c>
      <c r="F25" s="717"/>
      <c r="G25" s="717"/>
      <c r="H25" s="717"/>
      <c r="I25" s="717"/>
      <c r="J25" t="s">
        <v>477</v>
      </c>
      <c r="K25" s="731"/>
    </row>
    <row r="26" spans="1:11" x14ac:dyDescent="0.25">
      <c r="A26" s="716" t="s">
        <v>62</v>
      </c>
      <c r="B26" s="716"/>
      <c r="C26" s="738">
        <f>+VIATICOS!G21</f>
        <v>7780</v>
      </c>
      <c r="D26" s="717"/>
      <c r="E26" s="738">
        <f>3600+29050</f>
        <v>32650</v>
      </c>
      <c r="F26" s="717"/>
      <c r="G26" s="717"/>
      <c r="H26" s="717"/>
      <c r="I26" s="717"/>
      <c r="J26" t="s">
        <v>477</v>
      </c>
    </row>
    <row r="27" spans="1:11" x14ac:dyDescent="0.25">
      <c r="A27" s="716" t="s">
        <v>63</v>
      </c>
      <c r="B27" s="717"/>
      <c r="C27" s="738">
        <f>+VIATICOS!H21</f>
        <v>0</v>
      </c>
      <c r="D27" s="717"/>
      <c r="E27" s="738">
        <f>+VIATICOS!H20</f>
        <v>3000</v>
      </c>
      <c r="F27" s="717"/>
      <c r="G27" s="717"/>
      <c r="H27" s="717"/>
      <c r="I27" s="717"/>
      <c r="J27" t="s">
        <v>477</v>
      </c>
    </row>
    <row r="28" spans="1:11" x14ac:dyDescent="0.25">
      <c r="A28" s="716" t="s">
        <v>119</v>
      </c>
      <c r="B28" s="717"/>
      <c r="C28" s="738">
        <f>+VIATICOS!I21</f>
        <v>6976</v>
      </c>
      <c r="D28" s="717"/>
      <c r="E28" s="738">
        <f>+VIATICOS!I20</f>
        <v>9020</v>
      </c>
      <c r="F28" s="717"/>
      <c r="G28" s="717"/>
      <c r="H28" s="717"/>
      <c r="I28" s="717"/>
      <c r="J28" t="s">
        <v>477</v>
      </c>
    </row>
    <row r="29" spans="1:11" x14ac:dyDescent="0.25">
      <c r="A29" s="716" t="s">
        <v>65</v>
      </c>
      <c r="B29" s="717"/>
      <c r="C29" s="738">
        <f>+VIATICOS!J21</f>
        <v>0</v>
      </c>
      <c r="D29" s="717"/>
      <c r="E29" s="733">
        <f>+VIATICOS!J20</f>
        <v>0</v>
      </c>
      <c r="F29" s="717"/>
      <c r="G29" s="717"/>
      <c r="H29" s="717"/>
      <c r="I29" s="717"/>
      <c r="J29" t="s">
        <v>477</v>
      </c>
    </row>
    <row r="30" spans="1:11" x14ac:dyDescent="0.25">
      <c r="A30" s="716" t="s">
        <v>67</v>
      </c>
      <c r="B30" s="717"/>
      <c r="C30" s="738">
        <f>+VIATICOS!K21</f>
        <v>50900</v>
      </c>
      <c r="D30" s="717"/>
      <c r="E30" s="738">
        <v>65600</v>
      </c>
      <c r="F30" s="717"/>
      <c r="G30" s="717"/>
      <c r="H30" s="717"/>
      <c r="I30" s="717"/>
      <c r="J30" t="s">
        <v>477</v>
      </c>
    </row>
    <row r="31" spans="1:11" x14ac:dyDescent="0.25">
      <c r="A31" s="716" t="s">
        <v>122</v>
      </c>
      <c r="B31" s="717"/>
      <c r="C31" s="738">
        <v>10000</v>
      </c>
      <c r="D31" s="717"/>
      <c r="E31" s="733"/>
      <c r="F31" s="717"/>
      <c r="G31" s="717"/>
      <c r="H31" s="717"/>
      <c r="I31" s="717"/>
      <c r="J31" t="s">
        <v>477</v>
      </c>
    </row>
    <row r="32" spans="1:11" x14ac:dyDescent="0.25">
      <c r="B32" s="736">
        <f>+B13+B23</f>
        <v>80200</v>
      </c>
      <c r="C32" s="736">
        <f>+C13+C23</f>
        <v>300593</v>
      </c>
      <c r="D32" s="736">
        <f t="shared" ref="D32:I32" si="5">+D13+D23</f>
        <v>54400</v>
      </c>
      <c r="E32" s="736">
        <f t="shared" si="5"/>
        <v>212796</v>
      </c>
      <c r="F32" s="736">
        <f t="shared" si="5"/>
        <v>5000</v>
      </c>
      <c r="G32" s="736">
        <f t="shared" si="5"/>
        <v>5000</v>
      </c>
      <c r="H32" s="736">
        <f t="shared" si="5"/>
        <v>5000</v>
      </c>
      <c r="I32" s="736">
        <f t="shared" si="5"/>
        <v>5000</v>
      </c>
      <c r="J32" s="731">
        <f>SUM(B32:I32)</f>
        <v>667989</v>
      </c>
    </row>
    <row r="33" spans="1:11" x14ac:dyDescent="0.25">
      <c r="A33" t="s">
        <v>480</v>
      </c>
      <c r="I33" s="740">
        <v>150000</v>
      </c>
      <c r="J33" s="734">
        <f>+J32+I33</f>
        <v>817989</v>
      </c>
    </row>
    <row r="35" spans="1:11" x14ac:dyDescent="0.25">
      <c r="A35" s="713">
        <v>45803</v>
      </c>
      <c r="B35" s="727" t="s">
        <v>291</v>
      </c>
      <c r="C35" s="727" t="s">
        <v>292</v>
      </c>
      <c r="D35" s="727" t="s">
        <v>293</v>
      </c>
      <c r="E35" s="727" t="s">
        <v>342</v>
      </c>
      <c r="F35" s="727" t="s">
        <v>381</v>
      </c>
      <c r="G35" s="727" t="s">
        <v>294</v>
      </c>
      <c r="H35" s="727" t="s">
        <v>295</v>
      </c>
      <c r="I35" s="727" t="s">
        <v>476</v>
      </c>
    </row>
    <row r="36" spans="1:11" x14ac:dyDescent="0.25">
      <c r="A36" s="718" t="s">
        <v>7</v>
      </c>
      <c r="B36" s="716">
        <v>25000</v>
      </c>
      <c r="C36" s="716">
        <v>25000</v>
      </c>
      <c r="D36" s="716">
        <v>25000</v>
      </c>
      <c r="E36" s="716">
        <v>25000</v>
      </c>
      <c r="F36" s="716">
        <f>+REUNION!J6</f>
        <v>0</v>
      </c>
      <c r="G36" s="716">
        <v>5000</v>
      </c>
      <c r="H36" s="716">
        <f>+REUNION!L6</f>
        <v>0</v>
      </c>
      <c r="I36" s="716">
        <v>5000</v>
      </c>
    </row>
    <row r="37" spans="1:11" x14ac:dyDescent="0.25">
      <c r="A37" s="716" t="s">
        <v>61</v>
      </c>
      <c r="B37" s="716">
        <v>28000</v>
      </c>
      <c r="C37" s="716">
        <v>39370</v>
      </c>
      <c r="D37" s="716">
        <v>12600</v>
      </c>
      <c r="E37" s="716">
        <v>0</v>
      </c>
      <c r="F37" s="716">
        <v>0</v>
      </c>
      <c r="G37" s="716">
        <v>0</v>
      </c>
      <c r="H37" s="716">
        <v>0</v>
      </c>
      <c r="I37" s="716">
        <v>0</v>
      </c>
    </row>
    <row r="38" spans="1:11" x14ac:dyDescent="0.25">
      <c r="A38" s="716" t="s">
        <v>62</v>
      </c>
      <c r="B38" s="716">
        <v>0</v>
      </c>
      <c r="C38" s="716">
        <v>15160</v>
      </c>
      <c r="D38" s="716">
        <v>2990</v>
      </c>
      <c r="E38" s="716">
        <v>0</v>
      </c>
      <c r="F38" s="716">
        <v>0</v>
      </c>
      <c r="G38" s="716">
        <v>0</v>
      </c>
      <c r="H38" s="716">
        <v>0</v>
      </c>
      <c r="I38" s="716">
        <v>0</v>
      </c>
    </row>
    <row r="39" spans="1:11" x14ac:dyDescent="0.25">
      <c r="A39" s="716" t="s">
        <v>63</v>
      </c>
      <c r="B39" s="716">
        <v>3000</v>
      </c>
      <c r="C39" s="716">
        <v>2000</v>
      </c>
      <c r="D39" s="716">
        <v>3000</v>
      </c>
      <c r="E39" s="716">
        <v>0</v>
      </c>
      <c r="F39" s="716">
        <v>0</v>
      </c>
      <c r="G39" s="716">
        <v>0</v>
      </c>
      <c r="H39" s="716">
        <v>0</v>
      </c>
      <c r="I39" s="716">
        <v>0</v>
      </c>
    </row>
    <row r="40" spans="1:11" x14ac:dyDescent="0.25">
      <c r="A40" s="716" t="s">
        <v>119</v>
      </c>
      <c r="B40" s="716">
        <v>0</v>
      </c>
      <c r="C40" s="716">
        <v>5296</v>
      </c>
      <c r="D40" s="716">
        <v>3500</v>
      </c>
      <c r="E40" s="716">
        <v>0</v>
      </c>
      <c r="F40" s="716">
        <v>0</v>
      </c>
      <c r="G40" s="716">
        <v>0</v>
      </c>
      <c r="H40" s="716">
        <v>0</v>
      </c>
      <c r="I40" s="716">
        <v>0</v>
      </c>
    </row>
    <row r="41" spans="1:11" x14ac:dyDescent="0.25">
      <c r="A41" s="716" t="s">
        <v>65</v>
      </c>
      <c r="B41" s="716">
        <v>0</v>
      </c>
      <c r="C41" s="716">
        <v>0</v>
      </c>
      <c r="D41" s="716">
        <v>0</v>
      </c>
      <c r="E41" s="716">
        <v>0</v>
      </c>
      <c r="F41" s="716">
        <v>0</v>
      </c>
      <c r="G41" s="716">
        <v>0</v>
      </c>
      <c r="H41" s="716">
        <v>0</v>
      </c>
      <c r="I41" s="716">
        <v>0</v>
      </c>
    </row>
    <row r="42" spans="1:11" x14ac:dyDescent="0.25">
      <c r="A42" s="716" t="s">
        <v>67</v>
      </c>
      <c r="B42" s="716">
        <v>74470</v>
      </c>
      <c r="C42" s="716">
        <v>600</v>
      </c>
      <c r="D42" s="716">
        <v>8490</v>
      </c>
      <c r="E42" s="716"/>
      <c r="F42" s="716">
        <v>0</v>
      </c>
      <c r="G42" s="716">
        <v>0</v>
      </c>
      <c r="H42" s="716">
        <v>0</v>
      </c>
      <c r="I42" s="716">
        <v>0</v>
      </c>
    </row>
    <row r="43" spans="1:11" x14ac:dyDescent="0.25">
      <c r="A43" s="716" t="s">
        <v>122</v>
      </c>
      <c r="B43" s="716"/>
      <c r="C43" s="716">
        <v>5000</v>
      </c>
      <c r="D43" s="716"/>
      <c r="E43" s="716"/>
      <c r="F43" s="716"/>
      <c r="G43" s="716"/>
      <c r="H43" s="716"/>
      <c r="I43" s="716"/>
    </row>
    <row r="44" spans="1:11" x14ac:dyDescent="0.25">
      <c r="B44" s="712">
        <f>SUM(B36:B43)</f>
        <v>130470</v>
      </c>
      <c r="C44" s="712">
        <f>SUM(C36:C43)</f>
        <v>92426</v>
      </c>
      <c r="D44" s="712">
        <f t="shared" ref="D44:I44" si="6">SUM(D36:D43)</f>
        <v>55580</v>
      </c>
      <c r="E44" s="712">
        <f t="shared" si="6"/>
        <v>25000</v>
      </c>
      <c r="F44" s="712">
        <f t="shared" si="6"/>
        <v>0</v>
      </c>
      <c r="G44" s="712">
        <f t="shared" si="6"/>
        <v>5000</v>
      </c>
      <c r="H44" s="712">
        <f t="shared" si="6"/>
        <v>0</v>
      </c>
      <c r="I44" s="712">
        <f t="shared" si="6"/>
        <v>5000</v>
      </c>
      <c r="K44" s="731">
        <f>SUM(B44:J44)</f>
        <v>313476</v>
      </c>
    </row>
    <row r="46" spans="1:11" ht="15.75" thickBot="1" x14ac:dyDescent="0.3"/>
    <row r="47" spans="1:11" ht="15.75" thickBot="1" x14ac:dyDescent="0.3">
      <c r="A47" s="267" t="s">
        <v>7</v>
      </c>
      <c r="B47" s="268">
        <v>65000</v>
      </c>
      <c r="C47" s="268">
        <v>70000</v>
      </c>
      <c r="D47" s="268">
        <v>50000</v>
      </c>
      <c r="E47" s="268">
        <v>70000</v>
      </c>
      <c r="F47" s="268">
        <v>5000</v>
      </c>
      <c r="G47" s="268">
        <v>10000</v>
      </c>
      <c r="H47" s="268">
        <v>5000</v>
      </c>
      <c r="I47" s="269">
        <v>10000</v>
      </c>
    </row>
    <row r="48" spans="1:11" x14ac:dyDescent="0.25">
      <c r="A48" s="264" t="s">
        <v>61</v>
      </c>
      <c r="B48" s="265">
        <v>68200</v>
      </c>
      <c r="C48" s="265">
        <v>120940</v>
      </c>
      <c r="D48" s="265">
        <v>35500</v>
      </c>
      <c r="E48" s="265">
        <v>42520</v>
      </c>
      <c r="F48" s="265">
        <v>0</v>
      </c>
      <c r="G48" s="265">
        <v>0</v>
      </c>
      <c r="H48" s="265">
        <v>0</v>
      </c>
      <c r="I48" s="266">
        <v>0</v>
      </c>
    </row>
    <row r="49" spans="1:11" x14ac:dyDescent="0.25">
      <c r="A49" s="254" t="s">
        <v>62</v>
      </c>
      <c r="B49" s="255">
        <v>0</v>
      </c>
      <c r="C49" s="255">
        <v>40840</v>
      </c>
      <c r="D49" s="255">
        <v>8490</v>
      </c>
      <c r="E49" s="255">
        <v>32650</v>
      </c>
      <c r="F49" s="255">
        <v>0</v>
      </c>
      <c r="G49" s="255">
        <v>0</v>
      </c>
      <c r="H49" s="255">
        <v>0</v>
      </c>
      <c r="I49" s="256">
        <v>0</v>
      </c>
    </row>
    <row r="50" spans="1:11" x14ac:dyDescent="0.25">
      <c r="A50" s="254" t="s">
        <v>63</v>
      </c>
      <c r="B50" s="255">
        <v>3000</v>
      </c>
      <c r="C50" s="255">
        <v>6000</v>
      </c>
      <c r="D50" s="255">
        <v>3000</v>
      </c>
      <c r="E50" s="255">
        <v>3000</v>
      </c>
      <c r="F50" s="255">
        <v>0</v>
      </c>
      <c r="G50" s="255">
        <v>0</v>
      </c>
      <c r="H50" s="255">
        <v>0</v>
      </c>
      <c r="I50" s="256">
        <v>0</v>
      </c>
    </row>
    <row r="51" spans="1:11" x14ac:dyDescent="0.25">
      <c r="A51" s="254" t="s">
        <v>119</v>
      </c>
      <c r="B51" s="255">
        <v>0</v>
      </c>
      <c r="C51" s="255">
        <v>16309</v>
      </c>
      <c r="D51" s="255">
        <v>4500</v>
      </c>
      <c r="E51" s="255">
        <v>9020</v>
      </c>
      <c r="F51" s="255">
        <v>0</v>
      </c>
      <c r="G51" s="255">
        <v>0</v>
      </c>
      <c r="H51" s="255">
        <v>0</v>
      </c>
      <c r="I51" s="256">
        <v>0</v>
      </c>
    </row>
    <row r="52" spans="1:11" x14ac:dyDescent="0.25">
      <c r="A52" s="254" t="s">
        <v>65</v>
      </c>
      <c r="B52" s="255">
        <v>0</v>
      </c>
      <c r="C52" s="255">
        <v>600</v>
      </c>
      <c r="D52" s="255">
        <v>0</v>
      </c>
      <c r="E52" s="255">
        <v>0</v>
      </c>
      <c r="F52" s="255">
        <v>0</v>
      </c>
      <c r="G52" s="255">
        <v>0</v>
      </c>
      <c r="H52" s="255">
        <v>0</v>
      </c>
      <c r="I52" s="256">
        <v>0</v>
      </c>
    </row>
    <row r="53" spans="1:11" ht="15.75" thickBot="1" x14ac:dyDescent="0.3">
      <c r="A53" s="257" t="s">
        <v>67</v>
      </c>
      <c r="B53" s="258">
        <v>74470</v>
      </c>
      <c r="C53" s="258">
        <v>123330</v>
      </c>
      <c r="D53" s="258">
        <v>8490</v>
      </c>
      <c r="E53" s="258">
        <v>80606</v>
      </c>
      <c r="F53" s="258">
        <v>0</v>
      </c>
      <c r="G53" s="258">
        <v>0</v>
      </c>
      <c r="H53" s="258">
        <v>0</v>
      </c>
      <c r="I53" s="259">
        <v>0</v>
      </c>
    </row>
    <row r="54" spans="1:11" ht="15.75" thickBot="1" x14ac:dyDescent="0.3">
      <c r="A54" s="307" t="s">
        <v>320</v>
      </c>
      <c r="B54" s="308">
        <f>SUM(B47:B53)</f>
        <v>210670</v>
      </c>
      <c r="C54" s="308">
        <f t="shared" ref="C54:I54" si="7">SUM(C47:C53)</f>
        <v>378019</v>
      </c>
      <c r="D54" s="308">
        <f t="shared" si="7"/>
        <v>109980</v>
      </c>
      <c r="E54" s="308">
        <f t="shared" si="7"/>
        <v>237796</v>
      </c>
      <c r="F54" s="308">
        <f t="shared" si="7"/>
        <v>5000</v>
      </c>
      <c r="G54" s="308">
        <f t="shared" si="7"/>
        <v>10000</v>
      </c>
      <c r="H54" s="308">
        <f t="shared" si="7"/>
        <v>5000</v>
      </c>
      <c r="I54" s="309">
        <f t="shared" si="7"/>
        <v>10000</v>
      </c>
      <c r="K54" s="731">
        <f>SUM(K13:K44)</f>
        <v>981465</v>
      </c>
    </row>
    <row r="55" spans="1:11" x14ac:dyDescent="0.25">
      <c r="B55" s="731">
        <f>+B3</f>
        <v>210670</v>
      </c>
      <c r="C55" s="731">
        <f t="shared" ref="C55:I55" si="8">+C3</f>
        <v>393019</v>
      </c>
      <c r="D55" s="731">
        <f t="shared" si="8"/>
        <v>109980</v>
      </c>
      <c r="E55" s="731">
        <f t="shared" si="8"/>
        <v>237796</v>
      </c>
      <c r="F55" s="731">
        <f t="shared" si="8"/>
        <v>5000</v>
      </c>
      <c r="G55" s="731">
        <f t="shared" si="8"/>
        <v>10000</v>
      </c>
      <c r="H55" s="731">
        <f t="shared" si="8"/>
        <v>5000</v>
      </c>
      <c r="I55" s="731">
        <f t="shared" si="8"/>
        <v>10000</v>
      </c>
      <c r="K55" s="731">
        <f>SUM(B55:J55)</f>
        <v>981465</v>
      </c>
    </row>
    <row r="56" spans="1:11" x14ac:dyDescent="0.25">
      <c r="B56" s="731"/>
      <c r="C56" s="731"/>
      <c r="D56" s="731"/>
      <c r="E56" s="731"/>
      <c r="K56" s="731"/>
    </row>
  </sheetData>
  <pageMargins left="0.7" right="0.7" top="0.75" bottom="0.75" header="0.3" footer="0.3"/>
  <pageSetup paperSize="13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
    <tabColor rgb="FF92D050"/>
    <pageSetUpPr fitToPage="1"/>
  </sheetPr>
  <dimension ref="A1:W57"/>
  <sheetViews>
    <sheetView showGridLines="0" zoomScale="90" zoomScaleNormal="90" workbookViewId="0">
      <pane xSplit="1" ySplit="2" topLeftCell="B3" activePane="bottomRight" state="frozen"/>
      <selection activeCell="L160" sqref="L160:M162"/>
      <selection pane="topRight" activeCell="L160" sqref="L160:M162"/>
      <selection pane="bottomLeft" activeCell="L160" sqref="L160:M162"/>
      <selection pane="bottomRight" activeCell="D60" sqref="D60"/>
    </sheetView>
  </sheetViews>
  <sheetFormatPr baseColWidth="10" defaultColWidth="11.140625" defaultRowHeight="15" x14ac:dyDescent="0.25"/>
  <cols>
    <col min="1" max="1" width="9.140625" style="23" bestFit="1" customWidth="1"/>
    <col min="2" max="2" width="9" style="23" bestFit="1" customWidth="1"/>
    <col min="3" max="3" width="8.7109375" style="23" bestFit="1" customWidth="1"/>
    <col min="4" max="4" width="33.140625" style="23" bestFit="1" customWidth="1"/>
    <col min="5" max="5" width="11.5703125" style="29" bestFit="1" customWidth="1"/>
    <col min="6" max="6" width="12.7109375" style="247" bestFit="1" customWidth="1"/>
    <col min="7" max="7" width="12.42578125" style="247" bestFit="1" customWidth="1"/>
    <col min="8" max="8" width="13.5703125" style="247" bestFit="1" customWidth="1"/>
    <col min="9" max="9" width="14.42578125" style="247" bestFit="1" customWidth="1"/>
    <col min="10" max="10" width="12.7109375" style="247" bestFit="1" customWidth="1"/>
    <col min="11" max="11" width="11.28515625" style="247" bestFit="1" customWidth="1"/>
    <col min="12" max="12" width="12.5703125" style="247" bestFit="1" customWidth="1"/>
    <col min="13" max="13" width="10.7109375" style="247" bestFit="1" customWidth="1"/>
    <col min="14" max="14" width="13.140625" style="247" bestFit="1" customWidth="1"/>
    <col min="15" max="15" width="11.140625" style="247" bestFit="1" customWidth="1"/>
    <col min="16" max="16" width="47.28515625" style="23" bestFit="1" customWidth="1"/>
    <col min="17" max="17" width="13.140625" style="23" customWidth="1"/>
    <col min="18" max="18" width="33.140625" style="23" bestFit="1" customWidth="1"/>
    <col min="19" max="19" width="11.5703125" style="23" bestFit="1" customWidth="1"/>
    <col min="20" max="20" width="6.28515625" style="23" bestFit="1" customWidth="1"/>
    <col min="21" max="21" width="33.140625" style="23" bestFit="1" customWidth="1"/>
    <col min="22" max="22" width="12.140625" style="23" bestFit="1" customWidth="1"/>
    <col min="23" max="23" width="8.85546875" style="23" bestFit="1" customWidth="1"/>
    <col min="24" max="16384" width="11.140625" style="23"/>
  </cols>
  <sheetData>
    <row r="1" spans="1:23" s="366" customFormat="1" x14ac:dyDescent="0.25">
      <c r="A1" s="1126" t="str">
        <f>+SUBTOTAL(103,Tabla1[FECHA])&amp;" REUNIONES REALIZADAS"</f>
        <v>31 REUNIONES REALIZADAS</v>
      </c>
      <c r="B1" s="1126"/>
      <c r="C1" s="1126"/>
      <c r="D1" s="1126"/>
      <c r="E1" s="36"/>
      <c r="F1" s="244">
        <f>SUBTOTAL(109,Tabla1[Patricio B.])</f>
        <v>248791</v>
      </c>
      <c r="G1" s="244">
        <f>SUBTOTAL(109,Tabla1[Richard T.])</f>
        <v>200874</v>
      </c>
      <c r="H1" s="244">
        <f>SUBTOTAL(109,Tabla1[Christian T.])</f>
        <v>130874</v>
      </c>
      <c r="I1" s="244">
        <f>SUBTOTAL(109,Tabla1[Alejandra B.])</f>
        <v>73374</v>
      </c>
      <c r="J1" s="244">
        <f>SUBTOTAL(109,Tabla1[Andrea D.])</f>
        <v>117124</v>
      </c>
      <c r="K1" s="244">
        <f>SUBTOTAL(109,Tabla1[Felipe S.])</f>
        <v>200874</v>
      </c>
      <c r="L1" s="244">
        <f>SUBTOTAL(109,Tabla1[Claudia V.])</f>
        <v>25000</v>
      </c>
      <c r="M1" s="244">
        <f>SUBTOTAL(109,Tabla1[Jorge Y.])</f>
        <v>0</v>
      </c>
      <c r="N1" s="244">
        <f>SUBTOTAL(109,Tabla1[Eugenia O.])</f>
        <v>101499</v>
      </c>
      <c r="O1" s="244">
        <f>SUBTOTAL(109,Tabla1[COSTO])</f>
        <v>1098410</v>
      </c>
      <c r="P1" s="365">
        <f>SUBTOTAL(103,Tabla1[MOTIVO])</f>
        <v>24</v>
      </c>
    </row>
    <row r="2" spans="1:23" s="25" customFormat="1" x14ac:dyDescent="0.25">
      <c r="A2" s="45" t="s">
        <v>0</v>
      </c>
      <c r="B2" s="46" t="s">
        <v>1</v>
      </c>
      <c r="C2" s="46" t="s">
        <v>2</v>
      </c>
      <c r="D2" s="45" t="s">
        <v>3</v>
      </c>
      <c r="E2" s="45" t="s">
        <v>4</v>
      </c>
      <c r="F2" s="248" t="s">
        <v>297</v>
      </c>
      <c r="G2" s="248" t="s">
        <v>298</v>
      </c>
      <c r="H2" s="248" t="s">
        <v>299</v>
      </c>
      <c r="I2" s="248" t="s">
        <v>372</v>
      </c>
      <c r="J2" s="248" t="s">
        <v>300</v>
      </c>
      <c r="K2" s="248" t="s">
        <v>341</v>
      </c>
      <c r="L2" s="248" t="s">
        <v>301</v>
      </c>
      <c r="M2" s="248" t="s">
        <v>302</v>
      </c>
      <c r="N2" s="248" t="s">
        <v>373</v>
      </c>
      <c r="O2" s="245" t="s">
        <v>5</v>
      </c>
      <c r="P2" s="46" t="s">
        <v>6</v>
      </c>
      <c r="R2" s="25" t="s">
        <v>3</v>
      </c>
      <c r="S2" s="29" t="s">
        <v>4</v>
      </c>
      <c r="T2" s="23"/>
      <c r="U2" s="25" t="str">
        <f>+PLAN!B12</f>
        <v>REUNION DE DIRECTORES</v>
      </c>
      <c r="V2" s="29" t="s">
        <v>192</v>
      </c>
      <c r="W2" s="25" t="s">
        <v>333</v>
      </c>
    </row>
    <row r="3" spans="1:23" x14ac:dyDescent="0.25">
      <c r="A3" s="719">
        <v>45748</v>
      </c>
      <c r="B3" s="720"/>
      <c r="C3" s="720"/>
      <c r="D3" s="721" t="s">
        <v>18</v>
      </c>
      <c r="E3" s="722" t="str">
        <f t="shared" ref="E3:E31" si="0">+IF(D3="","-",+LOOKUP(D3,$R$3:$R$10,$S$3:$S$10))</f>
        <v>PRESENCIAL</v>
      </c>
      <c r="F3" s="723">
        <f>+IF($D3="","-",+IF($E3=+$S$3,+ROUND((($C3-$B3)*+$S$13/$S$12),0),20000))</f>
        <v>20000</v>
      </c>
      <c r="G3" s="723">
        <f>+IF($D3="","-",+IF($E3=+$S$3,+ROUND((($C3-$B3)*+$S$13/$S$12),0),20000))</f>
        <v>20000</v>
      </c>
      <c r="H3" s="723">
        <f>+IF($D3="","-",+IF($E3=+$S$3,+ROUND((($C3-$B3)*+$S$13/$S$12),0),20000))</f>
        <v>20000</v>
      </c>
      <c r="I3" s="723">
        <v>0</v>
      </c>
      <c r="J3" s="723">
        <v>0</v>
      </c>
      <c r="K3" s="723">
        <f t="shared" ref="K3:K15" si="1">+IF($D3="","-",+IF($E3=+$S$3,+ROUND((($C3-$B3)*+$S$13/$S$12),0),20000))</f>
        <v>20000</v>
      </c>
      <c r="L3" s="723">
        <v>0</v>
      </c>
      <c r="M3" s="723" t="s">
        <v>366</v>
      </c>
      <c r="N3" s="723">
        <v>0</v>
      </c>
      <c r="O3" s="246">
        <f t="shared" ref="O3:O31" si="2">SUM(F3:N3)</f>
        <v>80000</v>
      </c>
      <c r="P3" s="48" t="s">
        <v>457</v>
      </c>
      <c r="R3" s="38" t="s">
        <v>13</v>
      </c>
      <c r="S3" s="38" t="s">
        <v>12</v>
      </c>
      <c r="T3" s="29"/>
      <c r="U3" s="38" t="s">
        <v>13</v>
      </c>
      <c r="V3" s="43">
        <f t="shared" ref="V3:V10" si="3">+SUMIF(D:D,R3,O:O)</f>
        <v>0</v>
      </c>
      <c r="W3" s="29">
        <f>+COUNTIF(Tabla1[CITACION],Tabla4[[#This Row],[CITACION]])</f>
        <v>2</v>
      </c>
    </row>
    <row r="4" spans="1:23" x14ac:dyDescent="0.25">
      <c r="A4" s="724">
        <v>45770</v>
      </c>
      <c r="B4" s="725">
        <v>0.4375</v>
      </c>
      <c r="C4" s="725">
        <v>0.52083333333333337</v>
      </c>
      <c r="D4" s="726" t="s">
        <v>14</v>
      </c>
      <c r="E4" s="722" t="str">
        <f t="shared" si="0"/>
        <v>ZOOM</v>
      </c>
      <c r="F4" s="723">
        <v>0</v>
      </c>
      <c r="G4" s="723">
        <f>+IF($D4="","-",+IF($E4=+$S$3,+ROUND((($C4-$B4)*+$S$13/$S$12),0),20000))</f>
        <v>5000</v>
      </c>
      <c r="H4" s="723">
        <f>+IF($D4="","-",+IF($E4=+$S$3,+ROUND((($C4-$B4)*+$S$13/$S$12),0),20000))</f>
        <v>5000</v>
      </c>
      <c r="I4" s="723">
        <f>+IF($D4="","-",+IF($E4=+$S$3,+ROUND((($C4-$B4)*+$S$13/$S$12),0),20000))</f>
        <v>5000</v>
      </c>
      <c r="J4" s="723">
        <f>+IF($D4="","-",+IF($E4=+$S$3,+ROUND((($C4-$B4)*+$S$13/$S$12),0),20000))</f>
        <v>5000</v>
      </c>
      <c r="K4" s="723">
        <f t="shared" si="1"/>
        <v>5000</v>
      </c>
      <c r="L4" s="723">
        <f>+IF($D4="","-",+IF($E4=+$S$3,+ROUND((($C4-$B4)*+$S$13/$S$12),0),20000))</f>
        <v>5000</v>
      </c>
      <c r="M4" s="723" t="s">
        <v>366</v>
      </c>
      <c r="N4" s="723">
        <f>+IF($D4="","-",+IF($E4=+$S$3,+ROUND((($C4-$B4)*+$S$13/$S$12),0),20000))</f>
        <v>5000</v>
      </c>
      <c r="O4" s="246">
        <f t="shared" si="2"/>
        <v>35000</v>
      </c>
      <c r="P4" s="23" t="s">
        <v>475</v>
      </c>
      <c r="R4" s="38" t="s">
        <v>19</v>
      </c>
      <c r="S4" s="38" t="s">
        <v>15</v>
      </c>
      <c r="T4" s="29"/>
      <c r="U4" s="38" t="s">
        <v>19</v>
      </c>
      <c r="V4" s="191">
        <f t="shared" si="3"/>
        <v>100000</v>
      </c>
      <c r="W4" s="29">
        <f>+COUNTIF(Tabla1[CITACION],Tabla4[[#This Row],[CITACION]])</f>
        <v>2</v>
      </c>
    </row>
    <row r="5" spans="1:23" x14ac:dyDescent="0.25">
      <c r="A5" s="724">
        <v>45775</v>
      </c>
      <c r="B5" s="725"/>
      <c r="C5" s="725"/>
      <c r="D5" s="726" t="s">
        <v>16</v>
      </c>
      <c r="E5" s="722" t="str">
        <f t="shared" si="0"/>
        <v>PRESENCIAL</v>
      </c>
      <c r="F5" s="723">
        <f t="shared" ref="F5:G15" si="4">+IF($D5="","-",+IF($E5=+$S$3,+ROUND((($C5-$B5)*+$S$13/$S$12),0),20000))</f>
        <v>20000</v>
      </c>
      <c r="G5" s="723">
        <f t="shared" si="4"/>
        <v>20000</v>
      </c>
      <c r="H5" s="723">
        <v>0</v>
      </c>
      <c r="I5" s="723">
        <v>0</v>
      </c>
      <c r="J5" s="723">
        <v>0</v>
      </c>
      <c r="K5" s="723">
        <f t="shared" si="1"/>
        <v>20000</v>
      </c>
      <c r="L5" s="723">
        <v>0</v>
      </c>
      <c r="M5" s="723" t="s">
        <v>366</v>
      </c>
      <c r="N5" s="723">
        <v>0</v>
      </c>
      <c r="O5" s="246">
        <f t="shared" si="2"/>
        <v>60000</v>
      </c>
      <c r="P5" s="23" t="s">
        <v>474</v>
      </c>
      <c r="R5" s="33" t="s">
        <v>16</v>
      </c>
      <c r="S5" s="33" t="s">
        <v>15</v>
      </c>
      <c r="T5" s="29"/>
      <c r="U5" s="33" t="s">
        <v>16</v>
      </c>
      <c r="V5" s="43">
        <f t="shared" si="3"/>
        <v>340000</v>
      </c>
      <c r="W5" s="29">
        <f>+COUNTIF(Tabla1[CITACION],Tabla4[[#This Row],[CITACION]])</f>
        <v>4</v>
      </c>
    </row>
    <row r="6" spans="1:23" x14ac:dyDescent="0.25">
      <c r="A6" s="724">
        <v>45803</v>
      </c>
      <c r="B6" s="725"/>
      <c r="C6" s="725"/>
      <c r="D6" s="726" t="s">
        <v>16</v>
      </c>
      <c r="E6" s="722" t="str">
        <f t="shared" si="0"/>
        <v>PRESENCIAL</v>
      </c>
      <c r="F6" s="723">
        <f t="shared" si="4"/>
        <v>20000</v>
      </c>
      <c r="G6" s="723">
        <f t="shared" si="4"/>
        <v>20000</v>
      </c>
      <c r="H6" s="723">
        <f t="shared" ref="H6:H15" si="5">+IF($D6="","-",+IF($E6=+$S$3,+ROUND((($C6-$B6)*+$S$13/$S$12),0),20000))</f>
        <v>20000</v>
      </c>
      <c r="I6" s="801">
        <v>0</v>
      </c>
      <c r="J6" s="723">
        <v>0</v>
      </c>
      <c r="K6" s="723">
        <f t="shared" si="1"/>
        <v>20000</v>
      </c>
      <c r="L6" s="723">
        <v>0</v>
      </c>
      <c r="M6" s="723" t="s">
        <v>366</v>
      </c>
      <c r="N6" s="723">
        <v>0</v>
      </c>
      <c r="O6" s="246">
        <f t="shared" si="2"/>
        <v>80000</v>
      </c>
      <c r="P6" s="23" t="s">
        <v>483</v>
      </c>
      <c r="R6" s="38" t="s">
        <v>14</v>
      </c>
      <c r="S6" s="33" t="s">
        <v>12</v>
      </c>
      <c r="T6" s="29"/>
      <c r="U6" s="33" t="s">
        <v>14</v>
      </c>
      <c r="V6" s="43">
        <f t="shared" si="3"/>
        <v>314160</v>
      </c>
      <c r="W6" s="29">
        <f>+COUNTIF(Tabla1[CITACION],Tabla4[[#This Row],[CITACION]])</f>
        <v>12</v>
      </c>
    </row>
    <row r="7" spans="1:23" x14ac:dyDescent="0.25">
      <c r="A7" s="724">
        <v>45807</v>
      </c>
      <c r="B7" s="725">
        <v>0.4375</v>
      </c>
      <c r="C7" s="725">
        <v>0.52083333333333337</v>
      </c>
      <c r="D7" s="726" t="s">
        <v>17</v>
      </c>
      <c r="E7" s="722" t="str">
        <f>+IF(D7="","-",+LOOKUP(D7,$R$3:$R$10,$S$3:$S$10))</f>
        <v>ZOOM</v>
      </c>
      <c r="F7" s="723">
        <f t="shared" si="4"/>
        <v>5000</v>
      </c>
      <c r="G7" s="723">
        <f t="shared" si="4"/>
        <v>5000</v>
      </c>
      <c r="H7" s="723">
        <f t="shared" si="5"/>
        <v>5000</v>
      </c>
      <c r="I7" s="723">
        <v>0</v>
      </c>
      <c r="J7" s="723">
        <f>+IF($D7="","-",+IF($E7=+$S$3,+ROUND((($C7-$B7)*+$S$13/$S$12),0),20000))</f>
        <v>5000</v>
      </c>
      <c r="K7" s="723">
        <f t="shared" si="1"/>
        <v>5000</v>
      </c>
      <c r="L7" s="723">
        <v>0</v>
      </c>
      <c r="M7" s="723" t="s">
        <v>366</v>
      </c>
      <c r="N7" s="723">
        <f>+IF($D7="","-",+IF($E7=+$S$3,+ROUND((($C7-$B7)*+$S$13/$S$12),0),20000))</f>
        <v>5000</v>
      </c>
      <c r="O7" s="246">
        <f t="shared" si="2"/>
        <v>30000</v>
      </c>
      <c r="P7" s="23" t="s">
        <v>482</v>
      </c>
      <c r="R7" s="33" t="s">
        <v>18</v>
      </c>
      <c r="S7" s="33" t="s">
        <v>15</v>
      </c>
      <c r="T7" s="29"/>
      <c r="U7" s="33" t="s">
        <v>18</v>
      </c>
      <c r="V7" s="43">
        <f t="shared" si="3"/>
        <v>140000</v>
      </c>
      <c r="W7" s="29">
        <f>+COUNTIF(Tabla1[CITACION],Tabla4[[#This Row],[CITACION]])</f>
        <v>2</v>
      </c>
    </row>
    <row r="8" spans="1:23" x14ac:dyDescent="0.25">
      <c r="A8" s="864">
        <v>45821</v>
      </c>
      <c r="B8" s="865">
        <v>0.41666666666666669</v>
      </c>
      <c r="C8" s="865">
        <v>0.46250000000000002</v>
      </c>
      <c r="D8" s="866" t="s">
        <v>17</v>
      </c>
      <c r="E8" s="867" t="str">
        <f t="shared" si="0"/>
        <v>ZOOM</v>
      </c>
      <c r="F8" s="863">
        <f t="shared" si="4"/>
        <v>2750</v>
      </c>
      <c r="G8" s="863">
        <f t="shared" si="4"/>
        <v>2750</v>
      </c>
      <c r="H8" s="863">
        <f t="shared" si="5"/>
        <v>2750</v>
      </c>
      <c r="I8" s="863">
        <f>+IF($D8="","-",+IF($E8=+$S$3,+ROUND((($C8-$B8)*+$S$13/$S$12),0),20000))</f>
        <v>2750</v>
      </c>
      <c r="J8" s="863">
        <f>+IF($D8="","-",+IF($E8=+$S$3,+ROUND((($C8-$B8)*+$S$13/$S$12),0),20000))</f>
        <v>2750</v>
      </c>
      <c r="K8" s="863">
        <f t="shared" si="1"/>
        <v>2750</v>
      </c>
      <c r="L8" s="863">
        <v>0</v>
      </c>
      <c r="M8" s="863" t="s">
        <v>366</v>
      </c>
      <c r="N8" s="863">
        <f>+IF($D8="","-",+IF($E8=+$S$3,+ROUND((($C8-$B8)*+$S$13/$S$12),0),20000))</f>
        <v>2750</v>
      </c>
      <c r="O8" s="246">
        <f t="shared" si="2"/>
        <v>19250</v>
      </c>
      <c r="P8" s="48"/>
      <c r="R8" s="33" t="s">
        <v>17</v>
      </c>
      <c r="S8" s="33" t="s">
        <v>12</v>
      </c>
      <c r="T8" s="29"/>
      <c r="U8" s="675" t="s">
        <v>17</v>
      </c>
      <c r="V8" s="43">
        <f t="shared" si="3"/>
        <v>204250</v>
      </c>
      <c r="W8" s="29">
        <f>+COUNTIF(Tabla1[CITACION],Tabla4[[#This Row],[CITACION]])</f>
        <v>9</v>
      </c>
    </row>
    <row r="9" spans="1:23" x14ac:dyDescent="0.25">
      <c r="A9" s="868">
        <v>45827</v>
      </c>
      <c r="B9" s="869">
        <v>0.64583333333333337</v>
      </c>
      <c r="C9" s="869">
        <v>0.6875</v>
      </c>
      <c r="D9" s="870" t="s">
        <v>14</v>
      </c>
      <c r="E9" s="871" t="str">
        <f t="shared" si="0"/>
        <v>ZOOM</v>
      </c>
      <c r="F9" s="863">
        <f t="shared" si="4"/>
        <v>2500</v>
      </c>
      <c r="G9" s="863">
        <f t="shared" si="4"/>
        <v>2500</v>
      </c>
      <c r="H9" s="863">
        <f t="shared" si="5"/>
        <v>2500</v>
      </c>
      <c r="I9" s="863">
        <v>0</v>
      </c>
      <c r="J9" s="863">
        <v>0</v>
      </c>
      <c r="K9" s="863">
        <f t="shared" si="1"/>
        <v>2500</v>
      </c>
      <c r="L9" s="863">
        <v>0</v>
      </c>
      <c r="M9" s="863" t="s">
        <v>366</v>
      </c>
      <c r="N9" s="863">
        <f t="shared" ref="N9:N37" si="6">+IF($D9="","-",+IF($E9=+$S$3,+ROUND((($C9-$B9)*+$S$13/$S$12),0),20000))</f>
        <v>2500</v>
      </c>
      <c r="O9" s="246">
        <f t="shared" si="2"/>
        <v>12500</v>
      </c>
      <c r="P9" s="23" t="s">
        <v>486</v>
      </c>
      <c r="R9" s="33" t="s">
        <v>234</v>
      </c>
      <c r="S9" s="33" t="s">
        <v>12</v>
      </c>
      <c r="T9" s="29"/>
      <c r="U9" s="33" t="s">
        <v>20</v>
      </c>
      <c r="V9" s="43">
        <f t="shared" si="3"/>
        <v>0</v>
      </c>
      <c r="W9" s="29">
        <f>+COUNTIF(Tabla1[CITACION],Tabla4[[#This Row],[CITACION]])</f>
        <v>0</v>
      </c>
    </row>
    <row r="10" spans="1:23" x14ac:dyDescent="0.25">
      <c r="A10" s="868">
        <v>45848</v>
      </c>
      <c r="B10" s="869">
        <v>0.39583333333333331</v>
      </c>
      <c r="C10" s="869">
        <v>0.41666666666666669</v>
      </c>
      <c r="D10" s="870" t="s">
        <v>17</v>
      </c>
      <c r="E10" s="871" t="str">
        <f t="shared" si="0"/>
        <v>ZOOM</v>
      </c>
      <c r="F10" s="863">
        <f t="shared" si="4"/>
        <v>1250</v>
      </c>
      <c r="G10" s="863">
        <f t="shared" si="4"/>
        <v>1250</v>
      </c>
      <c r="H10" s="863">
        <f t="shared" si="5"/>
        <v>1250</v>
      </c>
      <c r="I10" s="863">
        <v>0</v>
      </c>
      <c r="J10" s="863">
        <v>0</v>
      </c>
      <c r="K10" s="863">
        <f t="shared" si="1"/>
        <v>1250</v>
      </c>
      <c r="L10" s="863">
        <v>0</v>
      </c>
      <c r="M10" s="863" t="s">
        <v>366</v>
      </c>
      <c r="N10" s="863">
        <v>0</v>
      </c>
      <c r="O10" s="246">
        <f t="shared" si="2"/>
        <v>5000</v>
      </c>
      <c r="P10" s="23" t="s">
        <v>496</v>
      </c>
      <c r="R10" s="33" t="s">
        <v>235</v>
      </c>
      <c r="S10" s="33" t="s">
        <v>12</v>
      </c>
      <c r="T10" s="29"/>
      <c r="U10" s="33" t="s">
        <v>21</v>
      </c>
      <c r="V10" s="43">
        <f t="shared" si="3"/>
        <v>0</v>
      </c>
      <c r="W10" s="29">
        <f>+COUNTIF(Tabla1[CITACION],Tabla4[[#This Row],[CITACION]])</f>
        <v>0</v>
      </c>
    </row>
    <row r="11" spans="1:23" x14ac:dyDescent="0.25">
      <c r="A11" s="868">
        <v>45848</v>
      </c>
      <c r="B11" s="869">
        <v>0.41666666666666669</v>
      </c>
      <c r="C11" s="869">
        <v>0.47916666666666669</v>
      </c>
      <c r="D11" s="870" t="s">
        <v>17</v>
      </c>
      <c r="E11" s="871" t="str">
        <f t="shared" si="0"/>
        <v>ZOOM</v>
      </c>
      <c r="F11" s="863">
        <f t="shared" si="4"/>
        <v>3750</v>
      </c>
      <c r="G11" s="863">
        <f t="shared" si="4"/>
        <v>3750</v>
      </c>
      <c r="H11" s="863">
        <f t="shared" si="5"/>
        <v>3750</v>
      </c>
      <c r="I11" s="863">
        <v>0</v>
      </c>
      <c r="J11" s="863">
        <f t="shared" ref="I11:J25" si="7">+IF($D11="","-",+IF($E11=+$S$3,+ROUND((($C11-$B11)*+$S$13/$S$12),0),20000))</f>
        <v>3750</v>
      </c>
      <c r="K11" s="863">
        <f t="shared" si="1"/>
        <v>3750</v>
      </c>
      <c r="L11" s="863">
        <v>0</v>
      </c>
      <c r="M11" s="863" t="s">
        <v>366</v>
      </c>
      <c r="N11" s="863">
        <v>0</v>
      </c>
      <c r="O11" s="246">
        <f t="shared" si="2"/>
        <v>18750</v>
      </c>
      <c r="P11" s="23" t="s">
        <v>497</v>
      </c>
      <c r="V11" s="39">
        <f>SUM(V4:V10)</f>
        <v>1098410</v>
      </c>
      <c r="W11" s="29">
        <f>SUM(W3:W10)</f>
        <v>31</v>
      </c>
    </row>
    <row r="12" spans="1:23" x14ac:dyDescent="0.25">
      <c r="A12" s="868">
        <v>45853</v>
      </c>
      <c r="B12" s="869">
        <v>0.4375</v>
      </c>
      <c r="C12" s="869">
        <v>0.52083333333333337</v>
      </c>
      <c r="D12" s="870" t="s">
        <v>14</v>
      </c>
      <c r="E12" s="871" t="str">
        <f t="shared" si="0"/>
        <v>ZOOM</v>
      </c>
      <c r="F12" s="863">
        <f t="shared" si="4"/>
        <v>5000</v>
      </c>
      <c r="G12" s="863">
        <f t="shared" si="4"/>
        <v>5000</v>
      </c>
      <c r="H12" s="863">
        <f t="shared" si="5"/>
        <v>5000</v>
      </c>
      <c r="I12" s="863">
        <f t="shared" si="7"/>
        <v>5000</v>
      </c>
      <c r="J12" s="863">
        <f t="shared" si="7"/>
        <v>5000</v>
      </c>
      <c r="K12" s="863">
        <f t="shared" si="1"/>
        <v>5000</v>
      </c>
      <c r="L12" s="863">
        <v>0</v>
      </c>
      <c r="M12" s="863" t="s">
        <v>366</v>
      </c>
      <c r="N12" s="863">
        <v>0</v>
      </c>
      <c r="O12" s="246">
        <f t="shared" si="2"/>
        <v>30000</v>
      </c>
      <c r="S12" s="40">
        <v>4.1666666666666664E-2</v>
      </c>
    </row>
    <row r="13" spans="1:23" x14ac:dyDescent="0.25">
      <c r="A13" s="868">
        <v>45862</v>
      </c>
      <c r="B13" s="869">
        <v>0.4375</v>
      </c>
      <c r="C13" s="869">
        <v>0.52083333333333337</v>
      </c>
      <c r="D13" s="870" t="s">
        <v>14</v>
      </c>
      <c r="E13" s="871" t="str">
        <f t="shared" si="0"/>
        <v>ZOOM</v>
      </c>
      <c r="F13" s="863">
        <f t="shared" si="4"/>
        <v>5000</v>
      </c>
      <c r="G13" s="863">
        <f t="shared" si="4"/>
        <v>5000</v>
      </c>
      <c r="H13" s="863">
        <f t="shared" si="5"/>
        <v>5000</v>
      </c>
      <c r="I13" s="863">
        <f t="shared" si="7"/>
        <v>5000</v>
      </c>
      <c r="J13" s="863">
        <f t="shared" si="7"/>
        <v>5000</v>
      </c>
      <c r="K13" s="863">
        <f t="shared" si="1"/>
        <v>5000</v>
      </c>
      <c r="L13" s="863">
        <f t="shared" ref="L13:L37" si="8">+IF($D13="","-",+IF($E13=+$S$3,+ROUND((($C13-$B13)*+$S$13/$S$12),0),20000))</f>
        <v>5000</v>
      </c>
      <c r="M13" s="863" t="s">
        <v>366</v>
      </c>
      <c r="N13" s="863">
        <f t="shared" si="6"/>
        <v>5000</v>
      </c>
      <c r="O13" s="246">
        <f t="shared" si="2"/>
        <v>40000</v>
      </c>
      <c r="P13" s="23" t="s">
        <v>503</v>
      </c>
      <c r="S13" s="23">
        <v>2500</v>
      </c>
    </row>
    <row r="14" spans="1:23" x14ac:dyDescent="0.25">
      <c r="A14" s="868">
        <v>45867</v>
      </c>
      <c r="B14" s="869">
        <v>0.4375</v>
      </c>
      <c r="C14" s="869">
        <v>0.52083333333333337</v>
      </c>
      <c r="D14" s="870" t="s">
        <v>14</v>
      </c>
      <c r="E14" s="871" t="str">
        <f t="shared" si="0"/>
        <v>ZOOM</v>
      </c>
      <c r="F14" s="863">
        <f t="shared" si="4"/>
        <v>5000</v>
      </c>
      <c r="G14" s="863">
        <f t="shared" si="4"/>
        <v>5000</v>
      </c>
      <c r="H14" s="863">
        <f t="shared" si="5"/>
        <v>5000</v>
      </c>
      <c r="I14" s="863">
        <f t="shared" si="7"/>
        <v>5000</v>
      </c>
      <c r="J14" s="863">
        <f t="shared" si="7"/>
        <v>5000</v>
      </c>
      <c r="K14" s="863">
        <f t="shared" si="1"/>
        <v>5000</v>
      </c>
      <c r="L14" s="863">
        <f t="shared" si="8"/>
        <v>5000</v>
      </c>
      <c r="M14" s="863" t="s">
        <v>366</v>
      </c>
      <c r="N14" s="863">
        <f t="shared" si="6"/>
        <v>5000</v>
      </c>
      <c r="O14" s="246">
        <f t="shared" si="2"/>
        <v>40000</v>
      </c>
    </row>
    <row r="15" spans="1:23" x14ac:dyDescent="0.25">
      <c r="A15" s="868">
        <v>45880</v>
      </c>
      <c r="B15" s="869">
        <v>0.4375</v>
      </c>
      <c r="C15" s="869">
        <v>0.52083333333333337</v>
      </c>
      <c r="D15" s="870" t="s">
        <v>17</v>
      </c>
      <c r="E15" s="871" t="str">
        <f t="shared" si="0"/>
        <v>ZOOM</v>
      </c>
      <c r="F15" s="863">
        <f t="shared" si="4"/>
        <v>5000</v>
      </c>
      <c r="G15" s="863">
        <f t="shared" si="4"/>
        <v>5000</v>
      </c>
      <c r="H15" s="863">
        <f t="shared" si="5"/>
        <v>5000</v>
      </c>
      <c r="I15" s="863">
        <v>0</v>
      </c>
      <c r="J15" s="863">
        <f t="shared" si="7"/>
        <v>5000</v>
      </c>
      <c r="K15" s="863">
        <f t="shared" si="1"/>
        <v>5000</v>
      </c>
      <c r="L15" s="863">
        <v>0</v>
      </c>
      <c r="M15" s="863" t="s">
        <v>366</v>
      </c>
      <c r="N15" s="863">
        <f t="shared" si="6"/>
        <v>5000</v>
      </c>
      <c r="O15" s="246">
        <f t="shared" si="2"/>
        <v>30000</v>
      </c>
    </row>
    <row r="16" spans="1:23" x14ac:dyDescent="0.25">
      <c r="A16" s="868">
        <v>45888</v>
      </c>
      <c r="B16" s="869"/>
      <c r="C16" s="869"/>
      <c r="D16" s="870" t="s">
        <v>19</v>
      </c>
      <c r="E16" s="871" t="str">
        <f t="shared" si="0"/>
        <v>PRESENCIAL</v>
      </c>
      <c r="F16" s="863">
        <f>+IF($D16="","-",+IF($E16=+$S$3,+ROUND((($C16-$B16)*+$S$13/$S$12),0),60000))</f>
        <v>60000</v>
      </c>
      <c r="G16" s="863">
        <v>0</v>
      </c>
      <c r="H16" s="863">
        <v>0</v>
      </c>
      <c r="I16" s="863">
        <v>0</v>
      </c>
      <c r="J16" s="863">
        <v>0</v>
      </c>
      <c r="K16" s="863">
        <v>0</v>
      </c>
      <c r="L16" s="863">
        <v>0</v>
      </c>
      <c r="M16" s="863" t="s">
        <v>366</v>
      </c>
      <c r="N16" s="863">
        <v>0</v>
      </c>
      <c r="O16" s="246">
        <f t="shared" si="2"/>
        <v>60000</v>
      </c>
    </row>
    <row r="17" spans="1:16" x14ac:dyDescent="0.25">
      <c r="A17" s="868">
        <v>45897</v>
      </c>
      <c r="B17" s="869"/>
      <c r="C17" s="869"/>
      <c r="D17" s="870" t="s">
        <v>16</v>
      </c>
      <c r="E17" s="871" t="str">
        <f t="shared" si="0"/>
        <v>PRESENCIAL</v>
      </c>
      <c r="F17" s="863">
        <f t="shared" ref="F17:G19" si="9">+IF($D17="","-",+IF($E17=+$S$3,+ROUND((($C17-$B17)*+$S$13/$S$12),0),20000))</f>
        <v>20000</v>
      </c>
      <c r="G17" s="863">
        <f t="shared" si="9"/>
        <v>20000</v>
      </c>
      <c r="H17" s="863">
        <v>0</v>
      </c>
      <c r="I17" s="863">
        <f t="shared" si="7"/>
        <v>20000</v>
      </c>
      <c r="J17" s="863">
        <f t="shared" si="7"/>
        <v>20000</v>
      </c>
      <c r="K17" s="863">
        <f t="shared" ref="K17:K22" si="10">+IF($D17="","-",+IF($E17=+$S$3,+ROUND((($C17-$B17)*+$S$13/$S$12),0),20000))</f>
        <v>20000</v>
      </c>
      <c r="L17" s="863">
        <v>0</v>
      </c>
      <c r="M17" s="863" t="s">
        <v>366</v>
      </c>
      <c r="N17" s="863">
        <f t="shared" si="6"/>
        <v>20000</v>
      </c>
      <c r="O17" s="246">
        <f t="shared" si="2"/>
        <v>120000</v>
      </c>
      <c r="P17" s="23" t="s">
        <v>531</v>
      </c>
    </row>
    <row r="18" spans="1:16" x14ac:dyDescent="0.25">
      <c r="A18" s="868">
        <v>45905</v>
      </c>
      <c r="B18" s="869">
        <v>0.4236111111111111</v>
      </c>
      <c r="C18" s="869">
        <v>0.48958333333333331</v>
      </c>
      <c r="D18" s="870" t="s">
        <v>14</v>
      </c>
      <c r="E18" s="871" t="str">
        <f t="shared" si="0"/>
        <v>ZOOM</v>
      </c>
      <c r="F18" s="863">
        <f t="shared" si="9"/>
        <v>3958</v>
      </c>
      <c r="G18" s="863">
        <f t="shared" si="9"/>
        <v>3958</v>
      </c>
      <c r="H18" s="863">
        <f>+IF($D18="","-",+IF($E18=+$S$3,+ROUND((($C18-$B18)*+$S$13/$S$12),0),20000))</f>
        <v>3958</v>
      </c>
      <c r="I18" s="863">
        <f t="shared" si="7"/>
        <v>3958</v>
      </c>
      <c r="J18" s="863">
        <f t="shared" si="7"/>
        <v>3958</v>
      </c>
      <c r="K18" s="863">
        <f t="shared" si="10"/>
        <v>3958</v>
      </c>
      <c r="L18" s="863">
        <v>0</v>
      </c>
      <c r="M18" s="863" t="s">
        <v>366</v>
      </c>
      <c r="N18" s="863">
        <f t="shared" si="6"/>
        <v>3958</v>
      </c>
      <c r="O18" s="246">
        <f t="shared" si="2"/>
        <v>27706</v>
      </c>
      <c r="P18" s="23" t="s">
        <v>532</v>
      </c>
    </row>
    <row r="19" spans="1:16" x14ac:dyDescent="0.25">
      <c r="A19" s="868">
        <v>45905</v>
      </c>
      <c r="B19" s="869">
        <v>0.49305555555555558</v>
      </c>
      <c r="C19" s="869">
        <v>0.52430555555555558</v>
      </c>
      <c r="D19" s="870" t="s">
        <v>14</v>
      </c>
      <c r="E19" s="871" t="str">
        <f t="shared" si="0"/>
        <v>ZOOM</v>
      </c>
      <c r="F19" s="863">
        <f t="shared" si="9"/>
        <v>1875</v>
      </c>
      <c r="G19" s="863">
        <f t="shared" si="9"/>
        <v>1875</v>
      </c>
      <c r="H19" s="863">
        <f>+IF($D19="","-",+IF($E19=+$S$3,+ROUND((($C19-$B19)*+$S$13/$S$12),0),20000))</f>
        <v>1875</v>
      </c>
      <c r="I19" s="863">
        <f t="shared" si="7"/>
        <v>1875</v>
      </c>
      <c r="J19" s="863">
        <f t="shared" si="7"/>
        <v>1875</v>
      </c>
      <c r="K19" s="863">
        <f t="shared" si="10"/>
        <v>1875</v>
      </c>
      <c r="L19" s="863">
        <v>0</v>
      </c>
      <c r="M19" s="863" t="s">
        <v>366</v>
      </c>
      <c r="N19" s="863">
        <f t="shared" si="6"/>
        <v>1875</v>
      </c>
      <c r="O19" s="246">
        <f t="shared" si="2"/>
        <v>13125</v>
      </c>
    </row>
    <row r="20" spans="1:16" x14ac:dyDescent="0.25">
      <c r="A20" s="381">
        <v>45923</v>
      </c>
      <c r="B20" s="382">
        <v>0.64583333333333337</v>
      </c>
      <c r="C20" s="382">
        <v>0.70138888888888884</v>
      </c>
      <c r="D20" s="379" t="s">
        <v>14</v>
      </c>
      <c r="E20" s="37" t="str">
        <f t="shared" si="0"/>
        <v>ZOOM</v>
      </c>
      <c r="F20" s="249">
        <v>0</v>
      </c>
      <c r="G20" s="249">
        <f t="shared" ref="F20:H39" si="11">+IF($D20="","-",+IF($E20=+$S$3,+ROUND((($C20-$B20)*+$S$13/$S$12),0),20000))</f>
        <v>3333</v>
      </c>
      <c r="H20" s="249">
        <f t="shared" si="11"/>
        <v>3333</v>
      </c>
      <c r="I20" s="249">
        <f t="shared" si="7"/>
        <v>3333</v>
      </c>
      <c r="J20" s="249">
        <f t="shared" si="7"/>
        <v>3333</v>
      </c>
      <c r="K20" s="249">
        <f t="shared" si="10"/>
        <v>3333</v>
      </c>
      <c r="L20" s="249">
        <v>0</v>
      </c>
      <c r="M20" s="367" t="s">
        <v>366</v>
      </c>
      <c r="N20" s="249">
        <f t="shared" si="6"/>
        <v>3333</v>
      </c>
      <c r="O20" s="246">
        <f t="shared" si="2"/>
        <v>19998</v>
      </c>
      <c r="P20" s="23" t="s">
        <v>535</v>
      </c>
    </row>
    <row r="21" spans="1:16" x14ac:dyDescent="0.25">
      <c r="A21" s="381">
        <v>45939</v>
      </c>
      <c r="B21" s="382">
        <v>0.4375</v>
      </c>
      <c r="C21" s="382">
        <v>0.52083333333333337</v>
      </c>
      <c r="D21" s="379" t="s">
        <v>14</v>
      </c>
      <c r="E21" s="37" t="str">
        <f t="shared" si="0"/>
        <v>ZOOM</v>
      </c>
      <c r="F21" s="249">
        <f t="shared" si="11"/>
        <v>5000</v>
      </c>
      <c r="G21" s="249">
        <f t="shared" si="11"/>
        <v>5000</v>
      </c>
      <c r="H21" s="249">
        <f t="shared" si="11"/>
        <v>5000</v>
      </c>
      <c r="I21" s="249">
        <v>0</v>
      </c>
      <c r="J21" s="249">
        <f t="shared" si="7"/>
        <v>5000</v>
      </c>
      <c r="K21" s="249">
        <f t="shared" si="10"/>
        <v>5000</v>
      </c>
      <c r="L21" s="249">
        <v>0</v>
      </c>
      <c r="M21" s="367" t="s">
        <v>366</v>
      </c>
      <c r="N21" s="249">
        <f t="shared" si="6"/>
        <v>5000</v>
      </c>
      <c r="O21" s="246">
        <f t="shared" si="2"/>
        <v>30000</v>
      </c>
      <c r="P21" s="23" t="s">
        <v>536</v>
      </c>
    </row>
    <row r="22" spans="1:16" x14ac:dyDescent="0.25">
      <c r="A22" s="381">
        <v>45940</v>
      </c>
      <c r="B22" s="382">
        <v>0.4375</v>
      </c>
      <c r="C22" s="382">
        <v>0.52083333333333337</v>
      </c>
      <c r="D22" s="379" t="s">
        <v>14</v>
      </c>
      <c r="E22" s="37" t="str">
        <f t="shared" si="0"/>
        <v>ZOOM</v>
      </c>
      <c r="F22" s="249">
        <f t="shared" si="11"/>
        <v>5000</v>
      </c>
      <c r="G22" s="249">
        <f t="shared" si="11"/>
        <v>5000</v>
      </c>
      <c r="H22" s="249">
        <f t="shared" si="11"/>
        <v>5000</v>
      </c>
      <c r="I22" s="249">
        <v>0</v>
      </c>
      <c r="J22" s="249">
        <f t="shared" si="7"/>
        <v>5000</v>
      </c>
      <c r="K22" s="249">
        <f t="shared" si="10"/>
        <v>5000</v>
      </c>
      <c r="L22" s="249">
        <v>0</v>
      </c>
      <c r="M22" s="367" t="s">
        <v>366</v>
      </c>
      <c r="N22" s="249">
        <v>0</v>
      </c>
      <c r="O22" s="246">
        <f t="shared" si="2"/>
        <v>25000</v>
      </c>
      <c r="P22" s="23" t="s">
        <v>537</v>
      </c>
    </row>
    <row r="23" spans="1:16" x14ac:dyDescent="0.25">
      <c r="A23" s="381">
        <v>45943</v>
      </c>
      <c r="B23" s="382">
        <v>0.4375</v>
      </c>
      <c r="C23" s="382">
        <v>0.47916666666666669</v>
      </c>
      <c r="D23" s="1146" t="s">
        <v>13</v>
      </c>
      <c r="E23" s="37" t="str">
        <f t="shared" si="0"/>
        <v>ZOOM</v>
      </c>
      <c r="F23" s="249">
        <v>0</v>
      </c>
      <c r="G23" s="249">
        <v>0</v>
      </c>
      <c r="H23" s="249">
        <v>0</v>
      </c>
      <c r="I23" s="249">
        <v>0</v>
      </c>
      <c r="J23" s="249">
        <v>0</v>
      </c>
      <c r="K23" s="249">
        <v>0</v>
      </c>
      <c r="L23" s="249">
        <v>0</v>
      </c>
      <c r="M23" s="367" t="s">
        <v>366</v>
      </c>
      <c r="N23" s="249">
        <v>0</v>
      </c>
      <c r="O23" s="246">
        <f t="shared" si="2"/>
        <v>0</v>
      </c>
      <c r="P23" s="23" t="s">
        <v>538</v>
      </c>
    </row>
    <row r="24" spans="1:16" x14ac:dyDescent="0.25">
      <c r="A24" s="381">
        <v>45943</v>
      </c>
      <c r="B24" s="382">
        <v>0.47916666666666669</v>
      </c>
      <c r="C24" s="382">
        <v>0.51388888888888884</v>
      </c>
      <c r="D24" s="379" t="s">
        <v>14</v>
      </c>
      <c r="E24" s="37" t="str">
        <f t="shared" si="0"/>
        <v>ZOOM</v>
      </c>
      <c r="F24" s="249">
        <f t="shared" si="11"/>
        <v>2083</v>
      </c>
      <c r="G24" s="249">
        <f t="shared" si="11"/>
        <v>2083</v>
      </c>
      <c r="H24" s="249">
        <f t="shared" si="11"/>
        <v>2083</v>
      </c>
      <c r="I24" s="249">
        <f t="shared" si="7"/>
        <v>2083</v>
      </c>
      <c r="J24" s="249">
        <f t="shared" si="7"/>
        <v>2083</v>
      </c>
      <c r="K24" s="249">
        <f t="shared" ref="K24:K31" si="12">+IF($D24="","-",+IF($E24=+$S$3,+ROUND((($C24-$B24)*+$S$13/$S$12),0),20000))</f>
        <v>2083</v>
      </c>
      <c r="L24" s="249">
        <v>0</v>
      </c>
      <c r="M24" s="367" t="s">
        <v>366</v>
      </c>
      <c r="N24" s="249">
        <f t="shared" si="6"/>
        <v>2083</v>
      </c>
      <c r="O24" s="246">
        <f t="shared" si="2"/>
        <v>14581</v>
      </c>
      <c r="P24" s="23" t="s">
        <v>539</v>
      </c>
    </row>
    <row r="25" spans="1:16" x14ac:dyDescent="0.25">
      <c r="A25" s="381">
        <v>45971</v>
      </c>
      <c r="B25" s="382">
        <v>0.39583333333333331</v>
      </c>
      <c r="C25" s="382">
        <v>0.45833333333333331</v>
      </c>
      <c r="D25" s="379" t="s">
        <v>17</v>
      </c>
      <c r="E25" s="37" t="str">
        <f t="shared" si="0"/>
        <v>ZOOM</v>
      </c>
      <c r="F25" s="249">
        <v>0</v>
      </c>
      <c r="G25" s="249">
        <f t="shared" si="11"/>
        <v>3750</v>
      </c>
      <c r="H25" s="249">
        <f t="shared" si="11"/>
        <v>3750</v>
      </c>
      <c r="I25" s="249">
        <f t="shared" si="7"/>
        <v>3750</v>
      </c>
      <c r="J25" s="249">
        <f t="shared" si="7"/>
        <v>3750</v>
      </c>
      <c r="K25" s="249">
        <f t="shared" si="12"/>
        <v>3750</v>
      </c>
      <c r="L25" s="249">
        <v>0</v>
      </c>
      <c r="M25" s="367" t="s">
        <v>366</v>
      </c>
      <c r="N25" s="249">
        <f t="shared" si="6"/>
        <v>3750</v>
      </c>
      <c r="O25" s="246">
        <f t="shared" si="2"/>
        <v>22500</v>
      </c>
      <c r="P25" s="766" t="s">
        <v>540</v>
      </c>
    </row>
    <row r="26" spans="1:16" x14ac:dyDescent="0.25">
      <c r="A26" s="381">
        <v>45975</v>
      </c>
      <c r="B26" s="382">
        <v>0.41666666666666669</v>
      </c>
      <c r="C26" s="382">
        <v>0.5</v>
      </c>
      <c r="D26" s="379" t="s">
        <v>17</v>
      </c>
      <c r="E26" s="37" t="str">
        <f t="shared" si="0"/>
        <v>ZOOM</v>
      </c>
      <c r="F26" s="249">
        <f t="shared" si="11"/>
        <v>5000</v>
      </c>
      <c r="G26" s="249">
        <f t="shared" si="11"/>
        <v>5000</v>
      </c>
      <c r="H26" s="249">
        <v>0</v>
      </c>
      <c r="I26" s="249">
        <f t="shared" ref="I26:J45" si="13">+IF($D26="","-",+IF($E26=+$S$3,+ROUND((($C26-$B26)*+$S$13/$S$12),0),20000))</f>
        <v>5000</v>
      </c>
      <c r="J26" s="249">
        <f t="shared" si="13"/>
        <v>5000</v>
      </c>
      <c r="K26" s="249">
        <f t="shared" si="12"/>
        <v>5000</v>
      </c>
      <c r="L26" s="249">
        <f t="shared" si="8"/>
        <v>5000</v>
      </c>
      <c r="M26" s="367" t="s">
        <v>366</v>
      </c>
      <c r="N26" s="249">
        <f t="shared" si="6"/>
        <v>5000</v>
      </c>
      <c r="O26" s="246">
        <f t="shared" si="2"/>
        <v>35000</v>
      </c>
      <c r="P26" s="23" t="s">
        <v>633</v>
      </c>
    </row>
    <row r="27" spans="1:16" x14ac:dyDescent="0.25">
      <c r="A27" s="381">
        <v>45975</v>
      </c>
      <c r="B27" s="382">
        <v>0.5</v>
      </c>
      <c r="C27" s="382">
        <v>0.58333333333333337</v>
      </c>
      <c r="D27" s="379" t="s">
        <v>17</v>
      </c>
      <c r="E27" s="37" t="str">
        <f t="shared" si="0"/>
        <v>ZOOM</v>
      </c>
      <c r="F27" s="249">
        <f t="shared" si="11"/>
        <v>5000</v>
      </c>
      <c r="G27" s="249">
        <f t="shared" si="11"/>
        <v>5000</v>
      </c>
      <c r="H27" s="249">
        <v>0</v>
      </c>
      <c r="I27" s="249">
        <f t="shared" si="13"/>
        <v>5000</v>
      </c>
      <c r="J27" s="249">
        <f t="shared" si="13"/>
        <v>5000</v>
      </c>
      <c r="K27" s="249">
        <f t="shared" si="12"/>
        <v>5000</v>
      </c>
      <c r="L27" s="249">
        <f t="shared" si="8"/>
        <v>5000</v>
      </c>
      <c r="M27" s="367" t="s">
        <v>366</v>
      </c>
      <c r="N27" s="249">
        <f t="shared" si="6"/>
        <v>5000</v>
      </c>
      <c r="O27" s="246">
        <f t="shared" si="2"/>
        <v>35000</v>
      </c>
      <c r="P27" s="23" t="s">
        <v>633</v>
      </c>
    </row>
    <row r="28" spans="1:16" x14ac:dyDescent="0.25">
      <c r="A28" s="381">
        <v>45979</v>
      </c>
      <c r="B28" s="382"/>
      <c r="C28" s="382"/>
      <c r="D28" s="379" t="s">
        <v>19</v>
      </c>
      <c r="E28" s="37" t="str">
        <f t="shared" si="0"/>
        <v>PRESENCIAL</v>
      </c>
      <c r="F28" s="249">
        <f>+IF($D28="","-",+IF($E28=+$S$3,+ROUND((($C28-$B28)*+$S$13/$S$12),0),40000))</f>
        <v>40000</v>
      </c>
      <c r="G28" s="249">
        <v>0</v>
      </c>
      <c r="H28" s="249">
        <v>0</v>
      </c>
      <c r="I28" s="249">
        <v>0</v>
      </c>
      <c r="J28" s="249">
        <v>0</v>
      </c>
      <c r="K28" s="249">
        <v>0</v>
      </c>
      <c r="L28" s="249">
        <v>0</v>
      </c>
      <c r="M28" s="367" t="s">
        <v>366</v>
      </c>
      <c r="N28" s="249">
        <v>0</v>
      </c>
      <c r="O28" s="246">
        <f t="shared" si="2"/>
        <v>40000</v>
      </c>
      <c r="P28" s="23" t="s">
        <v>634</v>
      </c>
    </row>
    <row r="29" spans="1:16" s="1023" customFormat="1" x14ac:dyDescent="0.25">
      <c r="A29" s="1016">
        <v>45985</v>
      </c>
      <c r="B29" s="1017"/>
      <c r="C29" s="1017"/>
      <c r="D29" s="1018" t="s">
        <v>18</v>
      </c>
      <c r="E29" s="1019" t="str">
        <f t="shared" si="0"/>
        <v>PRESENCIAL</v>
      </c>
      <c r="F29" s="1020">
        <v>0</v>
      </c>
      <c r="G29" s="1020">
        <v>20000</v>
      </c>
      <c r="H29" s="1020">
        <v>0</v>
      </c>
      <c r="I29" s="1020">
        <v>0</v>
      </c>
      <c r="J29" s="1020">
        <v>20000</v>
      </c>
      <c r="K29" s="1020">
        <v>20000</v>
      </c>
      <c r="L29" s="1020">
        <v>0</v>
      </c>
      <c r="M29" s="1021" t="s">
        <v>366</v>
      </c>
      <c r="N29" s="1020">
        <v>0</v>
      </c>
      <c r="O29" s="1022">
        <f t="shared" si="2"/>
        <v>60000</v>
      </c>
      <c r="P29" s="1023" t="s">
        <v>633</v>
      </c>
    </row>
    <row r="30" spans="1:16" x14ac:dyDescent="0.25">
      <c r="A30" s="381">
        <v>45988</v>
      </c>
      <c r="B30" s="382"/>
      <c r="C30" s="382"/>
      <c r="D30" s="379" t="s">
        <v>16</v>
      </c>
      <c r="E30" s="37" t="str">
        <f t="shared" si="0"/>
        <v>PRESENCIAL</v>
      </c>
      <c r="F30" s="249">
        <v>0</v>
      </c>
      <c r="G30" s="249">
        <v>20000</v>
      </c>
      <c r="H30" s="249">
        <v>20000</v>
      </c>
      <c r="I30" s="249">
        <v>0</v>
      </c>
      <c r="J30" s="249">
        <v>0</v>
      </c>
      <c r="K30" s="249">
        <v>20000</v>
      </c>
      <c r="L30" s="249">
        <v>0</v>
      </c>
      <c r="M30" s="367" t="s">
        <v>366</v>
      </c>
      <c r="N30" s="249">
        <v>20000</v>
      </c>
      <c r="O30" s="246">
        <f t="shared" si="2"/>
        <v>80000</v>
      </c>
      <c r="P30" s="23" t="s">
        <v>1772</v>
      </c>
    </row>
    <row r="31" spans="1:16" x14ac:dyDescent="0.25">
      <c r="A31" s="381">
        <v>45989</v>
      </c>
      <c r="B31" s="382">
        <v>0.45833333333333331</v>
      </c>
      <c r="C31" s="382">
        <v>0.47916666666666669</v>
      </c>
      <c r="D31" s="379" t="s">
        <v>17</v>
      </c>
      <c r="E31" s="37" t="str">
        <f t="shared" si="0"/>
        <v>ZOOM</v>
      </c>
      <c r="F31" s="249">
        <f t="shared" si="11"/>
        <v>1250</v>
      </c>
      <c r="G31" s="249">
        <f t="shared" si="11"/>
        <v>1250</v>
      </c>
      <c r="H31" s="249">
        <f t="shared" si="11"/>
        <v>1250</v>
      </c>
      <c r="I31" s="249">
        <f t="shared" si="13"/>
        <v>1250</v>
      </c>
      <c r="J31" s="249">
        <f t="shared" si="13"/>
        <v>1250</v>
      </c>
      <c r="K31" s="249">
        <f t="shared" si="12"/>
        <v>1250</v>
      </c>
      <c r="L31" s="249">
        <v>0</v>
      </c>
      <c r="M31" s="367" t="s">
        <v>366</v>
      </c>
      <c r="N31" s="249">
        <f t="shared" si="6"/>
        <v>1250</v>
      </c>
      <c r="O31" s="246">
        <f t="shared" si="2"/>
        <v>8750</v>
      </c>
      <c r="P31" s="23" t="s">
        <v>1771</v>
      </c>
    </row>
    <row r="32" spans="1:16" x14ac:dyDescent="0.25">
      <c r="A32" s="381">
        <v>45989</v>
      </c>
      <c r="B32" s="382">
        <v>0.47916666666666669</v>
      </c>
      <c r="C32" s="382">
        <v>0.55208333333333337</v>
      </c>
      <c r="D32" s="379" t="s">
        <v>14</v>
      </c>
      <c r="E32" s="37" t="str">
        <f t="shared" ref="E32:E56" si="14">+IF(D32="","-",+LOOKUP(D32,$R$3:$R$10,$S$3:$S$10))</f>
        <v>ZOOM</v>
      </c>
      <c r="F32" s="249">
        <f t="shared" si="11"/>
        <v>4375</v>
      </c>
      <c r="G32" s="249">
        <f t="shared" si="11"/>
        <v>4375</v>
      </c>
      <c r="H32" s="249">
        <f t="shared" si="11"/>
        <v>4375</v>
      </c>
      <c r="I32" s="249">
        <f t="shared" si="13"/>
        <v>4375</v>
      </c>
      <c r="J32" s="249">
        <f t="shared" si="13"/>
        <v>4375</v>
      </c>
      <c r="K32" s="249">
        <f t="shared" ref="K32:K56" si="15">+IF($D32="","-",+IF($E32=+$S$3,+ROUND((($C32-$B32)*+$S$13/$S$12),0),20000))</f>
        <v>4375</v>
      </c>
      <c r="L32" s="249">
        <v>0</v>
      </c>
      <c r="M32" s="367" t="s">
        <v>366</v>
      </c>
      <c r="N32" s="249">
        <v>0</v>
      </c>
      <c r="O32" s="246">
        <f t="shared" ref="O32:O56" si="16">SUM(F32:N32)</f>
        <v>26250</v>
      </c>
      <c r="P32" s="23" t="s">
        <v>1773</v>
      </c>
    </row>
    <row r="33" spans="1:15" x14ac:dyDescent="0.25">
      <c r="A33" s="381">
        <v>45993</v>
      </c>
      <c r="B33" s="382"/>
      <c r="C33" s="382"/>
      <c r="D33" s="1146" t="s">
        <v>13</v>
      </c>
      <c r="E33" s="37" t="str">
        <f t="shared" si="14"/>
        <v>ZOOM</v>
      </c>
      <c r="F33" s="249">
        <f t="shared" si="11"/>
        <v>0</v>
      </c>
      <c r="G33" s="249">
        <f t="shared" si="11"/>
        <v>0</v>
      </c>
      <c r="H33" s="249">
        <f t="shared" si="11"/>
        <v>0</v>
      </c>
      <c r="I33" s="249">
        <f t="shared" si="13"/>
        <v>0</v>
      </c>
      <c r="J33" s="249">
        <f t="shared" si="13"/>
        <v>0</v>
      </c>
      <c r="K33" s="249">
        <f t="shared" si="15"/>
        <v>0</v>
      </c>
      <c r="L33" s="249">
        <f t="shared" si="8"/>
        <v>0</v>
      </c>
      <c r="M33" s="367" t="s">
        <v>366</v>
      </c>
      <c r="N33" s="249">
        <f t="shared" si="6"/>
        <v>0</v>
      </c>
      <c r="O33" s="246">
        <f t="shared" si="16"/>
        <v>0</v>
      </c>
    </row>
    <row r="34" spans="1:15" x14ac:dyDescent="0.25">
      <c r="A34" s="381"/>
      <c r="B34" s="382"/>
      <c r="C34" s="382"/>
      <c r="D34" s="379"/>
      <c r="E34" s="37" t="str">
        <f t="shared" si="14"/>
        <v>-</v>
      </c>
      <c r="F34" s="249" t="str">
        <f t="shared" si="11"/>
        <v>-</v>
      </c>
      <c r="G34" s="249" t="str">
        <f t="shared" si="11"/>
        <v>-</v>
      </c>
      <c r="H34" s="249" t="str">
        <f t="shared" si="11"/>
        <v>-</v>
      </c>
      <c r="I34" s="249" t="str">
        <f t="shared" si="13"/>
        <v>-</v>
      </c>
      <c r="J34" s="249" t="str">
        <f t="shared" si="13"/>
        <v>-</v>
      </c>
      <c r="K34" s="249" t="str">
        <f t="shared" si="15"/>
        <v>-</v>
      </c>
      <c r="L34" s="249" t="str">
        <f t="shared" si="8"/>
        <v>-</v>
      </c>
      <c r="M34" s="367" t="s">
        <v>366</v>
      </c>
      <c r="N34" s="249" t="str">
        <f t="shared" si="6"/>
        <v>-</v>
      </c>
      <c r="O34" s="246">
        <f t="shared" si="16"/>
        <v>0</v>
      </c>
    </row>
    <row r="35" spans="1:15" x14ac:dyDescent="0.25">
      <c r="A35" s="381"/>
      <c r="B35" s="382"/>
      <c r="C35" s="382"/>
      <c r="D35" s="379"/>
      <c r="E35" s="37" t="str">
        <f t="shared" si="14"/>
        <v>-</v>
      </c>
      <c r="F35" s="249" t="str">
        <f t="shared" si="11"/>
        <v>-</v>
      </c>
      <c r="G35" s="249" t="str">
        <f t="shared" si="11"/>
        <v>-</v>
      </c>
      <c r="H35" s="249" t="str">
        <f t="shared" si="11"/>
        <v>-</v>
      </c>
      <c r="I35" s="249" t="str">
        <f t="shared" si="13"/>
        <v>-</v>
      </c>
      <c r="J35" s="249" t="str">
        <f t="shared" si="13"/>
        <v>-</v>
      </c>
      <c r="K35" s="249" t="str">
        <f t="shared" si="15"/>
        <v>-</v>
      </c>
      <c r="L35" s="249" t="str">
        <f t="shared" si="8"/>
        <v>-</v>
      </c>
      <c r="M35" s="367" t="s">
        <v>366</v>
      </c>
      <c r="N35" s="249" t="str">
        <f t="shared" si="6"/>
        <v>-</v>
      </c>
      <c r="O35" s="246">
        <f t="shared" si="16"/>
        <v>0</v>
      </c>
    </row>
    <row r="36" spans="1:15" x14ac:dyDescent="0.25">
      <c r="A36" s="381"/>
      <c r="B36" s="382"/>
      <c r="C36" s="382"/>
      <c r="D36" s="379"/>
      <c r="E36" s="37" t="str">
        <f t="shared" si="14"/>
        <v>-</v>
      </c>
      <c r="F36" s="249" t="str">
        <f t="shared" si="11"/>
        <v>-</v>
      </c>
      <c r="G36" s="249" t="str">
        <f t="shared" si="11"/>
        <v>-</v>
      </c>
      <c r="H36" s="249" t="str">
        <f t="shared" si="11"/>
        <v>-</v>
      </c>
      <c r="I36" s="249" t="str">
        <f t="shared" si="13"/>
        <v>-</v>
      </c>
      <c r="J36" s="249" t="str">
        <f t="shared" si="13"/>
        <v>-</v>
      </c>
      <c r="K36" s="249" t="str">
        <f t="shared" si="15"/>
        <v>-</v>
      </c>
      <c r="L36" s="249" t="str">
        <f t="shared" si="8"/>
        <v>-</v>
      </c>
      <c r="M36" s="249" t="s">
        <v>366</v>
      </c>
      <c r="N36" s="249" t="str">
        <f t="shared" si="6"/>
        <v>-</v>
      </c>
      <c r="O36" s="246">
        <f t="shared" si="16"/>
        <v>0</v>
      </c>
    </row>
    <row r="37" spans="1:15" x14ac:dyDescent="0.25">
      <c r="A37" s="381"/>
      <c r="B37" s="382"/>
      <c r="C37" s="382"/>
      <c r="D37" s="379"/>
      <c r="E37" s="37" t="str">
        <f t="shared" si="14"/>
        <v>-</v>
      </c>
      <c r="F37" s="249" t="str">
        <f t="shared" si="11"/>
        <v>-</v>
      </c>
      <c r="G37" s="249" t="str">
        <f t="shared" si="11"/>
        <v>-</v>
      </c>
      <c r="H37" s="249" t="str">
        <f t="shared" si="11"/>
        <v>-</v>
      </c>
      <c r="I37" s="249" t="str">
        <f t="shared" si="13"/>
        <v>-</v>
      </c>
      <c r="J37" s="249" t="str">
        <f t="shared" si="13"/>
        <v>-</v>
      </c>
      <c r="K37" s="249" t="str">
        <f t="shared" si="15"/>
        <v>-</v>
      </c>
      <c r="L37" s="249" t="str">
        <f t="shared" si="8"/>
        <v>-</v>
      </c>
      <c r="M37" s="249" t="s">
        <v>366</v>
      </c>
      <c r="N37" s="249" t="str">
        <f t="shared" si="6"/>
        <v>-</v>
      </c>
      <c r="O37" s="246">
        <f t="shared" si="16"/>
        <v>0</v>
      </c>
    </row>
    <row r="38" spans="1:15" x14ac:dyDescent="0.25">
      <c r="A38" s="381"/>
      <c r="B38" s="382"/>
      <c r="C38" s="382"/>
      <c r="D38" s="379"/>
      <c r="E38" s="37" t="str">
        <f t="shared" si="14"/>
        <v>-</v>
      </c>
      <c r="F38" s="249" t="str">
        <f t="shared" si="11"/>
        <v>-</v>
      </c>
      <c r="G38" s="249" t="str">
        <f t="shared" si="11"/>
        <v>-</v>
      </c>
      <c r="H38" s="249" t="str">
        <f t="shared" si="11"/>
        <v>-</v>
      </c>
      <c r="I38" s="249" t="str">
        <f t="shared" si="13"/>
        <v>-</v>
      </c>
      <c r="J38" s="249" t="str">
        <f t="shared" si="13"/>
        <v>-</v>
      </c>
      <c r="K38" s="249" t="str">
        <f t="shared" si="15"/>
        <v>-</v>
      </c>
      <c r="L38" s="249" t="str">
        <f t="shared" ref="L38:L56" si="17">+IF($D38="","-",+IF($E38=+$S$3,+ROUND((($C38-$B38)*+$S$13/$S$12),0),20000))</f>
        <v>-</v>
      </c>
      <c r="M38" s="249" t="s">
        <v>366</v>
      </c>
      <c r="N38" s="249" t="str">
        <f t="shared" ref="N38:N56" si="18">+IF($D38="","-",+IF($E38=+$S$3,+ROUND((($C38-$B38)*+$S$13/$S$12),0),20000))</f>
        <v>-</v>
      </c>
      <c r="O38" s="246">
        <f t="shared" si="16"/>
        <v>0</v>
      </c>
    </row>
    <row r="39" spans="1:15" x14ac:dyDescent="0.25">
      <c r="A39" s="381"/>
      <c r="B39" s="382"/>
      <c r="C39" s="382"/>
      <c r="D39" s="379"/>
      <c r="E39" s="37" t="str">
        <f t="shared" si="14"/>
        <v>-</v>
      </c>
      <c r="F39" s="249" t="str">
        <f t="shared" si="11"/>
        <v>-</v>
      </c>
      <c r="G39" s="249" t="str">
        <f t="shared" si="11"/>
        <v>-</v>
      </c>
      <c r="H39" s="249" t="str">
        <f t="shared" si="11"/>
        <v>-</v>
      </c>
      <c r="I39" s="249" t="str">
        <f t="shared" si="13"/>
        <v>-</v>
      </c>
      <c r="J39" s="249" t="str">
        <f t="shared" si="13"/>
        <v>-</v>
      </c>
      <c r="K39" s="249" t="str">
        <f t="shared" si="15"/>
        <v>-</v>
      </c>
      <c r="L39" s="249" t="str">
        <f t="shared" si="17"/>
        <v>-</v>
      </c>
      <c r="M39" s="249" t="s">
        <v>366</v>
      </c>
      <c r="N39" s="249" t="str">
        <f t="shared" si="18"/>
        <v>-</v>
      </c>
      <c r="O39" s="246">
        <f t="shared" si="16"/>
        <v>0</v>
      </c>
    </row>
    <row r="40" spans="1:15" x14ac:dyDescent="0.25">
      <c r="A40" s="381"/>
      <c r="B40" s="382"/>
      <c r="C40" s="382"/>
      <c r="D40" s="379"/>
      <c r="E40" s="37" t="str">
        <f t="shared" si="14"/>
        <v>-</v>
      </c>
      <c r="F40" s="249" t="str">
        <f t="shared" ref="F40:H56" si="19">+IF($D40="","-",+IF($E40=+$S$3,+ROUND((($C40-$B40)*+$S$13/$S$12),0),20000))</f>
        <v>-</v>
      </c>
      <c r="G40" s="249" t="str">
        <f t="shared" si="19"/>
        <v>-</v>
      </c>
      <c r="H40" s="249" t="str">
        <f t="shared" si="19"/>
        <v>-</v>
      </c>
      <c r="I40" s="249" t="str">
        <f t="shared" si="13"/>
        <v>-</v>
      </c>
      <c r="J40" s="249" t="str">
        <f t="shared" si="13"/>
        <v>-</v>
      </c>
      <c r="K40" s="249" t="str">
        <f t="shared" si="15"/>
        <v>-</v>
      </c>
      <c r="L40" s="249" t="str">
        <f t="shared" si="17"/>
        <v>-</v>
      </c>
      <c r="M40" s="249" t="s">
        <v>366</v>
      </c>
      <c r="N40" s="249" t="str">
        <f t="shared" si="18"/>
        <v>-</v>
      </c>
      <c r="O40" s="246">
        <f t="shared" si="16"/>
        <v>0</v>
      </c>
    </row>
    <row r="41" spans="1:15" x14ac:dyDescent="0.25">
      <c r="A41" s="381"/>
      <c r="B41" s="382"/>
      <c r="C41" s="382"/>
      <c r="D41" s="379"/>
      <c r="E41" s="37" t="str">
        <f t="shared" si="14"/>
        <v>-</v>
      </c>
      <c r="F41" s="249" t="str">
        <f t="shared" si="19"/>
        <v>-</v>
      </c>
      <c r="G41" s="249" t="str">
        <f t="shared" si="19"/>
        <v>-</v>
      </c>
      <c r="H41" s="249" t="str">
        <f t="shared" si="19"/>
        <v>-</v>
      </c>
      <c r="I41" s="249" t="str">
        <f t="shared" si="13"/>
        <v>-</v>
      </c>
      <c r="J41" s="249" t="str">
        <f t="shared" si="13"/>
        <v>-</v>
      </c>
      <c r="K41" s="249" t="str">
        <f t="shared" si="15"/>
        <v>-</v>
      </c>
      <c r="L41" s="249" t="str">
        <f t="shared" si="17"/>
        <v>-</v>
      </c>
      <c r="M41" s="249" t="s">
        <v>366</v>
      </c>
      <c r="N41" s="249" t="str">
        <f t="shared" si="18"/>
        <v>-</v>
      </c>
      <c r="O41" s="246">
        <f t="shared" si="16"/>
        <v>0</v>
      </c>
    </row>
    <row r="42" spans="1:15" x14ac:dyDescent="0.25">
      <c r="A42" s="381"/>
      <c r="B42" s="382"/>
      <c r="C42" s="382"/>
      <c r="D42" s="379"/>
      <c r="E42" s="37" t="str">
        <f t="shared" si="14"/>
        <v>-</v>
      </c>
      <c r="F42" s="249" t="str">
        <f t="shared" si="19"/>
        <v>-</v>
      </c>
      <c r="G42" s="249" t="str">
        <f t="shared" si="19"/>
        <v>-</v>
      </c>
      <c r="H42" s="249" t="str">
        <f t="shared" si="19"/>
        <v>-</v>
      </c>
      <c r="I42" s="249" t="str">
        <f t="shared" si="13"/>
        <v>-</v>
      </c>
      <c r="J42" s="249" t="str">
        <f t="shared" si="13"/>
        <v>-</v>
      </c>
      <c r="K42" s="249" t="str">
        <f t="shared" si="15"/>
        <v>-</v>
      </c>
      <c r="L42" s="249" t="str">
        <f t="shared" si="17"/>
        <v>-</v>
      </c>
      <c r="M42" s="249" t="s">
        <v>366</v>
      </c>
      <c r="N42" s="249" t="str">
        <f t="shared" si="18"/>
        <v>-</v>
      </c>
      <c r="O42" s="246">
        <f t="shared" si="16"/>
        <v>0</v>
      </c>
    </row>
    <row r="43" spans="1:15" x14ac:dyDescent="0.25">
      <c r="A43" s="381"/>
      <c r="B43" s="382"/>
      <c r="C43" s="382"/>
      <c r="D43" s="379"/>
      <c r="E43" s="37" t="str">
        <f t="shared" si="14"/>
        <v>-</v>
      </c>
      <c r="F43" s="249" t="str">
        <f t="shared" si="19"/>
        <v>-</v>
      </c>
      <c r="G43" s="249" t="str">
        <f t="shared" si="19"/>
        <v>-</v>
      </c>
      <c r="H43" s="249" t="str">
        <f t="shared" si="19"/>
        <v>-</v>
      </c>
      <c r="I43" s="249" t="str">
        <f t="shared" si="13"/>
        <v>-</v>
      </c>
      <c r="J43" s="249" t="str">
        <f t="shared" si="13"/>
        <v>-</v>
      </c>
      <c r="K43" s="249" t="str">
        <f t="shared" si="15"/>
        <v>-</v>
      </c>
      <c r="L43" s="249" t="str">
        <f t="shared" si="17"/>
        <v>-</v>
      </c>
      <c r="M43" s="249" t="s">
        <v>366</v>
      </c>
      <c r="N43" s="249" t="str">
        <f t="shared" si="18"/>
        <v>-</v>
      </c>
      <c r="O43" s="246">
        <f t="shared" si="16"/>
        <v>0</v>
      </c>
    </row>
    <row r="44" spans="1:15" x14ac:dyDescent="0.25">
      <c r="A44" s="381"/>
      <c r="B44" s="382"/>
      <c r="C44" s="382"/>
      <c r="D44" s="379"/>
      <c r="E44" s="37" t="str">
        <f t="shared" si="14"/>
        <v>-</v>
      </c>
      <c r="F44" s="249" t="str">
        <f t="shared" si="19"/>
        <v>-</v>
      </c>
      <c r="G44" s="249" t="str">
        <f t="shared" si="19"/>
        <v>-</v>
      </c>
      <c r="H44" s="249" t="str">
        <f t="shared" si="19"/>
        <v>-</v>
      </c>
      <c r="I44" s="249" t="str">
        <f t="shared" si="13"/>
        <v>-</v>
      </c>
      <c r="J44" s="249" t="str">
        <f t="shared" si="13"/>
        <v>-</v>
      </c>
      <c r="K44" s="249" t="str">
        <f t="shared" si="15"/>
        <v>-</v>
      </c>
      <c r="L44" s="249" t="str">
        <f t="shared" si="17"/>
        <v>-</v>
      </c>
      <c r="M44" s="249" t="s">
        <v>366</v>
      </c>
      <c r="N44" s="249" t="str">
        <f t="shared" si="18"/>
        <v>-</v>
      </c>
      <c r="O44" s="246">
        <f t="shared" si="16"/>
        <v>0</v>
      </c>
    </row>
    <row r="45" spans="1:15" x14ac:dyDescent="0.25">
      <c r="A45" s="381"/>
      <c r="B45" s="382"/>
      <c r="C45" s="382"/>
      <c r="D45" s="379"/>
      <c r="E45" s="37" t="str">
        <f t="shared" si="14"/>
        <v>-</v>
      </c>
      <c r="F45" s="249" t="str">
        <f t="shared" si="19"/>
        <v>-</v>
      </c>
      <c r="G45" s="249" t="str">
        <f t="shared" si="19"/>
        <v>-</v>
      </c>
      <c r="H45" s="249" t="str">
        <f t="shared" si="19"/>
        <v>-</v>
      </c>
      <c r="I45" s="249" t="str">
        <f t="shared" si="13"/>
        <v>-</v>
      </c>
      <c r="J45" s="249" t="str">
        <f t="shared" si="13"/>
        <v>-</v>
      </c>
      <c r="K45" s="249" t="str">
        <f t="shared" si="15"/>
        <v>-</v>
      </c>
      <c r="L45" s="249" t="str">
        <f t="shared" si="17"/>
        <v>-</v>
      </c>
      <c r="M45" s="249" t="s">
        <v>366</v>
      </c>
      <c r="N45" s="249" t="str">
        <f t="shared" si="18"/>
        <v>-</v>
      </c>
      <c r="O45" s="246">
        <f t="shared" si="16"/>
        <v>0</v>
      </c>
    </row>
    <row r="46" spans="1:15" x14ac:dyDescent="0.25">
      <c r="A46" s="189"/>
      <c r="B46" s="190"/>
      <c r="C46" s="190"/>
      <c r="D46" s="25"/>
      <c r="E46" s="37" t="str">
        <f t="shared" si="14"/>
        <v>-</v>
      </c>
      <c r="F46" s="249" t="str">
        <f t="shared" si="19"/>
        <v>-</v>
      </c>
      <c r="G46" s="249" t="str">
        <f t="shared" si="19"/>
        <v>-</v>
      </c>
      <c r="H46" s="249" t="str">
        <f t="shared" si="19"/>
        <v>-</v>
      </c>
      <c r="I46" s="249" t="str">
        <f t="shared" ref="I46:J56" si="20">+IF($D46="","-",+IF($E46=+$S$3,+ROUND((($C46-$B46)*+$S$13/$S$12),0),20000))</f>
        <v>-</v>
      </c>
      <c r="J46" s="249" t="str">
        <f t="shared" si="20"/>
        <v>-</v>
      </c>
      <c r="K46" s="249" t="str">
        <f t="shared" si="15"/>
        <v>-</v>
      </c>
      <c r="L46" s="249" t="str">
        <f t="shared" si="17"/>
        <v>-</v>
      </c>
      <c r="M46" s="249" t="s">
        <v>366</v>
      </c>
      <c r="N46" s="249" t="str">
        <f t="shared" si="18"/>
        <v>-</v>
      </c>
      <c r="O46" s="246">
        <f t="shared" si="16"/>
        <v>0</v>
      </c>
    </row>
    <row r="47" spans="1:15" x14ac:dyDescent="0.25">
      <c r="A47" s="189"/>
      <c r="B47" s="190"/>
      <c r="C47" s="190"/>
      <c r="D47" s="25"/>
      <c r="E47" s="37" t="str">
        <f t="shared" si="14"/>
        <v>-</v>
      </c>
      <c r="F47" s="249" t="str">
        <f t="shared" si="19"/>
        <v>-</v>
      </c>
      <c r="G47" s="249" t="str">
        <f t="shared" si="19"/>
        <v>-</v>
      </c>
      <c r="H47" s="249" t="str">
        <f t="shared" si="19"/>
        <v>-</v>
      </c>
      <c r="I47" s="249" t="str">
        <f t="shared" si="20"/>
        <v>-</v>
      </c>
      <c r="J47" s="249" t="str">
        <f t="shared" si="20"/>
        <v>-</v>
      </c>
      <c r="K47" s="249" t="str">
        <f t="shared" si="15"/>
        <v>-</v>
      </c>
      <c r="L47" s="249" t="str">
        <f t="shared" si="17"/>
        <v>-</v>
      </c>
      <c r="M47" s="249" t="s">
        <v>366</v>
      </c>
      <c r="N47" s="249" t="str">
        <f t="shared" si="18"/>
        <v>-</v>
      </c>
      <c r="O47" s="246">
        <f t="shared" si="16"/>
        <v>0</v>
      </c>
    </row>
    <row r="48" spans="1:15" x14ac:dyDescent="0.25">
      <c r="A48" s="189"/>
      <c r="B48" s="190"/>
      <c r="C48" s="190"/>
      <c r="D48" s="25"/>
      <c r="E48" s="37" t="str">
        <f t="shared" si="14"/>
        <v>-</v>
      </c>
      <c r="F48" s="249" t="str">
        <f t="shared" si="19"/>
        <v>-</v>
      </c>
      <c r="G48" s="249" t="str">
        <f t="shared" si="19"/>
        <v>-</v>
      </c>
      <c r="H48" s="249" t="str">
        <f t="shared" si="19"/>
        <v>-</v>
      </c>
      <c r="I48" s="249" t="str">
        <f t="shared" si="20"/>
        <v>-</v>
      </c>
      <c r="J48" s="249" t="str">
        <f t="shared" si="20"/>
        <v>-</v>
      </c>
      <c r="K48" s="249" t="str">
        <f t="shared" si="15"/>
        <v>-</v>
      </c>
      <c r="L48" s="249" t="str">
        <f t="shared" si="17"/>
        <v>-</v>
      </c>
      <c r="M48" s="249" t="s">
        <v>366</v>
      </c>
      <c r="N48" s="249" t="str">
        <f t="shared" si="18"/>
        <v>-</v>
      </c>
      <c r="O48" s="246">
        <f t="shared" si="16"/>
        <v>0</v>
      </c>
    </row>
    <row r="49" spans="1:15" x14ac:dyDescent="0.25">
      <c r="A49" s="189"/>
      <c r="B49" s="190"/>
      <c r="C49" s="190"/>
      <c r="D49" s="25"/>
      <c r="E49" s="37" t="str">
        <f t="shared" si="14"/>
        <v>-</v>
      </c>
      <c r="F49" s="249" t="str">
        <f t="shared" si="19"/>
        <v>-</v>
      </c>
      <c r="G49" s="249" t="str">
        <f t="shared" si="19"/>
        <v>-</v>
      </c>
      <c r="H49" s="249" t="str">
        <f t="shared" si="19"/>
        <v>-</v>
      </c>
      <c r="I49" s="249" t="str">
        <f t="shared" si="20"/>
        <v>-</v>
      </c>
      <c r="J49" s="249" t="str">
        <f t="shared" si="20"/>
        <v>-</v>
      </c>
      <c r="K49" s="249" t="str">
        <f t="shared" si="15"/>
        <v>-</v>
      </c>
      <c r="L49" s="249" t="str">
        <f t="shared" si="17"/>
        <v>-</v>
      </c>
      <c r="M49" s="249" t="s">
        <v>366</v>
      </c>
      <c r="N49" s="249" t="str">
        <f t="shared" si="18"/>
        <v>-</v>
      </c>
      <c r="O49" s="246">
        <f t="shared" si="16"/>
        <v>0</v>
      </c>
    </row>
    <row r="50" spans="1:15" x14ac:dyDescent="0.25">
      <c r="A50" s="189"/>
      <c r="B50" s="190"/>
      <c r="C50" s="190"/>
      <c r="D50" s="25"/>
      <c r="E50" s="37" t="str">
        <f t="shared" si="14"/>
        <v>-</v>
      </c>
      <c r="F50" s="249" t="str">
        <f t="shared" si="19"/>
        <v>-</v>
      </c>
      <c r="G50" s="249" t="str">
        <f t="shared" si="19"/>
        <v>-</v>
      </c>
      <c r="H50" s="249" t="str">
        <f t="shared" si="19"/>
        <v>-</v>
      </c>
      <c r="I50" s="249" t="str">
        <f t="shared" si="20"/>
        <v>-</v>
      </c>
      <c r="J50" s="249" t="str">
        <f t="shared" si="20"/>
        <v>-</v>
      </c>
      <c r="K50" s="249" t="str">
        <f t="shared" si="15"/>
        <v>-</v>
      </c>
      <c r="L50" s="249" t="str">
        <f t="shared" si="17"/>
        <v>-</v>
      </c>
      <c r="M50" s="249" t="s">
        <v>366</v>
      </c>
      <c r="N50" s="249" t="str">
        <f t="shared" si="18"/>
        <v>-</v>
      </c>
      <c r="O50" s="246">
        <f t="shared" si="16"/>
        <v>0</v>
      </c>
    </row>
    <row r="51" spans="1:15" x14ac:dyDescent="0.25">
      <c r="A51" s="189"/>
      <c r="B51" s="190"/>
      <c r="C51" s="190"/>
      <c r="D51" s="25"/>
      <c r="E51" s="37" t="str">
        <f t="shared" si="14"/>
        <v>-</v>
      </c>
      <c r="F51" s="249" t="str">
        <f t="shared" si="19"/>
        <v>-</v>
      </c>
      <c r="G51" s="249" t="str">
        <f t="shared" si="19"/>
        <v>-</v>
      </c>
      <c r="H51" s="249" t="str">
        <f t="shared" si="19"/>
        <v>-</v>
      </c>
      <c r="I51" s="249" t="str">
        <f t="shared" si="20"/>
        <v>-</v>
      </c>
      <c r="J51" s="249" t="str">
        <f t="shared" si="20"/>
        <v>-</v>
      </c>
      <c r="K51" s="249" t="str">
        <f t="shared" si="15"/>
        <v>-</v>
      </c>
      <c r="L51" s="249" t="str">
        <f t="shared" si="17"/>
        <v>-</v>
      </c>
      <c r="M51" s="249" t="s">
        <v>366</v>
      </c>
      <c r="N51" s="249" t="str">
        <f t="shared" si="18"/>
        <v>-</v>
      </c>
      <c r="O51" s="246">
        <f t="shared" si="16"/>
        <v>0</v>
      </c>
    </row>
    <row r="52" spans="1:15" x14ac:dyDescent="0.25">
      <c r="A52" s="189"/>
      <c r="B52" s="190"/>
      <c r="C52" s="190"/>
      <c r="D52" s="25"/>
      <c r="E52" s="37" t="str">
        <f t="shared" si="14"/>
        <v>-</v>
      </c>
      <c r="F52" s="249" t="str">
        <f t="shared" si="19"/>
        <v>-</v>
      </c>
      <c r="G52" s="249" t="str">
        <f t="shared" si="19"/>
        <v>-</v>
      </c>
      <c r="H52" s="249" t="str">
        <f t="shared" si="19"/>
        <v>-</v>
      </c>
      <c r="I52" s="249" t="str">
        <f t="shared" si="20"/>
        <v>-</v>
      </c>
      <c r="J52" s="249" t="str">
        <f t="shared" si="20"/>
        <v>-</v>
      </c>
      <c r="K52" s="249" t="str">
        <f t="shared" si="15"/>
        <v>-</v>
      </c>
      <c r="L52" s="249" t="str">
        <f t="shared" si="17"/>
        <v>-</v>
      </c>
      <c r="M52" s="249" t="s">
        <v>366</v>
      </c>
      <c r="N52" s="249" t="str">
        <f t="shared" si="18"/>
        <v>-</v>
      </c>
      <c r="O52" s="246">
        <f t="shared" si="16"/>
        <v>0</v>
      </c>
    </row>
    <row r="53" spans="1:15" x14ac:dyDescent="0.25">
      <c r="A53" s="189"/>
      <c r="B53" s="190"/>
      <c r="C53" s="190"/>
      <c r="D53" s="25"/>
      <c r="E53" s="37" t="str">
        <f t="shared" si="14"/>
        <v>-</v>
      </c>
      <c r="F53" s="249" t="str">
        <f t="shared" si="19"/>
        <v>-</v>
      </c>
      <c r="G53" s="249" t="str">
        <f t="shared" si="19"/>
        <v>-</v>
      </c>
      <c r="H53" s="249" t="str">
        <f t="shared" si="19"/>
        <v>-</v>
      </c>
      <c r="I53" s="249" t="str">
        <f t="shared" si="20"/>
        <v>-</v>
      </c>
      <c r="J53" s="249" t="str">
        <f t="shared" si="20"/>
        <v>-</v>
      </c>
      <c r="K53" s="249" t="str">
        <f t="shared" si="15"/>
        <v>-</v>
      </c>
      <c r="L53" s="249" t="str">
        <f t="shared" si="17"/>
        <v>-</v>
      </c>
      <c r="M53" s="249" t="s">
        <v>366</v>
      </c>
      <c r="N53" s="249" t="str">
        <f t="shared" si="18"/>
        <v>-</v>
      </c>
      <c r="O53" s="246">
        <f t="shared" si="16"/>
        <v>0</v>
      </c>
    </row>
    <row r="54" spans="1:15" x14ac:dyDescent="0.25">
      <c r="A54" s="189"/>
      <c r="B54" s="190"/>
      <c r="C54" s="190"/>
      <c r="D54" s="25"/>
      <c r="E54" s="37" t="str">
        <f t="shared" si="14"/>
        <v>-</v>
      </c>
      <c r="F54" s="249" t="str">
        <f t="shared" si="19"/>
        <v>-</v>
      </c>
      <c r="G54" s="249" t="str">
        <f t="shared" si="19"/>
        <v>-</v>
      </c>
      <c r="H54" s="249" t="str">
        <f t="shared" si="19"/>
        <v>-</v>
      </c>
      <c r="I54" s="249" t="str">
        <f t="shared" si="20"/>
        <v>-</v>
      </c>
      <c r="J54" s="249" t="str">
        <f t="shared" si="20"/>
        <v>-</v>
      </c>
      <c r="K54" s="249" t="str">
        <f t="shared" si="15"/>
        <v>-</v>
      </c>
      <c r="L54" s="249" t="str">
        <f t="shared" si="17"/>
        <v>-</v>
      </c>
      <c r="M54" s="249" t="s">
        <v>366</v>
      </c>
      <c r="N54" s="249" t="str">
        <f t="shared" si="18"/>
        <v>-</v>
      </c>
      <c r="O54" s="246">
        <f t="shared" si="16"/>
        <v>0</v>
      </c>
    </row>
    <row r="55" spans="1:15" x14ac:dyDescent="0.25">
      <c r="A55" s="189"/>
      <c r="B55" s="190"/>
      <c r="C55" s="190"/>
      <c r="D55" s="25"/>
      <c r="E55" s="37" t="str">
        <f t="shared" si="14"/>
        <v>-</v>
      </c>
      <c r="F55" s="249" t="str">
        <f t="shared" si="19"/>
        <v>-</v>
      </c>
      <c r="G55" s="249" t="str">
        <f t="shared" si="19"/>
        <v>-</v>
      </c>
      <c r="H55" s="249" t="str">
        <f t="shared" si="19"/>
        <v>-</v>
      </c>
      <c r="I55" s="249" t="str">
        <f t="shared" si="20"/>
        <v>-</v>
      </c>
      <c r="J55" s="249" t="str">
        <f t="shared" si="20"/>
        <v>-</v>
      </c>
      <c r="K55" s="249" t="str">
        <f t="shared" si="15"/>
        <v>-</v>
      </c>
      <c r="L55" s="249" t="str">
        <f t="shared" si="17"/>
        <v>-</v>
      </c>
      <c r="M55" s="249" t="s">
        <v>366</v>
      </c>
      <c r="N55" s="249" t="str">
        <f t="shared" si="18"/>
        <v>-</v>
      </c>
      <c r="O55" s="246">
        <f t="shared" si="16"/>
        <v>0</v>
      </c>
    </row>
    <row r="56" spans="1:15" x14ac:dyDescent="0.25">
      <c r="A56" s="189"/>
      <c r="B56" s="190"/>
      <c r="C56" s="190"/>
      <c r="D56" s="25"/>
      <c r="E56" s="37" t="str">
        <f t="shared" si="14"/>
        <v>-</v>
      </c>
      <c r="F56" s="249" t="str">
        <f t="shared" si="19"/>
        <v>-</v>
      </c>
      <c r="G56" s="249" t="str">
        <f t="shared" si="19"/>
        <v>-</v>
      </c>
      <c r="H56" s="249" t="str">
        <f t="shared" si="19"/>
        <v>-</v>
      </c>
      <c r="I56" s="249" t="str">
        <f t="shared" si="20"/>
        <v>-</v>
      </c>
      <c r="J56" s="249" t="str">
        <f t="shared" si="20"/>
        <v>-</v>
      </c>
      <c r="K56" s="249" t="str">
        <f t="shared" si="15"/>
        <v>-</v>
      </c>
      <c r="L56" s="249" t="str">
        <f t="shared" si="17"/>
        <v>-</v>
      </c>
      <c r="M56" s="249" t="s">
        <v>366</v>
      </c>
      <c r="N56" s="249" t="str">
        <f t="shared" si="18"/>
        <v>-</v>
      </c>
      <c r="O56" s="246">
        <f t="shared" si="16"/>
        <v>0</v>
      </c>
    </row>
    <row r="57" spans="1:15" x14ac:dyDescent="0.25">
      <c r="F57" s="291"/>
      <c r="G57" s="291"/>
      <c r="H57" s="291"/>
      <c r="I57" s="291"/>
      <c r="J57" s="291"/>
      <c r="K57" s="291"/>
      <c r="L57" s="291"/>
      <c r="M57" s="291"/>
      <c r="N57" s="291"/>
      <c r="O57" s="291"/>
    </row>
  </sheetData>
  <sortState xmlns:xlrd2="http://schemas.microsoft.com/office/spreadsheetml/2017/richdata2" ref="R3:V10">
    <sortCondition ref="R3:R10"/>
    <sortCondition ref="S3:S10"/>
  </sortState>
  <mergeCells count="1">
    <mergeCell ref="A1:D1"/>
  </mergeCells>
  <dataValidations count="1">
    <dataValidation type="list" allowBlank="1" showInputMessage="1" showErrorMessage="1" sqref="D3:D56" xr:uid="{00000000-0002-0000-0A00-000000000000}">
      <formula1>$R$3:$R$10</formula1>
    </dataValidation>
  </dataValidations>
  <pageMargins left="0.7" right="0.7" top="0.75" bottom="0.75" header="0.3" footer="0.3"/>
  <pageSetup scale="70" orientation="landscape" r:id="rId1"/>
  <ignoredErrors>
    <ignoredError sqref="G58:P58 M36 F56:J56 M40 M37:M39 L56:M56 M41 M42:M43 L15:M15 M12:M14 M9 M10:M11 M4:M5 I3:N3 I6:N8 I4:L5 N4:N5 I12:L14 I10:L11 N10:N11 I9:L9 N9 N12:N14 F4:H5 I15 L24:L25 F23:L23 N20:N21 F20:L21 F22:N22 M20:M21 L18:L19 H17 L17 G16:N16 M23:N23 F26:N27 F16 F17:G17 M17:N17 I17:K17 F18:K19 M18:N19 F24:K25 M24:N25 F28:N28 I30:J30 L29:N29 L30:M30 F30 H29:I29 G30:H30 F29:G29 J29:K29 N30:O30 O29 K30 L31" calculatedColumn="1"/>
  </ignoredErrors>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9">
    <tabColor rgb="FF92D050"/>
  </sheetPr>
  <dimension ref="A1:L26"/>
  <sheetViews>
    <sheetView workbookViewId="0">
      <selection activeCell="H26" sqref="H26"/>
    </sheetView>
  </sheetViews>
  <sheetFormatPr baseColWidth="10" defaultRowHeight="15" x14ac:dyDescent="0.25"/>
  <cols>
    <col min="2" max="2" width="11" style="758" bestFit="1" customWidth="1"/>
    <col min="4" max="4" width="15.85546875" bestFit="1" customWidth="1"/>
    <col min="5" max="5" width="12.85546875" bestFit="1" customWidth="1"/>
    <col min="6" max="6" width="11.28515625" bestFit="1" customWidth="1"/>
    <col min="9" max="9" width="14.7109375" bestFit="1" customWidth="1"/>
  </cols>
  <sheetData>
    <row r="1" spans="1:12" x14ac:dyDescent="0.25">
      <c r="B1" s="807" t="s">
        <v>504</v>
      </c>
      <c r="C1" s="727" t="s">
        <v>505</v>
      </c>
      <c r="D1" s="727" t="s">
        <v>506</v>
      </c>
      <c r="E1" s="727" t="s">
        <v>513</v>
      </c>
      <c r="F1" s="727" t="s">
        <v>512</v>
      </c>
      <c r="G1" s="727" t="s">
        <v>488</v>
      </c>
      <c r="H1" s="727" t="s">
        <v>521</v>
      </c>
      <c r="I1" s="727" t="s">
        <v>529</v>
      </c>
    </row>
    <row r="2" spans="1:12" x14ac:dyDescent="0.25">
      <c r="A2" s="236" t="s">
        <v>511</v>
      </c>
      <c r="B2" s="758">
        <v>4444</v>
      </c>
      <c r="C2" s="731">
        <v>133280</v>
      </c>
      <c r="D2" t="s">
        <v>507</v>
      </c>
      <c r="E2" s="802">
        <v>725630</v>
      </c>
      <c r="F2" s="802">
        <v>592350</v>
      </c>
      <c r="G2" s="803">
        <f>+E2-F2</f>
        <v>133280</v>
      </c>
      <c r="H2" s="731">
        <f>+G2</f>
        <v>133280</v>
      </c>
      <c r="I2" s="802">
        <v>60000</v>
      </c>
      <c r="J2" s="811">
        <f>+H2+I2</f>
        <v>193280</v>
      </c>
      <c r="L2" s="825" t="s">
        <v>508</v>
      </c>
    </row>
    <row r="3" spans="1:12" x14ac:dyDescent="0.25">
      <c r="A3" s="813" t="s">
        <v>509</v>
      </c>
      <c r="B3" s="758">
        <v>28</v>
      </c>
      <c r="C3" s="739">
        <v>100000</v>
      </c>
      <c r="D3" t="s">
        <v>510</v>
      </c>
      <c r="E3" s="802">
        <v>859800</v>
      </c>
      <c r="F3" s="731">
        <f>+C3+C4</f>
        <v>200000</v>
      </c>
      <c r="G3" s="824">
        <f>+E3-F3</f>
        <v>659800</v>
      </c>
      <c r="H3" s="731">
        <f>+E3</f>
        <v>859800</v>
      </c>
      <c r="L3" s="826"/>
    </row>
    <row r="4" spans="1:12" x14ac:dyDescent="0.25">
      <c r="A4" s="814" t="s">
        <v>514</v>
      </c>
      <c r="B4" s="758">
        <v>28</v>
      </c>
      <c r="C4" s="808">
        <v>100000</v>
      </c>
      <c r="D4" t="s">
        <v>510</v>
      </c>
      <c r="E4" s="802"/>
      <c r="L4" s="827">
        <f>+C4</f>
        <v>100000</v>
      </c>
    </row>
    <row r="5" spans="1:12" x14ac:dyDescent="0.25">
      <c r="A5" s="814" t="s">
        <v>514</v>
      </c>
      <c r="B5" s="758">
        <v>17107644</v>
      </c>
      <c r="C5" s="809">
        <v>42576</v>
      </c>
      <c r="D5" t="s">
        <v>515</v>
      </c>
      <c r="E5" s="802"/>
      <c r="H5" s="731">
        <f>+C5</f>
        <v>42576</v>
      </c>
      <c r="I5" s="731"/>
      <c r="L5" s="827">
        <f t="shared" ref="L5:L14" si="0">+C5</f>
        <v>42576</v>
      </c>
    </row>
    <row r="6" spans="1:12" x14ac:dyDescent="0.25">
      <c r="A6" s="814" t="s">
        <v>514</v>
      </c>
      <c r="B6" s="758">
        <v>3158503630</v>
      </c>
      <c r="C6" s="809">
        <v>2146</v>
      </c>
      <c r="D6" t="s">
        <v>516</v>
      </c>
      <c r="E6" s="802"/>
      <c r="H6" s="731">
        <f t="shared" ref="H6:H15" si="1">+C6</f>
        <v>2146</v>
      </c>
      <c r="I6" s="731"/>
      <c r="L6" s="827">
        <f t="shared" si="0"/>
        <v>2146</v>
      </c>
    </row>
    <row r="7" spans="1:12" x14ac:dyDescent="0.25">
      <c r="A7" s="814" t="s">
        <v>514</v>
      </c>
      <c r="B7" s="758">
        <v>956</v>
      </c>
      <c r="C7" s="809">
        <v>19200</v>
      </c>
      <c r="D7" t="s">
        <v>517</v>
      </c>
      <c r="E7" s="802"/>
      <c r="H7" s="731">
        <f t="shared" si="1"/>
        <v>19200</v>
      </c>
      <c r="I7" s="731"/>
      <c r="L7" s="827">
        <f t="shared" si="0"/>
        <v>19200</v>
      </c>
    </row>
    <row r="8" spans="1:12" x14ac:dyDescent="0.25">
      <c r="A8" s="814" t="s">
        <v>514</v>
      </c>
      <c r="B8" s="758">
        <v>2236379</v>
      </c>
      <c r="C8" s="809">
        <v>22560</v>
      </c>
      <c r="D8" t="s">
        <v>518</v>
      </c>
      <c r="E8" s="802"/>
      <c r="H8" s="731">
        <f t="shared" si="1"/>
        <v>22560</v>
      </c>
      <c r="L8" s="827">
        <f t="shared" si="0"/>
        <v>22560</v>
      </c>
    </row>
    <row r="9" spans="1:12" x14ac:dyDescent="0.25">
      <c r="A9" s="814" t="s">
        <v>514</v>
      </c>
      <c r="B9" s="758">
        <v>3160742199</v>
      </c>
      <c r="C9" s="809">
        <v>21127</v>
      </c>
      <c r="D9" t="s">
        <v>516</v>
      </c>
      <c r="E9" s="802"/>
      <c r="H9" s="731">
        <f t="shared" si="1"/>
        <v>21127</v>
      </c>
      <c r="L9" s="827">
        <f t="shared" si="0"/>
        <v>21127</v>
      </c>
    </row>
    <row r="10" spans="1:12" x14ac:dyDescent="0.25">
      <c r="A10" s="814" t="s">
        <v>514</v>
      </c>
      <c r="B10" s="758">
        <v>1718098</v>
      </c>
      <c r="C10" s="809">
        <v>30000</v>
      </c>
      <c r="D10" t="s">
        <v>519</v>
      </c>
      <c r="E10" s="802"/>
      <c r="H10" s="731">
        <f t="shared" si="1"/>
        <v>30000</v>
      </c>
      <c r="I10" s="731"/>
      <c r="L10" s="827">
        <f t="shared" si="0"/>
        <v>30000</v>
      </c>
    </row>
    <row r="11" spans="1:12" x14ac:dyDescent="0.25">
      <c r="A11" s="814" t="s">
        <v>514</v>
      </c>
      <c r="B11" s="758">
        <v>1721539</v>
      </c>
      <c r="C11" s="809">
        <v>20000</v>
      </c>
      <c r="D11" t="s">
        <v>519</v>
      </c>
      <c r="E11" s="802"/>
      <c r="H11" s="731">
        <f t="shared" si="1"/>
        <v>20000</v>
      </c>
      <c r="L11" s="827">
        <f t="shared" si="0"/>
        <v>20000</v>
      </c>
    </row>
    <row r="12" spans="1:12" x14ac:dyDescent="0.25">
      <c r="A12" s="814" t="s">
        <v>514</v>
      </c>
      <c r="B12" s="758">
        <v>3356012</v>
      </c>
      <c r="C12" s="809">
        <v>17060</v>
      </c>
      <c r="D12" t="s">
        <v>520</v>
      </c>
      <c r="E12" s="802"/>
      <c r="H12" s="731">
        <f t="shared" si="1"/>
        <v>17060</v>
      </c>
      <c r="L12" s="827">
        <f t="shared" si="0"/>
        <v>17060</v>
      </c>
    </row>
    <row r="13" spans="1:12" x14ac:dyDescent="0.25">
      <c r="A13" s="814" t="s">
        <v>514</v>
      </c>
      <c r="B13" s="758">
        <v>52557744</v>
      </c>
      <c r="C13" s="809">
        <v>5100</v>
      </c>
      <c r="D13" t="s">
        <v>520</v>
      </c>
      <c r="E13" s="802"/>
      <c r="H13" s="731">
        <f t="shared" si="1"/>
        <v>5100</v>
      </c>
      <c r="L13" s="827">
        <f t="shared" si="0"/>
        <v>5100</v>
      </c>
    </row>
    <row r="14" spans="1:12" x14ac:dyDescent="0.25">
      <c r="A14" s="814" t="s">
        <v>514</v>
      </c>
      <c r="B14" s="758">
        <v>52564010</v>
      </c>
      <c r="C14" s="810">
        <v>800</v>
      </c>
      <c r="D14" t="s">
        <v>520</v>
      </c>
      <c r="E14" s="802"/>
      <c r="H14" s="731">
        <f t="shared" si="1"/>
        <v>800</v>
      </c>
      <c r="L14" s="827">
        <f t="shared" si="0"/>
        <v>800</v>
      </c>
    </row>
    <row r="15" spans="1:12" x14ac:dyDescent="0.25">
      <c r="A15" s="815" t="s">
        <v>522</v>
      </c>
      <c r="B15" s="758">
        <v>955</v>
      </c>
      <c r="C15" s="804">
        <v>19200</v>
      </c>
      <c r="D15" t="s">
        <v>517</v>
      </c>
      <c r="E15" s="802"/>
      <c r="H15" s="731">
        <f t="shared" si="1"/>
        <v>19200</v>
      </c>
      <c r="L15" s="828">
        <f>SUM(L4:L14)</f>
        <v>280569</v>
      </c>
    </row>
    <row r="16" spans="1:12" x14ac:dyDescent="0.25">
      <c r="A16" s="815" t="s">
        <v>522</v>
      </c>
      <c r="B16" s="758">
        <v>1110</v>
      </c>
      <c r="C16" s="805">
        <v>126300</v>
      </c>
      <c r="D16" t="s">
        <v>523</v>
      </c>
      <c r="E16" s="823">
        <v>340000</v>
      </c>
      <c r="G16" s="731">
        <f>+C16</f>
        <v>126300</v>
      </c>
      <c r="H16" s="731">
        <f>+G16+E16</f>
        <v>466300</v>
      </c>
      <c r="L16" s="731"/>
    </row>
    <row r="17" spans="1:12" x14ac:dyDescent="0.25">
      <c r="A17" s="815" t="s">
        <v>522</v>
      </c>
      <c r="B17" s="758">
        <v>7247963</v>
      </c>
      <c r="C17" s="806">
        <v>5949</v>
      </c>
      <c r="D17" t="s">
        <v>516</v>
      </c>
      <c r="E17" s="802"/>
      <c r="H17" s="731">
        <f t="shared" ref="H17:H22" si="2">+C17</f>
        <v>5949</v>
      </c>
      <c r="L17" s="731"/>
    </row>
    <row r="18" spans="1:12" x14ac:dyDescent="0.25">
      <c r="A18" s="816" t="s">
        <v>524</v>
      </c>
      <c r="B18" s="758" t="s">
        <v>526</v>
      </c>
      <c r="C18" s="804">
        <v>40000</v>
      </c>
      <c r="D18" t="s">
        <v>519</v>
      </c>
      <c r="E18" s="802"/>
      <c r="H18" s="731">
        <f t="shared" si="2"/>
        <v>40000</v>
      </c>
      <c r="L18" s="731"/>
    </row>
    <row r="19" spans="1:12" x14ac:dyDescent="0.25">
      <c r="A19" s="816" t="s">
        <v>524</v>
      </c>
      <c r="B19" s="758" t="s">
        <v>526</v>
      </c>
      <c r="C19" s="806">
        <v>19433</v>
      </c>
      <c r="D19" t="s">
        <v>516</v>
      </c>
      <c r="E19" s="802"/>
      <c r="H19" s="731">
        <f t="shared" si="2"/>
        <v>19433</v>
      </c>
      <c r="L19" s="731"/>
    </row>
    <row r="20" spans="1:12" x14ac:dyDescent="0.25">
      <c r="A20" s="817" t="s">
        <v>525</v>
      </c>
      <c r="B20" s="758" t="s">
        <v>526</v>
      </c>
      <c r="C20" s="804">
        <v>2105</v>
      </c>
      <c r="D20" t="s">
        <v>516</v>
      </c>
      <c r="E20" s="802"/>
      <c r="H20" s="731">
        <f t="shared" si="2"/>
        <v>2105</v>
      </c>
      <c r="L20" s="731"/>
    </row>
    <row r="21" spans="1:12" x14ac:dyDescent="0.25">
      <c r="A21" s="817" t="s">
        <v>525</v>
      </c>
      <c r="B21" s="758" t="s">
        <v>526</v>
      </c>
      <c r="C21" s="806">
        <v>1100</v>
      </c>
      <c r="D21" t="s">
        <v>527</v>
      </c>
      <c r="E21" s="802"/>
      <c r="H21" s="731">
        <f t="shared" si="2"/>
        <v>1100</v>
      </c>
      <c r="L21" s="731"/>
    </row>
    <row r="22" spans="1:12" x14ac:dyDescent="0.25">
      <c r="A22" s="818" t="s">
        <v>528</v>
      </c>
      <c r="B22" s="758">
        <v>2384969</v>
      </c>
      <c r="C22" s="806">
        <v>15000</v>
      </c>
      <c r="D22" t="s">
        <v>519</v>
      </c>
      <c r="E22" s="802"/>
      <c r="H22" s="731">
        <f t="shared" si="2"/>
        <v>15000</v>
      </c>
      <c r="L22" s="731"/>
    </row>
    <row r="23" spans="1:12" x14ac:dyDescent="0.25">
      <c r="C23" s="736">
        <f>SUM(C15:C22)</f>
        <v>229087</v>
      </c>
      <c r="E23" s="802"/>
      <c r="H23" s="736">
        <f>SUM(H2:H22)</f>
        <v>1742736</v>
      </c>
      <c r="I23" s="802">
        <f>+CARTOLA!G22</f>
        <v>339000</v>
      </c>
      <c r="J23" s="812">
        <f>+H23-I23</f>
        <v>1403736</v>
      </c>
      <c r="L23" s="731"/>
    </row>
    <row r="24" spans="1:12" x14ac:dyDescent="0.25">
      <c r="I24" t="s">
        <v>530</v>
      </c>
    </row>
    <row r="26" spans="1:12" x14ac:dyDescent="0.25">
      <c r="H26" s="857">
        <f>+CARTOLA!G43+CARTOLA!G46</f>
        <v>1742936</v>
      </c>
    </row>
  </sheetData>
  <pageMargins left="0.7" right="0.7" top="0.75" bottom="0.75" header="0.3" footer="0.3"/>
  <pageSetup paperSize="9" orientation="portrait" r:id="rId1"/>
  <ignoredErrors>
    <ignoredError sqref="H16" formula="1"/>
    <ignoredError sqref="C23" formulaRange="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tabColor rgb="FF92D050"/>
  </sheetPr>
  <dimension ref="A1:Q45"/>
  <sheetViews>
    <sheetView showGridLines="0" workbookViewId="0">
      <pane ySplit="13" topLeftCell="A23" activePane="bottomLeft" state="frozen"/>
      <selection activeCell="L160" sqref="L160:M162"/>
      <selection pane="bottomLeft" activeCell="B32" sqref="B32"/>
    </sheetView>
  </sheetViews>
  <sheetFormatPr baseColWidth="10" defaultRowHeight="15" x14ac:dyDescent="0.25"/>
  <cols>
    <col min="1" max="1" width="4" style="19" bestFit="1" customWidth="1"/>
    <col min="2" max="2" width="9.7109375" style="19" customWidth="1"/>
    <col min="3" max="3" width="19.28515625" style="19" bestFit="1" customWidth="1"/>
    <col min="4" max="4" width="33.140625" style="19" bestFit="1" customWidth="1"/>
    <col min="5" max="8" width="13.7109375" style="26" customWidth="1"/>
    <col min="9" max="9" width="14.42578125" style="26" customWidth="1"/>
    <col min="10" max="10" width="13.7109375" style="19" customWidth="1"/>
    <col min="11" max="11" width="14" style="19" customWidth="1"/>
    <col min="12" max="12" width="13.7109375" style="19" customWidth="1"/>
    <col min="13" max="13" width="11.42578125" style="19"/>
    <col min="14" max="14" width="29.85546875" style="19" bestFit="1" customWidth="1"/>
    <col min="15" max="15" width="11.5703125" style="19" bestFit="1" customWidth="1"/>
    <col min="16" max="17" width="11.42578125" style="19"/>
    <col min="18" max="18" width="19.28515625" style="19" bestFit="1" customWidth="1"/>
    <col min="19" max="28" width="11.42578125" style="19"/>
    <col min="29" max="29" width="19.28515625" style="19" bestFit="1" customWidth="1"/>
    <col min="30" max="16384" width="11.42578125" style="19"/>
  </cols>
  <sheetData>
    <row r="1" spans="1:17" s="49" customFormat="1" x14ac:dyDescent="0.25">
      <c r="A1" s="54" t="s">
        <v>311</v>
      </c>
      <c r="B1" s="192" t="s">
        <v>133</v>
      </c>
      <c r="C1" s="192" t="s">
        <v>132</v>
      </c>
      <c r="D1" s="51" t="s">
        <v>85</v>
      </c>
      <c r="E1" s="51" t="s">
        <v>4</v>
      </c>
      <c r="F1" s="51" t="s">
        <v>61</v>
      </c>
      <c r="G1" s="51" t="s">
        <v>62</v>
      </c>
      <c r="H1" s="51" t="s">
        <v>63</v>
      </c>
      <c r="I1" s="51" t="s">
        <v>134</v>
      </c>
      <c r="J1" s="51" t="s">
        <v>65</v>
      </c>
      <c r="K1" s="51" t="s">
        <v>67</v>
      </c>
      <c r="L1" s="51" t="s">
        <v>28</v>
      </c>
    </row>
    <row r="2" spans="1:17" hidden="1" x14ac:dyDescent="0.25">
      <c r="A2" s="26">
        <f>+IF($A$12=0,"",+COUNTIF(Tabla5[CITACION],+Tabla3[[#This Row],[VIATICOS DE DIRECTORES ]]))</f>
        <v>0</v>
      </c>
      <c r="B2" s="31" t="str">
        <f t="shared" ref="B2:B9" si="0">IF(C2=0,"",+L2/C2)</f>
        <v/>
      </c>
      <c r="C2" s="32">
        <v>0</v>
      </c>
      <c r="D2" s="42" t="str">
        <f>+PLAN!B13</f>
        <v>ASAMBLEAS PLENARIAS ZOOM</v>
      </c>
      <c r="E2" s="34" t="s">
        <v>12</v>
      </c>
      <c r="F2" s="24">
        <f>+IF(Tabla3[[#This Row],[PLAN]]=0,0,+SUMIF(Tabla5[CITACION],+$D2,Tabla5[PASAJES]))</f>
        <v>0</v>
      </c>
      <c r="G2" s="24">
        <f>+IF(Tabla3[[#This Row],[PLAN]]=0,0,+SUMIF(Tabla5[CITACION],+$D2,Tabla5[COLACION]))</f>
        <v>0</v>
      </c>
      <c r="H2" s="24">
        <f>+IF(Tabla3[[#This Row],[PLAN]]=0,0,+SUMIF(Tabla5[CITACION],+$D2,Tabla5[METRO]))</f>
        <v>0</v>
      </c>
      <c r="I2" s="24">
        <f>+IF(Tabla3[[#This Row],[PLAN]]=0,0,+SUMIF(Tabla5[CITACION],+$D2,Tabla5[TAXI / COLEC]))</f>
        <v>0</v>
      </c>
      <c r="J2" s="24">
        <f>+IF(Tabla3[[#This Row],[PLAN]]=0,0,+SUMIF(Tabla5[CITACION],+$D2,Tabla5[HOTEL]))</f>
        <v>0</v>
      </c>
      <c r="K2" s="24">
        <f>+IF(Tabla3[[#This Row],[PLAN]]=0,0,+SUMIF(Tabla5[CITACION],+$D2,Tabla5[REEMBOLSO]))</f>
        <v>0</v>
      </c>
      <c r="L2" s="35">
        <f t="shared" ref="L2:L9" si="1">SUM(F2:K2)</f>
        <v>0</v>
      </c>
      <c r="M2" s="20"/>
      <c r="P2" s="20"/>
      <c r="Q2" s="21"/>
    </row>
    <row r="3" spans="1:17" x14ac:dyDescent="0.25">
      <c r="A3" s="26">
        <f>+IF($A$12=0,"",+COUNTIF(Tabla5[CITACION],+Tabla3[[#This Row],[VIATICOS DE DIRECTORES ]]))</f>
        <v>0</v>
      </c>
      <c r="B3" s="31">
        <f t="shared" si="0"/>
        <v>0</v>
      </c>
      <c r="C3" s="32">
        <f>+PLAN!H27</f>
        <v>120000</v>
      </c>
      <c r="D3" s="55" t="str">
        <f>+PLAN!B27</f>
        <v>PLENARIAS DIRECTOR S/SB</v>
      </c>
      <c r="E3" s="34" t="s">
        <v>15</v>
      </c>
      <c r="F3" s="24">
        <f>+IF(Tabla3[[#This Row],[PLAN]]=0,0,+SUMIF(Tabla5[CITACION],+$D3,Tabla5[PASAJES]))</f>
        <v>0</v>
      </c>
      <c r="G3" s="24">
        <f>+IF(Tabla3[[#This Row],[PLAN]]=0,0,+SUMIF(Tabla5[CITACION],+$D3,Tabla5[COLACION]))</f>
        <v>0</v>
      </c>
      <c r="H3" s="24">
        <f>+IF(Tabla3[[#This Row],[PLAN]]=0,0,+SUMIF(Tabla5[CITACION],+$D3,Tabla5[METRO]))</f>
        <v>0</v>
      </c>
      <c r="I3" s="24">
        <f>+IF(Tabla3[[#This Row],[PLAN]]=0,0,+SUMIF(Tabla5[CITACION],+$D3,Tabla5[TAXI / COLEC]))</f>
        <v>0</v>
      </c>
      <c r="J3" s="24">
        <f>+IF(Tabla3[[#This Row],[PLAN]]=0,0,+SUMIF(Tabla5[CITACION],+$D3,Tabla5[HOTEL]))</f>
        <v>0</v>
      </c>
      <c r="K3" s="24">
        <f>+IF(Tabla3[[#This Row],[PLAN]]=0,0,+SUMIF(Tabla5[CITACION],+$D3,Tabla5[REEMBOLSO]))</f>
        <v>0</v>
      </c>
      <c r="L3" s="35">
        <f t="shared" si="1"/>
        <v>0</v>
      </c>
      <c r="M3" s="20"/>
      <c r="P3" s="20"/>
      <c r="Q3" s="21"/>
    </row>
    <row r="4" spans="1:17" x14ac:dyDescent="0.25">
      <c r="A4" s="26">
        <f>+IF($A$12=0,"",+COUNTIF(Tabla5[CITACION],+Tabla3[[#This Row],[VIATICOS DE DIRECTORES ]]))</f>
        <v>16</v>
      </c>
      <c r="B4" s="31">
        <f t="shared" si="0"/>
        <v>0.9190166666666667</v>
      </c>
      <c r="C4" s="32">
        <f>+PLAN!H25</f>
        <v>960000</v>
      </c>
      <c r="D4" s="55" t="str">
        <f>+PLAN!B15</f>
        <v>REUNION EJECUTIVO PRESENCIAL</v>
      </c>
      <c r="E4" s="34" t="s">
        <v>15</v>
      </c>
      <c r="F4" s="24">
        <f>+IF(Tabla3[[#This Row],[PLAN]]=0,0,+SUMIF(Tabla5[CITACION],+$D4,Tabla5[PASAJES]))</f>
        <v>327160</v>
      </c>
      <c r="G4" s="24">
        <f>+IF(Tabla3[[#This Row],[PLAN]]=0,0,+SUMIF(Tabla5[CITACION],+$D4,Tabla5[COLACION]))</f>
        <v>207210</v>
      </c>
      <c r="H4" s="24">
        <f>+IF(Tabla3[[#This Row],[PLAN]]=0,0,+SUMIF(Tabla5[CITACION],+$D4,Tabla5[METRO]))</f>
        <v>16000</v>
      </c>
      <c r="I4" s="24">
        <f>+IF(Tabla3[[#This Row],[PLAN]]=0,0,+SUMIF(Tabla5[CITACION],+$D4,Tabla5[TAXI / COLEC]))</f>
        <v>34990</v>
      </c>
      <c r="J4" s="24">
        <f>+IF(Tabla3[[#This Row],[PLAN]]=0,0,+SUMIF(Tabla5[CITACION],+$D4,Tabla5[HOTEL]))</f>
        <v>0</v>
      </c>
      <c r="K4" s="24">
        <f>+IF(Tabla3[[#This Row],[PLAN]]=0,0,+SUMIF(Tabla5[CITACION],+$D4,Tabla5[REEMBOLSO]))</f>
        <v>296896</v>
      </c>
      <c r="L4" s="35">
        <f t="shared" si="1"/>
        <v>882256</v>
      </c>
      <c r="M4" s="20"/>
      <c r="P4" s="20"/>
      <c r="Q4" s="21"/>
    </row>
    <row r="5" spans="1:17" hidden="1" x14ac:dyDescent="0.25">
      <c r="A5" s="26">
        <f>+IF($A$12=0,"",+COUNTIF(Tabla5[CITACION],+Tabla3[[#This Row],[VIATICOS DE DIRECTORES ]]))</f>
        <v>0</v>
      </c>
      <c r="B5" s="31" t="str">
        <f t="shared" si="0"/>
        <v/>
      </c>
      <c r="C5" s="32">
        <v>0</v>
      </c>
      <c r="D5" s="42" t="str">
        <f>+PLAN!B14</f>
        <v>REUNIONES DIRECTORIO ZOOM (2H)</v>
      </c>
      <c r="E5" s="34" t="s">
        <v>12</v>
      </c>
      <c r="F5" s="24">
        <f>+IF(Tabla3[[#This Row],[PLAN]]=0,0,+SUMIF(Tabla5[CITACION],+$D5,Tabla5[PASAJES]))</f>
        <v>0</v>
      </c>
      <c r="G5" s="24">
        <f>+IF(Tabla3[[#This Row],[PLAN]]=0,0,+SUMIF(Tabla5[CITACION],+$D5,Tabla5[COLACION]))</f>
        <v>0</v>
      </c>
      <c r="H5" s="24">
        <f>+IF(Tabla3[[#This Row],[PLAN]]=0,0,+SUMIF(Tabla5[CITACION],+$D5,Tabla5[METRO]))</f>
        <v>0</v>
      </c>
      <c r="I5" s="24">
        <f>+IF(Tabla3[[#This Row],[PLAN]]=0,0,+SUMIF(Tabla5[CITACION],+$D5,Tabla5[TAXI / COLEC]))</f>
        <v>0</v>
      </c>
      <c r="J5" s="24">
        <f>+IF(Tabla3[[#This Row],[PLAN]]=0,0,+SUMIF(Tabla5[CITACION],+$D5,Tabla5[HOTEL]))</f>
        <v>0</v>
      </c>
      <c r="K5" s="24">
        <f>+IF(Tabla3[[#This Row],[PLAN]]=0,0,+SUMIF(Tabla5[CITACION],+$D5,Tabla5[REEMBOLSO]))</f>
        <v>0</v>
      </c>
      <c r="L5" s="35">
        <f t="shared" si="1"/>
        <v>0</v>
      </c>
      <c r="M5" s="20"/>
      <c r="P5" s="20"/>
      <c r="Q5" s="21"/>
    </row>
    <row r="6" spans="1:17" x14ac:dyDescent="0.25">
      <c r="A6" s="26">
        <f>+IF($A$12=0,"",+COUNTIF(Tabla5[CITACION],+Tabla3[[#This Row],[VIATICOS DE DIRECTORES ]]))</f>
        <v>1</v>
      </c>
      <c r="B6" s="31">
        <f t="shared" si="0"/>
        <v>0.40335625000000003</v>
      </c>
      <c r="C6" s="32">
        <f>+PLAN!H26</f>
        <v>160000</v>
      </c>
      <c r="D6" s="55" t="str">
        <f>+PLAN!B17</f>
        <v>REUNIONES ESPECIALES</v>
      </c>
      <c r="E6" s="34" t="s">
        <v>15</v>
      </c>
      <c r="F6" s="24">
        <f>+IF(Tabla3[[#This Row],[PLAN]]=0,0,+SUMIF(Tabla5[CITACION],+$D6,Tabla5[PASAJES]))</f>
        <v>38000</v>
      </c>
      <c r="G6" s="24">
        <f>+IF(Tabla3[[#This Row],[PLAN]]=0,0,+SUMIF(Tabla5[CITACION],+$D6,Tabla5[COLACION]))</f>
        <v>17900</v>
      </c>
      <c r="H6" s="24">
        <f>+IF(Tabla3[[#This Row],[PLAN]]=0,0,+SUMIF(Tabla5[CITACION],+$D6,Tabla5[METRO]))</f>
        <v>4000</v>
      </c>
      <c r="I6" s="24">
        <f>+IF(Tabla3[[#This Row],[PLAN]]=0,0,+SUMIF(Tabla5[CITACION],+$D6,Tabla5[TAXI / COLEC]))</f>
        <v>4037</v>
      </c>
      <c r="J6" s="24">
        <f>+IF(Tabla3[[#This Row],[PLAN]]=0,0,+SUMIF(Tabla5[CITACION],+$D6,Tabla5[HOTEL]))</f>
        <v>600</v>
      </c>
      <c r="K6" s="24">
        <f>+IF(Tabla3[[#This Row],[PLAN]]=0,0,+SUMIF(Tabla5[CITACION],+$D6,Tabla5[REEMBOLSO]))</f>
        <v>0</v>
      </c>
      <c r="L6" s="35">
        <f t="shared" si="1"/>
        <v>64537</v>
      </c>
      <c r="M6" s="20"/>
      <c r="P6" s="20"/>
      <c r="Q6" s="21"/>
    </row>
    <row r="7" spans="1:17" hidden="1" x14ac:dyDescent="0.25">
      <c r="A7" s="26">
        <f>+IF($A$12=0,"",+COUNTIF(Tabla5[CITACION],+Tabla3[[#This Row],[VIATICOS DE DIRECTORES ]]))</f>
        <v>0</v>
      </c>
      <c r="B7" s="31" t="str">
        <f t="shared" si="0"/>
        <v/>
      </c>
      <c r="C7" s="32">
        <v>0</v>
      </c>
      <c r="D7" s="42" t="str">
        <f>+PLAN!B16</f>
        <v>REUNIONES ZOOM (2 HR)</v>
      </c>
      <c r="E7" s="30" t="s">
        <v>12</v>
      </c>
      <c r="F7" s="24">
        <f>+IF(Tabla3[[#This Row],[PLAN]]=0,0,+SUMIF(Tabla5[CITACION],+$D7,Tabla5[PASAJES]))</f>
        <v>0</v>
      </c>
      <c r="G7" s="24">
        <f>+IF(Tabla3[[#This Row],[PLAN]]=0,0,+SUMIF(Tabla5[CITACION],+$D7,Tabla5[COLACION]))</f>
        <v>0</v>
      </c>
      <c r="H7" s="24">
        <f>+IF(Tabla3[[#This Row],[PLAN]]=0,0,+SUMIF(Tabla5[CITACION],+$D7,Tabla5[METRO]))</f>
        <v>0</v>
      </c>
      <c r="I7" s="24">
        <f>+IF(Tabla3[[#This Row],[PLAN]]=0,0,+SUMIF(Tabla5[CITACION],+$D7,Tabla5[TAXI / COLEC]))</f>
        <v>0</v>
      </c>
      <c r="J7" s="24">
        <f>+IF(Tabla3[[#This Row],[PLAN]]=0,0,+SUMIF(Tabla5[CITACION],+$D7,Tabla5[HOTEL]))</f>
        <v>0</v>
      </c>
      <c r="K7" s="24">
        <f>+IF(Tabla3[[#This Row],[PLAN]]=0,0,+SUMIF(Tabla5[CITACION],+$D7,Tabla5[REEMBOLSO]))</f>
        <v>0</v>
      </c>
      <c r="L7" s="35">
        <f t="shared" si="1"/>
        <v>0</v>
      </c>
      <c r="M7" s="20"/>
      <c r="P7" s="20"/>
      <c r="Q7" s="21"/>
    </row>
    <row r="8" spans="1:17" hidden="1" x14ac:dyDescent="0.25">
      <c r="A8" s="26">
        <f>+IF($A$12=0,"",+COUNTIF(Tabla5[CITACION],+Tabla3[[#This Row],[VIATICOS DE DIRECTORES ]]))</f>
        <v>0</v>
      </c>
      <c r="B8" s="31" t="str">
        <f t="shared" si="0"/>
        <v/>
      </c>
      <c r="C8" s="32">
        <f>+PLAN!H28</f>
        <v>0</v>
      </c>
      <c r="D8" s="42" t="str">
        <f>+PLAN!B19</f>
        <v>VISITAS ZONA NORTE ZOOM</v>
      </c>
      <c r="E8" s="30" t="s">
        <v>12</v>
      </c>
      <c r="F8" s="24">
        <f>+IF(Tabla3[[#This Row],[PLAN]]=0,0,+SUMIF(Tabla5[CITACION],+$D8,Tabla5[PASAJES]))</f>
        <v>0</v>
      </c>
      <c r="G8" s="24">
        <f>+IF(Tabla3[[#This Row],[PLAN]]=0,0,+SUMIF(Tabla5[CITACION],+$D8,Tabla5[COLACION]))</f>
        <v>0</v>
      </c>
      <c r="H8" s="24">
        <f>+IF(Tabla3[[#This Row],[PLAN]]=0,0,+SUMIF(Tabla5[CITACION],+$D8,Tabla5[METRO]))</f>
        <v>0</v>
      </c>
      <c r="I8" s="24">
        <f>+IF(Tabla3[[#This Row],[PLAN]]=0,0,+SUMIF(Tabla5[CITACION],+$D8,Tabla5[TAXI / COLEC]))</f>
        <v>0</v>
      </c>
      <c r="J8" s="24">
        <f>+IF(Tabla3[[#This Row],[PLAN]]=0,0,+SUMIF(Tabla5[CITACION],+$D8,Tabla5[HOTEL]))</f>
        <v>0</v>
      </c>
      <c r="K8" s="24">
        <f>+IF(Tabla3[[#This Row],[PLAN]]=0,0,+SUMIF(Tabla5[CITACION],+$D8,Tabla5[REEMBOLSO]))</f>
        <v>0</v>
      </c>
      <c r="L8" s="35">
        <f t="shared" si="1"/>
        <v>0</v>
      </c>
      <c r="M8" s="20"/>
      <c r="P8" s="20"/>
      <c r="Q8" s="21"/>
    </row>
    <row r="9" spans="1:17" hidden="1" x14ac:dyDescent="0.25">
      <c r="A9" s="26">
        <f>+IF($A$12=0,"",+COUNTIF(Tabla5[CITACION],+Tabla3[[#This Row],[VIATICOS DE DIRECTORES ]]))</f>
        <v>0</v>
      </c>
      <c r="B9" s="31" t="str">
        <f t="shared" si="0"/>
        <v/>
      </c>
      <c r="C9" s="32">
        <f>+PLAN!H29</f>
        <v>0</v>
      </c>
      <c r="D9" s="42" t="str">
        <f>+PLAN!B20</f>
        <v xml:space="preserve">VISITAS ZONA SUR ZOOM </v>
      </c>
      <c r="E9" s="30" t="s">
        <v>12</v>
      </c>
      <c r="F9" s="24">
        <f>+IF(Tabla3[[#This Row],[PLAN]]=0,0,+SUMIF(Tabla5[CITACION],+$D9,Tabla5[PASAJES]))</f>
        <v>0</v>
      </c>
      <c r="G9" s="24">
        <f>+IF(Tabla3[[#This Row],[PLAN]]=0,0,+SUMIF(Tabla5[CITACION],+$D9,Tabla5[COLACION]))</f>
        <v>0</v>
      </c>
      <c r="H9" s="24">
        <f>+IF(Tabla3[[#This Row],[PLAN]]=0,0,+SUMIF(Tabla5[CITACION],+$D9,Tabla5[METRO]))</f>
        <v>0</v>
      </c>
      <c r="I9" s="24">
        <f>+IF(Tabla3[[#This Row],[PLAN]]=0,0,+SUMIF(Tabla5[CITACION],+$D9,Tabla5[TAXI / COLEC]))</f>
        <v>0</v>
      </c>
      <c r="J9" s="24">
        <f>+IF(Tabla3[[#This Row],[PLAN]]=0,0,+SUMIF(Tabla5[CITACION],+$D9,Tabla5[HOTEL]))</f>
        <v>0</v>
      </c>
      <c r="K9" s="24">
        <f>+IF(Tabla3[[#This Row],[PLAN]]=0,0,+SUMIF(Tabla5[CITACION],+$D9,Tabla5[REEMBOLSO]))</f>
        <v>0</v>
      </c>
      <c r="L9" s="35">
        <f t="shared" si="1"/>
        <v>0</v>
      </c>
      <c r="M9" s="20"/>
      <c r="P9" s="20"/>
      <c r="Q9" s="21"/>
    </row>
    <row r="10" spans="1:17" x14ac:dyDescent="0.25">
      <c r="A10" s="26">
        <f>+IF(A12=0,"",+A12)</f>
        <v>17</v>
      </c>
      <c r="B10" s="20"/>
      <c r="C10" s="22">
        <f>SUM(C2:C9)</f>
        <v>1240000</v>
      </c>
      <c r="D10" s="23"/>
      <c r="E10" s="23"/>
      <c r="F10" s="24">
        <f>SUBTOTAL(109,Tabla3[PASAJES])</f>
        <v>365160</v>
      </c>
      <c r="G10" s="24">
        <f>SUBTOTAL(109,Tabla3[COLACION])</f>
        <v>225110</v>
      </c>
      <c r="H10" s="24">
        <f>SUBTOTAL(109,Tabla3[METRO])</f>
        <v>20000</v>
      </c>
      <c r="I10" s="24">
        <f>SUBTOTAL(109,Tabla3[TAXI / COLEC])</f>
        <v>39027</v>
      </c>
      <c r="J10" s="24">
        <f>SUBTOTAL(109,Tabla3[HOTEL])</f>
        <v>600</v>
      </c>
      <c r="K10" s="24">
        <f>SUBTOTAL(109,Tabla3[REEMBOLSO])</f>
        <v>296896</v>
      </c>
      <c r="L10" s="24">
        <f>SUM(F2:K9)</f>
        <v>946793</v>
      </c>
    </row>
    <row r="11" spans="1:17" x14ac:dyDescent="0.25">
      <c r="A11" s="25"/>
      <c r="D11" s="23"/>
      <c r="E11" s="23"/>
      <c r="F11" s="24"/>
      <c r="G11" s="24"/>
      <c r="H11" s="24"/>
      <c r="I11" s="24"/>
      <c r="J11" s="24"/>
      <c r="K11" s="24"/>
    </row>
    <row r="12" spans="1:17" x14ac:dyDescent="0.25">
      <c r="A12" s="52">
        <f>+Tabla5[[#Totals],[CITACION]]</f>
        <v>17</v>
      </c>
      <c r="B12" s="44" t="str">
        <f>+Tabla5[[#Totals],[FECHA]]</f>
        <v>Total</v>
      </c>
      <c r="C12" s="44"/>
      <c r="E12" s="44"/>
      <c r="F12" s="53">
        <f>+Tabla5[[#Totals],[PASAJES]]</f>
        <v>365160</v>
      </c>
      <c r="G12" s="53">
        <f>+Tabla5[[#Totals],[COLACION]]</f>
        <v>225110</v>
      </c>
      <c r="H12" s="53">
        <f>+Tabla5[[#Totals],[METRO]]</f>
        <v>20000</v>
      </c>
      <c r="I12" s="53">
        <f>+Tabla5[[#Totals],[TAXI / COLEC]]</f>
        <v>39027</v>
      </c>
      <c r="J12" s="53">
        <f>+Tabla5[[#Totals],[HOTEL]]</f>
        <v>600</v>
      </c>
      <c r="K12" s="53">
        <f>+Tabla5[[#Totals],[REEMBOLSO]]</f>
        <v>296896</v>
      </c>
      <c r="L12" s="53">
        <f>+Tabla5[[#Totals],[TOTAL]]</f>
        <v>946793</v>
      </c>
    </row>
    <row r="13" spans="1:17" s="49" customFormat="1" x14ac:dyDescent="0.25">
      <c r="B13" s="46" t="s">
        <v>0</v>
      </c>
      <c r="C13" s="46" t="s">
        <v>124</v>
      </c>
      <c r="D13" s="46" t="s">
        <v>3</v>
      </c>
      <c r="E13" s="46" t="s">
        <v>4</v>
      </c>
      <c r="F13" s="46" t="s">
        <v>61</v>
      </c>
      <c r="G13" s="46" t="s">
        <v>62</v>
      </c>
      <c r="H13" s="46" t="s">
        <v>63</v>
      </c>
      <c r="I13" s="50" t="s">
        <v>134</v>
      </c>
      <c r="J13" s="46" t="s">
        <v>65</v>
      </c>
      <c r="K13" s="51" t="s">
        <v>67</v>
      </c>
      <c r="L13" s="46" t="s">
        <v>28</v>
      </c>
      <c r="N13" s="27" t="s">
        <v>104</v>
      </c>
      <c r="O13" s="293" t="s">
        <v>335</v>
      </c>
    </row>
    <row r="14" spans="1:17" x14ac:dyDescent="0.25">
      <c r="B14" s="746">
        <v>45736</v>
      </c>
      <c r="C14" s="747" t="s">
        <v>138</v>
      </c>
      <c r="D14" s="748" t="s">
        <v>18</v>
      </c>
      <c r="E14" s="749" t="str">
        <f>+IF(D14&lt;&gt;"",+LOOKUP(D14,$D$2:$D$9,$E$2:$E$9),"-")</f>
        <v>PRESENCIAL</v>
      </c>
      <c r="F14" s="750">
        <v>38000</v>
      </c>
      <c r="G14" s="750">
        <v>17900</v>
      </c>
      <c r="H14" s="750">
        <v>4000</v>
      </c>
      <c r="I14" s="750">
        <v>4037</v>
      </c>
      <c r="J14" s="750">
        <v>600</v>
      </c>
      <c r="K14" s="750"/>
      <c r="L14" s="751">
        <f>SUM(F14:K14)</f>
        <v>64537</v>
      </c>
      <c r="N14" s="28" t="str">
        <f>+PLAN!B104</f>
        <v>RICHARD TOLOZA</v>
      </c>
      <c r="O14" s="232">
        <f>+SUMIF(Tabla5[NOMBRE],Tabla7[[#This Row],[DIRECTORES]],Tabla5[TOTAL])</f>
        <v>383494</v>
      </c>
    </row>
    <row r="15" spans="1:17" x14ac:dyDescent="0.25">
      <c r="B15" s="746">
        <v>45748</v>
      </c>
      <c r="C15" s="747" t="s">
        <v>138</v>
      </c>
      <c r="D15" s="748" t="s">
        <v>16</v>
      </c>
      <c r="E15" s="749" t="str">
        <f>+IF(D15&lt;&gt;"",+LOOKUP(D15,$D$2:$D$9,$E$2:$E$9),"-")</f>
        <v>PRESENCIAL</v>
      </c>
      <c r="F15" s="750">
        <v>0</v>
      </c>
      <c r="G15" s="750">
        <v>0</v>
      </c>
      <c r="H15" s="750">
        <v>0</v>
      </c>
      <c r="I15" s="750">
        <v>0</v>
      </c>
      <c r="J15" s="750">
        <v>0</v>
      </c>
      <c r="K15" s="750">
        <f>4000+32000+35830</f>
        <v>71830</v>
      </c>
      <c r="L15" s="751">
        <f>SUM(F15:K15)</f>
        <v>71830</v>
      </c>
      <c r="N15" s="28" t="str">
        <f>+PLAN!B105</f>
        <v>FELIPE SALAZAR</v>
      </c>
      <c r="O15" s="232">
        <f>+SUMIF(Tabla5[NOMBRE],Tabla7[[#This Row],[DIRECTORES]],Tabla5[TOTAL])</f>
        <v>304659</v>
      </c>
    </row>
    <row r="16" spans="1:17" x14ac:dyDescent="0.25">
      <c r="B16" s="746">
        <v>45748</v>
      </c>
      <c r="C16" s="747" t="s">
        <v>137</v>
      </c>
      <c r="D16" s="748" t="s">
        <v>16</v>
      </c>
      <c r="E16" s="749" t="str">
        <f>+IF(D16&lt;&gt;"",+LOOKUP(D16,$D$2:$D$9,$E$2:$E$9),"-")</f>
        <v>PRESENCIAL</v>
      </c>
      <c r="F16" s="750">
        <f>12900+10000</f>
        <v>22900</v>
      </c>
      <c r="G16" s="750">
        <v>5500</v>
      </c>
      <c r="H16" s="750">
        <v>0</v>
      </c>
      <c r="I16" s="750">
        <v>1000</v>
      </c>
      <c r="J16" s="750">
        <v>0</v>
      </c>
      <c r="K16" s="750">
        <v>0</v>
      </c>
      <c r="L16" s="751">
        <f>SUM(F16:K16)</f>
        <v>29400</v>
      </c>
      <c r="N16" s="28" t="str">
        <f>+PLAN!B106</f>
        <v>CHRISTIAN TORRES</v>
      </c>
      <c r="O16" s="232">
        <f>+SUMIF(Tabla5[NOMBRE],Tabla7[[#This Row],[DIRECTORES]],Tabla5[TOTAL])</f>
        <v>59980</v>
      </c>
    </row>
    <row r="17" spans="2:15" x14ac:dyDescent="0.25">
      <c r="B17" s="746">
        <v>45748</v>
      </c>
      <c r="C17" s="747" t="s">
        <v>206</v>
      </c>
      <c r="D17" s="748" t="s">
        <v>16</v>
      </c>
      <c r="E17" s="749" t="str">
        <f>+IF(D17&lt;&gt;"",+LOOKUP(D17,$D$2:$D$9,$E$2:$E$9),"-")</f>
        <v>PRESENCIAL</v>
      </c>
      <c r="F17" s="750">
        <f>20900+8000+3800+3000+1500*3</f>
        <v>40200</v>
      </c>
      <c r="G17" s="750">
        <v>0</v>
      </c>
      <c r="H17" s="750">
        <v>0</v>
      </c>
      <c r="I17" s="750">
        <v>0</v>
      </c>
      <c r="J17" s="750">
        <v>0</v>
      </c>
      <c r="K17" s="750">
        <v>0</v>
      </c>
      <c r="L17" s="751">
        <f>SUM(F17:K17)</f>
        <v>40200</v>
      </c>
      <c r="N17" s="28" t="str">
        <f>+PLAN!B107</f>
        <v>ALEJANDRA BECERRA</v>
      </c>
      <c r="O17" s="232">
        <f>+SUMIF(Tabla5[NOMBRE],Tabla7[[#This Row],[DIRECTORES]],Tabla5[TOTAL])</f>
        <v>0</v>
      </c>
    </row>
    <row r="18" spans="2:15" x14ac:dyDescent="0.25">
      <c r="B18" s="752">
        <v>45748</v>
      </c>
      <c r="C18" s="747" t="s">
        <v>350</v>
      </c>
      <c r="D18" s="747" t="s">
        <v>16</v>
      </c>
      <c r="E18" s="753" t="str">
        <f t="shared" ref="E18:E38" si="2">+IF(D18&lt;&gt;"",+LOOKUP(D18,$D$2:$D$9,$E$2:$E$9),"-")</f>
        <v>PRESENCIAL</v>
      </c>
      <c r="F18" s="750">
        <v>0</v>
      </c>
      <c r="G18" s="750">
        <v>0</v>
      </c>
      <c r="H18" s="750">
        <v>0</v>
      </c>
      <c r="I18" s="750">
        <v>0</v>
      </c>
      <c r="J18" s="750">
        <v>0</v>
      </c>
      <c r="K18" s="750">
        <f>15006</f>
        <v>15006</v>
      </c>
      <c r="L18" s="754">
        <f t="shared" ref="L18:L31" si="3">SUM(F18:K18)</f>
        <v>15006</v>
      </c>
      <c r="N18" s="28" t="str">
        <f>+PLAN!B108</f>
        <v xml:space="preserve">PATRICIO BUSTOS </v>
      </c>
      <c r="O18" s="232">
        <f>+SUMIF(Tabla5[NOMBRE],Tabla7[[#This Row],[DIRECTORES]],Tabla5[TOTAL])</f>
        <v>186660</v>
      </c>
    </row>
    <row r="19" spans="2:15" x14ac:dyDescent="0.25">
      <c r="B19" s="752">
        <v>45775</v>
      </c>
      <c r="C19" s="747" t="s">
        <v>206</v>
      </c>
      <c r="D19" s="747" t="s">
        <v>16</v>
      </c>
      <c r="E19" s="753" t="str">
        <f t="shared" si="2"/>
        <v>PRESENCIAL</v>
      </c>
      <c r="F19" s="750">
        <v>0</v>
      </c>
      <c r="G19" s="750">
        <v>0</v>
      </c>
      <c r="H19" s="750">
        <v>0</v>
      </c>
      <c r="I19" s="750">
        <v>0</v>
      </c>
      <c r="J19" s="750">
        <v>0</v>
      </c>
      <c r="K19" s="750">
        <v>0</v>
      </c>
      <c r="L19" s="754">
        <f t="shared" si="3"/>
        <v>0</v>
      </c>
      <c r="N19" s="28" t="str">
        <f>+PLAN!B109</f>
        <v>ANDREA DIAZ</v>
      </c>
      <c r="O19" s="232">
        <f>+SUMIF(Tabla5[NOMBRE],Tabla7[[#This Row],[DIRECTORES]],Tabla5[TOTAL])</f>
        <v>12000</v>
      </c>
    </row>
    <row r="20" spans="2:15" x14ac:dyDescent="0.25">
      <c r="B20" s="752">
        <v>45775</v>
      </c>
      <c r="C20" s="747" t="s">
        <v>350</v>
      </c>
      <c r="D20" s="747" t="s">
        <v>16</v>
      </c>
      <c r="E20" s="753" t="str">
        <f t="shared" si="2"/>
        <v>PRESENCIAL</v>
      </c>
      <c r="F20" s="750">
        <f>22050+20470</f>
        <v>42520</v>
      </c>
      <c r="G20" s="750">
        <f>3600+29050</f>
        <v>32650</v>
      </c>
      <c r="H20" s="750">
        <v>3000</v>
      </c>
      <c r="I20" s="750">
        <f>4018+5002</f>
        <v>9020</v>
      </c>
      <c r="J20" s="750">
        <v>0</v>
      </c>
      <c r="K20" s="750">
        <v>65000</v>
      </c>
      <c r="L20" s="754">
        <f t="shared" si="3"/>
        <v>152190</v>
      </c>
      <c r="N20" s="28" t="str">
        <f>+PLAN!B110</f>
        <v>CLAUDIA VILLAGRAN</v>
      </c>
      <c r="O20" s="232">
        <f>+SUMIF(Tabla5[NOMBRE],Tabla7[[#This Row],[DIRECTORES]],Tabla5[TOTAL])</f>
        <v>0</v>
      </c>
    </row>
    <row r="21" spans="2:15" x14ac:dyDescent="0.25">
      <c r="B21" s="752">
        <v>45775</v>
      </c>
      <c r="C21" s="747" t="s">
        <v>138</v>
      </c>
      <c r="D21" s="747" t="s">
        <v>16</v>
      </c>
      <c r="E21" s="753" t="str">
        <f t="shared" si="2"/>
        <v>PRESENCIAL</v>
      </c>
      <c r="F21" s="750">
        <f>22050+21520</f>
        <v>43570</v>
      </c>
      <c r="G21" s="750">
        <f>7780</f>
        <v>7780</v>
      </c>
      <c r="H21" s="750">
        <v>0</v>
      </c>
      <c r="I21" s="750">
        <v>6976</v>
      </c>
      <c r="J21" s="750">
        <v>0</v>
      </c>
      <c r="K21" s="750">
        <f>23100+27800</f>
        <v>50900</v>
      </c>
      <c r="L21" s="754">
        <f t="shared" si="3"/>
        <v>109226</v>
      </c>
      <c r="N21" s="28" t="str">
        <f>+PLAN!B111</f>
        <v>JORGE YAÑEZ</v>
      </c>
      <c r="O21" s="232">
        <f>+SUMIF(Tabla5[NOMBRE],Tabla7[[#This Row],[DIRECTORES]],Tabla5[TOTAL])</f>
        <v>0</v>
      </c>
    </row>
    <row r="22" spans="2:15" x14ac:dyDescent="0.25">
      <c r="B22" s="746">
        <v>45803</v>
      </c>
      <c r="C22" s="748" t="s">
        <v>206</v>
      </c>
      <c r="D22" s="748" t="s">
        <v>16</v>
      </c>
      <c r="E22" s="749" t="str">
        <f t="shared" si="2"/>
        <v>PRESENCIAL</v>
      </c>
      <c r="F22" s="750">
        <f>13000+15000</f>
        <v>28000</v>
      </c>
      <c r="G22" s="750">
        <v>0</v>
      </c>
      <c r="H22" s="750">
        <v>3000</v>
      </c>
      <c r="I22" s="750">
        <v>0</v>
      </c>
      <c r="J22" s="750">
        <v>0</v>
      </c>
      <c r="K22" s="750">
        <v>74470</v>
      </c>
      <c r="L22" s="751">
        <f t="shared" si="3"/>
        <v>105470</v>
      </c>
      <c r="N22" s="28" t="str">
        <f>+PLAN!B112</f>
        <v>EUGENIA ORTIZ</v>
      </c>
      <c r="O22" s="232">
        <f>+SUMIF(Tabla5[NOMBRE],Tabla7[[#This Row],[DIRECTORES]],Tabla5[TOTAL])</f>
        <v>0</v>
      </c>
    </row>
    <row r="23" spans="2:15" x14ac:dyDescent="0.25">
      <c r="B23" s="746">
        <v>45803</v>
      </c>
      <c r="C23" s="748" t="s">
        <v>138</v>
      </c>
      <c r="D23" s="748" t="s">
        <v>16</v>
      </c>
      <c r="E23" s="749" t="str">
        <f t="shared" si="2"/>
        <v>PRESENCIAL</v>
      </c>
      <c r="F23" s="750">
        <v>39370</v>
      </c>
      <c r="G23" s="750">
        <v>15160</v>
      </c>
      <c r="H23" s="750">
        <v>2000</v>
      </c>
      <c r="I23" s="750">
        <v>5296</v>
      </c>
      <c r="J23" s="750">
        <v>0</v>
      </c>
      <c r="K23" s="750">
        <v>600</v>
      </c>
      <c r="L23" s="751">
        <f t="shared" si="3"/>
        <v>62426</v>
      </c>
    </row>
    <row r="24" spans="2:15" x14ac:dyDescent="0.25">
      <c r="B24" s="746">
        <v>45803</v>
      </c>
      <c r="C24" s="748" t="s">
        <v>350</v>
      </c>
      <c r="D24" s="748" t="s">
        <v>16</v>
      </c>
      <c r="E24" s="749" t="str">
        <f t="shared" si="2"/>
        <v>PRESENCIAL</v>
      </c>
      <c r="F24" s="750">
        <v>0</v>
      </c>
      <c r="G24" s="750">
        <v>0</v>
      </c>
      <c r="H24" s="750">
        <v>0</v>
      </c>
      <c r="I24" s="750">
        <v>0</v>
      </c>
      <c r="J24" s="750">
        <v>0</v>
      </c>
      <c r="K24" s="750"/>
      <c r="L24" s="751">
        <f>SUM(F24:K24)</f>
        <v>0</v>
      </c>
    </row>
    <row r="25" spans="2:15" x14ac:dyDescent="0.25">
      <c r="B25" s="746">
        <v>45803</v>
      </c>
      <c r="C25" s="748" t="s">
        <v>137</v>
      </c>
      <c r="D25" s="748" t="s">
        <v>16</v>
      </c>
      <c r="E25" s="749" t="str">
        <f t="shared" si="2"/>
        <v>PRESENCIAL</v>
      </c>
      <c r="F25" s="750">
        <f>6600+6000</f>
        <v>12600</v>
      </c>
      <c r="G25" s="750">
        <v>2990</v>
      </c>
      <c r="H25" s="750">
        <v>3000</v>
      </c>
      <c r="I25" s="750">
        <v>3500</v>
      </c>
      <c r="J25" s="750">
        <v>0</v>
      </c>
      <c r="K25" s="750">
        <v>8490</v>
      </c>
      <c r="L25" s="751">
        <f t="shared" si="3"/>
        <v>30580</v>
      </c>
    </row>
    <row r="26" spans="2:15" x14ac:dyDescent="0.25">
      <c r="B26" s="746">
        <v>45897</v>
      </c>
      <c r="C26" s="748" t="s">
        <v>138</v>
      </c>
      <c r="D26" s="748" t="s">
        <v>16</v>
      </c>
      <c r="E26" s="749" t="str">
        <f t="shared" si="2"/>
        <v>PRESENCIAL</v>
      </c>
      <c r="F26" s="750">
        <f>15000+15000+16000+16000</f>
        <v>62000</v>
      </c>
      <c r="G26" s="750">
        <v>1200</v>
      </c>
      <c r="H26" s="750">
        <v>0</v>
      </c>
      <c r="I26" s="750">
        <v>2275</v>
      </c>
      <c r="J26" s="750">
        <v>0</v>
      </c>
      <c r="K26" s="750">
        <v>10000</v>
      </c>
      <c r="L26" s="751">
        <f t="shared" si="3"/>
        <v>75475</v>
      </c>
    </row>
    <row r="27" spans="2:15" x14ac:dyDescent="0.25">
      <c r="B27" s="746">
        <v>45897</v>
      </c>
      <c r="C27" s="748" t="s">
        <v>350</v>
      </c>
      <c r="D27" s="748" t="s">
        <v>16</v>
      </c>
      <c r="E27" s="749" t="str">
        <f t="shared" si="2"/>
        <v>PRESENCIAL</v>
      </c>
      <c r="F27" s="750">
        <v>0</v>
      </c>
      <c r="G27" s="750">
        <f>21600+2600+49500+6300+49940</f>
        <v>129940</v>
      </c>
      <c r="H27" s="750">
        <v>0</v>
      </c>
      <c r="I27" s="750">
        <f>4509+2414</f>
        <v>6923</v>
      </c>
      <c r="J27" s="750">
        <v>0</v>
      </c>
      <c r="K27" s="750">
        <v>600</v>
      </c>
      <c r="L27" s="751">
        <f t="shared" si="3"/>
        <v>137463</v>
      </c>
    </row>
    <row r="28" spans="2:15" x14ac:dyDescent="0.25">
      <c r="B28" s="746">
        <v>45897</v>
      </c>
      <c r="C28" s="748" t="s">
        <v>182</v>
      </c>
      <c r="D28" s="748" t="s">
        <v>16</v>
      </c>
      <c r="E28" s="749" t="str">
        <f t="shared" si="2"/>
        <v>PRESENCIAL</v>
      </c>
      <c r="F28" s="750">
        <f>3000+4000</f>
        <v>7000</v>
      </c>
      <c r="G28" s="750">
        <v>0</v>
      </c>
      <c r="H28" s="750">
        <v>5000</v>
      </c>
      <c r="I28" s="750">
        <v>0</v>
      </c>
      <c r="J28" s="750">
        <v>0</v>
      </c>
      <c r="K28" s="750">
        <v>0</v>
      </c>
      <c r="L28" s="751">
        <f t="shared" si="3"/>
        <v>12000</v>
      </c>
    </row>
    <row r="29" spans="2:15" x14ac:dyDescent="0.25">
      <c r="B29" s="746">
        <v>45897</v>
      </c>
      <c r="C29" s="748" t="s">
        <v>377</v>
      </c>
      <c r="D29" s="748" t="s">
        <v>16</v>
      </c>
      <c r="E29" s="749" t="str">
        <f t="shared" si="2"/>
        <v>PRESENCIAL</v>
      </c>
      <c r="F29" s="750">
        <v>0</v>
      </c>
      <c r="G29" s="750">
        <v>0</v>
      </c>
      <c r="H29" s="750">
        <v>0</v>
      </c>
      <c r="I29" s="750">
        <v>0</v>
      </c>
      <c r="J29" s="750">
        <v>0</v>
      </c>
      <c r="K29" s="750">
        <v>0</v>
      </c>
      <c r="L29" s="751">
        <f t="shared" si="3"/>
        <v>0</v>
      </c>
      <c r="M29" s="349"/>
    </row>
    <row r="30" spans="2:15" x14ac:dyDescent="0.25">
      <c r="B30" s="746">
        <v>45897</v>
      </c>
      <c r="C30" s="748" t="s">
        <v>206</v>
      </c>
      <c r="D30" s="748" t="s">
        <v>16</v>
      </c>
      <c r="E30" s="749" t="str">
        <f t="shared" si="2"/>
        <v>PRESENCIAL</v>
      </c>
      <c r="F30" s="750">
        <f>10000+10000+1500+1500+3000+3000</f>
        <v>29000</v>
      </c>
      <c r="G30" s="750">
        <v>11990</v>
      </c>
      <c r="H30" s="750">
        <v>0</v>
      </c>
      <c r="I30" s="750">
        <v>0</v>
      </c>
      <c r="J30" s="750">
        <v>0</v>
      </c>
      <c r="K30" s="750">
        <v>0</v>
      </c>
      <c r="L30" s="751">
        <f t="shared" si="3"/>
        <v>40990</v>
      </c>
    </row>
    <row r="31" spans="2:15" x14ac:dyDescent="0.25">
      <c r="B31" s="193">
        <v>45985</v>
      </c>
      <c r="C31" s="23"/>
      <c r="D31" s="23"/>
      <c r="E31" s="29" t="str">
        <f t="shared" si="2"/>
        <v>-</v>
      </c>
      <c r="F31" s="231">
        <v>0</v>
      </c>
      <c r="G31" s="34">
        <v>0</v>
      </c>
      <c r="H31" s="34">
        <v>0</v>
      </c>
      <c r="I31" s="34">
        <v>0</v>
      </c>
      <c r="J31" s="34">
        <v>0</v>
      </c>
      <c r="K31" s="34">
        <v>0</v>
      </c>
      <c r="L31" s="24">
        <f t="shared" si="3"/>
        <v>0</v>
      </c>
    </row>
    <row r="32" spans="2:15" x14ac:dyDescent="0.25">
      <c r="B32" s="193">
        <v>45988</v>
      </c>
      <c r="C32" s="23"/>
      <c r="D32" s="23"/>
      <c r="E32" s="29" t="str">
        <f t="shared" ref="E32:E37" si="4">+IF(D32&lt;&gt;"",+LOOKUP(D32,$D$2:$D$9,$E$2:$E$9),"-")</f>
        <v>-</v>
      </c>
      <c r="F32" s="231">
        <v>0</v>
      </c>
      <c r="G32" s="34">
        <v>0</v>
      </c>
      <c r="H32" s="34">
        <v>0</v>
      </c>
      <c r="I32" s="34">
        <v>0</v>
      </c>
      <c r="J32" s="34">
        <v>0</v>
      </c>
      <c r="K32" s="34">
        <v>0</v>
      </c>
      <c r="L32" s="24">
        <f t="shared" ref="L32:L44" si="5">SUM(F32:K32)</f>
        <v>0</v>
      </c>
    </row>
    <row r="33" spans="2:12" x14ac:dyDescent="0.25">
      <c r="B33" s="193"/>
      <c r="C33" s="23"/>
      <c r="D33" s="23"/>
      <c r="E33" s="29" t="str">
        <f t="shared" si="4"/>
        <v>-</v>
      </c>
      <c r="F33" s="231">
        <v>0</v>
      </c>
      <c r="G33" s="34">
        <v>0</v>
      </c>
      <c r="H33" s="34">
        <v>0</v>
      </c>
      <c r="I33" s="34">
        <v>0</v>
      </c>
      <c r="J33" s="34">
        <v>0</v>
      </c>
      <c r="K33" s="34">
        <v>0</v>
      </c>
      <c r="L33" s="24">
        <f t="shared" si="5"/>
        <v>0</v>
      </c>
    </row>
    <row r="34" spans="2:12" x14ac:dyDescent="0.25">
      <c r="B34" s="193"/>
      <c r="C34" s="23"/>
      <c r="D34" s="23"/>
      <c r="E34" s="29" t="str">
        <f t="shared" si="4"/>
        <v>-</v>
      </c>
      <c r="F34" s="231">
        <v>0</v>
      </c>
      <c r="G34" s="34">
        <v>0</v>
      </c>
      <c r="H34" s="34">
        <v>0</v>
      </c>
      <c r="I34" s="34">
        <v>0</v>
      </c>
      <c r="J34" s="34">
        <v>0</v>
      </c>
      <c r="K34" s="34">
        <v>0</v>
      </c>
      <c r="L34" s="24">
        <f t="shared" si="5"/>
        <v>0</v>
      </c>
    </row>
    <row r="35" spans="2:12" x14ac:dyDescent="0.25">
      <c r="B35" s="193"/>
      <c r="C35" s="23"/>
      <c r="D35" s="23"/>
      <c r="E35" s="29" t="str">
        <f t="shared" si="4"/>
        <v>-</v>
      </c>
      <c r="F35" s="231">
        <v>0</v>
      </c>
      <c r="G35" s="34">
        <v>0</v>
      </c>
      <c r="H35" s="34">
        <v>0</v>
      </c>
      <c r="I35" s="34">
        <v>0</v>
      </c>
      <c r="J35" s="34">
        <v>0</v>
      </c>
      <c r="K35" s="34">
        <v>0</v>
      </c>
      <c r="L35" s="24">
        <f t="shared" si="5"/>
        <v>0</v>
      </c>
    </row>
    <row r="36" spans="2:12" x14ac:dyDescent="0.25">
      <c r="B36" s="193"/>
      <c r="C36" s="23"/>
      <c r="D36" s="23"/>
      <c r="E36" s="29" t="str">
        <f t="shared" si="4"/>
        <v>-</v>
      </c>
      <c r="F36" s="231">
        <v>0</v>
      </c>
      <c r="G36" s="34">
        <v>0</v>
      </c>
      <c r="H36" s="34">
        <v>0</v>
      </c>
      <c r="I36" s="34">
        <v>0</v>
      </c>
      <c r="J36" s="34">
        <v>0</v>
      </c>
      <c r="K36" s="34">
        <v>0</v>
      </c>
      <c r="L36" s="24">
        <f t="shared" si="5"/>
        <v>0</v>
      </c>
    </row>
    <row r="37" spans="2:12" x14ac:dyDescent="0.25">
      <c r="B37" s="193"/>
      <c r="C37" s="23"/>
      <c r="D37" s="23"/>
      <c r="E37" s="29" t="str">
        <f t="shared" si="4"/>
        <v>-</v>
      </c>
      <c r="F37" s="231">
        <v>0</v>
      </c>
      <c r="G37" s="34">
        <v>0</v>
      </c>
      <c r="H37" s="34">
        <v>0</v>
      </c>
      <c r="I37" s="34">
        <v>0</v>
      </c>
      <c r="J37" s="34">
        <v>0</v>
      </c>
      <c r="K37" s="34">
        <v>0</v>
      </c>
      <c r="L37" s="24">
        <f t="shared" si="5"/>
        <v>0</v>
      </c>
    </row>
    <row r="38" spans="2:12" x14ac:dyDescent="0.25">
      <c r="B38" s="193"/>
      <c r="C38" s="23"/>
      <c r="D38" s="23"/>
      <c r="E38" s="29" t="str">
        <f t="shared" si="2"/>
        <v>-</v>
      </c>
      <c r="F38" s="231">
        <v>0</v>
      </c>
      <c r="G38" s="34">
        <v>0</v>
      </c>
      <c r="H38" s="34">
        <v>0</v>
      </c>
      <c r="I38" s="34">
        <v>0</v>
      </c>
      <c r="J38" s="34">
        <v>0</v>
      </c>
      <c r="K38" s="34">
        <v>0</v>
      </c>
      <c r="L38" s="24">
        <f t="shared" si="5"/>
        <v>0</v>
      </c>
    </row>
    <row r="39" spans="2:12" x14ac:dyDescent="0.25">
      <c r="B39" s="193"/>
      <c r="C39" s="23"/>
      <c r="D39" s="23"/>
      <c r="E39" s="29" t="str">
        <f t="shared" ref="E39:E44" si="6">+IF(D39&lt;&gt;"",+LOOKUP(D39,$D$2:$D$9,$E$2:$E$9),"-")</f>
        <v>-</v>
      </c>
      <c r="F39" s="231">
        <v>0</v>
      </c>
      <c r="G39" s="34">
        <v>0</v>
      </c>
      <c r="H39" s="34">
        <v>0</v>
      </c>
      <c r="I39" s="34">
        <v>0</v>
      </c>
      <c r="J39" s="34">
        <v>0</v>
      </c>
      <c r="K39" s="34">
        <v>0</v>
      </c>
      <c r="L39" s="24">
        <f t="shared" si="5"/>
        <v>0</v>
      </c>
    </row>
    <row r="40" spans="2:12" x14ac:dyDescent="0.25">
      <c r="B40" s="193"/>
      <c r="C40" s="23"/>
      <c r="D40" s="23"/>
      <c r="E40" s="29" t="str">
        <f t="shared" si="6"/>
        <v>-</v>
      </c>
      <c r="F40" s="231">
        <v>0</v>
      </c>
      <c r="G40" s="34">
        <v>0</v>
      </c>
      <c r="H40" s="34">
        <v>0</v>
      </c>
      <c r="I40" s="34">
        <v>0</v>
      </c>
      <c r="J40" s="34">
        <v>0</v>
      </c>
      <c r="K40" s="34">
        <v>0</v>
      </c>
      <c r="L40" s="24">
        <f t="shared" si="5"/>
        <v>0</v>
      </c>
    </row>
    <row r="41" spans="2:12" x14ac:dyDescent="0.25">
      <c r="B41" s="193"/>
      <c r="C41" s="23"/>
      <c r="D41" s="23"/>
      <c r="E41" s="29" t="str">
        <f t="shared" si="6"/>
        <v>-</v>
      </c>
      <c r="F41" s="231">
        <v>0</v>
      </c>
      <c r="G41" s="34">
        <v>0</v>
      </c>
      <c r="H41" s="34">
        <v>0</v>
      </c>
      <c r="I41" s="34">
        <v>0</v>
      </c>
      <c r="J41" s="34">
        <v>0</v>
      </c>
      <c r="K41" s="34">
        <v>0</v>
      </c>
      <c r="L41" s="24">
        <f t="shared" si="5"/>
        <v>0</v>
      </c>
    </row>
    <row r="42" spans="2:12" x14ac:dyDescent="0.25">
      <c r="B42" s="193"/>
      <c r="C42" s="23"/>
      <c r="D42" s="23"/>
      <c r="E42" s="29" t="str">
        <f t="shared" si="6"/>
        <v>-</v>
      </c>
      <c r="F42" s="231">
        <v>0</v>
      </c>
      <c r="G42" s="34">
        <v>0</v>
      </c>
      <c r="H42" s="34">
        <v>0</v>
      </c>
      <c r="I42" s="34">
        <v>0</v>
      </c>
      <c r="J42" s="34">
        <v>0</v>
      </c>
      <c r="K42" s="34">
        <v>0</v>
      </c>
      <c r="L42" s="24">
        <f t="shared" si="5"/>
        <v>0</v>
      </c>
    </row>
    <row r="43" spans="2:12" x14ac:dyDescent="0.25">
      <c r="B43" s="193"/>
      <c r="C43" s="23"/>
      <c r="D43" s="23"/>
      <c r="E43" s="29" t="str">
        <f t="shared" si="6"/>
        <v>-</v>
      </c>
      <c r="F43" s="231">
        <v>0</v>
      </c>
      <c r="G43" s="34">
        <v>0</v>
      </c>
      <c r="H43" s="34">
        <v>0</v>
      </c>
      <c r="I43" s="34">
        <v>0</v>
      </c>
      <c r="J43" s="34">
        <v>0</v>
      </c>
      <c r="K43" s="34">
        <v>0</v>
      </c>
      <c r="L43" s="24">
        <f t="shared" si="5"/>
        <v>0</v>
      </c>
    </row>
    <row r="44" spans="2:12" x14ac:dyDescent="0.25">
      <c r="B44" s="193"/>
      <c r="C44" s="23"/>
      <c r="D44" s="23"/>
      <c r="E44" s="29" t="str">
        <f t="shared" si="6"/>
        <v>-</v>
      </c>
      <c r="F44" s="231">
        <v>0</v>
      </c>
      <c r="G44" s="34">
        <v>0</v>
      </c>
      <c r="H44" s="34">
        <v>0</v>
      </c>
      <c r="I44" s="34">
        <v>0</v>
      </c>
      <c r="J44" s="34">
        <v>0</v>
      </c>
      <c r="K44" s="34">
        <v>0</v>
      </c>
      <c r="L44" s="24">
        <f t="shared" si="5"/>
        <v>0</v>
      </c>
    </row>
    <row r="45" spans="2:12" x14ac:dyDescent="0.25">
      <c r="B45" s="23" t="s">
        <v>103</v>
      </c>
      <c r="C45" s="23"/>
      <c r="D45" s="29">
        <f>SUBTOTAL(103,Tabla5[CITACION])</f>
        <v>17</v>
      </c>
      <c r="E45" s="29"/>
      <c r="F45" s="30">
        <f>SUBTOTAL(109,Tabla5[PASAJES])</f>
        <v>365160</v>
      </c>
      <c r="G45" s="30">
        <f>SUBTOTAL(109,Tabla5[COLACION])</f>
        <v>225110</v>
      </c>
      <c r="H45" s="30">
        <f>SUBTOTAL(109,Tabla5[METRO])</f>
        <v>20000</v>
      </c>
      <c r="I45" s="30">
        <f>SUBTOTAL(109,Tabla5[TAXI / COLEC])</f>
        <v>39027</v>
      </c>
      <c r="J45" s="30">
        <f>SUBTOTAL(109,Tabla5[HOTEL])</f>
        <v>600</v>
      </c>
      <c r="K45" s="30">
        <f>SUBTOTAL(109,Tabla5[REEMBOLSO])</f>
        <v>296896</v>
      </c>
      <c r="L45" s="30">
        <f>SUBTOTAL(109,Tabla5[TOTAL])</f>
        <v>946793</v>
      </c>
    </row>
  </sheetData>
  <conditionalFormatting sqref="B2:B9">
    <cfRule type="cellIs" dxfId="124" priority="1" operator="greaterThan">
      <formula>1</formula>
    </cfRule>
  </conditionalFormatting>
  <dataValidations count="2">
    <dataValidation type="list" allowBlank="1" showInputMessage="1" showErrorMessage="1" sqref="D14:D44" xr:uid="{00000000-0002-0000-0C00-000000000000}">
      <formula1>$D$2:$D$9</formula1>
    </dataValidation>
    <dataValidation type="list" allowBlank="1" showInputMessage="1" showErrorMessage="1" sqref="C14:C44" xr:uid="{00000000-0002-0000-0C00-000001000000}">
      <formula1>$N$14:$N$22</formula1>
    </dataValidation>
  </dataValidations>
  <pageMargins left="0.7" right="0.7" top="0.75" bottom="0.75" header="0.3" footer="0.3"/>
  <pageSetup orientation="portrait" r:id="rId1"/>
  <ignoredErrors>
    <ignoredError sqref="F14:F31 F32:F44" calculatedColumn="1"/>
  </ignoredErrors>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tabColor rgb="FF92D050"/>
  </sheetPr>
  <dimension ref="A1:O200"/>
  <sheetViews>
    <sheetView showGridLines="0" zoomScaleSheetLayoutView="100" workbookViewId="0">
      <pane ySplit="2" topLeftCell="A3" activePane="bottomLeft" state="frozen"/>
      <selection pane="bottomLeft"/>
    </sheetView>
  </sheetViews>
  <sheetFormatPr baseColWidth="10" defaultColWidth="13.7109375" defaultRowHeight="15" x14ac:dyDescent="0.25"/>
  <cols>
    <col min="1" max="1" width="8.5703125" style="205" bestFit="1" customWidth="1"/>
    <col min="2" max="2" width="21" style="48" bestFit="1" customWidth="1"/>
    <col min="3" max="3" width="10.28515625" style="78" bestFit="1" customWidth="1"/>
    <col min="4" max="4" width="11.7109375" style="78" bestFit="1" customWidth="1"/>
    <col min="5" max="5" width="10.42578125" style="208" bestFit="1" customWidth="1"/>
    <col min="6" max="6" width="12.140625" style="358" bestFit="1" customWidth="1"/>
    <col min="7" max="7" width="13" style="353" bestFit="1" customWidth="1"/>
    <col min="8" max="8" width="12" style="353" bestFit="1" customWidth="1"/>
    <col min="9" max="9" width="12.5703125" style="353" bestFit="1" customWidth="1"/>
    <col min="10" max="10" width="10.42578125" style="353" bestFit="1" customWidth="1"/>
    <col min="11" max="11" width="14.140625" style="353" bestFit="1" customWidth="1"/>
    <col min="12" max="12" width="12" style="353" bestFit="1" customWidth="1"/>
    <col min="13" max="13" width="14.140625" style="353" bestFit="1" customWidth="1"/>
    <col min="14" max="14" width="13" style="209" bestFit="1" customWidth="1"/>
    <col min="15" max="16384" width="13.7109375" style="48"/>
  </cols>
  <sheetData>
    <row r="1" spans="1:15" x14ac:dyDescent="0.25">
      <c r="A1" s="200"/>
      <c r="B1" s="79"/>
      <c r="C1" s="201"/>
      <c r="D1" s="201"/>
      <c r="E1" s="202"/>
      <c r="F1" s="356"/>
      <c r="G1" s="354">
        <f t="shared" ref="G1:N1" si="0">SUBTOTAL(9,G3:G367)</f>
        <v>0</v>
      </c>
      <c r="H1" s="354">
        <f t="shared" si="0"/>
        <v>0</v>
      </c>
      <c r="I1" s="354">
        <f t="shared" si="0"/>
        <v>0</v>
      </c>
      <c r="J1" s="354">
        <f t="shared" si="0"/>
        <v>0</v>
      </c>
      <c r="K1" s="354">
        <f t="shared" si="0"/>
        <v>0</v>
      </c>
      <c r="L1" s="354">
        <f t="shared" si="0"/>
        <v>0</v>
      </c>
      <c r="M1" s="354">
        <f t="shared" si="0"/>
        <v>0</v>
      </c>
      <c r="N1" s="203">
        <f t="shared" si="0"/>
        <v>0</v>
      </c>
      <c r="O1" s="204"/>
    </row>
    <row r="2" spans="1:15" s="205" customFormat="1" x14ac:dyDescent="0.25">
      <c r="A2" s="200" t="s">
        <v>283</v>
      </c>
      <c r="B2" s="200" t="s">
        <v>124</v>
      </c>
      <c r="C2" s="200" t="s">
        <v>284</v>
      </c>
      <c r="D2" s="200" t="s">
        <v>135</v>
      </c>
      <c r="E2" s="206" t="s">
        <v>0</v>
      </c>
      <c r="F2" s="357" t="s">
        <v>285</v>
      </c>
      <c r="G2" s="355" t="s">
        <v>240</v>
      </c>
      <c r="H2" s="355" t="s">
        <v>61</v>
      </c>
      <c r="I2" s="355" t="s">
        <v>62</v>
      </c>
      <c r="J2" s="355" t="s">
        <v>63</v>
      </c>
      <c r="K2" s="355" t="s">
        <v>241</v>
      </c>
      <c r="L2" s="355" t="s">
        <v>65</v>
      </c>
      <c r="M2" s="355" t="s">
        <v>67</v>
      </c>
      <c r="N2" s="207" t="s">
        <v>28</v>
      </c>
    </row>
    <row r="3" spans="1:15" x14ac:dyDescent="0.25">
      <c r="G3" s="359"/>
      <c r="H3" s="359"/>
      <c r="I3" s="359"/>
      <c r="J3" s="359"/>
      <c r="K3" s="359"/>
      <c r="L3" s="359"/>
      <c r="M3" s="359"/>
      <c r="N3" s="34">
        <f>SUM(G3:M3)</f>
        <v>0</v>
      </c>
    </row>
    <row r="4" spans="1:15" x14ac:dyDescent="0.25">
      <c r="G4" s="359"/>
      <c r="H4" s="359"/>
      <c r="I4" s="359"/>
      <c r="J4" s="359"/>
      <c r="K4" s="359"/>
      <c r="L4" s="359"/>
      <c r="M4" s="359"/>
      <c r="N4" s="34">
        <f t="shared" ref="N4:N67" si="1">SUM(G4:M4)</f>
        <v>0</v>
      </c>
    </row>
    <row r="5" spans="1:15" x14ac:dyDescent="0.25">
      <c r="G5" s="359"/>
      <c r="H5" s="359"/>
      <c r="I5" s="359"/>
      <c r="J5" s="359"/>
      <c r="K5" s="359"/>
      <c r="L5" s="359"/>
      <c r="M5" s="359"/>
      <c r="N5" s="34">
        <f t="shared" si="1"/>
        <v>0</v>
      </c>
    </row>
    <row r="6" spans="1:15" x14ac:dyDescent="0.25">
      <c r="G6" s="359"/>
      <c r="H6" s="359"/>
      <c r="I6" s="359"/>
      <c r="J6" s="359"/>
      <c r="K6" s="359"/>
      <c r="L6" s="359"/>
      <c r="M6" s="359"/>
      <c r="N6" s="34">
        <f t="shared" si="1"/>
        <v>0</v>
      </c>
    </row>
    <row r="7" spans="1:15" x14ac:dyDescent="0.25">
      <c r="G7" s="359"/>
      <c r="H7" s="359"/>
      <c r="I7" s="359"/>
      <c r="J7" s="359"/>
      <c r="K7" s="359"/>
      <c r="L7" s="359"/>
      <c r="M7" s="359"/>
      <c r="N7" s="34">
        <f t="shared" si="1"/>
        <v>0</v>
      </c>
    </row>
    <row r="8" spans="1:15" x14ac:dyDescent="0.25">
      <c r="G8" s="359"/>
      <c r="H8" s="359"/>
      <c r="I8" s="359"/>
      <c r="J8" s="359"/>
      <c r="K8" s="359"/>
      <c r="L8" s="359"/>
      <c r="M8" s="359"/>
      <c r="N8" s="34">
        <f t="shared" si="1"/>
        <v>0</v>
      </c>
    </row>
    <row r="9" spans="1:15" x14ac:dyDescent="0.25">
      <c r="G9" s="359"/>
      <c r="H9" s="359"/>
      <c r="I9" s="359"/>
      <c r="J9" s="359"/>
      <c r="K9" s="359"/>
      <c r="L9" s="359"/>
      <c r="M9" s="359"/>
      <c r="N9" s="34">
        <f t="shared" si="1"/>
        <v>0</v>
      </c>
    </row>
    <row r="10" spans="1:15" x14ac:dyDescent="0.25">
      <c r="C10" s="350"/>
      <c r="N10" s="209">
        <f t="shared" si="1"/>
        <v>0</v>
      </c>
    </row>
    <row r="11" spans="1:15" x14ac:dyDescent="0.25">
      <c r="C11" s="350"/>
      <c r="N11" s="209">
        <f t="shared" si="1"/>
        <v>0</v>
      </c>
    </row>
    <row r="12" spans="1:15" x14ac:dyDescent="0.25">
      <c r="C12" s="350"/>
      <c r="N12" s="209">
        <f t="shared" si="1"/>
        <v>0</v>
      </c>
    </row>
    <row r="13" spans="1:15" x14ac:dyDescent="0.25">
      <c r="C13" s="350"/>
      <c r="N13" s="209">
        <f t="shared" si="1"/>
        <v>0</v>
      </c>
    </row>
    <row r="14" spans="1:15" x14ac:dyDescent="0.25">
      <c r="C14" s="350"/>
      <c r="N14" s="209">
        <f t="shared" si="1"/>
        <v>0</v>
      </c>
    </row>
    <row r="15" spans="1:15" x14ac:dyDescent="0.25">
      <c r="C15" s="350"/>
      <c r="N15" s="209">
        <f t="shared" si="1"/>
        <v>0</v>
      </c>
    </row>
    <row r="16" spans="1:15" x14ac:dyDescent="0.25">
      <c r="C16" s="350"/>
      <c r="N16" s="209">
        <f t="shared" si="1"/>
        <v>0</v>
      </c>
    </row>
    <row r="17" spans="1:14" x14ac:dyDescent="0.25">
      <c r="C17" s="350"/>
      <c r="N17" s="209">
        <f t="shared" si="1"/>
        <v>0</v>
      </c>
    </row>
    <row r="18" spans="1:14" x14ac:dyDescent="0.25">
      <c r="C18" s="350"/>
      <c r="N18" s="209">
        <f t="shared" si="1"/>
        <v>0</v>
      </c>
    </row>
    <row r="19" spans="1:14" x14ac:dyDescent="0.25">
      <c r="A19" s="370"/>
      <c r="B19" s="363"/>
      <c r="C19" s="350"/>
      <c r="D19" s="350"/>
      <c r="E19" s="371"/>
      <c r="G19" s="369"/>
      <c r="H19" s="369"/>
      <c r="I19" s="369"/>
      <c r="J19" s="369"/>
      <c r="K19" s="369"/>
      <c r="L19" s="369"/>
      <c r="M19" s="369"/>
      <c r="N19" s="375">
        <f t="shared" si="1"/>
        <v>0</v>
      </c>
    </row>
    <row r="20" spans="1:14" x14ac:dyDescent="0.25">
      <c r="A20" s="370"/>
      <c r="B20" s="363"/>
      <c r="C20" s="350"/>
      <c r="D20" s="350"/>
      <c r="E20" s="371"/>
      <c r="G20" s="369"/>
      <c r="H20" s="369"/>
      <c r="I20" s="369"/>
      <c r="J20" s="369"/>
      <c r="K20" s="369"/>
      <c r="L20" s="369"/>
      <c r="M20" s="369"/>
      <c r="N20" s="375">
        <f t="shared" si="1"/>
        <v>0</v>
      </c>
    </row>
    <row r="21" spans="1:14" x14ac:dyDescent="0.25">
      <c r="A21" s="370"/>
      <c r="B21" s="363"/>
      <c r="C21" s="350"/>
      <c r="D21" s="350"/>
      <c r="E21" s="371"/>
      <c r="G21" s="369"/>
      <c r="H21" s="369"/>
      <c r="I21" s="369"/>
      <c r="J21" s="369"/>
      <c r="K21" s="369"/>
      <c r="L21" s="369"/>
      <c r="M21" s="369"/>
      <c r="N21" s="375">
        <f t="shared" si="1"/>
        <v>0</v>
      </c>
    </row>
    <row r="22" spans="1:14" x14ac:dyDescent="0.25">
      <c r="A22" s="370"/>
      <c r="B22" s="363"/>
      <c r="C22" s="350"/>
      <c r="D22" s="350"/>
      <c r="E22" s="371"/>
      <c r="G22" s="369"/>
      <c r="H22" s="369"/>
      <c r="I22" s="369"/>
      <c r="J22" s="369"/>
      <c r="K22" s="369"/>
      <c r="L22" s="369"/>
      <c r="M22" s="369"/>
      <c r="N22" s="375">
        <f t="shared" si="1"/>
        <v>0</v>
      </c>
    </row>
    <row r="23" spans="1:14" x14ac:dyDescent="0.25">
      <c r="A23" s="370"/>
      <c r="B23" s="363"/>
      <c r="C23" s="350"/>
      <c r="D23" s="350"/>
      <c r="E23" s="371"/>
      <c r="G23" s="369"/>
      <c r="H23" s="369"/>
      <c r="I23" s="369"/>
      <c r="J23" s="369"/>
      <c r="K23" s="369"/>
      <c r="L23" s="369"/>
      <c r="M23" s="369"/>
      <c r="N23" s="375">
        <f t="shared" si="1"/>
        <v>0</v>
      </c>
    </row>
    <row r="24" spans="1:14" x14ac:dyDescent="0.25">
      <c r="A24" s="370"/>
      <c r="B24" s="363"/>
      <c r="C24" s="350"/>
      <c r="D24" s="350"/>
      <c r="E24" s="371"/>
      <c r="G24" s="369"/>
      <c r="H24" s="369"/>
      <c r="I24" s="369"/>
      <c r="J24" s="369"/>
      <c r="K24" s="369"/>
      <c r="L24" s="369"/>
      <c r="M24" s="369"/>
      <c r="N24" s="375">
        <f t="shared" si="1"/>
        <v>0</v>
      </c>
    </row>
    <row r="25" spans="1:14" x14ac:dyDescent="0.25">
      <c r="A25" s="370"/>
      <c r="B25" s="363"/>
      <c r="C25" s="350"/>
      <c r="D25" s="350"/>
      <c r="E25" s="371"/>
      <c r="G25" s="369"/>
      <c r="H25" s="369"/>
      <c r="I25" s="369"/>
      <c r="J25" s="369"/>
      <c r="K25" s="369"/>
      <c r="L25" s="369"/>
      <c r="M25" s="369"/>
      <c r="N25" s="375">
        <f t="shared" si="1"/>
        <v>0</v>
      </c>
    </row>
    <row r="26" spans="1:14" x14ac:dyDescent="0.25">
      <c r="A26" s="370"/>
      <c r="B26" s="363"/>
      <c r="C26" s="350"/>
      <c r="D26" s="350"/>
      <c r="E26" s="371"/>
      <c r="G26" s="369"/>
      <c r="H26" s="369"/>
      <c r="I26" s="369"/>
      <c r="J26" s="369"/>
      <c r="K26" s="369"/>
      <c r="L26" s="369"/>
      <c r="M26" s="369"/>
      <c r="N26" s="375">
        <f t="shared" si="1"/>
        <v>0</v>
      </c>
    </row>
    <row r="27" spans="1:14" x14ac:dyDescent="0.25">
      <c r="C27" s="350"/>
      <c r="N27" s="209">
        <f t="shared" si="1"/>
        <v>0</v>
      </c>
    </row>
    <row r="28" spans="1:14" x14ac:dyDescent="0.25">
      <c r="C28" s="350"/>
      <c r="N28" s="209">
        <f t="shared" si="1"/>
        <v>0</v>
      </c>
    </row>
    <row r="29" spans="1:14" x14ac:dyDescent="0.25">
      <c r="N29" s="209">
        <f t="shared" si="1"/>
        <v>0</v>
      </c>
    </row>
    <row r="30" spans="1:14" x14ac:dyDescent="0.25">
      <c r="N30" s="209">
        <f t="shared" si="1"/>
        <v>0</v>
      </c>
    </row>
    <row r="31" spans="1:14" x14ac:dyDescent="0.25">
      <c r="N31" s="209">
        <f t="shared" si="1"/>
        <v>0</v>
      </c>
    </row>
    <row r="32" spans="1:14" x14ac:dyDescent="0.25">
      <c r="N32" s="209">
        <f t="shared" si="1"/>
        <v>0</v>
      </c>
    </row>
    <row r="33" spans="14:14" x14ac:dyDescent="0.25">
      <c r="N33" s="209">
        <f t="shared" si="1"/>
        <v>0</v>
      </c>
    </row>
    <row r="34" spans="14:14" x14ac:dyDescent="0.25">
      <c r="N34" s="209">
        <f t="shared" si="1"/>
        <v>0</v>
      </c>
    </row>
    <row r="35" spans="14:14" x14ac:dyDescent="0.25">
      <c r="N35" s="209">
        <f t="shared" si="1"/>
        <v>0</v>
      </c>
    </row>
    <row r="36" spans="14:14" x14ac:dyDescent="0.25">
      <c r="N36" s="209">
        <f t="shared" si="1"/>
        <v>0</v>
      </c>
    </row>
    <row r="37" spans="14:14" x14ac:dyDescent="0.25">
      <c r="N37" s="209">
        <f t="shared" si="1"/>
        <v>0</v>
      </c>
    </row>
    <row r="38" spans="14:14" x14ac:dyDescent="0.25">
      <c r="N38" s="209">
        <f t="shared" si="1"/>
        <v>0</v>
      </c>
    </row>
    <row r="39" spans="14:14" x14ac:dyDescent="0.25">
      <c r="N39" s="209">
        <f t="shared" si="1"/>
        <v>0</v>
      </c>
    </row>
    <row r="40" spans="14:14" x14ac:dyDescent="0.25">
      <c r="N40" s="209">
        <f t="shared" si="1"/>
        <v>0</v>
      </c>
    </row>
    <row r="41" spans="14:14" x14ac:dyDescent="0.25">
      <c r="N41" s="209">
        <f t="shared" si="1"/>
        <v>0</v>
      </c>
    </row>
    <row r="42" spans="14:14" x14ac:dyDescent="0.25">
      <c r="N42" s="209">
        <f t="shared" si="1"/>
        <v>0</v>
      </c>
    </row>
    <row r="43" spans="14:14" x14ac:dyDescent="0.25">
      <c r="N43" s="209">
        <f t="shared" si="1"/>
        <v>0</v>
      </c>
    </row>
    <row r="44" spans="14:14" x14ac:dyDescent="0.25">
      <c r="N44" s="209">
        <f t="shared" si="1"/>
        <v>0</v>
      </c>
    </row>
    <row r="45" spans="14:14" x14ac:dyDescent="0.25">
      <c r="N45" s="209">
        <f t="shared" si="1"/>
        <v>0</v>
      </c>
    </row>
    <row r="46" spans="14:14" x14ac:dyDescent="0.25">
      <c r="N46" s="209">
        <f t="shared" si="1"/>
        <v>0</v>
      </c>
    </row>
    <row r="47" spans="14:14" x14ac:dyDescent="0.25">
      <c r="N47" s="209">
        <f t="shared" si="1"/>
        <v>0</v>
      </c>
    </row>
    <row r="48" spans="14:14" x14ac:dyDescent="0.25">
      <c r="N48" s="209">
        <f t="shared" si="1"/>
        <v>0</v>
      </c>
    </row>
    <row r="49" spans="14:14" x14ac:dyDescent="0.25">
      <c r="N49" s="209">
        <f t="shared" si="1"/>
        <v>0</v>
      </c>
    </row>
    <row r="50" spans="14:14" x14ac:dyDescent="0.25">
      <c r="N50" s="209">
        <f t="shared" si="1"/>
        <v>0</v>
      </c>
    </row>
    <row r="51" spans="14:14" x14ac:dyDescent="0.25">
      <c r="N51" s="209">
        <f t="shared" si="1"/>
        <v>0</v>
      </c>
    </row>
    <row r="52" spans="14:14" x14ac:dyDescent="0.25">
      <c r="N52" s="209">
        <f t="shared" si="1"/>
        <v>0</v>
      </c>
    </row>
    <row r="53" spans="14:14" x14ac:dyDescent="0.25">
      <c r="N53" s="209">
        <f t="shared" si="1"/>
        <v>0</v>
      </c>
    </row>
    <row r="54" spans="14:14" x14ac:dyDescent="0.25">
      <c r="N54" s="209">
        <f t="shared" si="1"/>
        <v>0</v>
      </c>
    </row>
    <row r="55" spans="14:14" x14ac:dyDescent="0.25">
      <c r="N55" s="209">
        <f t="shared" si="1"/>
        <v>0</v>
      </c>
    </row>
    <row r="56" spans="14:14" x14ac:dyDescent="0.25">
      <c r="N56" s="209">
        <f t="shared" si="1"/>
        <v>0</v>
      </c>
    </row>
    <row r="57" spans="14:14" x14ac:dyDescent="0.25">
      <c r="N57" s="209">
        <f t="shared" si="1"/>
        <v>0</v>
      </c>
    </row>
    <row r="58" spans="14:14" x14ac:dyDescent="0.25">
      <c r="N58" s="209">
        <f t="shared" si="1"/>
        <v>0</v>
      </c>
    </row>
    <row r="59" spans="14:14" x14ac:dyDescent="0.25">
      <c r="N59" s="209">
        <f t="shared" si="1"/>
        <v>0</v>
      </c>
    </row>
    <row r="60" spans="14:14" x14ac:dyDescent="0.25">
      <c r="N60" s="209">
        <f t="shared" si="1"/>
        <v>0</v>
      </c>
    </row>
    <row r="61" spans="14:14" x14ac:dyDescent="0.25">
      <c r="N61" s="209">
        <f t="shared" si="1"/>
        <v>0</v>
      </c>
    </row>
    <row r="62" spans="14:14" x14ac:dyDescent="0.25">
      <c r="N62" s="209">
        <f t="shared" si="1"/>
        <v>0</v>
      </c>
    </row>
    <row r="63" spans="14:14" x14ac:dyDescent="0.25">
      <c r="N63" s="209">
        <f t="shared" si="1"/>
        <v>0</v>
      </c>
    </row>
    <row r="64" spans="14:14" x14ac:dyDescent="0.25">
      <c r="N64" s="209">
        <f t="shared" si="1"/>
        <v>0</v>
      </c>
    </row>
    <row r="65" spans="14:14" x14ac:dyDescent="0.25">
      <c r="N65" s="209">
        <f t="shared" si="1"/>
        <v>0</v>
      </c>
    </row>
    <row r="66" spans="14:14" x14ac:dyDescent="0.25">
      <c r="N66" s="209">
        <f t="shared" si="1"/>
        <v>0</v>
      </c>
    </row>
    <row r="67" spans="14:14" x14ac:dyDescent="0.25">
      <c r="N67" s="209">
        <f t="shared" si="1"/>
        <v>0</v>
      </c>
    </row>
    <row r="68" spans="14:14" x14ac:dyDescent="0.25">
      <c r="N68" s="209">
        <f t="shared" ref="N68:N131" si="2">SUM(G68:M68)</f>
        <v>0</v>
      </c>
    </row>
    <row r="69" spans="14:14" x14ac:dyDescent="0.25">
      <c r="N69" s="209">
        <f t="shared" si="2"/>
        <v>0</v>
      </c>
    </row>
    <row r="70" spans="14:14" x14ac:dyDescent="0.25">
      <c r="N70" s="209">
        <f t="shared" si="2"/>
        <v>0</v>
      </c>
    </row>
    <row r="71" spans="14:14" x14ac:dyDescent="0.25">
      <c r="N71" s="209">
        <f t="shared" si="2"/>
        <v>0</v>
      </c>
    </row>
    <row r="72" spans="14:14" x14ac:dyDescent="0.25">
      <c r="N72" s="209">
        <f t="shared" si="2"/>
        <v>0</v>
      </c>
    </row>
    <row r="73" spans="14:14" x14ac:dyDescent="0.25">
      <c r="N73" s="209">
        <f t="shared" si="2"/>
        <v>0</v>
      </c>
    </row>
    <row r="74" spans="14:14" x14ac:dyDescent="0.25">
      <c r="N74" s="209">
        <f t="shared" si="2"/>
        <v>0</v>
      </c>
    </row>
    <row r="75" spans="14:14" x14ac:dyDescent="0.25">
      <c r="N75" s="209">
        <f t="shared" si="2"/>
        <v>0</v>
      </c>
    </row>
    <row r="76" spans="14:14" x14ac:dyDescent="0.25">
      <c r="N76" s="209">
        <f t="shared" si="2"/>
        <v>0</v>
      </c>
    </row>
    <row r="77" spans="14:14" x14ac:dyDescent="0.25">
      <c r="N77" s="209">
        <f t="shared" si="2"/>
        <v>0</v>
      </c>
    </row>
    <row r="78" spans="14:14" x14ac:dyDescent="0.25">
      <c r="N78" s="209">
        <f t="shared" si="2"/>
        <v>0</v>
      </c>
    </row>
    <row r="79" spans="14:14" x14ac:dyDescent="0.25">
      <c r="N79" s="209">
        <f t="shared" si="2"/>
        <v>0</v>
      </c>
    </row>
    <row r="80" spans="14:14" x14ac:dyDescent="0.25">
      <c r="N80" s="209">
        <f t="shared" si="2"/>
        <v>0</v>
      </c>
    </row>
    <row r="81" spans="14:14" x14ac:dyDescent="0.25">
      <c r="N81" s="209">
        <f t="shared" si="2"/>
        <v>0</v>
      </c>
    </row>
    <row r="82" spans="14:14" x14ac:dyDescent="0.25">
      <c r="N82" s="209">
        <f t="shared" si="2"/>
        <v>0</v>
      </c>
    </row>
    <row r="83" spans="14:14" x14ac:dyDescent="0.25">
      <c r="N83" s="209">
        <f t="shared" si="2"/>
        <v>0</v>
      </c>
    </row>
    <row r="84" spans="14:14" x14ac:dyDescent="0.25">
      <c r="N84" s="209">
        <f t="shared" si="2"/>
        <v>0</v>
      </c>
    </row>
    <row r="85" spans="14:14" x14ac:dyDescent="0.25">
      <c r="N85" s="209">
        <f t="shared" si="2"/>
        <v>0</v>
      </c>
    </row>
    <row r="86" spans="14:14" x14ac:dyDescent="0.25">
      <c r="N86" s="209">
        <f t="shared" si="2"/>
        <v>0</v>
      </c>
    </row>
    <row r="87" spans="14:14" x14ac:dyDescent="0.25">
      <c r="N87" s="209">
        <f t="shared" si="2"/>
        <v>0</v>
      </c>
    </row>
    <row r="88" spans="14:14" x14ac:dyDescent="0.25">
      <c r="N88" s="209">
        <f t="shared" si="2"/>
        <v>0</v>
      </c>
    </row>
    <row r="89" spans="14:14" x14ac:dyDescent="0.25">
      <c r="N89" s="209">
        <f t="shared" si="2"/>
        <v>0</v>
      </c>
    </row>
    <row r="90" spans="14:14" x14ac:dyDescent="0.25">
      <c r="N90" s="209">
        <f t="shared" si="2"/>
        <v>0</v>
      </c>
    </row>
    <row r="91" spans="14:14" x14ac:dyDescent="0.25">
      <c r="N91" s="209">
        <f t="shared" si="2"/>
        <v>0</v>
      </c>
    </row>
    <row r="92" spans="14:14" x14ac:dyDescent="0.25">
      <c r="N92" s="209">
        <f t="shared" si="2"/>
        <v>0</v>
      </c>
    </row>
    <row r="93" spans="14:14" x14ac:dyDescent="0.25">
      <c r="N93" s="209">
        <f t="shared" si="2"/>
        <v>0</v>
      </c>
    </row>
    <row r="94" spans="14:14" x14ac:dyDescent="0.25">
      <c r="N94" s="209">
        <f t="shared" si="2"/>
        <v>0</v>
      </c>
    </row>
    <row r="95" spans="14:14" x14ac:dyDescent="0.25">
      <c r="N95" s="209">
        <f t="shared" si="2"/>
        <v>0</v>
      </c>
    </row>
    <row r="96" spans="14:14" x14ac:dyDescent="0.25">
      <c r="N96" s="209">
        <f t="shared" si="2"/>
        <v>0</v>
      </c>
    </row>
    <row r="97" spans="14:14" x14ac:dyDescent="0.25">
      <c r="N97" s="209">
        <f t="shared" si="2"/>
        <v>0</v>
      </c>
    </row>
    <row r="98" spans="14:14" x14ac:dyDescent="0.25">
      <c r="N98" s="209">
        <f t="shared" si="2"/>
        <v>0</v>
      </c>
    </row>
    <row r="99" spans="14:14" x14ac:dyDescent="0.25">
      <c r="N99" s="209">
        <f t="shared" si="2"/>
        <v>0</v>
      </c>
    </row>
    <row r="100" spans="14:14" x14ac:dyDescent="0.25">
      <c r="N100" s="209">
        <f t="shared" si="2"/>
        <v>0</v>
      </c>
    </row>
    <row r="101" spans="14:14" x14ac:dyDescent="0.25">
      <c r="N101" s="209">
        <f t="shared" si="2"/>
        <v>0</v>
      </c>
    </row>
    <row r="102" spans="14:14" x14ac:dyDescent="0.25">
      <c r="N102" s="209">
        <f t="shared" si="2"/>
        <v>0</v>
      </c>
    </row>
    <row r="103" spans="14:14" x14ac:dyDescent="0.25">
      <c r="N103" s="209">
        <f t="shared" si="2"/>
        <v>0</v>
      </c>
    </row>
    <row r="104" spans="14:14" x14ac:dyDescent="0.25">
      <c r="N104" s="209">
        <f t="shared" si="2"/>
        <v>0</v>
      </c>
    </row>
    <row r="105" spans="14:14" x14ac:dyDescent="0.25">
      <c r="N105" s="209">
        <f t="shared" si="2"/>
        <v>0</v>
      </c>
    </row>
    <row r="106" spans="14:14" x14ac:dyDescent="0.25">
      <c r="N106" s="209">
        <f t="shared" si="2"/>
        <v>0</v>
      </c>
    </row>
    <row r="107" spans="14:14" x14ac:dyDescent="0.25">
      <c r="N107" s="209">
        <f t="shared" si="2"/>
        <v>0</v>
      </c>
    </row>
    <row r="108" spans="14:14" x14ac:dyDescent="0.25">
      <c r="N108" s="209">
        <f t="shared" si="2"/>
        <v>0</v>
      </c>
    </row>
    <row r="109" spans="14:14" x14ac:dyDescent="0.25">
      <c r="N109" s="209">
        <f t="shared" si="2"/>
        <v>0</v>
      </c>
    </row>
    <row r="110" spans="14:14" x14ac:dyDescent="0.25">
      <c r="N110" s="209">
        <f t="shared" si="2"/>
        <v>0</v>
      </c>
    </row>
    <row r="111" spans="14:14" x14ac:dyDescent="0.25">
      <c r="N111" s="209">
        <f t="shared" si="2"/>
        <v>0</v>
      </c>
    </row>
    <row r="112" spans="14:14" x14ac:dyDescent="0.25">
      <c r="N112" s="209">
        <f t="shared" si="2"/>
        <v>0</v>
      </c>
    </row>
    <row r="113" spans="14:14" x14ac:dyDescent="0.25">
      <c r="N113" s="209">
        <f t="shared" si="2"/>
        <v>0</v>
      </c>
    </row>
    <row r="114" spans="14:14" x14ac:dyDescent="0.25">
      <c r="N114" s="209">
        <f t="shared" si="2"/>
        <v>0</v>
      </c>
    </row>
    <row r="115" spans="14:14" x14ac:dyDescent="0.25">
      <c r="N115" s="209">
        <f t="shared" si="2"/>
        <v>0</v>
      </c>
    </row>
    <row r="116" spans="14:14" x14ac:dyDescent="0.25">
      <c r="N116" s="209">
        <f t="shared" si="2"/>
        <v>0</v>
      </c>
    </row>
    <row r="117" spans="14:14" x14ac:dyDescent="0.25">
      <c r="N117" s="209">
        <f t="shared" si="2"/>
        <v>0</v>
      </c>
    </row>
    <row r="118" spans="14:14" x14ac:dyDescent="0.25">
      <c r="N118" s="209">
        <f t="shared" si="2"/>
        <v>0</v>
      </c>
    </row>
    <row r="119" spans="14:14" x14ac:dyDescent="0.25">
      <c r="N119" s="209">
        <f t="shared" si="2"/>
        <v>0</v>
      </c>
    </row>
    <row r="120" spans="14:14" x14ac:dyDescent="0.25">
      <c r="N120" s="209">
        <f t="shared" si="2"/>
        <v>0</v>
      </c>
    </row>
    <row r="121" spans="14:14" x14ac:dyDescent="0.25">
      <c r="N121" s="209">
        <f t="shared" si="2"/>
        <v>0</v>
      </c>
    </row>
    <row r="122" spans="14:14" x14ac:dyDescent="0.25">
      <c r="N122" s="209">
        <f t="shared" si="2"/>
        <v>0</v>
      </c>
    </row>
    <row r="123" spans="14:14" x14ac:dyDescent="0.25">
      <c r="N123" s="209">
        <f t="shared" si="2"/>
        <v>0</v>
      </c>
    </row>
    <row r="124" spans="14:14" x14ac:dyDescent="0.25">
      <c r="N124" s="209">
        <f t="shared" si="2"/>
        <v>0</v>
      </c>
    </row>
    <row r="125" spans="14:14" x14ac:dyDescent="0.25">
      <c r="N125" s="209">
        <f t="shared" si="2"/>
        <v>0</v>
      </c>
    </row>
    <row r="126" spans="14:14" x14ac:dyDescent="0.25">
      <c r="N126" s="209">
        <f t="shared" si="2"/>
        <v>0</v>
      </c>
    </row>
    <row r="127" spans="14:14" x14ac:dyDescent="0.25">
      <c r="N127" s="209">
        <f t="shared" si="2"/>
        <v>0</v>
      </c>
    </row>
    <row r="128" spans="14:14" x14ac:dyDescent="0.25">
      <c r="N128" s="209">
        <f t="shared" si="2"/>
        <v>0</v>
      </c>
    </row>
    <row r="129" spans="14:14" x14ac:dyDescent="0.25">
      <c r="N129" s="209">
        <f t="shared" si="2"/>
        <v>0</v>
      </c>
    </row>
    <row r="130" spans="14:14" x14ac:dyDescent="0.25">
      <c r="N130" s="209">
        <f t="shared" si="2"/>
        <v>0</v>
      </c>
    </row>
    <row r="131" spans="14:14" x14ac:dyDescent="0.25">
      <c r="N131" s="209">
        <f t="shared" si="2"/>
        <v>0</v>
      </c>
    </row>
    <row r="132" spans="14:14" x14ac:dyDescent="0.25">
      <c r="N132" s="209">
        <f t="shared" ref="N132:N195" si="3">SUM(G132:M132)</f>
        <v>0</v>
      </c>
    </row>
    <row r="133" spans="14:14" x14ac:dyDescent="0.25">
      <c r="N133" s="209">
        <f t="shared" si="3"/>
        <v>0</v>
      </c>
    </row>
    <row r="134" spans="14:14" x14ac:dyDescent="0.25">
      <c r="N134" s="209">
        <f t="shared" si="3"/>
        <v>0</v>
      </c>
    </row>
    <row r="135" spans="14:14" x14ac:dyDescent="0.25">
      <c r="N135" s="209">
        <f t="shared" si="3"/>
        <v>0</v>
      </c>
    </row>
    <row r="136" spans="14:14" x14ac:dyDescent="0.25">
      <c r="N136" s="209">
        <f t="shared" si="3"/>
        <v>0</v>
      </c>
    </row>
    <row r="137" spans="14:14" x14ac:dyDescent="0.25">
      <c r="N137" s="209">
        <f t="shared" si="3"/>
        <v>0</v>
      </c>
    </row>
    <row r="138" spans="14:14" x14ac:dyDescent="0.25">
      <c r="N138" s="209">
        <f t="shared" si="3"/>
        <v>0</v>
      </c>
    </row>
    <row r="139" spans="14:14" x14ac:dyDescent="0.25">
      <c r="N139" s="209">
        <f t="shared" si="3"/>
        <v>0</v>
      </c>
    </row>
    <row r="140" spans="14:14" x14ac:dyDescent="0.25">
      <c r="N140" s="209">
        <f t="shared" si="3"/>
        <v>0</v>
      </c>
    </row>
    <row r="141" spans="14:14" x14ac:dyDescent="0.25">
      <c r="N141" s="209">
        <f t="shared" si="3"/>
        <v>0</v>
      </c>
    </row>
    <row r="142" spans="14:14" x14ac:dyDescent="0.25">
      <c r="N142" s="209">
        <f t="shared" si="3"/>
        <v>0</v>
      </c>
    </row>
    <row r="143" spans="14:14" x14ac:dyDescent="0.25">
      <c r="N143" s="209">
        <f t="shared" si="3"/>
        <v>0</v>
      </c>
    </row>
    <row r="144" spans="14:14" x14ac:dyDescent="0.25">
      <c r="N144" s="209">
        <f t="shared" si="3"/>
        <v>0</v>
      </c>
    </row>
    <row r="145" spans="14:14" x14ac:dyDescent="0.25">
      <c r="N145" s="209">
        <f t="shared" si="3"/>
        <v>0</v>
      </c>
    </row>
    <row r="146" spans="14:14" x14ac:dyDescent="0.25">
      <c r="N146" s="209">
        <f t="shared" si="3"/>
        <v>0</v>
      </c>
    </row>
    <row r="147" spans="14:14" x14ac:dyDescent="0.25">
      <c r="N147" s="209">
        <f t="shared" si="3"/>
        <v>0</v>
      </c>
    </row>
    <row r="148" spans="14:14" x14ac:dyDescent="0.25">
      <c r="N148" s="209">
        <f t="shared" si="3"/>
        <v>0</v>
      </c>
    </row>
    <row r="149" spans="14:14" x14ac:dyDescent="0.25">
      <c r="N149" s="209">
        <f t="shared" si="3"/>
        <v>0</v>
      </c>
    </row>
    <row r="150" spans="14:14" x14ac:dyDescent="0.25">
      <c r="N150" s="209">
        <f t="shared" si="3"/>
        <v>0</v>
      </c>
    </row>
    <row r="151" spans="14:14" x14ac:dyDescent="0.25">
      <c r="N151" s="209">
        <f t="shared" si="3"/>
        <v>0</v>
      </c>
    </row>
    <row r="152" spans="14:14" x14ac:dyDescent="0.25">
      <c r="N152" s="209">
        <f t="shared" si="3"/>
        <v>0</v>
      </c>
    </row>
    <row r="153" spans="14:14" x14ac:dyDescent="0.25">
      <c r="N153" s="209">
        <f t="shared" si="3"/>
        <v>0</v>
      </c>
    </row>
    <row r="154" spans="14:14" x14ac:dyDescent="0.25">
      <c r="N154" s="209">
        <f t="shared" si="3"/>
        <v>0</v>
      </c>
    </row>
    <row r="155" spans="14:14" x14ac:dyDescent="0.25">
      <c r="N155" s="209">
        <f t="shared" si="3"/>
        <v>0</v>
      </c>
    </row>
    <row r="156" spans="14:14" x14ac:dyDescent="0.25">
      <c r="N156" s="209">
        <f t="shared" si="3"/>
        <v>0</v>
      </c>
    </row>
    <row r="157" spans="14:14" x14ac:dyDescent="0.25">
      <c r="N157" s="209">
        <f t="shared" si="3"/>
        <v>0</v>
      </c>
    </row>
    <row r="158" spans="14:14" x14ac:dyDescent="0.25">
      <c r="N158" s="209">
        <f t="shared" si="3"/>
        <v>0</v>
      </c>
    </row>
    <row r="159" spans="14:14" x14ac:dyDescent="0.25">
      <c r="N159" s="209">
        <f t="shared" si="3"/>
        <v>0</v>
      </c>
    </row>
    <row r="160" spans="14:14" x14ac:dyDescent="0.25">
      <c r="N160" s="209">
        <f t="shared" si="3"/>
        <v>0</v>
      </c>
    </row>
    <row r="161" spans="14:14" x14ac:dyDescent="0.25">
      <c r="N161" s="209">
        <f t="shared" si="3"/>
        <v>0</v>
      </c>
    </row>
    <row r="162" spans="14:14" x14ac:dyDescent="0.25">
      <c r="N162" s="209">
        <f t="shared" si="3"/>
        <v>0</v>
      </c>
    </row>
    <row r="163" spans="14:14" x14ac:dyDescent="0.25">
      <c r="N163" s="209">
        <f t="shared" si="3"/>
        <v>0</v>
      </c>
    </row>
    <row r="164" spans="14:14" x14ac:dyDescent="0.25">
      <c r="N164" s="209">
        <f t="shared" si="3"/>
        <v>0</v>
      </c>
    </row>
    <row r="165" spans="14:14" x14ac:dyDescent="0.25">
      <c r="N165" s="209">
        <f t="shared" si="3"/>
        <v>0</v>
      </c>
    </row>
    <row r="166" spans="14:14" x14ac:dyDescent="0.25">
      <c r="N166" s="209">
        <f t="shared" si="3"/>
        <v>0</v>
      </c>
    </row>
    <row r="167" spans="14:14" x14ac:dyDescent="0.25">
      <c r="N167" s="209">
        <f t="shared" si="3"/>
        <v>0</v>
      </c>
    </row>
    <row r="168" spans="14:14" x14ac:dyDescent="0.25">
      <c r="N168" s="209">
        <f t="shared" si="3"/>
        <v>0</v>
      </c>
    </row>
    <row r="169" spans="14:14" x14ac:dyDescent="0.25">
      <c r="N169" s="209">
        <f t="shared" si="3"/>
        <v>0</v>
      </c>
    </row>
    <row r="170" spans="14:14" x14ac:dyDescent="0.25">
      <c r="N170" s="209">
        <f t="shared" si="3"/>
        <v>0</v>
      </c>
    </row>
    <row r="171" spans="14:14" x14ac:dyDescent="0.25">
      <c r="N171" s="209">
        <f t="shared" si="3"/>
        <v>0</v>
      </c>
    </row>
    <row r="172" spans="14:14" x14ac:dyDescent="0.25">
      <c r="N172" s="209">
        <f t="shared" si="3"/>
        <v>0</v>
      </c>
    </row>
    <row r="173" spans="14:14" x14ac:dyDescent="0.25">
      <c r="N173" s="209">
        <f t="shared" si="3"/>
        <v>0</v>
      </c>
    </row>
    <row r="174" spans="14:14" x14ac:dyDescent="0.25">
      <c r="N174" s="209">
        <f t="shared" si="3"/>
        <v>0</v>
      </c>
    </row>
    <row r="175" spans="14:14" x14ac:dyDescent="0.25">
      <c r="N175" s="209">
        <f t="shared" si="3"/>
        <v>0</v>
      </c>
    </row>
    <row r="176" spans="14:14" x14ac:dyDescent="0.25">
      <c r="N176" s="209">
        <f t="shared" si="3"/>
        <v>0</v>
      </c>
    </row>
    <row r="177" spans="14:14" x14ac:dyDescent="0.25">
      <c r="N177" s="209">
        <f t="shared" si="3"/>
        <v>0</v>
      </c>
    </row>
    <row r="178" spans="14:14" x14ac:dyDescent="0.25">
      <c r="N178" s="209">
        <f t="shared" si="3"/>
        <v>0</v>
      </c>
    </row>
    <row r="179" spans="14:14" x14ac:dyDescent="0.25">
      <c r="N179" s="209">
        <f t="shared" si="3"/>
        <v>0</v>
      </c>
    </row>
    <row r="180" spans="14:14" x14ac:dyDescent="0.25">
      <c r="N180" s="209">
        <f t="shared" si="3"/>
        <v>0</v>
      </c>
    </row>
    <row r="181" spans="14:14" x14ac:dyDescent="0.25">
      <c r="N181" s="209">
        <f t="shared" si="3"/>
        <v>0</v>
      </c>
    </row>
    <row r="182" spans="14:14" x14ac:dyDescent="0.25">
      <c r="N182" s="209">
        <f t="shared" si="3"/>
        <v>0</v>
      </c>
    </row>
    <row r="183" spans="14:14" x14ac:dyDescent="0.25">
      <c r="N183" s="209">
        <f t="shared" si="3"/>
        <v>0</v>
      </c>
    </row>
    <row r="184" spans="14:14" x14ac:dyDescent="0.25">
      <c r="N184" s="209">
        <f t="shared" si="3"/>
        <v>0</v>
      </c>
    </row>
    <row r="185" spans="14:14" x14ac:dyDescent="0.25">
      <c r="N185" s="209">
        <f t="shared" si="3"/>
        <v>0</v>
      </c>
    </row>
    <row r="186" spans="14:14" x14ac:dyDescent="0.25">
      <c r="N186" s="209">
        <f t="shared" si="3"/>
        <v>0</v>
      </c>
    </row>
    <row r="187" spans="14:14" x14ac:dyDescent="0.25">
      <c r="N187" s="209">
        <f t="shared" si="3"/>
        <v>0</v>
      </c>
    </row>
    <row r="188" spans="14:14" x14ac:dyDescent="0.25">
      <c r="N188" s="209">
        <f t="shared" si="3"/>
        <v>0</v>
      </c>
    </row>
    <row r="189" spans="14:14" x14ac:dyDescent="0.25">
      <c r="N189" s="209">
        <f t="shared" si="3"/>
        <v>0</v>
      </c>
    </row>
    <row r="190" spans="14:14" x14ac:dyDescent="0.25">
      <c r="N190" s="209">
        <f t="shared" si="3"/>
        <v>0</v>
      </c>
    </row>
    <row r="191" spans="14:14" x14ac:dyDescent="0.25">
      <c r="N191" s="209">
        <f t="shared" si="3"/>
        <v>0</v>
      </c>
    </row>
    <row r="192" spans="14:14" x14ac:dyDescent="0.25">
      <c r="N192" s="209">
        <f t="shared" si="3"/>
        <v>0</v>
      </c>
    </row>
    <row r="193" spans="14:14" x14ac:dyDescent="0.25">
      <c r="N193" s="209">
        <f t="shared" si="3"/>
        <v>0</v>
      </c>
    </row>
    <row r="194" spans="14:14" x14ac:dyDescent="0.25">
      <c r="N194" s="209">
        <f t="shared" si="3"/>
        <v>0</v>
      </c>
    </row>
    <row r="195" spans="14:14" x14ac:dyDescent="0.25">
      <c r="N195" s="209">
        <f t="shared" si="3"/>
        <v>0</v>
      </c>
    </row>
    <row r="196" spans="14:14" x14ac:dyDescent="0.25">
      <c r="N196" s="209">
        <f>SUM(G196:M196)</f>
        <v>0</v>
      </c>
    </row>
    <row r="197" spans="14:14" x14ac:dyDescent="0.25">
      <c r="N197" s="209">
        <f>SUM(G197:M197)</f>
        <v>0</v>
      </c>
    </row>
    <row r="198" spans="14:14" x14ac:dyDescent="0.25">
      <c r="N198" s="209">
        <f>SUM(G198:M198)</f>
        <v>0</v>
      </c>
    </row>
    <row r="199" spans="14:14" x14ac:dyDescent="0.25">
      <c r="N199" s="209">
        <f>SUM(G199:M199)</f>
        <v>0</v>
      </c>
    </row>
    <row r="200" spans="14:14" x14ac:dyDescent="0.25">
      <c r="N200" s="209">
        <f>SUM(G200:M200)</f>
        <v>0</v>
      </c>
    </row>
  </sheetData>
  <autoFilter ref="A2:N200" xr:uid="{00000000-0009-0000-0000-00000D000000}"/>
  <pageMargins left="0.7" right="0.7" top="0.75" bottom="0.75" header="0.3" footer="0.3"/>
  <pageSetup scale="73" orientation="landscape" r:id="rId1"/>
  <ignoredErrors>
    <ignoredError sqref="N3 N4:N9 N10:N18" formulaRange="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tabColor rgb="FF92D050"/>
    <pageSetUpPr fitToPage="1"/>
  </sheetPr>
  <dimension ref="A1:L14"/>
  <sheetViews>
    <sheetView showGridLines="0" workbookViewId="0"/>
  </sheetViews>
  <sheetFormatPr baseColWidth="10" defaultColWidth="11.42578125" defaultRowHeight="15" x14ac:dyDescent="0.25"/>
  <cols>
    <col min="1" max="1" width="8.7109375" style="48" bestFit="1" customWidth="1"/>
    <col min="2" max="2" width="12.7109375" style="78" customWidth="1"/>
    <col min="3" max="3" width="12.7109375" style="48" customWidth="1"/>
    <col min="4" max="4" width="31.28515625" style="48" bestFit="1" customWidth="1"/>
    <col min="5" max="11" width="11.7109375" style="78" customWidth="1"/>
    <col min="12" max="12" width="12.7109375" style="48" customWidth="1"/>
    <col min="13" max="13" width="3.140625" style="48" bestFit="1" customWidth="1"/>
    <col min="14" max="14" width="12.7109375" style="48" bestFit="1" customWidth="1"/>
    <col min="15" max="15" width="11.140625" style="48" bestFit="1" customWidth="1"/>
    <col min="16" max="16" width="18.85546875" style="48" customWidth="1"/>
    <col min="17" max="16384" width="11.42578125" style="48"/>
  </cols>
  <sheetData>
    <row r="1" spans="1:12" ht="18.75" x14ac:dyDescent="0.3">
      <c r="B1" s="377" t="s">
        <v>237</v>
      </c>
      <c r="C1" s="1129"/>
      <c r="D1" s="1130"/>
      <c r="E1" s="1131" t="s">
        <v>385</v>
      </c>
      <c r="F1" s="1132"/>
      <c r="G1" s="1132"/>
      <c r="H1" s="1133"/>
      <c r="I1" s="373" t="s">
        <v>238</v>
      </c>
      <c r="J1" s="378"/>
      <c r="K1" s="194" t="s">
        <v>280</v>
      </c>
      <c r="L1" s="378"/>
    </row>
    <row r="2" spans="1:12" x14ac:dyDescent="0.25">
      <c r="B2" s="195" t="s">
        <v>0</v>
      </c>
      <c r="C2" s="195" t="s">
        <v>239</v>
      </c>
      <c r="D2" s="195" t="s">
        <v>6</v>
      </c>
      <c r="E2" s="195" t="s">
        <v>240</v>
      </c>
      <c r="F2" s="195" t="s">
        <v>61</v>
      </c>
      <c r="G2" s="195" t="s">
        <v>62</v>
      </c>
      <c r="H2" s="195" t="s">
        <v>63</v>
      </c>
      <c r="I2" s="195" t="s">
        <v>241</v>
      </c>
      <c r="J2" s="195" t="s">
        <v>65</v>
      </c>
      <c r="K2" s="195" t="s">
        <v>67</v>
      </c>
      <c r="L2" s="195" t="s">
        <v>242</v>
      </c>
    </row>
    <row r="3" spans="1:12" x14ac:dyDescent="0.25">
      <c r="B3" s="196"/>
      <c r="C3" s="198"/>
      <c r="D3" s="197"/>
      <c r="E3" s="199" t="s">
        <v>243</v>
      </c>
      <c r="F3" s="199" t="s">
        <v>243</v>
      </c>
      <c r="G3" s="199" t="s">
        <v>243</v>
      </c>
      <c r="H3" s="199" t="s">
        <v>243</v>
      </c>
      <c r="I3" s="199" t="s">
        <v>243</v>
      </c>
      <c r="J3" s="199" t="s">
        <v>243</v>
      </c>
      <c r="K3" s="199" t="s">
        <v>243</v>
      </c>
      <c r="L3" s="80">
        <f t="shared" ref="L3:L13" si="0">SUM(E3:K3)</f>
        <v>0</v>
      </c>
    </row>
    <row r="4" spans="1:12" x14ac:dyDescent="0.25">
      <c r="B4" s="196"/>
      <c r="C4" s="198"/>
      <c r="D4" s="197"/>
      <c r="E4" s="199" t="s">
        <v>243</v>
      </c>
      <c r="F4" s="199" t="s">
        <v>243</v>
      </c>
      <c r="G4" s="199" t="s">
        <v>243</v>
      </c>
      <c r="H4" s="199" t="s">
        <v>243</v>
      </c>
      <c r="I4" s="199" t="s">
        <v>243</v>
      </c>
      <c r="J4" s="199" t="s">
        <v>243</v>
      </c>
      <c r="K4" s="199" t="s">
        <v>243</v>
      </c>
      <c r="L4" s="80">
        <f>SUM(E4:K4)</f>
        <v>0</v>
      </c>
    </row>
    <row r="5" spans="1:12" x14ac:dyDescent="0.25">
      <c r="B5" s="196"/>
      <c r="C5" s="198"/>
      <c r="D5" s="197"/>
      <c r="E5" s="199" t="s">
        <v>243</v>
      </c>
      <c r="F5" s="199" t="s">
        <v>243</v>
      </c>
      <c r="G5" s="199" t="s">
        <v>243</v>
      </c>
      <c r="H5" s="199" t="s">
        <v>243</v>
      </c>
      <c r="I5" s="199" t="s">
        <v>243</v>
      </c>
      <c r="J5" s="199" t="s">
        <v>243</v>
      </c>
      <c r="K5" s="199" t="s">
        <v>243</v>
      </c>
      <c r="L5" s="80">
        <f>SUM(E5:K5)</f>
        <v>0</v>
      </c>
    </row>
    <row r="6" spans="1:12" x14ac:dyDescent="0.25">
      <c r="B6" s="196"/>
      <c r="C6" s="198"/>
      <c r="D6" s="197"/>
      <c r="E6" s="199" t="s">
        <v>243</v>
      </c>
      <c r="F6" s="199" t="s">
        <v>243</v>
      </c>
      <c r="G6" s="199" t="s">
        <v>243</v>
      </c>
      <c r="H6" s="199" t="s">
        <v>243</v>
      </c>
      <c r="I6" s="199" t="s">
        <v>243</v>
      </c>
      <c r="J6" s="199" t="s">
        <v>243</v>
      </c>
      <c r="K6" s="199" t="s">
        <v>243</v>
      </c>
      <c r="L6" s="80">
        <f>SUM(E6:K6)</f>
        <v>0</v>
      </c>
    </row>
    <row r="7" spans="1:12" x14ac:dyDescent="0.25">
      <c r="B7" s="196"/>
      <c r="C7" s="198"/>
      <c r="D7" s="197"/>
      <c r="E7" s="199" t="s">
        <v>243</v>
      </c>
      <c r="F7" s="199" t="s">
        <v>243</v>
      </c>
      <c r="G7" s="199" t="s">
        <v>243</v>
      </c>
      <c r="H7" s="199" t="s">
        <v>243</v>
      </c>
      <c r="I7" s="199" t="s">
        <v>243</v>
      </c>
      <c r="J7" s="199" t="s">
        <v>243</v>
      </c>
      <c r="K7" s="199" t="s">
        <v>243</v>
      </c>
      <c r="L7" s="80">
        <f t="shared" si="0"/>
        <v>0</v>
      </c>
    </row>
    <row r="8" spans="1:12" x14ac:dyDescent="0.25">
      <c r="B8" s="196"/>
      <c r="C8" s="198"/>
      <c r="D8" s="197"/>
      <c r="E8" s="199" t="s">
        <v>243</v>
      </c>
      <c r="F8" s="199" t="s">
        <v>243</v>
      </c>
      <c r="G8" s="199" t="s">
        <v>243</v>
      </c>
      <c r="H8" s="199" t="s">
        <v>243</v>
      </c>
      <c r="I8" s="199" t="s">
        <v>243</v>
      </c>
      <c r="J8" s="199" t="s">
        <v>243</v>
      </c>
      <c r="K8" s="199" t="s">
        <v>243</v>
      </c>
      <c r="L8" s="80">
        <f t="shared" si="0"/>
        <v>0</v>
      </c>
    </row>
    <row r="9" spans="1:12" x14ac:dyDescent="0.25">
      <c r="B9" s="196"/>
      <c r="C9" s="198"/>
      <c r="D9" s="197"/>
      <c r="E9" s="199" t="s">
        <v>243</v>
      </c>
      <c r="F9" s="199" t="s">
        <v>243</v>
      </c>
      <c r="G9" s="199" t="s">
        <v>243</v>
      </c>
      <c r="H9" s="199" t="s">
        <v>243</v>
      </c>
      <c r="I9" s="199" t="s">
        <v>243</v>
      </c>
      <c r="J9" s="199" t="s">
        <v>243</v>
      </c>
      <c r="K9" s="199" t="s">
        <v>243</v>
      </c>
      <c r="L9" s="80">
        <f t="shared" si="0"/>
        <v>0</v>
      </c>
    </row>
    <row r="10" spans="1:12" x14ac:dyDescent="0.25">
      <c r="B10" s="196"/>
      <c r="C10" s="198"/>
      <c r="D10" s="197"/>
      <c r="E10" s="199" t="s">
        <v>243</v>
      </c>
      <c r="F10" s="199" t="s">
        <v>243</v>
      </c>
      <c r="G10" s="199" t="s">
        <v>243</v>
      </c>
      <c r="H10" s="199" t="s">
        <v>243</v>
      </c>
      <c r="I10" s="199" t="s">
        <v>243</v>
      </c>
      <c r="J10" s="199" t="s">
        <v>243</v>
      </c>
      <c r="K10" s="199" t="s">
        <v>243</v>
      </c>
      <c r="L10" s="80">
        <f t="shared" si="0"/>
        <v>0</v>
      </c>
    </row>
    <row r="11" spans="1:12" x14ac:dyDescent="0.25">
      <c r="B11" s="196"/>
      <c r="C11" s="198"/>
      <c r="D11" s="197"/>
      <c r="E11" s="199" t="s">
        <v>243</v>
      </c>
      <c r="F11" s="199" t="s">
        <v>243</v>
      </c>
      <c r="G11" s="199" t="s">
        <v>243</v>
      </c>
      <c r="H11" s="199" t="s">
        <v>243</v>
      </c>
      <c r="I11" s="199" t="s">
        <v>243</v>
      </c>
      <c r="J11" s="199" t="s">
        <v>243</v>
      </c>
      <c r="K11" s="199" t="s">
        <v>243</v>
      </c>
      <c r="L11" s="80">
        <f t="shared" si="0"/>
        <v>0</v>
      </c>
    </row>
    <row r="12" spans="1:12" x14ac:dyDescent="0.25">
      <c r="B12" s="196"/>
      <c r="C12" s="198"/>
      <c r="D12" s="197"/>
      <c r="E12" s="199" t="s">
        <v>243</v>
      </c>
      <c r="F12" s="199" t="s">
        <v>243</v>
      </c>
      <c r="G12" s="199" t="s">
        <v>243</v>
      </c>
      <c r="H12" s="199" t="s">
        <v>243</v>
      </c>
      <c r="I12" s="199" t="s">
        <v>243</v>
      </c>
      <c r="J12" s="199" t="s">
        <v>243</v>
      </c>
      <c r="K12" s="199" t="s">
        <v>243</v>
      </c>
      <c r="L12" s="80">
        <f t="shared" si="0"/>
        <v>0</v>
      </c>
    </row>
    <row r="13" spans="1:12" x14ac:dyDescent="0.25">
      <c r="B13" s="196"/>
      <c r="C13" s="198"/>
      <c r="D13" s="197"/>
      <c r="E13" s="199" t="s">
        <v>243</v>
      </c>
      <c r="F13" s="199" t="s">
        <v>243</v>
      </c>
      <c r="G13" s="199" t="s">
        <v>243</v>
      </c>
      <c r="H13" s="199" t="s">
        <v>243</v>
      </c>
      <c r="I13" s="199" t="s">
        <v>243</v>
      </c>
      <c r="J13" s="199" t="s">
        <v>243</v>
      </c>
      <c r="K13" s="199" t="s">
        <v>243</v>
      </c>
      <c r="L13" s="80">
        <f t="shared" si="0"/>
        <v>0</v>
      </c>
    </row>
    <row r="14" spans="1:12" ht="18.75" x14ac:dyDescent="0.25">
      <c r="A14" s="347" t="s">
        <v>313</v>
      </c>
      <c r="B14" s="1127" t="s">
        <v>245</v>
      </c>
      <c r="C14" s="1128"/>
      <c r="D14" s="348">
        <f>SUM(E14:K14)</f>
        <v>0</v>
      </c>
      <c r="E14" s="80">
        <f t="shared" ref="E14:K14" si="1">SUM(E3:E13)</f>
        <v>0</v>
      </c>
      <c r="F14" s="80">
        <f t="shared" si="1"/>
        <v>0</v>
      </c>
      <c r="G14" s="80">
        <f t="shared" si="1"/>
        <v>0</v>
      </c>
      <c r="H14" s="80">
        <f t="shared" si="1"/>
        <v>0</v>
      </c>
      <c r="I14" s="80">
        <f t="shared" si="1"/>
        <v>0</v>
      </c>
      <c r="J14" s="80">
        <f t="shared" si="1"/>
        <v>0</v>
      </c>
      <c r="K14" s="80">
        <f t="shared" si="1"/>
        <v>0</v>
      </c>
      <c r="L14" s="81">
        <f>SUM(E14:K14)-SUM(L3:L13)</f>
        <v>0</v>
      </c>
    </row>
  </sheetData>
  <mergeCells count="3">
    <mergeCell ref="B14:C14"/>
    <mergeCell ref="C1:D1"/>
    <mergeCell ref="E1:H1"/>
  </mergeCells>
  <phoneticPr fontId="22" type="noConversion"/>
  <dataValidations count="1">
    <dataValidation type="list" allowBlank="1" showInputMessage="1" showErrorMessage="1" sqref="C1:D1" xr:uid="{00000000-0002-0000-0E00-000000000000}">
      <formula1>#REF!</formula1>
    </dataValidation>
  </dataValidations>
  <printOptions horizontalCentered="1" verticalCentered="1"/>
  <pageMargins left="0.25" right="0.25" top="0.75" bottom="0.75" header="0.3" footer="0.3"/>
  <pageSetup paperSize="139" fitToHeight="0" orientation="landscape"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tabColor rgb="FF92D050"/>
    <outlinePr summaryRight="0"/>
  </sheetPr>
  <dimension ref="A1:DD64"/>
  <sheetViews>
    <sheetView showGridLines="0" workbookViewId="0">
      <pane xSplit="7" ySplit="2" topLeftCell="CP3" activePane="bottomRight" state="frozen"/>
      <selection pane="topRight" activeCell="G1" sqref="G1"/>
      <selection pane="bottomLeft" activeCell="A3" sqref="A3"/>
      <selection pane="bottomRight"/>
    </sheetView>
  </sheetViews>
  <sheetFormatPr baseColWidth="10" defaultRowHeight="12.75" x14ac:dyDescent="0.2"/>
  <cols>
    <col min="1" max="1" width="11.7109375" style="603" bestFit="1" customWidth="1"/>
    <col min="2" max="2" width="8.42578125" style="835" bestFit="1" customWidth="1"/>
    <col min="3" max="3" width="17.28515625" style="580" bestFit="1" customWidth="1"/>
    <col min="4" max="4" width="9.5703125" style="580" bestFit="1" customWidth="1"/>
    <col min="5" max="6" width="11" style="580" bestFit="1" customWidth="1"/>
    <col min="7" max="7" width="9" style="604" bestFit="1" customWidth="1"/>
    <col min="8" max="8" width="6.5703125" style="580" bestFit="1" customWidth="1"/>
    <col min="9" max="9" width="6.140625" style="580" bestFit="1" customWidth="1"/>
    <col min="10" max="10" width="6.7109375" style="580" bestFit="1" customWidth="1"/>
    <col min="11" max="11" width="6.140625" style="580" bestFit="1" customWidth="1"/>
    <col min="12" max="12" width="6.85546875" style="580" bestFit="1" customWidth="1"/>
    <col min="13" max="13" width="6" style="580" bestFit="1" customWidth="1"/>
    <col min="14" max="14" width="5.42578125" style="580" bestFit="1" customWidth="1"/>
    <col min="15" max="15" width="6.28515625" style="580" bestFit="1" customWidth="1"/>
    <col min="16" max="16" width="7" style="580" bestFit="1" customWidth="1"/>
    <col min="17" max="17" width="6" style="580" bestFit="1" customWidth="1"/>
    <col min="18" max="18" width="6.42578125" style="580" bestFit="1" customWidth="1"/>
    <col min="19" max="19" width="5.7109375" style="580" bestFit="1" customWidth="1"/>
    <col min="20" max="20" width="6.5703125" style="580" bestFit="1" customWidth="1"/>
    <col min="21" max="21" width="6.140625" style="580" bestFit="1" customWidth="1"/>
    <col min="22" max="22" width="6.7109375" style="580" bestFit="1" customWidth="1"/>
    <col min="23" max="23" width="6.140625" style="580" bestFit="1" customWidth="1"/>
    <col min="24" max="24" width="6.85546875" style="580" bestFit="1" customWidth="1"/>
    <col min="25" max="25" width="6" style="580" bestFit="1" customWidth="1"/>
    <col min="26" max="26" width="5.42578125" style="580" bestFit="1" customWidth="1"/>
    <col min="27" max="27" width="6.28515625" style="580" bestFit="1" customWidth="1"/>
    <col min="28" max="28" width="7" style="580" bestFit="1" customWidth="1"/>
    <col min="29" max="29" width="6" style="580" bestFit="1" customWidth="1"/>
    <col min="30" max="30" width="6.42578125" style="580" bestFit="1" customWidth="1"/>
    <col min="31" max="31" width="5.7109375" style="580" bestFit="1" customWidth="1"/>
    <col min="32" max="32" width="6.5703125" style="580" bestFit="1" customWidth="1"/>
    <col min="33" max="33" width="6.140625" style="580" bestFit="1" customWidth="1"/>
    <col min="34" max="34" width="6.7109375" style="580" bestFit="1" customWidth="1"/>
    <col min="35" max="35" width="6.140625" style="580" bestFit="1" customWidth="1"/>
    <col min="36" max="36" width="6.85546875" style="580" bestFit="1" customWidth="1"/>
    <col min="37" max="37" width="6" style="580" bestFit="1" customWidth="1"/>
    <col min="38" max="38" width="5.42578125" style="580" bestFit="1" customWidth="1"/>
    <col min="39" max="39" width="6.28515625" style="580" bestFit="1" customWidth="1"/>
    <col min="40" max="40" width="7" style="580" bestFit="1" customWidth="1"/>
    <col min="41" max="41" width="6" style="580" bestFit="1" customWidth="1"/>
    <col min="42" max="42" width="6.42578125" style="580" bestFit="1" customWidth="1"/>
    <col min="43" max="43" width="5.7109375" style="580" bestFit="1" customWidth="1"/>
    <col min="44" max="44" width="6.5703125" style="580" bestFit="1" customWidth="1"/>
    <col min="45" max="45" width="6.140625" style="580" bestFit="1" customWidth="1"/>
    <col min="46" max="46" width="6.7109375" style="580" bestFit="1" customWidth="1"/>
    <col min="47" max="47" width="6.140625" style="580" bestFit="1" customWidth="1"/>
    <col min="48" max="48" width="6.85546875" style="580" bestFit="1" customWidth="1"/>
    <col min="49" max="49" width="6" style="580" bestFit="1" customWidth="1"/>
    <col min="50" max="50" width="5.42578125" style="580" bestFit="1" customWidth="1"/>
    <col min="51" max="51" width="6.28515625" style="580" bestFit="1" customWidth="1"/>
    <col min="52" max="52" width="7" style="580" bestFit="1" customWidth="1"/>
    <col min="53" max="53" width="6" style="580" bestFit="1" customWidth="1"/>
    <col min="54" max="54" width="6.42578125" style="580" bestFit="1" customWidth="1"/>
    <col min="55" max="55" width="5.7109375" style="580" bestFit="1" customWidth="1"/>
    <col min="56" max="56" width="6.5703125" style="580" bestFit="1" customWidth="1"/>
    <col min="57" max="57" width="6.140625" style="580" bestFit="1" customWidth="1"/>
    <col min="58" max="58" width="6.7109375" style="580" bestFit="1" customWidth="1"/>
    <col min="59" max="59" width="6.140625" style="580" bestFit="1" customWidth="1"/>
    <col min="60" max="60" width="6.85546875" style="580" bestFit="1" customWidth="1"/>
    <col min="61" max="61" width="6" style="580" bestFit="1" customWidth="1"/>
    <col min="62" max="62" width="5.42578125" style="580" bestFit="1" customWidth="1"/>
    <col min="63" max="63" width="6.28515625" style="580" bestFit="1" customWidth="1"/>
    <col min="64" max="64" width="7" style="580" bestFit="1" customWidth="1"/>
    <col min="65" max="65" width="6" style="580" bestFit="1" customWidth="1"/>
    <col min="66" max="66" width="6.42578125" style="580" bestFit="1" customWidth="1"/>
    <col min="67" max="67" width="5.7109375" style="580" bestFit="1" customWidth="1"/>
    <col min="68" max="68" width="6.5703125" style="580" bestFit="1" customWidth="1"/>
    <col min="69" max="69" width="6.140625" style="580" bestFit="1" customWidth="1"/>
    <col min="70" max="70" width="6.7109375" style="580" bestFit="1" customWidth="1"/>
    <col min="71" max="71" width="6.140625" style="580" bestFit="1" customWidth="1"/>
    <col min="72" max="72" width="6.85546875" style="580" bestFit="1" customWidth="1"/>
    <col min="73" max="73" width="6" style="580" bestFit="1" customWidth="1"/>
    <col min="74" max="74" width="5.42578125" style="580" bestFit="1" customWidth="1"/>
    <col min="75" max="75" width="6.28515625" style="580" bestFit="1" customWidth="1"/>
    <col min="76" max="76" width="7" style="580" bestFit="1" customWidth="1"/>
    <col min="77" max="77" width="6" style="580" bestFit="1" customWidth="1"/>
    <col min="78" max="78" width="6.42578125" style="580" bestFit="1" customWidth="1"/>
    <col min="79" max="79" width="5.7109375" style="580" bestFit="1" customWidth="1"/>
    <col min="80" max="80" width="6.5703125" style="580" bestFit="1" customWidth="1"/>
    <col min="81" max="81" width="6.140625" style="580" bestFit="1" customWidth="1"/>
    <col min="82" max="82" width="6.7109375" style="580" bestFit="1" customWidth="1"/>
    <col min="83" max="83" width="6.140625" style="580" bestFit="1" customWidth="1"/>
    <col min="84" max="84" width="6.85546875" style="580" bestFit="1" customWidth="1"/>
    <col min="85" max="85" width="6" style="580" bestFit="1" customWidth="1"/>
    <col min="86" max="86" width="5.42578125" style="580" bestFit="1" customWidth="1"/>
    <col min="87" max="87" width="6.28515625" style="580" bestFit="1" customWidth="1"/>
    <col min="88" max="88" width="7" style="580" bestFit="1" customWidth="1"/>
    <col min="89" max="89" width="6" style="580" bestFit="1" customWidth="1"/>
    <col min="90" max="90" width="6.42578125" style="580" bestFit="1" customWidth="1"/>
    <col min="91" max="91" width="5.7109375" style="580" bestFit="1" customWidth="1"/>
    <col min="92" max="92" width="6.5703125" style="580" bestFit="1" customWidth="1"/>
    <col min="93" max="93" width="6.140625" style="580" bestFit="1" customWidth="1"/>
    <col min="94" max="94" width="6.7109375" style="580" bestFit="1" customWidth="1"/>
    <col min="95" max="95" width="6.140625" style="580" bestFit="1" customWidth="1"/>
    <col min="96" max="96" width="6.85546875" style="580" bestFit="1" customWidth="1"/>
    <col min="97" max="97" width="6" style="580" bestFit="1" customWidth="1"/>
    <col min="98" max="98" width="5.42578125" style="580" bestFit="1" customWidth="1"/>
    <col min="99" max="99" width="6.28515625" style="580" bestFit="1" customWidth="1"/>
    <col min="100" max="100" width="7" style="580" bestFit="1" customWidth="1"/>
    <col min="101" max="101" width="6" style="580" bestFit="1" customWidth="1"/>
    <col min="102" max="102" width="6.42578125" style="580" bestFit="1" customWidth="1"/>
    <col min="103" max="103" width="5.7109375" style="580" bestFit="1" customWidth="1"/>
    <col min="104" max="104" width="6.5703125" style="580" bestFit="1" customWidth="1"/>
    <col min="105" max="105" width="6.140625" style="580" bestFit="1" customWidth="1"/>
    <col min="106" max="106" width="6.7109375" style="580" bestFit="1" customWidth="1"/>
    <col min="107" max="107" width="11" style="511" bestFit="1" customWidth="1"/>
    <col min="108" max="16384" width="11.42578125" style="511"/>
  </cols>
  <sheetData>
    <row r="1" spans="1:107" s="620" customFormat="1" ht="13.5" thickBot="1" x14ac:dyDescent="0.25">
      <c r="A1" s="615">
        <f>SUM(H1:DB1)</f>
        <v>2746000</v>
      </c>
      <c r="B1" s="830">
        <f>+E1/F1</f>
        <v>0.88097529675970487</v>
      </c>
      <c r="C1" s="616">
        <f>+E1-A1</f>
        <v>0</v>
      </c>
      <c r="D1" s="616"/>
      <c r="E1" s="615">
        <f>SUM(E3:E58)</f>
        <v>2746000</v>
      </c>
      <c r="F1" s="615">
        <f>SUM(F3:F58)</f>
        <v>3117000</v>
      </c>
      <c r="G1" s="617"/>
      <c r="H1" s="1139">
        <f>SUM(H3:S58)</f>
        <v>380000</v>
      </c>
      <c r="I1" s="1139"/>
      <c r="J1" s="616"/>
      <c r="K1" s="618"/>
      <c r="L1" s="616"/>
      <c r="M1" s="616"/>
      <c r="N1" s="616"/>
      <c r="O1" s="616"/>
      <c r="P1" s="616"/>
      <c r="Q1" s="616"/>
      <c r="R1" s="616"/>
      <c r="S1" s="616"/>
      <c r="T1" s="1139">
        <f>SUM(T3:AE58)</f>
        <v>420000</v>
      </c>
      <c r="U1" s="1139"/>
      <c r="V1" s="616"/>
      <c r="W1" s="616"/>
      <c r="X1" s="616"/>
      <c r="Y1" s="616"/>
      <c r="Z1" s="616"/>
      <c r="AA1" s="616"/>
      <c r="AB1" s="616"/>
      <c r="AC1" s="616"/>
      <c r="AD1" s="616"/>
      <c r="AE1" s="616"/>
      <c r="AF1" s="1139">
        <f>SUM(AF3:AQ58)</f>
        <v>394000</v>
      </c>
      <c r="AG1" s="1139"/>
      <c r="AH1" s="616"/>
      <c r="AI1" s="616"/>
      <c r="AJ1" s="616"/>
      <c r="AK1" s="616"/>
      <c r="AL1" s="616"/>
      <c r="AM1" s="616"/>
      <c r="AN1" s="616"/>
      <c r="AO1" s="616"/>
      <c r="AP1" s="616"/>
      <c r="AQ1" s="616"/>
      <c r="AR1" s="1139">
        <f>SUM(AR3:BC58)</f>
        <v>408000</v>
      </c>
      <c r="AS1" s="1139"/>
      <c r="AT1" s="616"/>
      <c r="AU1" s="616"/>
      <c r="AV1" s="616"/>
      <c r="AW1" s="616"/>
      <c r="AX1" s="616"/>
      <c r="AY1" s="616"/>
      <c r="AZ1" s="616"/>
      <c r="BA1" s="616"/>
      <c r="BB1" s="616"/>
      <c r="BC1" s="616"/>
      <c r="BD1" s="1139">
        <f>SUM(BD3:BO58)</f>
        <v>431000</v>
      </c>
      <c r="BE1" s="1139"/>
      <c r="BF1" s="616"/>
      <c r="BG1" s="616"/>
      <c r="BH1" s="616"/>
      <c r="BI1" s="616"/>
      <c r="BJ1" s="616"/>
      <c r="BK1" s="616"/>
      <c r="BL1" s="616"/>
      <c r="BM1" s="616"/>
      <c r="BN1" s="616"/>
      <c r="BO1" s="616"/>
      <c r="BP1" s="1139">
        <f>SUM(BP3:BR58)</f>
        <v>78000</v>
      </c>
      <c r="BQ1" s="1139"/>
      <c r="BR1" s="616"/>
      <c r="BS1" s="616"/>
      <c r="BT1" s="616"/>
      <c r="BU1" s="616"/>
      <c r="BV1" s="616"/>
      <c r="BW1" s="616"/>
      <c r="BX1" s="616"/>
      <c r="BY1" s="616"/>
      <c r="BZ1" s="616"/>
      <c r="CA1" s="616"/>
      <c r="CB1" s="616"/>
      <c r="CC1" s="1139">
        <f>SUM(BS3:CD58)</f>
        <v>271000</v>
      </c>
      <c r="CD1" s="1139"/>
      <c r="CE1" s="616"/>
      <c r="CF1" s="616"/>
      <c r="CG1" s="616"/>
      <c r="CH1" s="616"/>
      <c r="CI1" s="616"/>
      <c r="CJ1" s="616"/>
      <c r="CK1" s="616"/>
      <c r="CL1" s="616"/>
      <c r="CM1" s="616"/>
      <c r="CN1" s="616"/>
      <c r="CO1" s="1139">
        <f>SUM(CE3:CP58)</f>
        <v>243000</v>
      </c>
      <c r="CP1" s="1139"/>
      <c r="CQ1" s="616"/>
      <c r="CR1" s="616"/>
      <c r="CS1" s="616"/>
      <c r="CT1" s="616"/>
      <c r="CU1" s="616"/>
      <c r="CV1" s="616"/>
      <c r="CW1" s="616"/>
      <c r="CX1" s="616"/>
      <c r="CY1" s="616"/>
      <c r="CZ1" s="616"/>
      <c r="DA1" s="1139">
        <f>SUM(CQ3:DB58)</f>
        <v>121000</v>
      </c>
      <c r="DB1" s="1139"/>
      <c r="DC1" s="616">
        <f>SUM(H1:DB1)</f>
        <v>2746000</v>
      </c>
    </row>
    <row r="2" spans="1:107" s="67" customFormat="1" x14ac:dyDescent="0.25">
      <c r="A2" s="610" t="s">
        <v>246</v>
      </c>
      <c r="B2" s="831" t="s">
        <v>133</v>
      </c>
      <c r="C2" s="610" t="s">
        <v>104</v>
      </c>
      <c r="D2" s="610" t="s">
        <v>485</v>
      </c>
      <c r="E2" s="610" t="s">
        <v>244</v>
      </c>
      <c r="F2" s="610" t="s">
        <v>247</v>
      </c>
      <c r="G2" s="610" t="s">
        <v>313</v>
      </c>
      <c r="H2" s="611">
        <v>43101</v>
      </c>
      <c r="I2" s="611">
        <v>43132</v>
      </c>
      <c r="J2" s="611">
        <v>43160</v>
      </c>
      <c r="K2" s="611">
        <v>43191</v>
      </c>
      <c r="L2" s="611">
        <v>43221</v>
      </c>
      <c r="M2" s="611">
        <v>43252</v>
      </c>
      <c r="N2" s="611">
        <v>43282</v>
      </c>
      <c r="O2" s="611">
        <v>43313</v>
      </c>
      <c r="P2" s="611">
        <v>43344</v>
      </c>
      <c r="Q2" s="611">
        <v>43374</v>
      </c>
      <c r="R2" s="611">
        <v>43405</v>
      </c>
      <c r="S2" s="611">
        <v>43435</v>
      </c>
      <c r="T2" s="611">
        <v>43466</v>
      </c>
      <c r="U2" s="611">
        <v>43497</v>
      </c>
      <c r="V2" s="611">
        <v>43525</v>
      </c>
      <c r="W2" s="611">
        <v>43556</v>
      </c>
      <c r="X2" s="611">
        <v>43586</v>
      </c>
      <c r="Y2" s="611">
        <v>43617</v>
      </c>
      <c r="Z2" s="611">
        <v>43647</v>
      </c>
      <c r="AA2" s="611">
        <v>43678</v>
      </c>
      <c r="AB2" s="611">
        <v>43709</v>
      </c>
      <c r="AC2" s="611">
        <v>43739</v>
      </c>
      <c r="AD2" s="611">
        <v>43770</v>
      </c>
      <c r="AE2" s="611">
        <v>43800</v>
      </c>
      <c r="AF2" s="611">
        <v>43831</v>
      </c>
      <c r="AG2" s="611">
        <v>43862</v>
      </c>
      <c r="AH2" s="611">
        <v>43891</v>
      </c>
      <c r="AI2" s="611">
        <v>43922</v>
      </c>
      <c r="AJ2" s="611">
        <v>43952</v>
      </c>
      <c r="AK2" s="611">
        <v>43983</v>
      </c>
      <c r="AL2" s="611">
        <v>44013</v>
      </c>
      <c r="AM2" s="611">
        <v>44044</v>
      </c>
      <c r="AN2" s="611">
        <v>44075</v>
      </c>
      <c r="AO2" s="611">
        <v>44105</v>
      </c>
      <c r="AP2" s="611">
        <v>44136</v>
      </c>
      <c r="AQ2" s="611">
        <v>44166</v>
      </c>
      <c r="AR2" s="611">
        <v>44197</v>
      </c>
      <c r="AS2" s="611">
        <v>44228</v>
      </c>
      <c r="AT2" s="611">
        <v>44256</v>
      </c>
      <c r="AU2" s="611">
        <v>44287</v>
      </c>
      <c r="AV2" s="611">
        <v>44317</v>
      </c>
      <c r="AW2" s="611">
        <v>44348</v>
      </c>
      <c r="AX2" s="611">
        <v>44378</v>
      </c>
      <c r="AY2" s="611">
        <v>44409</v>
      </c>
      <c r="AZ2" s="611">
        <v>44440</v>
      </c>
      <c r="BA2" s="611">
        <v>44470</v>
      </c>
      <c r="BB2" s="611">
        <v>44501</v>
      </c>
      <c r="BC2" s="611">
        <v>44531</v>
      </c>
      <c r="BD2" s="611">
        <v>44562</v>
      </c>
      <c r="BE2" s="611">
        <v>44593</v>
      </c>
      <c r="BF2" s="611">
        <v>44621</v>
      </c>
      <c r="BG2" s="611">
        <v>44652</v>
      </c>
      <c r="BH2" s="611">
        <v>44682</v>
      </c>
      <c r="BI2" s="611">
        <v>44713</v>
      </c>
      <c r="BJ2" s="611">
        <v>44743</v>
      </c>
      <c r="BK2" s="611">
        <v>44774</v>
      </c>
      <c r="BL2" s="611">
        <v>44805</v>
      </c>
      <c r="BM2" s="611">
        <v>44835</v>
      </c>
      <c r="BN2" s="611">
        <v>44866</v>
      </c>
      <c r="BO2" s="611">
        <v>44896</v>
      </c>
      <c r="BP2" s="611">
        <v>44927</v>
      </c>
      <c r="BQ2" s="611">
        <v>44958</v>
      </c>
      <c r="BR2" s="611">
        <v>44986</v>
      </c>
      <c r="BS2" s="612">
        <v>45017</v>
      </c>
      <c r="BT2" s="613">
        <v>45047</v>
      </c>
      <c r="BU2" s="613">
        <v>45078</v>
      </c>
      <c r="BV2" s="613">
        <v>45108</v>
      </c>
      <c r="BW2" s="613">
        <v>45139</v>
      </c>
      <c r="BX2" s="613">
        <v>45170</v>
      </c>
      <c r="BY2" s="613">
        <v>45200</v>
      </c>
      <c r="BZ2" s="613">
        <v>45231</v>
      </c>
      <c r="CA2" s="613">
        <v>45261</v>
      </c>
      <c r="CB2" s="613">
        <v>45292</v>
      </c>
      <c r="CC2" s="613">
        <v>45323</v>
      </c>
      <c r="CD2" s="614">
        <v>45352</v>
      </c>
      <c r="CE2" s="612">
        <v>45383</v>
      </c>
      <c r="CF2" s="613">
        <v>45413</v>
      </c>
      <c r="CG2" s="613">
        <v>45444</v>
      </c>
      <c r="CH2" s="613">
        <v>45474</v>
      </c>
      <c r="CI2" s="613">
        <v>45505</v>
      </c>
      <c r="CJ2" s="613">
        <v>45536</v>
      </c>
      <c r="CK2" s="613">
        <v>45566</v>
      </c>
      <c r="CL2" s="613">
        <v>45597</v>
      </c>
      <c r="CM2" s="613">
        <v>45627</v>
      </c>
      <c r="CN2" s="613">
        <v>45658</v>
      </c>
      <c r="CO2" s="613">
        <v>45689</v>
      </c>
      <c r="CP2" s="614">
        <v>45717</v>
      </c>
      <c r="CQ2" s="612">
        <v>45748</v>
      </c>
      <c r="CR2" s="613">
        <v>45778</v>
      </c>
      <c r="CS2" s="613">
        <v>45809</v>
      </c>
      <c r="CT2" s="613">
        <v>45839</v>
      </c>
      <c r="CU2" s="613">
        <v>45870</v>
      </c>
      <c r="CV2" s="613">
        <v>45901</v>
      </c>
      <c r="CW2" s="613">
        <v>45931</v>
      </c>
      <c r="CX2" s="613">
        <v>45962</v>
      </c>
      <c r="CY2" s="613">
        <v>45992</v>
      </c>
      <c r="CZ2" s="613">
        <v>46023</v>
      </c>
      <c r="DA2" s="613">
        <v>46054</v>
      </c>
      <c r="DB2" s="614">
        <v>46082</v>
      </c>
    </row>
    <row r="3" spans="1:107" ht="12.75" hidden="1" customHeight="1" x14ac:dyDescent="0.2">
      <c r="A3" s="581" t="s">
        <v>248</v>
      </c>
      <c r="B3" s="832">
        <f>SUM(E3:E3)/SUM(F3:F3)</f>
        <v>1</v>
      </c>
      <c r="C3" s="581" t="s">
        <v>144</v>
      </c>
      <c r="D3" s="581"/>
      <c r="E3" s="605">
        <f>SUM(H3:CA3)</f>
        <v>57000</v>
      </c>
      <c r="F3" s="605">
        <f t="shared" ref="F3:F10" si="0">+COUNTA(H3:CY3)*1000</f>
        <v>57000</v>
      </c>
      <c r="G3" s="607">
        <f>+IF((E3+F3)=0,"No Aplica",+E3/F3-1)</f>
        <v>0</v>
      </c>
      <c r="H3" s="584"/>
      <c r="I3" s="585"/>
      <c r="J3" s="582"/>
      <c r="K3" s="582"/>
      <c r="L3" s="582"/>
      <c r="M3" s="582"/>
      <c r="N3" s="582"/>
      <c r="O3" s="582"/>
      <c r="P3" s="582"/>
      <c r="Q3" s="582"/>
      <c r="R3" s="582"/>
      <c r="S3" s="583"/>
      <c r="T3" s="584">
        <v>1000</v>
      </c>
      <c r="U3" s="585">
        <v>1000</v>
      </c>
      <c r="V3" s="585">
        <v>1000</v>
      </c>
      <c r="W3" s="585">
        <v>1000</v>
      </c>
      <c r="X3" s="585">
        <v>1000</v>
      </c>
      <c r="Y3" s="585">
        <v>1000</v>
      </c>
      <c r="Z3" s="585">
        <v>1000</v>
      </c>
      <c r="AA3" s="585">
        <v>1000</v>
      </c>
      <c r="AB3" s="585">
        <v>1000</v>
      </c>
      <c r="AC3" s="585">
        <v>1000</v>
      </c>
      <c r="AD3" s="585">
        <v>1000</v>
      </c>
      <c r="AE3" s="586">
        <v>1000</v>
      </c>
      <c r="AF3" s="584">
        <v>1000</v>
      </c>
      <c r="AG3" s="585">
        <v>1000</v>
      </c>
      <c r="AH3" s="585">
        <v>1000</v>
      </c>
      <c r="AI3" s="585">
        <v>1000</v>
      </c>
      <c r="AJ3" s="585">
        <v>1000</v>
      </c>
      <c r="AK3" s="585">
        <v>1000</v>
      </c>
      <c r="AL3" s="585">
        <v>1000</v>
      </c>
      <c r="AM3" s="585">
        <v>1000</v>
      </c>
      <c r="AN3" s="585">
        <v>1000</v>
      </c>
      <c r="AO3" s="585">
        <v>1000</v>
      </c>
      <c r="AP3" s="585">
        <v>1000</v>
      </c>
      <c r="AQ3" s="586">
        <v>1000</v>
      </c>
      <c r="AR3" s="584">
        <v>1000</v>
      </c>
      <c r="AS3" s="585">
        <v>1000</v>
      </c>
      <c r="AT3" s="585">
        <v>1000</v>
      </c>
      <c r="AU3" s="585">
        <v>1000</v>
      </c>
      <c r="AV3" s="585">
        <v>1000</v>
      </c>
      <c r="AW3" s="585">
        <v>1000</v>
      </c>
      <c r="AX3" s="585">
        <v>1000</v>
      </c>
      <c r="AY3" s="585">
        <v>1000</v>
      </c>
      <c r="AZ3" s="585">
        <v>1000</v>
      </c>
      <c r="BA3" s="585">
        <v>1000</v>
      </c>
      <c r="BB3" s="585">
        <v>1000</v>
      </c>
      <c r="BC3" s="586">
        <v>1000</v>
      </c>
      <c r="BD3" s="584">
        <v>1000</v>
      </c>
      <c r="BE3" s="585">
        <v>1000</v>
      </c>
      <c r="BF3" s="585">
        <v>1000</v>
      </c>
      <c r="BG3" s="585">
        <v>1000</v>
      </c>
      <c r="BH3" s="585">
        <v>1000</v>
      </c>
      <c r="BI3" s="585">
        <v>1000</v>
      </c>
      <c r="BJ3" s="585">
        <v>1000</v>
      </c>
      <c r="BK3" s="585">
        <v>1000</v>
      </c>
      <c r="BL3" s="585">
        <v>1000</v>
      </c>
      <c r="BM3" s="585">
        <v>1000</v>
      </c>
      <c r="BN3" s="585">
        <v>1000</v>
      </c>
      <c r="BO3" s="586">
        <v>1000</v>
      </c>
      <c r="BP3" s="584">
        <v>1000</v>
      </c>
      <c r="BQ3" s="585">
        <v>1000</v>
      </c>
      <c r="BR3" s="585">
        <v>1000</v>
      </c>
      <c r="BS3" s="587">
        <v>1000</v>
      </c>
      <c r="BT3" s="588">
        <v>1000</v>
      </c>
      <c r="BU3" s="588">
        <v>1000</v>
      </c>
      <c r="BV3" s="588">
        <v>1000</v>
      </c>
      <c r="BW3" s="588">
        <v>1000</v>
      </c>
      <c r="BX3" s="588">
        <v>1000</v>
      </c>
      <c r="BY3" s="589"/>
      <c r="BZ3" s="589"/>
      <c r="CA3" s="589"/>
      <c r="CB3" s="589"/>
      <c r="CC3" s="589"/>
      <c r="CD3" s="590"/>
      <c r="CE3" s="591"/>
      <c r="CF3" s="589"/>
      <c r="CG3" s="589"/>
      <c r="CH3" s="589"/>
      <c r="CI3" s="589"/>
      <c r="CJ3" s="589"/>
      <c r="CK3" s="589"/>
      <c r="CL3" s="589"/>
      <c r="CM3" s="589"/>
      <c r="CN3" s="589"/>
      <c r="CO3" s="589"/>
      <c r="CP3" s="590"/>
      <c r="CQ3" s="591"/>
      <c r="CR3" s="589"/>
      <c r="CS3" s="589"/>
      <c r="CT3" s="589"/>
      <c r="CU3" s="589"/>
      <c r="CV3" s="589"/>
      <c r="CW3" s="589"/>
      <c r="CX3" s="589"/>
      <c r="CY3" s="589"/>
      <c r="CZ3" s="589"/>
      <c r="DA3" s="589"/>
      <c r="DB3" s="590"/>
    </row>
    <row r="4" spans="1:107" ht="12.75" hidden="1" customHeight="1" x14ac:dyDescent="0.2">
      <c r="A4" s="581" t="str">
        <f>+A5</f>
        <v>San Felipe</v>
      </c>
      <c r="B4" s="832">
        <f>SUM(E4:E4)/SUM(F4:F4)</f>
        <v>1</v>
      </c>
      <c r="C4" s="581" t="s">
        <v>250</v>
      </c>
      <c r="D4" s="581"/>
      <c r="E4" s="605">
        <f t="shared" ref="E4:E10" si="1">SUM(H4:CD4)</f>
        <v>60000</v>
      </c>
      <c r="F4" s="605">
        <f t="shared" si="0"/>
        <v>60000</v>
      </c>
      <c r="G4" s="607">
        <f>+IF((E4+F4)=0,"No Aplica",+E4/F4-1)</f>
        <v>0</v>
      </c>
      <c r="H4" s="593">
        <v>1000</v>
      </c>
      <c r="I4" s="588">
        <v>1000</v>
      </c>
      <c r="J4" s="588">
        <v>1000</v>
      </c>
      <c r="K4" s="588">
        <v>1000</v>
      </c>
      <c r="L4" s="588">
        <v>1000</v>
      </c>
      <c r="M4" s="588">
        <v>1000</v>
      </c>
      <c r="N4" s="588">
        <v>1000</v>
      </c>
      <c r="O4" s="588">
        <v>1000</v>
      </c>
      <c r="P4" s="588">
        <v>1000</v>
      </c>
      <c r="Q4" s="588">
        <v>1000</v>
      </c>
      <c r="R4" s="588">
        <v>1000</v>
      </c>
      <c r="S4" s="592">
        <v>1000</v>
      </c>
      <c r="T4" s="593">
        <v>1000</v>
      </c>
      <c r="U4" s="588">
        <v>1000</v>
      </c>
      <c r="V4" s="588">
        <v>1000</v>
      </c>
      <c r="W4" s="588">
        <v>1000</v>
      </c>
      <c r="X4" s="588">
        <v>1000</v>
      </c>
      <c r="Y4" s="588">
        <v>1000</v>
      </c>
      <c r="Z4" s="588">
        <v>1000</v>
      </c>
      <c r="AA4" s="588">
        <v>1000</v>
      </c>
      <c r="AB4" s="588">
        <v>1000</v>
      </c>
      <c r="AC4" s="588">
        <v>1000</v>
      </c>
      <c r="AD4" s="588">
        <v>1000</v>
      </c>
      <c r="AE4" s="592">
        <v>1000</v>
      </c>
      <c r="AF4" s="593">
        <v>1000</v>
      </c>
      <c r="AG4" s="588">
        <v>1000</v>
      </c>
      <c r="AH4" s="588">
        <v>1000</v>
      </c>
      <c r="AI4" s="588">
        <v>1000</v>
      </c>
      <c r="AJ4" s="588">
        <v>1000</v>
      </c>
      <c r="AK4" s="588">
        <v>1000</v>
      </c>
      <c r="AL4" s="588">
        <v>1000</v>
      </c>
      <c r="AM4" s="588">
        <v>1000</v>
      </c>
      <c r="AN4" s="588">
        <v>1000</v>
      </c>
      <c r="AO4" s="588">
        <v>1000</v>
      </c>
      <c r="AP4" s="588">
        <v>1000</v>
      </c>
      <c r="AQ4" s="592">
        <v>1000</v>
      </c>
      <c r="AR4" s="593">
        <v>1000</v>
      </c>
      <c r="AS4" s="588">
        <v>1000</v>
      </c>
      <c r="AT4" s="588">
        <v>1000</v>
      </c>
      <c r="AU4" s="588">
        <v>1000</v>
      </c>
      <c r="AV4" s="588">
        <v>1000</v>
      </c>
      <c r="AW4" s="588">
        <v>1000</v>
      </c>
      <c r="AX4" s="588">
        <v>1000</v>
      </c>
      <c r="AY4" s="588">
        <v>1000</v>
      </c>
      <c r="AZ4" s="588">
        <v>1000</v>
      </c>
      <c r="BA4" s="588">
        <v>1000</v>
      </c>
      <c r="BB4" s="588">
        <v>1000</v>
      </c>
      <c r="BC4" s="592">
        <v>1000</v>
      </c>
      <c r="BD4" s="593">
        <v>1000</v>
      </c>
      <c r="BE4" s="588">
        <v>1000</v>
      </c>
      <c r="BF4" s="588">
        <v>1000</v>
      </c>
      <c r="BG4" s="588">
        <v>1000</v>
      </c>
      <c r="BH4" s="588">
        <v>1000</v>
      </c>
      <c r="BI4" s="588">
        <v>1000</v>
      </c>
      <c r="BJ4" s="588">
        <v>1000</v>
      </c>
      <c r="BK4" s="588">
        <v>1000</v>
      </c>
      <c r="BL4" s="588">
        <v>1000</v>
      </c>
      <c r="BM4" s="588">
        <v>1000</v>
      </c>
      <c r="BN4" s="588">
        <v>1000</v>
      </c>
      <c r="BO4" s="592">
        <v>1000</v>
      </c>
      <c r="BP4" s="594"/>
      <c r="BQ4" s="589"/>
      <c r="BR4" s="589"/>
      <c r="BS4" s="591"/>
      <c r="BT4" s="589"/>
      <c r="BU4" s="589"/>
      <c r="BV4" s="589"/>
      <c r="BW4" s="589"/>
      <c r="BX4" s="589"/>
      <c r="BY4" s="589"/>
      <c r="BZ4" s="589"/>
      <c r="CA4" s="589"/>
      <c r="CB4" s="589"/>
      <c r="CC4" s="589"/>
      <c r="CD4" s="590"/>
      <c r="CE4" s="591"/>
      <c r="CF4" s="589"/>
      <c r="CG4" s="589"/>
      <c r="CH4" s="589"/>
      <c r="CI4" s="589"/>
      <c r="CJ4" s="589"/>
      <c r="CK4" s="589"/>
      <c r="CL4" s="589"/>
      <c r="CM4" s="589"/>
      <c r="CN4" s="589"/>
      <c r="CO4" s="589"/>
      <c r="CP4" s="590"/>
      <c r="CQ4" s="591"/>
      <c r="CR4" s="589"/>
      <c r="CS4" s="589"/>
      <c r="CT4" s="589"/>
      <c r="CU4" s="589"/>
      <c r="CV4" s="589"/>
      <c r="CW4" s="589"/>
      <c r="CX4" s="589"/>
      <c r="CY4" s="589"/>
      <c r="CZ4" s="589"/>
      <c r="DA4" s="589"/>
      <c r="DB4" s="590"/>
    </row>
    <row r="5" spans="1:107" ht="12.75" hidden="1" customHeight="1" x14ac:dyDescent="0.2">
      <c r="A5" s="609" t="s">
        <v>249</v>
      </c>
      <c r="B5" s="832">
        <f t="shared" ref="B5:B10" si="2">SUM(E5:E5)/SUM(F5:F5)</f>
        <v>1</v>
      </c>
      <c r="C5" s="581" t="s">
        <v>148</v>
      </c>
      <c r="D5" s="581"/>
      <c r="E5" s="605">
        <f t="shared" si="1"/>
        <v>42000</v>
      </c>
      <c r="F5" s="605">
        <f t="shared" si="0"/>
        <v>42000</v>
      </c>
      <c r="G5" s="607">
        <f>+IF((E5+F5)=0,"No Aplica",+E5/F5-1)</f>
        <v>0</v>
      </c>
      <c r="H5" s="594"/>
      <c r="I5" s="589"/>
      <c r="J5" s="589"/>
      <c r="K5" s="589"/>
      <c r="L5" s="589"/>
      <c r="M5" s="589"/>
      <c r="N5" s="589"/>
      <c r="O5" s="589"/>
      <c r="P5" s="589"/>
      <c r="Q5" s="589"/>
      <c r="R5" s="589"/>
      <c r="S5" s="595"/>
      <c r="T5" s="594"/>
      <c r="U5" s="589"/>
      <c r="V5" s="589"/>
      <c r="W5" s="589"/>
      <c r="X5" s="589"/>
      <c r="Y5" s="589"/>
      <c r="Z5" s="588">
        <v>1000</v>
      </c>
      <c r="AA5" s="588">
        <v>1000</v>
      </c>
      <c r="AB5" s="588">
        <v>1000</v>
      </c>
      <c r="AC5" s="588">
        <v>1000</v>
      </c>
      <c r="AD5" s="588">
        <v>1000</v>
      </c>
      <c r="AE5" s="592">
        <v>1000</v>
      </c>
      <c r="AF5" s="593">
        <v>1000</v>
      </c>
      <c r="AG5" s="588">
        <v>1000</v>
      </c>
      <c r="AH5" s="588">
        <v>1000</v>
      </c>
      <c r="AI5" s="588">
        <v>1000</v>
      </c>
      <c r="AJ5" s="588">
        <v>1000</v>
      </c>
      <c r="AK5" s="588">
        <v>1000</v>
      </c>
      <c r="AL5" s="588">
        <v>1000</v>
      </c>
      <c r="AM5" s="588">
        <v>1000</v>
      </c>
      <c r="AN5" s="588">
        <v>1000</v>
      </c>
      <c r="AO5" s="588">
        <v>1000</v>
      </c>
      <c r="AP5" s="588">
        <v>1000</v>
      </c>
      <c r="AQ5" s="592">
        <v>1000</v>
      </c>
      <c r="AR5" s="593">
        <v>1000</v>
      </c>
      <c r="AS5" s="588">
        <v>1000</v>
      </c>
      <c r="AT5" s="588">
        <v>1000</v>
      </c>
      <c r="AU5" s="588">
        <v>1000</v>
      </c>
      <c r="AV5" s="588">
        <v>1000</v>
      </c>
      <c r="AW5" s="588">
        <v>1000</v>
      </c>
      <c r="AX5" s="588">
        <v>1000</v>
      </c>
      <c r="AY5" s="588">
        <v>1000</v>
      </c>
      <c r="AZ5" s="588">
        <v>1000</v>
      </c>
      <c r="BA5" s="588">
        <v>1000</v>
      </c>
      <c r="BB5" s="588">
        <v>1000</v>
      </c>
      <c r="BC5" s="592">
        <v>1000</v>
      </c>
      <c r="BD5" s="593">
        <v>1000</v>
      </c>
      <c r="BE5" s="588">
        <v>1000</v>
      </c>
      <c r="BF5" s="588">
        <v>1000</v>
      </c>
      <c r="BG5" s="588">
        <v>1000</v>
      </c>
      <c r="BH5" s="588">
        <v>1000</v>
      </c>
      <c r="BI5" s="588">
        <v>1000</v>
      </c>
      <c r="BJ5" s="588">
        <v>1000</v>
      </c>
      <c r="BK5" s="588">
        <v>1000</v>
      </c>
      <c r="BL5" s="588">
        <v>1000</v>
      </c>
      <c r="BM5" s="588">
        <v>1000</v>
      </c>
      <c r="BN5" s="588">
        <v>1000</v>
      </c>
      <c r="BO5" s="592">
        <v>1000</v>
      </c>
      <c r="BP5" s="594"/>
      <c r="BQ5" s="589"/>
      <c r="BR5" s="589"/>
      <c r="BS5" s="591"/>
      <c r="BT5" s="589"/>
      <c r="BU5" s="589"/>
      <c r="BV5" s="589"/>
      <c r="BW5" s="589"/>
      <c r="BX5" s="589"/>
      <c r="BY5" s="589"/>
      <c r="BZ5" s="589"/>
      <c r="CA5" s="589"/>
      <c r="CB5" s="589"/>
      <c r="CC5" s="589"/>
      <c r="CD5" s="590"/>
      <c r="CE5" s="591"/>
      <c r="CF5" s="589"/>
      <c r="CG5" s="589"/>
      <c r="CH5" s="589"/>
      <c r="CI5" s="589"/>
      <c r="CJ5" s="589"/>
      <c r="CK5" s="589"/>
      <c r="CL5" s="589"/>
      <c r="CM5" s="589"/>
      <c r="CN5" s="589"/>
      <c r="CO5" s="589"/>
      <c r="CP5" s="590"/>
      <c r="CQ5" s="591"/>
      <c r="CR5" s="589"/>
      <c r="CS5" s="589"/>
      <c r="CT5" s="589"/>
      <c r="CU5" s="589"/>
      <c r="CV5" s="589"/>
      <c r="CW5" s="589"/>
      <c r="CX5" s="589"/>
      <c r="CY5" s="589"/>
      <c r="CZ5" s="589"/>
      <c r="DA5" s="589"/>
      <c r="DB5" s="590"/>
    </row>
    <row r="6" spans="1:107" ht="12.75" hidden="1" customHeight="1" x14ac:dyDescent="0.2">
      <c r="A6" s="609" t="s">
        <v>249</v>
      </c>
      <c r="B6" s="832">
        <f t="shared" si="2"/>
        <v>1</v>
      </c>
      <c r="C6" s="608" t="s">
        <v>251</v>
      </c>
      <c r="D6" s="744"/>
      <c r="E6" s="605">
        <f t="shared" si="1"/>
        <v>36000</v>
      </c>
      <c r="F6" s="605">
        <f t="shared" si="0"/>
        <v>36000</v>
      </c>
      <c r="G6" s="607">
        <f>+IF((E6+F6)=0,"No Aplica",+E6/F6-1)</f>
        <v>0</v>
      </c>
      <c r="H6" s="594"/>
      <c r="I6" s="589"/>
      <c r="J6" s="589"/>
      <c r="K6" s="589"/>
      <c r="L6" s="589"/>
      <c r="M6" s="589"/>
      <c r="N6" s="589"/>
      <c r="O6" s="589"/>
      <c r="P6" s="589"/>
      <c r="Q6" s="589"/>
      <c r="R6" s="589"/>
      <c r="S6" s="595"/>
      <c r="T6" s="594"/>
      <c r="U6" s="589"/>
      <c r="V6" s="589"/>
      <c r="W6" s="589"/>
      <c r="X6" s="589"/>
      <c r="Y6" s="589"/>
      <c r="Z6" s="588">
        <v>1000</v>
      </c>
      <c r="AA6" s="588">
        <v>1000</v>
      </c>
      <c r="AB6" s="588">
        <v>1000</v>
      </c>
      <c r="AC6" s="588">
        <v>1000</v>
      </c>
      <c r="AD6" s="588">
        <v>1000</v>
      </c>
      <c r="AE6" s="592">
        <v>1000</v>
      </c>
      <c r="AF6" s="593">
        <v>1000</v>
      </c>
      <c r="AG6" s="588">
        <v>1000</v>
      </c>
      <c r="AH6" s="588">
        <v>1000</v>
      </c>
      <c r="AI6" s="588">
        <v>1000</v>
      </c>
      <c r="AJ6" s="588">
        <v>1000</v>
      </c>
      <c r="AK6" s="588">
        <v>1000</v>
      </c>
      <c r="AL6" s="588">
        <v>1000</v>
      </c>
      <c r="AM6" s="588">
        <v>1000</v>
      </c>
      <c r="AN6" s="588">
        <v>1000</v>
      </c>
      <c r="AO6" s="588">
        <v>1000</v>
      </c>
      <c r="AP6" s="588">
        <v>1000</v>
      </c>
      <c r="AQ6" s="592">
        <v>1000</v>
      </c>
      <c r="AR6" s="593">
        <v>1000</v>
      </c>
      <c r="AS6" s="588">
        <v>1000</v>
      </c>
      <c r="AT6" s="588">
        <v>1000</v>
      </c>
      <c r="AU6" s="588">
        <v>1000</v>
      </c>
      <c r="AV6" s="588">
        <v>1000</v>
      </c>
      <c r="AW6" s="588">
        <v>1000</v>
      </c>
      <c r="AX6" s="588">
        <v>1000</v>
      </c>
      <c r="AY6" s="588">
        <v>1000</v>
      </c>
      <c r="AZ6" s="588">
        <v>1000</v>
      </c>
      <c r="BA6" s="588">
        <v>1000</v>
      </c>
      <c r="BB6" s="588">
        <v>1000</v>
      </c>
      <c r="BC6" s="592">
        <v>1000</v>
      </c>
      <c r="BD6" s="593">
        <v>1000</v>
      </c>
      <c r="BE6" s="588">
        <v>1000</v>
      </c>
      <c r="BF6" s="588">
        <v>1000</v>
      </c>
      <c r="BG6" s="588">
        <v>1000</v>
      </c>
      <c r="BH6" s="588">
        <v>1000</v>
      </c>
      <c r="BI6" s="588">
        <v>1000</v>
      </c>
      <c r="BJ6" s="589"/>
      <c r="BK6" s="589"/>
      <c r="BL6" s="589"/>
      <c r="BM6" s="589"/>
      <c r="BN6" s="589"/>
      <c r="BO6" s="595"/>
      <c r="BP6" s="594"/>
      <c r="BQ6" s="589"/>
      <c r="BR6" s="589"/>
      <c r="BS6" s="591"/>
      <c r="BT6" s="589"/>
      <c r="BU6" s="589"/>
      <c r="BV6" s="589"/>
      <c r="BW6" s="589"/>
      <c r="BX6" s="589"/>
      <c r="BY6" s="589"/>
      <c r="BZ6" s="589"/>
      <c r="CA6" s="589"/>
      <c r="CB6" s="589"/>
      <c r="CC6" s="589"/>
      <c r="CD6" s="590"/>
      <c r="CE6" s="591"/>
      <c r="CF6" s="589"/>
      <c r="CG6" s="589"/>
      <c r="CH6" s="589"/>
      <c r="CI6" s="589"/>
      <c r="CJ6" s="589"/>
      <c r="CK6" s="589"/>
      <c r="CL6" s="589"/>
      <c r="CM6" s="589"/>
      <c r="CN6" s="589"/>
      <c r="CO6" s="589"/>
      <c r="CP6" s="590"/>
      <c r="CQ6" s="591"/>
      <c r="CR6" s="589"/>
      <c r="CS6" s="589"/>
      <c r="CT6" s="589"/>
      <c r="CU6" s="589"/>
      <c r="CV6" s="589"/>
      <c r="CW6" s="589"/>
      <c r="CX6" s="589"/>
      <c r="CY6" s="589"/>
      <c r="CZ6" s="589"/>
      <c r="DA6" s="589"/>
      <c r="DB6" s="590"/>
    </row>
    <row r="7" spans="1:107" ht="12.75" hidden="1" customHeight="1" x14ac:dyDescent="0.2">
      <c r="A7" s="609" t="s">
        <v>249</v>
      </c>
      <c r="B7" s="832" t="e">
        <f t="shared" si="2"/>
        <v>#DIV/0!</v>
      </c>
      <c r="C7" s="608" t="s">
        <v>310</v>
      </c>
      <c r="D7" s="744"/>
      <c r="E7" s="605">
        <f t="shared" si="1"/>
        <v>0</v>
      </c>
      <c r="F7" s="605">
        <f t="shared" si="0"/>
        <v>0</v>
      </c>
      <c r="G7" s="607" t="str">
        <f>+IF((E7+F7)=0,"No Aplica",+E7/F7-1)</f>
        <v>No Aplica</v>
      </c>
      <c r="H7" s="594"/>
      <c r="I7" s="589"/>
      <c r="J7" s="589"/>
      <c r="K7" s="589"/>
      <c r="L7" s="589"/>
      <c r="M7" s="589"/>
      <c r="N7" s="589"/>
      <c r="O7" s="589"/>
      <c r="P7" s="589"/>
      <c r="Q7" s="589"/>
      <c r="R7" s="589"/>
      <c r="S7" s="595"/>
      <c r="T7" s="594"/>
      <c r="U7" s="589"/>
      <c r="V7" s="589"/>
      <c r="W7" s="589"/>
      <c r="X7" s="589"/>
      <c r="Y7" s="589"/>
      <c r="Z7" s="589"/>
      <c r="AA7" s="589"/>
      <c r="AB7" s="589"/>
      <c r="AC7" s="589"/>
      <c r="AD7" s="589"/>
      <c r="AE7" s="595"/>
      <c r="AF7" s="594"/>
      <c r="AG7" s="589"/>
      <c r="AH7" s="589"/>
      <c r="AI7" s="589"/>
      <c r="AJ7" s="589"/>
      <c r="AK7" s="589"/>
      <c r="AL7" s="589"/>
      <c r="AM7" s="589"/>
      <c r="AN7" s="589"/>
      <c r="AO7" s="589"/>
      <c r="AP7" s="589"/>
      <c r="AQ7" s="595"/>
      <c r="AR7" s="594"/>
      <c r="AS7" s="589"/>
      <c r="AT7" s="589"/>
      <c r="AU7" s="589"/>
      <c r="AV7" s="589"/>
      <c r="AW7" s="589"/>
      <c r="AX7" s="589"/>
      <c r="AY7" s="589"/>
      <c r="AZ7" s="589"/>
      <c r="BA7" s="589"/>
      <c r="BB7" s="589"/>
      <c r="BC7" s="595"/>
      <c r="BD7" s="594"/>
      <c r="BE7" s="589"/>
      <c r="BF7" s="589"/>
      <c r="BG7" s="589"/>
      <c r="BH7" s="589"/>
      <c r="BI7" s="589"/>
      <c r="BJ7" s="589"/>
      <c r="BK7" s="589"/>
      <c r="BL7" s="589"/>
      <c r="BM7" s="589"/>
      <c r="BN7" s="589"/>
      <c r="BO7" s="595"/>
      <c r="BP7" s="594"/>
      <c r="BQ7" s="589"/>
      <c r="BR7" s="589"/>
      <c r="BS7" s="591"/>
      <c r="BT7" s="589"/>
      <c r="BU7" s="589"/>
      <c r="BV7" s="589"/>
      <c r="BW7" s="589"/>
      <c r="BX7" s="589"/>
      <c r="BY7" s="589"/>
      <c r="BZ7" s="589"/>
      <c r="CA7" s="589"/>
      <c r="CB7" s="589"/>
      <c r="CC7" s="589"/>
      <c r="CD7" s="590"/>
      <c r="CE7" s="591"/>
      <c r="CF7" s="589"/>
      <c r="CG7" s="589"/>
      <c r="CH7" s="589"/>
      <c r="CI7" s="589"/>
      <c r="CJ7" s="589"/>
      <c r="CK7" s="589"/>
      <c r="CL7" s="589"/>
      <c r="CM7" s="589"/>
      <c r="CN7" s="589"/>
      <c r="CO7" s="589"/>
      <c r="CP7" s="590"/>
      <c r="CQ7" s="591"/>
      <c r="CR7" s="589"/>
      <c r="CS7" s="589"/>
      <c r="CT7" s="589"/>
      <c r="CU7" s="589"/>
      <c r="CV7" s="589"/>
      <c r="CW7" s="589"/>
      <c r="CX7" s="589"/>
      <c r="CY7" s="589"/>
      <c r="CZ7" s="589"/>
      <c r="DA7" s="589"/>
      <c r="DB7" s="590"/>
    </row>
    <row r="8" spans="1:107" ht="12.75" hidden="1" customHeight="1" x14ac:dyDescent="0.2">
      <c r="A8" s="609" t="s">
        <v>252</v>
      </c>
      <c r="B8" s="832">
        <f t="shared" si="2"/>
        <v>1</v>
      </c>
      <c r="C8" s="581" t="s">
        <v>149</v>
      </c>
      <c r="D8" s="581"/>
      <c r="E8" s="605">
        <f t="shared" si="1"/>
        <v>14000</v>
      </c>
      <c r="F8" s="605">
        <f t="shared" si="0"/>
        <v>14000</v>
      </c>
      <c r="G8" s="607">
        <f t="shared" ref="G8:G59" si="3">+IF((E8+F8)=0,"No Aplica",+E8/F8-1)</f>
        <v>0</v>
      </c>
      <c r="H8" s="619">
        <v>1000</v>
      </c>
      <c r="I8" s="68">
        <v>1000</v>
      </c>
      <c r="J8" s="588">
        <v>1000</v>
      </c>
      <c r="K8" s="588">
        <v>1000</v>
      </c>
      <c r="L8" s="588">
        <v>1000</v>
      </c>
      <c r="M8" s="589"/>
      <c r="N8" s="589"/>
      <c r="O8" s="589"/>
      <c r="P8" s="589"/>
      <c r="Q8" s="589"/>
      <c r="R8" s="589"/>
      <c r="S8" s="595"/>
      <c r="T8" s="594"/>
      <c r="U8" s="589"/>
      <c r="V8" s="589"/>
      <c r="W8" s="589"/>
      <c r="X8" s="589"/>
      <c r="Y8" s="589"/>
      <c r="Z8" s="589"/>
      <c r="AA8" s="589"/>
      <c r="AB8" s="589"/>
      <c r="AC8" s="589"/>
      <c r="AD8" s="589"/>
      <c r="AE8" s="595"/>
      <c r="AF8" s="594"/>
      <c r="AG8" s="589"/>
      <c r="AH8" s="589"/>
      <c r="AI8" s="589"/>
      <c r="AJ8" s="589"/>
      <c r="AK8" s="589"/>
      <c r="AL8" s="589"/>
      <c r="AM8" s="589"/>
      <c r="AN8" s="589"/>
      <c r="AO8" s="589"/>
      <c r="AP8" s="589"/>
      <c r="AQ8" s="595"/>
      <c r="AR8" s="594"/>
      <c r="AS8" s="589"/>
      <c r="AT8" s="589"/>
      <c r="AU8" s="589"/>
      <c r="AV8" s="589"/>
      <c r="AW8" s="589"/>
      <c r="AX8" s="589"/>
      <c r="AY8" s="589"/>
      <c r="AZ8" s="589"/>
      <c r="BA8" s="589"/>
      <c r="BB8" s="589"/>
      <c r="BC8" s="595"/>
      <c r="BD8" s="593">
        <v>1000</v>
      </c>
      <c r="BE8" s="588">
        <v>1000</v>
      </c>
      <c r="BF8" s="588">
        <v>1000</v>
      </c>
      <c r="BG8" s="588">
        <v>1000</v>
      </c>
      <c r="BH8" s="588">
        <v>1000</v>
      </c>
      <c r="BI8" s="588">
        <v>1000</v>
      </c>
      <c r="BJ8" s="588">
        <v>1000</v>
      </c>
      <c r="BK8" s="588">
        <v>1000</v>
      </c>
      <c r="BL8" s="588">
        <v>1000</v>
      </c>
      <c r="BM8" s="589"/>
      <c r="BN8" s="589"/>
      <c r="BO8" s="595"/>
      <c r="BP8" s="594"/>
      <c r="BQ8" s="589"/>
      <c r="BR8" s="589"/>
      <c r="BS8" s="591"/>
      <c r="BT8" s="589"/>
      <c r="BU8" s="589"/>
      <c r="BV8" s="589"/>
      <c r="BW8" s="589"/>
      <c r="BX8" s="589"/>
      <c r="BY8" s="589"/>
      <c r="BZ8" s="589"/>
      <c r="CA8" s="589"/>
      <c r="CB8" s="589"/>
      <c r="CC8" s="589"/>
      <c r="CD8" s="590"/>
      <c r="CE8" s="591"/>
      <c r="CF8" s="589"/>
      <c r="CG8" s="589"/>
      <c r="CH8" s="589"/>
      <c r="CI8" s="589"/>
      <c r="CJ8" s="589"/>
      <c r="CK8" s="589"/>
      <c r="CL8" s="589"/>
      <c r="CM8" s="589"/>
      <c r="CN8" s="589"/>
      <c r="CO8" s="589"/>
      <c r="CP8" s="590"/>
      <c r="CQ8" s="591"/>
      <c r="CR8" s="589"/>
      <c r="CS8" s="589"/>
      <c r="CT8" s="589"/>
      <c r="CU8" s="589"/>
      <c r="CV8" s="589"/>
      <c r="CW8" s="589"/>
      <c r="CX8" s="589"/>
      <c r="CY8" s="589"/>
      <c r="CZ8" s="589"/>
      <c r="DA8" s="589"/>
      <c r="DB8" s="590"/>
    </row>
    <row r="9" spans="1:107" ht="12.75" hidden="1" customHeight="1" x14ac:dyDescent="0.2">
      <c r="A9" s="609" t="s">
        <v>252</v>
      </c>
      <c r="B9" s="832">
        <f t="shared" si="2"/>
        <v>1</v>
      </c>
      <c r="C9" s="581" t="s">
        <v>150</v>
      </c>
      <c r="D9" s="581"/>
      <c r="E9" s="605">
        <f t="shared" si="1"/>
        <v>55000</v>
      </c>
      <c r="F9" s="605">
        <f t="shared" si="0"/>
        <v>55000</v>
      </c>
      <c r="G9" s="607">
        <f t="shared" si="3"/>
        <v>0</v>
      </c>
      <c r="H9" s="619">
        <v>1000</v>
      </c>
      <c r="I9" s="68">
        <v>1000</v>
      </c>
      <c r="J9" s="588">
        <v>1000</v>
      </c>
      <c r="K9" s="588">
        <v>1000</v>
      </c>
      <c r="L9" s="588">
        <v>1000</v>
      </c>
      <c r="M9" s="588">
        <v>1000</v>
      </c>
      <c r="N9" s="588">
        <v>1000</v>
      </c>
      <c r="O9" s="588">
        <v>1000</v>
      </c>
      <c r="P9" s="588">
        <v>1000</v>
      </c>
      <c r="Q9" s="588">
        <v>1000</v>
      </c>
      <c r="R9" s="588">
        <v>1000</v>
      </c>
      <c r="S9" s="592">
        <v>1000</v>
      </c>
      <c r="T9" s="593">
        <v>1000</v>
      </c>
      <c r="U9" s="588">
        <v>1000</v>
      </c>
      <c r="V9" s="588">
        <v>1000</v>
      </c>
      <c r="W9" s="588">
        <v>1000</v>
      </c>
      <c r="X9" s="588">
        <v>1000</v>
      </c>
      <c r="Y9" s="588">
        <v>1000</v>
      </c>
      <c r="Z9" s="588">
        <v>1000</v>
      </c>
      <c r="AA9" s="588">
        <v>1000</v>
      </c>
      <c r="AB9" s="588">
        <v>1000</v>
      </c>
      <c r="AC9" s="588">
        <v>1000</v>
      </c>
      <c r="AD9" s="588">
        <v>1000</v>
      </c>
      <c r="AE9" s="592">
        <v>1000</v>
      </c>
      <c r="AF9" s="593">
        <v>1000</v>
      </c>
      <c r="AG9" s="588">
        <v>1000</v>
      </c>
      <c r="AH9" s="588">
        <v>1000</v>
      </c>
      <c r="AI9" s="588"/>
      <c r="AJ9" s="588"/>
      <c r="AK9" s="588">
        <v>1000</v>
      </c>
      <c r="AL9" s="588">
        <v>1000</v>
      </c>
      <c r="AM9" s="588">
        <v>1000</v>
      </c>
      <c r="AN9" s="588">
        <v>1000</v>
      </c>
      <c r="AO9" s="588">
        <v>1000</v>
      </c>
      <c r="AP9" s="588">
        <v>1000</v>
      </c>
      <c r="AQ9" s="592">
        <v>1000</v>
      </c>
      <c r="AR9" s="593">
        <v>1000</v>
      </c>
      <c r="AS9" s="588">
        <v>1000</v>
      </c>
      <c r="AT9" s="588">
        <v>1000</v>
      </c>
      <c r="AU9" s="588">
        <v>1000</v>
      </c>
      <c r="AV9" s="588">
        <v>1000</v>
      </c>
      <c r="AW9" s="588">
        <v>1000</v>
      </c>
      <c r="AX9" s="588">
        <v>1000</v>
      </c>
      <c r="AY9" s="588">
        <v>1000</v>
      </c>
      <c r="AZ9" s="588">
        <v>1000</v>
      </c>
      <c r="BA9" s="588">
        <v>1000</v>
      </c>
      <c r="BB9" s="588">
        <v>1000</v>
      </c>
      <c r="BC9" s="592">
        <v>1000</v>
      </c>
      <c r="BD9" s="593">
        <v>1000</v>
      </c>
      <c r="BE9" s="588">
        <v>1000</v>
      </c>
      <c r="BF9" s="588">
        <v>1000</v>
      </c>
      <c r="BG9" s="588">
        <v>1000</v>
      </c>
      <c r="BH9" s="588">
        <v>1000</v>
      </c>
      <c r="BI9" s="588">
        <v>1000</v>
      </c>
      <c r="BJ9" s="588">
        <v>1000</v>
      </c>
      <c r="BK9" s="588">
        <v>1000</v>
      </c>
      <c r="BL9" s="588">
        <v>1000</v>
      </c>
      <c r="BM9" s="589"/>
      <c r="BN9" s="589"/>
      <c r="BO9" s="595"/>
      <c r="BP9" s="594"/>
      <c r="BQ9" s="589"/>
      <c r="BR9" s="589"/>
      <c r="BS9" s="591"/>
      <c r="BT9" s="589"/>
      <c r="BU9" s="589"/>
      <c r="BV9" s="589"/>
      <c r="BW9" s="589"/>
      <c r="BX9" s="589"/>
      <c r="BY9" s="589"/>
      <c r="BZ9" s="589"/>
      <c r="CA9" s="589"/>
      <c r="CB9" s="589"/>
      <c r="CC9" s="589"/>
      <c r="CD9" s="590"/>
      <c r="CE9" s="591"/>
      <c r="CF9" s="589"/>
      <c r="CG9" s="589"/>
      <c r="CH9" s="589"/>
      <c r="CI9" s="589"/>
      <c r="CJ9" s="589"/>
      <c r="CK9" s="589"/>
      <c r="CL9" s="589"/>
      <c r="CM9" s="589"/>
      <c r="CN9" s="589"/>
      <c r="CO9" s="589"/>
      <c r="CP9" s="590"/>
      <c r="CQ9" s="591"/>
      <c r="CR9" s="589"/>
      <c r="CS9" s="589"/>
      <c r="CT9" s="589"/>
      <c r="CU9" s="589"/>
      <c r="CV9" s="589"/>
      <c r="CW9" s="589"/>
      <c r="CX9" s="589"/>
      <c r="CY9" s="589"/>
      <c r="CZ9" s="589"/>
      <c r="DA9" s="589"/>
      <c r="DB9" s="590"/>
    </row>
    <row r="10" spans="1:107" ht="12.75" hidden="1" customHeight="1" x14ac:dyDescent="0.2">
      <c r="A10" s="609" t="s">
        <v>252</v>
      </c>
      <c r="B10" s="832">
        <f t="shared" si="2"/>
        <v>1</v>
      </c>
      <c r="C10" s="608" t="s">
        <v>179</v>
      </c>
      <c r="D10" s="744"/>
      <c r="E10" s="605">
        <f t="shared" si="1"/>
        <v>55000</v>
      </c>
      <c r="F10" s="605">
        <f t="shared" si="0"/>
        <v>55000</v>
      </c>
      <c r="G10" s="607">
        <f t="shared" si="3"/>
        <v>0</v>
      </c>
      <c r="H10" s="619">
        <v>1000</v>
      </c>
      <c r="I10" s="68">
        <v>1000</v>
      </c>
      <c r="J10" s="588">
        <v>1000</v>
      </c>
      <c r="K10" s="588">
        <v>1000</v>
      </c>
      <c r="L10" s="588">
        <v>1000</v>
      </c>
      <c r="M10" s="588">
        <v>1000</v>
      </c>
      <c r="N10" s="588">
        <v>1000</v>
      </c>
      <c r="O10" s="588">
        <v>1000</v>
      </c>
      <c r="P10" s="588">
        <v>1000</v>
      </c>
      <c r="Q10" s="588">
        <v>1000</v>
      </c>
      <c r="R10" s="588">
        <v>1000</v>
      </c>
      <c r="S10" s="592">
        <v>1000</v>
      </c>
      <c r="T10" s="593">
        <v>1000</v>
      </c>
      <c r="U10" s="588">
        <v>1000</v>
      </c>
      <c r="V10" s="588">
        <v>1000</v>
      </c>
      <c r="W10" s="588">
        <v>1000</v>
      </c>
      <c r="X10" s="588">
        <v>1000</v>
      </c>
      <c r="Y10" s="588">
        <v>1000</v>
      </c>
      <c r="Z10" s="588">
        <v>1000</v>
      </c>
      <c r="AA10" s="588">
        <v>1000</v>
      </c>
      <c r="AB10" s="588">
        <v>1000</v>
      </c>
      <c r="AC10" s="588">
        <v>1000</v>
      </c>
      <c r="AD10" s="588">
        <v>1000</v>
      </c>
      <c r="AE10" s="592">
        <v>1000</v>
      </c>
      <c r="AF10" s="593">
        <v>1000</v>
      </c>
      <c r="AG10" s="588">
        <v>1000</v>
      </c>
      <c r="AH10" s="588">
        <v>1000</v>
      </c>
      <c r="AI10" s="588"/>
      <c r="AJ10" s="588"/>
      <c r="AK10" s="588">
        <v>1000</v>
      </c>
      <c r="AL10" s="588">
        <v>1000</v>
      </c>
      <c r="AM10" s="588">
        <v>1000</v>
      </c>
      <c r="AN10" s="588">
        <v>1000</v>
      </c>
      <c r="AO10" s="588">
        <v>1000</v>
      </c>
      <c r="AP10" s="588">
        <v>1000</v>
      </c>
      <c r="AQ10" s="592">
        <v>1000</v>
      </c>
      <c r="AR10" s="593">
        <v>1000</v>
      </c>
      <c r="AS10" s="588">
        <v>1000</v>
      </c>
      <c r="AT10" s="588">
        <v>1000</v>
      </c>
      <c r="AU10" s="588">
        <v>1000</v>
      </c>
      <c r="AV10" s="588">
        <v>1000</v>
      </c>
      <c r="AW10" s="588">
        <v>1000</v>
      </c>
      <c r="AX10" s="588">
        <v>1000</v>
      </c>
      <c r="AY10" s="588">
        <v>1000</v>
      </c>
      <c r="AZ10" s="588">
        <v>1000</v>
      </c>
      <c r="BA10" s="588">
        <v>1000</v>
      </c>
      <c r="BB10" s="588">
        <v>1000</v>
      </c>
      <c r="BC10" s="592">
        <v>1000</v>
      </c>
      <c r="BD10" s="593">
        <v>1000</v>
      </c>
      <c r="BE10" s="588">
        <v>1000</v>
      </c>
      <c r="BF10" s="588">
        <v>1000</v>
      </c>
      <c r="BG10" s="588">
        <v>1000</v>
      </c>
      <c r="BH10" s="588">
        <v>1000</v>
      </c>
      <c r="BI10" s="588">
        <v>1000</v>
      </c>
      <c r="BJ10" s="588">
        <v>1000</v>
      </c>
      <c r="BK10" s="588">
        <v>1000</v>
      </c>
      <c r="BL10" s="588">
        <v>1000</v>
      </c>
      <c r="BM10" s="589"/>
      <c r="BN10" s="589"/>
      <c r="BO10" s="595"/>
      <c r="BP10" s="594"/>
      <c r="BQ10" s="589"/>
      <c r="BR10" s="589"/>
      <c r="BS10" s="591"/>
      <c r="BT10" s="589"/>
      <c r="BU10" s="589"/>
      <c r="BV10" s="589"/>
      <c r="BW10" s="589"/>
      <c r="BX10" s="589"/>
      <c r="BY10" s="589"/>
      <c r="BZ10" s="589"/>
      <c r="CA10" s="589"/>
      <c r="CB10" s="589"/>
      <c r="CC10" s="589"/>
      <c r="CD10" s="590"/>
      <c r="CE10" s="591"/>
      <c r="CF10" s="589"/>
      <c r="CG10" s="589"/>
      <c r="CH10" s="589"/>
      <c r="CI10" s="589"/>
      <c r="CJ10" s="589"/>
      <c r="CK10" s="589"/>
      <c r="CL10" s="589"/>
      <c r="CM10" s="589"/>
      <c r="CN10" s="589"/>
      <c r="CO10" s="589"/>
      <c r="CP10" s="590"/>
      <c r="CQ10" s="591"/>
      <c r="CR10" s="589"/>
      <c r="CS10" s="589"/>
      <c r="CT10" s="589"/>
      <c r="CU10" s="589"/>
      <c r="CV10" s="589"/>
      <c r="CW10" s="589"/>
      <c r="CX10" s="589"/>
      <c r="CY10" s="589"/>
      <c r="CZ10" s="589"/>
      <c r="DA10" s="589"/>
      <c r="DB10" s="590"/>
    </row>
    <row r="11" spans="1:107" ht="12.75" hidden="1" customHeight="1" x14ac:dyDescent="0.2">
      <c r="A11" s="609" t="s">
        <v>255</v>
      </c>
      <c r="B11" s="832">
        <f t="shared" ref="B11:B26" si="4">+E11/F11</f>
        <v>1</v>
      </c>
      <c r="C11" s="581" t="s">
        <v>157</v>
      </c>
      <c r="D11" s="581"/>
      <c r="E11" s="605">
        <f>SUM(H11:DB11)</f>
        <v>72000</v>
      </c>
      <c r="F11" s="605">
        <f>+COUNTA(H11:DB11)*1000</f>
        <v>72000</v>
      </c>
      <c r="G11" s="607">
        <f t="shared" si="3"/>
        <v>0</v>
      </c>
      <c r="H11" s="619">
        <v>1000</v>
      </c>
      <c r="I11" s="68">
        <v>1000</v>
      </c>
      <c r="J11" s="588">
        <v>1000</v>
      </c>
      <c r="K11" s="588">
        <v>1000</v>
      </c>
      <c r="L11" s="588">
        <v>1000</v>
      </c>
      <c r="M11" s="588">
        <v>1000</v>
      </c>
      <c r="N11" s="588">
        <v>1000</v>
      </c>
      <c r="O11" s="588">
        <v>1000</v>
      </c>
      <c r="P11" s="588">
        <v>1000</v>
      </c>
      <c r="Q11" s="588">
        <v>1000</v>
      </c>
      <c r="R11" s="588">
        <v>1000</v>
      </c>
      <c r="S11" s="592">
        <v>1000</v>
      </c>
      <c r="T11" s="593">
        <v>1000</v>
      </c>
      <c r="U11" s="588">
        <v>1000</v>
      </c>
      <c r="V11" s="588">
        <v>1000</v>
      </c>
      <c r="W11" s="588">
        <v>1000</v>
      </c>
      <c r="X11" s="588">
        <v>1000</v>
      </c>
      <c r="Y11" s="588">
        <v>1000</v>
      </c>
      <c r="Z11" s="588">
        <v>1000</v>
      </c>
      <c r="AA11" s="588">
        <v>1000</v>
      </c>
      <c r="AB11" s="588">
        <v>1000</v>
      </c>
      <c r="AC11" s="588">
        <v>1000</v>
      </c>
      <c r="AD11" s="588">
        <v>1000</v>
      </c>
      <c r="AE11" s="592">
        <v>1000</v>
      </c>
      <c r="AF11" s="593">
        <v>1000</v>
      </c>
      <c r="AG11" s="588">
        <v>1000</v>
      </c>
      <c r="AH11" s="588">
        <v>1000</v>
      </c>
      <c r="AI11" s="588">
        <v>1000</v>
      </c>
      <c r="AJ11" s="588">
        <v>1000</v>
      </c>
      <c r="AK11" s="588">
        <v>1000</v>
      </c>
      <c r="AL11" s="588">
        <v>1000</v>
      </c>
      <c r="AM11" s="588">
        <v>1000</v>
      </c>
      <c r="AN11" s="588">
        <v>1000</v>
      </c>
      <c r="AO11" s="588">
        <v>1000</v>
      </c>
      <c r="AP11" s="588">
        <v>1000</v>
      </c>
      <c r="AQ11" s="592">
        <v>1000</v>
      </c>
      <c r="AR11" s="593">
        <v>1000</v>
      </c>
      <c r="AS11" s="588">
        <v>1000</v>
      </c>
      <c r="AT11" s="588">
        <v>1000</v>
      </c>
      <c r="AU11" s="588">
        <v>1000</v>
      </c>
      <c r="AV11" s="588">
        <v>1000</v>
      </c>
      <c r="AW11" s="588">
        <v>1000</v>
      </c>
      <c r="AX11" s="588">
        <v>1000</v>
      </c>
      <c r="AY11" s="588">
        <v>1000</v>
      </c>
      <c r="AZ11" s="588">
        <v>1000</v>
      </c>
      <c r="BA11" s="588">
        <v>1000</v>
      </c>
      <c r="BB11" s="588">
        <v>1000</v>
      </c>
      <c r="BC11" s="592">
        <v>1000</v>
      </c>
      <c r="BD11" s="593">
        <v>1000</v>
      </c>
      <c r="BE11" s="588">
        <v>1000</v>
      </c>
      <c r="BF11" s="588">
        <v>1000</v>
      </c>
      <c r="BG11" s="588">
        <v>1000</v>
      </c>
      <c r="BH11" s="588">
        <v>1000</v>
      </c>
      <c r="BI11" s="588">
        <v>1000</v>
      </c>
      <c r="BJ11" s="588">
        <v>1000</v>
      </c>
      <c r="BK11" s="588">
        <v>1000</v>
      </c>
      <c r="BL11" s="588">
        <v>1000</v>
      </c>
      <c r="BM11" s="588">
        <v>1000</v>
      </c>
      <c r="BN11" s="588">
        <v>1000</v>
      </c>
      <c r="BO11" s="592">
        <v>1000</v>
      </c>
      <c r="BP11" s="593">
        <v>1000</v>
      </c>
      <c r="BQ11" s="588">
        <v>1000</v>
      </c>
      <c r="BR11" s="588">
        <v>1000</v>
      </c>
      <c r="BS11" s="587">
        <v>1000</v>
      </c>
      <c r="BT11" s="588">
        <v>1000</v>
      </c>
      <c r="BU11" s="588">
        <v>1000</v>
      </c>
      <c r="BV11" s="588">
        <v>1000</v>
      </c>
      <c r="BW11" s="588">
        <v>1000</v>
      </c>
      <c r="BX11" s="588">
        <v>1000</v>
      </c>
      <c r="BY11" s="588">
        <v>1000</v>
      </c>
      <c r="BZ11" s="588">
        <v>1000</v>
      </c>
      <c r="CA11" s="588">
        <v>1000</v>
      </c>
      <c r="CB11" s="589"/>
      <c r="CC11" s="589"/>
      <c r="CD11" s="590"/>
      <c r="CE11" s="591"/>
      <c r="CF11" s="589"/>
      <c r="CG11" s="589"/>
      <c r="CH11" s="589"/>
      <c r="CI11" s="589"/>
      <c r="CJ11" s="589"/>
      <c r="CK11" s="589"/>
      <c r="CL11" s="589"/>
      <c r="CM11" s="589"/>
      <c r="CN11" s="589"/>
      <c r="CO11" s="589"/>
      <c r="CP11" s="590"/>
      <c r="CQ11" s="591"/>
      <c r="CR11" s="589"/>
      <c r="CS11" s="589"/>
      <c r="CT11" s="589"/>
      <c r="CU11" s="589"/>
      <c r="CV11" s="589"/>
      <c r="CW11" s="589"/>
      <c r="CX11" s="589"/>
      <c r="CY11" s="589"/>
      <c r="CZ11" s="589"/>
      <c r="DA11" s="589"/>
      <c r="DB11" s="590"/>
    </row>
    <row r="12" spans="1:107" ht="12.75" hidden="1" customHeight="1" x14ac:dyDescent="0.2">
      <c r="A12" s="609" t="s">
        <v>256</v>
      </c>
      <c r="B12" s="832">
        <f t="shared" si="4"/>
        <v>1</v>
      </c>
      <c r="C12" s="581" t="s">
        <v>159</v>
      </c>
      <c r="D12" s="581"/>
      <c r="E12" s="605">
        <f t="shared" ref="E12:E25" si="5">SUM(H12:CD12)</f>
        <v>12000</v>
      </c>
      <c r="F12" s="605">
        <f t="shared" ref="F12:F25" si="6">+COUNTA(H12:CY12)*1000</f>
        <v>12000</v>
      </c>
      <c r="G12" s="607">
        <f t="shared" si="3"/>
        <v>0</v>
      </c>
      <c r="H12" s="619">
        <v>1000</v>
      </c>
      <c r="I12" s="68">
        <v>1000</v>
      </c>
      <c r="J12" s="588">
        <v>1000</v>
      </c>
      <c r="K12" s="588">
        <v>1000</v>
      </c>
      <c r="L12" s="588">
        <v>1000</v>
      </c>
      <c r="M12" s="588">
        <v>1000</v>
      </c>
      <c r="N12" s="588">
        <v>1000</v>
      </c>
      <c r="O12" s="588">
        <v>1000</v>
      </c>
      <c r="P12" s="588">
        <v>1000</v>
      </c>
      <c r="Q12" s="588">
        <v>1000</v>
      </c>
      <c r="R12" s="588">
        <v>1000</v>
      </c>
      <c r="S12" s="592">
        <v>1000</v>
      </c>
      <c r="T12" s="594"/>
      <c r="U12" s="589"/>
      <c r="V12" s="589"/>
      <c r="W12" s="589"/>
      <c r="X12" s="589"/>
      <c r="Y12" s="589"/>
      <c r="Z12" s="589"/>
      <c r="AA12" s="589"/>
      <c r="AB12" s="589"/>
      <c r="AC12" s="589"/>
      <c r="AD12" s="589"/>
      <c r="AE12" s="595"/>
      <c r="AF12" s="594"/>
      <c r="AG12" s="589"/>
      <c r="AH12" s="589"/>
      <c r="AI12" s="589"/>
      <c r="AJ12" s="589"/>
      <c r="AK12" s="589"/>
      <c r="AL12" s="589"/>
      <c r="AM12" s="589"/>
      <c r="AN12" s="589"/>
      <c r="AO12" s="589"/>
      <c r="AP12" s="589"/>
      <c r="AQ12" s="595"/>
      <c r="AR12" s="594"/>
      <c r="AS12" s="589"/>
      <c r="AT12" s="589"/>
      <c r="AU12" s="589"/>
      <c r="AV12" s="589"/>
      <c r="AW12" s="589"/>
      <c r="AX12" s="589"/>
      <c r="AY12" s="589"/>
      <c r="AZ12" s="589"/>
      <c r="BA12" s="589"/>
      <c r="BB12" s="589"/>
      <c r="BC12" s="595"/>
      <c r="BD12" s="594"/>
      <c r="BE12" s="589"/>
      <c r="BF12" s="589"/>
      <c r="BG12" s="589"/>
      <c r="BH12" s="589"/>
      <c r="BI12" s="589"/>
      <c r="BJ12" s="589"/>
      <c r="BK12" s="589"/>
      <c r="BL12" s="589"/>
      <c r="BM12" s="589"/>
      <c r="BN12" s="589"/>
      <c r="BO12" s="595"/>
      <c r="BP12" s="594"/>
      <c r="BQ12" s="589"/>
      <c r="BR12" s="589"/>
      <c r="BS12" s="591"/>
      <c r="BT12" s="589"/>
      <c r="BU12" s="589"/>
      <c r="BV12" s="589"/>
      <c r="BW12" s="589"/>
      <c r="BX12" s="589"/>
      <c r="BY12" s="589"/>
      <c r="BZ12" s="589"/>
      <c r="CA12" s="589"/>
      <c r="CB12" s="589"/>
      <c r="CC12" s="589"/>
      <c r="CD12" s="590"/>
      <c r="CE12" s="591"/>
      <c r="CF12" s="589"/>
      <c r="CG12" s="589"/>
      <c r="CH12" s="589"/>
      <c r="CI12" s="589"/>
      <c r="CJ12" s="589"/>
      <c r="CK12" s="589"/>
      <c r="CL12" s="589"/>
      <c r="CM12" s="589"/>
      <c r="CN12" s="589"/>
      <c r="CO12" s="589"/>
      <c r="CP12" s="590"/>
      <c r="CQ12" s="591"/>
      <c r="CR12" s="589"/>
      <c r="CS12" s="589"/>
      <c r="CT12" s="589"/>
      <c r="CU12" s="589"/>
      <c r="CV12" s="589"/>
      <c r="CW12" s="589"/>
      <c r="CX12" s="589"/>
      <c r="CY12" s="589"/>
      <c r="CZ12" s="589"/>
      <c r="DA12" s="589"/>
      <c r="DB12" s="590"/>
    </row>
    <row r="13" spans="1:107" ht="12.75" hidden="1" customHeight="1" x14ac:dyDescent="0.2">
      <c r="A13" s="609" t="s">
        <v>256</v>
      </c>
      <c r="B13" s="832">
        <f t="shared" si="4"/>
        <v>1</v>
      </c>
      <c r="C13" s="608" t="s">
        <v>257</v>
      </c>
      <c r="D13" s="744"/>
      <c r="E13" s="605">
        <f t="shared" si="5"/>
        <v>12000</v>
      </c>
      <c r="F13" s="605">
        <f t="shared" si="6"/>
        <v>12000</v>
      </c>
      <c r="G13" s="607">
        <f t="shared" si="3"/>
        <v>0</v>
      </c>
      <c r="H13" s="619">
        <v>1000</v>
      </c>
      <c r="I13" s="68">
        <v>1000</v>
      </c>
      <c r="J13" s="588">
        <v>1000</v>
      </c>
      <c r="K13" s="588">
        <v>1000</v>
      </c>
      <c r="L13" s="588">
        <v>1000</v>
      </c>
      <c r="M13" s="588">
        <v>1000</v>
      </c>
      <c r="N13" s="588">
        <v>1000</v>
      </c>
      <c r="O13" s="588">
        <v>1000</v>
      </c>
      <c r="P13" s="588">
        <v>1000</v>
      </c>
      <c r="Q13" s="588">
        <v>1000</v>
      </c>
      <c r="R13" s="588">
        <v>1000</v>
      </c>
      <c r="S13" s="592">
        <v>1000</v>
      </c>
      <c r="T13" s="594"/>
      <c r="U13" s="589"/>
      <c r="V13" s="589"/>
      <c r="W13" s="589"/>
      <c r="X13" s="589"/>
      <c r="Y13" s="589"/>
      <c r="Z13" s="589"/>
      <c r="AA13" s="589"/>
      <c r="AB13" s="589"/>
      <c r="AC13" s="589"/>
      <c r="AD13" s="589"/>
      <c r="AE13" s="595"/>
      <c r="AF13" s="594"/>
      <c r="AG13" s="589"/>
      <c r="AH13" s="589"/>
      <c r="AI13" s="589"/>
      <c r="AJ13" s="589"/>
      <c r="AK13" s="589"/>
      <c r="AL13" s="589"/>
      <c r="AM13" s="589"/>
      <c r="AN13" s="589"/>
      <c r="AO13" s="589"/>
      <c r="AP13" s="589"/>
      <c r="AQ13" s="595"/>
      <c r="AR13" s="594"/>
      <c r="AS13" s="589"/>
      <c r="AT13" s="589"/>
      <c r="AU13" s="589"/>
      <c r="AV13" s="589"/>
      <c r="AW13" s="589"/>
      <c r="AX13" s="589"/>
      <c r="AY13" s="589"/>
      <c r="AZ13" s="589"/>
      <c r="BA13" s="589"/>
      <c r="BB13" s="589"/>
      <c r="BC13" s="595"/>
      <c r="BD13" s="594"/>
      <c r="BE13" s="589"/>
      <c r="BF13" s="589"/>
      <c r="BG13" s="589"/>
      <c r="BH13" s="589"/>
      <c r="BI13" s="589"/>
      <c r="BJ13" s="589"/>
      <c r="BK13" s="589"/>
      <c r="BL13" s="589"/>
      <c r="BM13" s="589"/>
      <c r="BN13" s="589"/>
      <c r="BO13" s="595"/>
      <c r="BP13" s="594"/>
      <c r="BQ13" s="589"/>
      <c r="BR13" s="589"/>
      <c r="BS13" s="591"/>
      <c r="BT13" s="589"/>
      <c r="BU13" s="589"/>
      <c r="BV13" s="589"/>
      <c r="BW13" s="589"/>
      <c r="BX13" s="589"/>
      <c r="BY13" s="589"/>
      <c r="BZ13" s="589"/>
      <c r="CA13" s="589"/>
      <c r="CB13" s="589"/>
      <c r="CC13" s="589"/>
      <c r="CD13" s="590"/>
      <c r="CE13" s="591"/>
      <c r="CF13" s="589"/>
      <c r="CG13" s="589"/>
      <c r="CH13" s="589"/>
      <c r="CI13" s="589"/>
      <c r="CJ13" s="589"/>
      <c r="CK13" s="589"/>
      <c r="CL13" s="589"/>
      <c r="CM13" s="589"/>
      <c r="CN13" s="589"/>
      <c r="CO13" s="589"/>
      <c r="CP13" s="590"/>
      <c r="CQ13" s="591"/>
      <c r="CR13" s="589"/>
      <c r="CS13" s="589"/>
      <c r="CT13" s="589"/>
      <c r="CU13" s="589"/>
      <c r="CV13" s="589"/>
      <c r="CW13" s="589"/>
      <c r="CX13" s="589"/>
      <c r="CY13" s="589"/>
      <c r="CZ13" s="589"/>
      <c r="DA13" s="589"/>
      <c r="DB13" s="590"/>
    </row>
    <row r="14" spans="1:107" ht="12.75" hidden="1" customHeight="1" x14ac:dyDescent="0.2">
      <c r="A14" s="581" t="s">
        <v>258</v>
      </c>
      <c r="B14" s="832">
        <f t="shared" si="4"/>
        <v>1</v>
      </c>
      <c r="C14" s="581" t="s">
        <v>164</v>
      </c>
      <c r="D14" s="581"/>
      <c r="E14" s="605">
        <f t="shared" si="5"/>
        <v>72000</v>
      </c>
      <c r="F14" s="605">
        <f t="shared" si="6"/>
        <v>72000</v>
      </c>
      <c r="G14" s="607">
        <f t="shared" si="3"/>
        <v>0</v>
      </c>
      <c r="H14" s="619">
        <v>1000</v>
      </c>
      <c r="I14" s="68">
        <v>1000</v>
      </c>
      <c r="J14" s="588">
        <v>1000</v>
      </c>
      <c r="K14" s="588">
        <v>1000</v>
      </c>
      <c r="L14" s="588">
        <v>1000</v>
      </c>
      <c r="M14" s="588">
        <v>1000</v>
      </c>
      <c r="N14" s="588">
        <v>1000</v>
      </c>
      <c r="O14" s="588">
        <v>1000</v>
      </c>
      <c r="P14" s="588">
        <v>1000</v>
      </c>
      <c r="Q14" s="588">
        <v>1000</v>
      </c>
      <c r="R14" s="588">
        <v>1000</v>
      </c>
      <c r="S14" s="592">
        <v>1000</v>
      </c>
      <c r="T14" s="593">
        <v>1000</v>
      </c>
      <c r="U14" s="588">
        <v>1000</v>
      </c>
      <c r="V14" s="588">
        <v>1000</v>
      </c>
      <c r="W14" s="588">
        <v>1000</v>
      </c>
      <c r="X14" s="588">
        <v>1000</v>
      </c>
      <c r="Y14" s="588">
        <v>1000</v>
      </c>
      <c r="Z14" s="588">
        <v>1000</v>
      </c>
      <c r="AA14" s="588">
        <v>1000</v>
      </c>
      <c r="AB14" s="588">
        <v>1000</v>
      </c>
      <c r="AC14" s="588">
        <v>1000</v>
      </c>
      <c r="AD14" s="588">
        <v>1000</v>
      </c>
      <c r="AE14" s="592">
        <v>1000</v>
      </c>
      <c r="AF14" s="593">
        <v>1000</v>
      </c>
      <c r="AG14" s="588">
        <v>1000</v>
      </c>
      <c r="AH14" s="588">
        <v>1000</v>
      </c>
      <c r="AI14" s="588">
        <v>1000</v>
      </c>
      <c r="AJ14" s="588">
        <v>1000</v>
      </c>
      <c r="AK14" s="588">
        <v>1000</v>
      </c>
      <c r="AL14" s="588">
        <v>1000</v>
      </c>
      <c r="AM14" s="588">
        <v>1000</v>
      </c>
      <c r="AN14" s="588">
        <v>1000</v>
      </c>
      <c r="AO14" s="588">
        <v>1000</v>
      </c>
      <c r="AP14" s="588">
        <v>1000</v>
      </c>
      <c r="AQ14" s="592">
        <v>1000</v>
      </c>
      <c r="AR14" s="593">
        <v>1000</v>
      </c>
      <c r="AS14" s="588">
        <v>1000</v>
      </c>
      <c r="AT14" s="588">
        <v>1000</v>
      </c>
      <c r="AU14" s="588">
        <v>1000</v>
      </c>
      <c r="AV14" s="588">
        <v>1000</v>
      </c>
      <c r="AW14" s="588">
        <v>1000</v>
      </c>
      <c r="AX14" s="588">
        <v>1000</v>
      </c>
      <c r="AY14" s="588">
        <v>1000</v>
      </c>
      <c r="AZ14" s="588">
        <v>1000</v>
      </c>
      <c r="BA14" s="588">
        <v>1000</v>
      </c>
      <c r="BB14" s="588">
        <v>1000</v>
      </c>
      <c r="BC14" s="592">
        <v>1000</v>
      </c>
      <c r="BD14" s="593">
        <v>1000</v>
      </c>
      <c r="BE14" s="588">
        <v>1000</v>
      </c>
      <c r="BF14" s="588">
        <v>1000</v>
      </c>
      <c r="BG14" s="588">
        <v>1000</v>
      </c>
      <c r="BH14" s="588">
        <v>1000</v>
      </c>
      <c r="BI14" s="588">
        <v>1000</v>
      </c>
      <c r="BJ14" s="588">
        <v>1000</v>
      </c>
      <c r="BK14" s="588">
        <v>1000</v>
      </c>
      <c r="BL14" s="588">
        <v>1000</v>
      </c>
      <c r="BM14" s="588">
        <v>1000</v>
      </c>
      <c r="BN14" s="588">
        <v>1000</v>
      </c>
      <c r="BO14" s="592">
        <v>1000</v>
      </c>
      <c r="BP14" s="593">
        <v>1000</v>
      </c>
      <c r="BQ14" s="588">
        <v>1000</v>
      </c>
      <c r="BR14" s="588">
        <v>1000</v>
      </c>
      <c r="BS14" s="587">
        <v>1000</v>
      </c>
      <c r="BT14" s="588">
        <v>1000</v>
      </c>
      <c r="BU14" s="588">
        <v>1000</v>
      </c>
      <c r="BV14" s="588">
        <v>1000</v>
      </c>
      <c r="BW14" s="588">
        <v>1000</v>
      </c>
      <c r="BX14" s="588">
        <v>1000</v>
      </c>
      <c r="BY14" s="588">
        <v>1000</v>
      </c>
      <c r="BZ14" s="588">
        <v>1000</v>
      </c>
      <c r="CA14" s="588">
        <v>1000</v>
      </c>
      <c r="CB14" s="589"/>
      <c r="CC14" s="589"/>
      <c r="CD14" s="590"/>
      <c r="CE14" s="591"/>
      <c r="CF14" s="589"/>
      <c r="CG14" s="589"/>
      <c r="CH14" s="589"/>
      <c r="CI14" s="589"/>
      <c r="CJ14" s="589"/>
      <c r="CK14" s="589"/>
      <c r="CL14" s="589"/>
      <c r="CM14" s="589"/>
      <c r="CN14" s="589"/>
      <c r="CO14" s="589"/>
      <c r="CP14" s="590"/>
      <c r="CQ14" s="591"/>
      <c r="CR14" s="589"/>
      <c r="CS14" s="589"/>
      <c r="CT14" s="589"/>
      <c r="CU14" s="589"/>
      <c r="CV14" s="589"/>
      <c r="CW14" s="589"/>
      <c r="CX14" s="589"/>
      <c r="CY14" s="589"/>
      <c r="CZ14" s="589"/>
      <c r="DA14" s="589"/>
      <c r="DB14" s="590"/>
    </row>
    <row r="15" spans="1:107" ht="12.75" hidden="1" customHeight="1" x14ac:dyDescent="0.2">
      <c r="A15" s="609" t="s">
        <v>258</v>
      </c>
      <c r="B15" s="832">
        <f t="shared" si="4"/>
        <v>1</v>
      </c>
      <c r="C15" s="581" t="s">
        <v>165</v>
      </c>
      <c r="D15" s="581"/>
      <c r="E15" s="605">
        <f t="shared" si="5"/>
        <v>72000</v>
      </c>
      <c r="F15" s="605">
        <f t="shared" si="6"/>
        <v>72000</v>
      </c>
      <c r="G15" s="607">
        <f t="shared" si="3"/>
        <v>0</v>
      </c>
      <c r="H15" s="593">
        <v>1000</v>
      </c>
      <c r="I15" s="588">
        <v>1000</v>
      </c>
      <c r="J15" s="588">
        <v>1000</v>
      </c>
      <c r="K15" s="588">
        <v>1000</v>
      </c>
      <c r="L15" s="588">
        <v>1000</v>
      </c>
      <c r="M15" s="588">
        <v>1000</v>
      </c>
      <c r="N15" s="588">
        <v>1000</v>
      </c>
      <c r="O15" s="588">
        <v>1000</v>
      </c>
      <c r="P15" s="588">
        <v>1000</v>
      </c>
      <c r="Q15" s="588">
        <v>1000</v>
      </c>
      <c r="R15" s="588">
        <v>1000</v>
      </c>
      <c r="S15" s="592">
        <v>1000</v>
      </c>
      <c r="T15" s="593">
        <v>1000</v>
      </c>
      <c r="U15" s="588">
        <v>1000</v>
      </c>
      <c r="V15" s="588">
        <v>1000</v>
      </c>
      <c r="W15" s="588">
        <v>1000</v>
      </c>
      <c r="X15" s="588">
        <v>1000</v>
      </c>
      <c r="Y15" s="588">
        <v>1000</v>
      </c>
      <c r="Z15" s="588">
        <v>1000</v>
      </c>
      <c r="AA15" s="588">
        <v>1000</v>
      </c>
      <c r="AB15" s="588">
        <v>1000</v>
      </c>
      <c r="AC15" s="588">
        <v>1000</v>
      </c>
      <c r="AD15" s="588">
        <v>1000</v>
      </c>
      <c r="AE15" s="592">
        <v>1000</v>
      </c>
      <c r="AF15" s="593">
        <v>1000</v>
      </c>
      <c r="AG15" s="588">
        <v>1000</v>
      </c>
      <c r="AH15" s="588">
        <v>1000</v>
      </c>
      <c r="AI15" s="588">
        <v>1000</v>
      </c>
      <c r="AJ15" s="588">
        <v>1000</v>
      </c>
      <c r="AK15" s="588">
        <v>1000</v>
      </c>
      <c r="AL15" s="588">
        <v>1000</v>
      </c>
      <c r="AM15" s="588">
        <v>1000</v>
      </c>
      <c r="AN15" s="588">
        <v>1000</v>
      </c>
      <c r="AO15" s="588">
        <v>1000</v>
      </c>
      <c r="AP15" s="588">
        <v>1000</v>
      </c>
      <c r="AQ15" s="592">
        <v>1000</v>
      </c>
      <c r="AR15" s="593">
        <v>1000</v>
      </c>
      <c r="AS15" s="588">
        <v>1000</v>
      </c>
      <c r="AT15" s="588">
        <v>1000</v>
      </c>
      <c r="AU15" s="588">
        <v>1000</v>
      </c>
      <c r="AV15" s="588">
        <v>1000</v>
      </c>
      <c r="AW15" s="588">
        <v>1000</v>
      </c>
      <c r="AX15" s="588">
        <v>1000</v>
      </c>
      <c r="AY15" s="588">
        <v>1000</v>
      </c>
      <c r="AZ15" s="588">
        <v>1000</v>
      </c>
      <c r="BA15" s="588">
        <v>1000</v>
      </c>
      <c r="BB15" s="588">
        <v>1000</v>
      </c>
      <c r="BC15" s="592">
        <v>1000</v>
      </c>
      <c r="BD15" s="593">
        <v>1000</v>
      </c>
      <c r="BE15" s="588">
        <v>1000</v>
      </c>
      <c r="BF15" s="588">
        <v>1000</v>
      </c>
      <c r="BG15" s="588">
        <v>1000</v>
      </c>
      <c r="BH15" s="588">
        <v>1000</v>
      </c>
      <c r="BI15" s="588">
        <v>1000</v>
      </c>
      <c r="BJ15" s="588">
        <v>1000</v>
      </c>
      <c r="BK15" s="588">
        <v>1000</v>
      </c>
      <c r="BL15" s="588">
        <v>1000</v>
      </c>
      <c r="BM15" s="588">
        <v>1000</v>
      </c>
      <c r="BN15" s="588">
        <v>1000</v>
      </c>
      <c r="BO15" s="592">
        <v>1000</v>
      </c>
      <c r="BP15" s="593">
        <v>1000</v>
      </c>
      <c r="BQ15" s="588">
        <v>1000</v>
      </c>
      <c r="BR15" s="588">
        <v>1000</v>
      </c>
      <c r="BS15" s="587">
        <v>1000</v>
      </c>
      <c r="BT15" s="588">
        <v>1000</v>
      </c>
      <c r="BU15" s="588">
        <v>1000</v>
      </c>
      <c r="BV15" s="588">
        <v>1000</v>
      </c>
      <c r="BW15" s="588">
        <v>1000</v>
      </c>
      <c r="BX15" s="588">
        <v>1000</v>
      </c>
      <c r="BY15" s="588">
        <v>1000</v>
      </c>
      <c r="BZ15" s="588">
        <v>1000</v>
      </c>
      <c r="CA15" s="588">
        <v>1000</v>
      </c>
      <c r="CB15" s="589"/>
      <c r="CC15" s="589"/>
      <c r="CD15" s="590"/>
      <c r="CE15" s="591"/>
      <c r="CF15" s="589"/>
      <c r="CG15" s="589"/>
      <c r="CH15" s="589"/>
      <c r="CI15" s="589"/>
      <c r="CJ15" s="589"/>
      <c r="CK15" s="589"/>
      <c r="CL15" s="589"/>
      <c r="CM15" s="589"/>
      <c r="CN15" s="589"/>
      <c r="CO15" s="589"/>
      <c r="CP15" s="590"/>
      <c r="CQ15" s="591"/>
      <c r="CR15" s="589"/>
      <c r="CS15" s="589"/>
      <c r="CT15" s="589"/>
      <c r="CU15" s="589"/>
      <c r="CV15" s="589"/>
      <c r="CW15" s="589"/>
      <c r="CX15" s="589"/>
      <c r="CY15" s="589"/>
      <c r="CZ15" s="589"/>
      <c r="DA15" s="589"/>
      <c r="DB15" s="590"/>
    </row>
    <row r="16" spans="1:107" ht="12.75" hidden="1" customHeight="1" x14ac:dyDescent="0.2">
      <c r="A16" s="609" t="s">
        <v>261</v>
      </c>
      <c r="B16" s="832">
        <f t="shared" si="4"/>
        <v>1</v>
      </c>
      <c r="C16" s="581" t="s">
        <v>168</v>
      </c>
      <c r="D16" s="581"/>
      <c r="E16" s="605">
        <f t="shared" si="5"/>
        <v>60000</v>
      </c>
      <c r="F16" s="605">
        <f t="shared" si="6"/>
        <v>60000</v>
      </c>
      <c r="G16" s="607">
        <f t="shared" si="3"/>
        <v>0</v>
      </c>
      <c r="H16" s="593">
        <v>1000</v>
      </c>
      <c r="I16" s="588">
        <v>1000</v>
      </c>
      <c r="J16" s="588">
        <v>1000</v>
      </c>
      <c r="K16" s="588">
        <v>1000</v>
      </c>
      <c r="L16" s="588">
        <v>1000</v>
      </c>
      <c r="M16" s="588">
        <v>1000</v>
      </c>
      <c r="N16" s="588">
        <v>1000</v>
      </c>
      <c r="O16" s="588">
        <v>1000</v>
      </c>
      <c r="P16" s="588">
        <v>1000</v>
      </c>
      <c r="Q16" s="588">
        <v>1000</v>
      </c>
      <c r="R16" s="588">
        <v>1000</v>
      </c>
      <c r="S16" s="592">
        <v>1000</v>
      </c>
      <c r="T16" s="593">
        <v>1000</v>
      </c>
      <c r="U16" s="588">
        <v>1000</v>
      </c>
      <c r="V16" s="588">
        <v>1000</v>
      </c>
      <c r="W16" s="588">
        <v>1000</v>
      </c>
      <c r="X16" s="588">
        <v>1000</v>
      </c>
      <c r="Y16" s="588">
        <v>1000</v>
      </c>
      <c r="Z16" s="588">
        <v>1000</v>
      </c>
      <c r="AA16" s="588">
        <v>1000</v>
      </c>
      <c r="AB16" s="588">
        <v>1000</v>
      </c>
      <c r="AC16" s="588">
        <v>1000</v>
      </c>
      <c r="AD16" s="588">
        <v>1000</v>
      </c>
      <c r="AE16" s="592">
        <v>1000</v>
      </c>
      <c r="AF16" s="593">
        <v>1000</v>
      </c>
      <c r="AG16" s="588">
        <v>1000</v>
      </c>
      <c r="AH16" s="588">
        <v>1000</v>
      </c>
      <c r="AI16" s="588">
        <v>1000</v>
      </c>
      <c r="AJ16" s="588">
        <v>1000</v>
      </c>
      <c r="AK16" s="588">
        <v>1000</v>
      </c>
      <c r="AL16" s="588">
        <v>1000</v>
      </c>
      <c r="AM16" s="588">
        <v>1000</v>
      </c>
      <c r="AN16" s="588">
        <v>1000</v>
      </c>
      <c r="AO16" s="588">
        <v>1000</v>
      </c>
      <c r="AP16" s="588">
        <v>1000</v>
      </c>
      <c r="AQ16" s="592">
        <v>1000</v>
      </c>
      <c r="AR16" s="593">
        <v>1000</v>
      </c>
      <c r="AS16" s="588">
        <v>1000</v>
      </c>
      <c r="AT16" s="588">
        <v>1000</v>
      </c>
      <c r="AU16" s="588">
        <v>1000</v>
      </c>
      <c r="AV16" s="588">
        <v>1000</v>
      </c>
      <c r="AW16" s="588">
        <v>1000</v>
      </c>
      <c r="AX16" s="588">
        <v>1000</v>
      </c>
      <c r="AY16" s="588">
        <v>1000</v>
      </c>
      <c r="AZ16" s="588">
        <v>1000</v>
      </c>
      <c r="BA16" s="588">
        <v>1000</v>
      </c>
      <c r="BB16" s="588">
        <v>1000</v>
      </c>
      <c r="BC16" s="592">
        <v>1000</v>
      </c>
      <c r="BD16" s="593">
        <v>1000</v>
      </c>
      <c r="BE16" s="588">
        <v>1000</v>
      </c>
      <c r="BF16" s="588">
        <v>1000</v>
      </c>
      <c r="BG16" s="588">
        <v>1000</v>
      </c>
      <c r="BH16" s="588">
        <v>1000</v>
      </c>
      <c r="BI16" s="588">
        <v>1000</v>
      </c>
      <c r="BJ16" s="588">
        <v>1000</v>
      </c>
      <c r="BK16" s="588">
        <v>1000</v>
      </c>
      <c r="BL16" s="588">
        <v>1000</v>
      </c>
      <c r="BM16" s="588">
        <v>1000</v>
      </c>
      <c r="BN16" s="588">
        <v>1000</v>
      </c>
      <c r="BO16" s="592">
        <v>1000</v>
      </c>
      <c r="BP16" s="594"/>
      <c r="BQ16" s="589"/>
      <c r="BR16" s="589"/>
      <c r="BS16" s="591"/>
      <c r="BT16" s="589"/>
      <c r="BU16" s="589"/>
      <c r="BV16" s="589"/>
      <c r="BW16" s="589"/>
      <c r="BX16" s="589"/>
      <c r="BY16" s="589"/>
      <c r="BZ16" s="589"/>
      <c r="CA16" s="589"/>
      <c r="CB16" s="589"/>
      <c r="CC16" s="589"/>
      <c r="CD16" s="590"/>
      <c r="CE16" s="591"/>
      <c r="CF16" s="589"/>
      <c r="CG16" s="589"/>
      <c r="CH16" s="589"/>
      <c r="CI16" s="589"/>
      <c r="CJ16" s="589"/>
      <c r="CK16" s="589"/>
      <c r="CL16" s="589"/>
      <c r="CM16" s="589"/>
      <c r="CN16" s="589"/>
      <c r="CO16" s="589"/>
      <c r="CP16" s="590"/>
      <c r="CQ16" s="591"/>
      <c r="CR16" s="589"/>
      <c r="CS16" s="589"/>
      <c r="CT16" s="589"/>
      <c r="CU16" s="589"/>
      <c r="CV16" s="589"/>
      <c r="CW16" s="589"/>
      <c r="CX16" s="589"/>
      <c r="CY16" s="589"/>
      <c r="CZ16" s="589"/>
      <c r="DA16" s="589"/>
      <c r="DB16" s="590"/>
    </row>
    <row r="17" spans="1:106" ht="12.75" hidden="1" customHeight="1" x14ac:dyDescent="0.2">
      <c r="A17" s="609" t="s">
        <v>261</v>
      </c>
      <c r="B17" s="832">
        <f t="shared" si="4"/>
        <v>1</v>
      </c>
      <c r="C17" s="581" t="s">
        <v>169</v>
      </c>
      <c r="D17" s="581"/>
      <c r="E17" s="605">
        <f t="shared" si="5"/>
        <v>60000</v>
      </c>
      <c r="F17" s="605">
        <f t="shared" si="6"/>
        <v>60000</v>
      </c>
      <c r="G17" s="607">
        <f t="shared" si="3"/>
        <v>0</v>
      </c>
      <c r="H17" s="593">
        <v>1000</v>
      </c>
      <c r="I17" s="588">
        <v>1000</v>
      </c>
      <c r="J17" s="588">
        <v>1000</v>
      </c>
      <c r="K17" s="588">
        <v>1000</v>
      </c>
      <c r="L17" s="588">
        <v>1000</v>
      </c>
      <c r="M17" s="588">
        <v>1000</v>
      </c>
      <c r="N17" s="588">
        <v>1000</v>
      </c>
      <c r="O17" s="588">
        <v>1000</v>
      </c>
      <c r="P17" s="588">
        <v>1000</v>
      </c>
      <c r="Q17" s="588">
        <v>1000</v>
      </c>
      <c r="R17" s="588">
        <v>1000</v>
      </c>
      <c r="S17" s="592">
        <v>1000</v>
      </c>
      <c r="T17" s="593">
        <v>1000</v>
      </c>
      <c r="U17" s="588">
        <v>1000</v>
      </c>
      <c r="V17" s="588">
        <v>1000</v>
      </c>
      <c r="W17" s="588">
        <v>1000</v>
      </c>
      <c r="X17" s="588">
        <v>1000</v>
      </c>
      <c r="Y17" s="588">
        <v>1000</v>
      </c>
      <c r="Z17" s="588">
        <v>1000</v>
      </c>
      <c r="AA17" s="588">
        <v>1000</v>
      </c>
      <c r="AB17" s="588">
        <v>1000</v>
      </c>
      <c r="AC17" s="588">
        <v>1000</v>
      </c>
      <c r="AD17" s="588">
        <v>1000</v>
      </c>
      <c r="AE17" s="592">
        <v>1000</v>
      </c>
      <c r="AF17" s="593">
        <v>1000</v>
      </c>
      <c r="AG17" s="588">
        <v>1000</v>
      </c>
      <c r="AH17" s="588">
        <v>1000</v>
      </c>
      <c r="AI17" s="588">
        <v>1000</v>
      </c>
      <c r="AJ17" s="588">
        <v>1000</v>
      </c>
      <c r="AK17" s="588">
        <v>1000</v>
      </c>
      <c r="AL17" s="588">
        <v>1000</v>
      </c>
      <c r="AM17" s="588">
        <v>1000</v>
      </c>
      <c r="AN17" s="588">
        <v>1000</v>
      </c>
      <c r="AO17" s="588">
        <v>1000</v>
      </c>
      <c r="AP17" s="588">
        <v>1000</v>
      </c>
      <c r="AQ17" s="592">
        <v>1000</v>
      </c>
      <c r="AR17" s="593">
        <v>1000</v>
      </c>
      <c r="AS17" s="588">
        <v>1000</v>
      </c>
      <c r="AT17" s="588">
        <v>1000</v>
      </c>
      <c r="AU17" s="588">
        <v>1000</v>
      </c>
      <c r="AV17" s="588">
        <v>1000</v>
      </c>
      <c r="AW17" s="588">
        <v>1000</v>
      </c>
      <c r="AX17" s="588">
        <v>1000</v>
      </c>
      <c r="AY17" s="588">
        <v>1000</v>
      </c>
      <c r="AZ17" s="588">
        <v>1000</v>
      </c>
      <c r="BA17" s="588">
        <v>1000</v>
      </c>
      <c r="BB17" s="588">
        <v>1000</v>
      </c>
      <c r="BC17" s="592">
        <v>1000</v>
      </c>
      <c r="BD17" s="593">
        <v>1000</v>
      </c>
      <c r="BE17" s="588">
        <v>1000</v>
      </c>
      <c r="BF17" s="588">
        <v>1000</v>
      </c>
      <c r="BG17" s="588">
        <v>1000</v>
      </c>
      <c r="BH17" s="588">
        <v>1000</v>
      </c>
      <c r="BI17" s="588">
        <v>1000</v>
      </c>
      <c r="BJ17" s="588">
        <v>1000</v>
      </c>
      <c r="BK17" s="588">
        <v>1000</v>
      </c>
      <c r="BL17" s="588">
        <v>1000</v>
      </c>
      <c r="BM17" s="588">
        <v>1000</v>
      </c>
      <c r="BN17" s="588">
        <v>1000</v>
      </c>
      <c r="BO17" s="592">
        <v>1000</v>
      </c>
      <c r="BP17" s="594"/>
      <c r="BQ17" s="589"/>
      <c r="BR17" s="589"/>
      <c r="BS17" s="591"/>
      <c r="BT17" s="589"/>
      <c r="BU17" s="589"/>
      <c r="BV17" s="589"/>
      <c r="BW17" s="589"/>
      <c r="BX17" s="589"/>
      <c r="BY17" s="589"/>
      <c r="BZ17" s="589"/>
      <c r="CA17" s="589"/>
      <c r="CB17" s="589"/>
      <c r="CC17" s="589"/>
      <c r="CD17" s="590"/>
      <c r="CE17" s="591"/>
      <c r="CF17" s="589"/>
      <c r="CG17" s="589"/>
      <c r="CH17" s="589"/>
      <c r="CI17" s="589"/>
      <c r="CJ17" s="589"/>
      <c r="CK17" s="589"/>
      <c r="CL17" s="589"/>
      <c r="CM17" s="589"/>
      <c r="CN17" s="589"/>
      <c r="CO17" s="589"/>
      <c r="CP17" s="590"/>
      <c r="CQ17" s="591"/>
      <c r="CR17" s="589"/>
      <c r="CS17" s="589"/>
      <c r="CT17" s="589"/>
      <c r="CU17" s="589"/>
      <c r="CV17" s="589"/>
      <c r="CW17" s="589"/>
      <c r="CX17" s="589"/>
      <c r="CY17" s="589"/>
      <c r="CZ17" s="589"/>
      <c r="DA17" s="589"/>
      <c r="DB17" s="590"/>
    </row>
    <row r="18" spans="1:106" ht="12.75" hidden="1" customHeight="1" x14ac:dyDescent="0.2">
      <c r="A18" s="609" t="s">
        <v>261</v>
      </c>
      <c r="B18" s="832">
        <f t="shared" si="4"/>
        <v>1</v>
      </c>
      <c r="C18" s="608" t="s">
        <v>170</v>
      </c>
      <c r="D18" s="744"/>
      <c r="E18" s="605">
        <f t="shared" si="5"/>
        <v>60000</v>
      </c>
      <c r="F18" s="605">
        <f t="shared" si="6"/>
        <v>60000</v>
      </c>
      <c r="G18" s="607">
        <f t="shared" si="3"/>
        <v>0</v>
      </c>
      <c r="H18" s="593">
        <v>1000</v>
      </c>
      <c r="I18" s="588">
        <v>1000</v>
      </c>
      <c r="J18" s="588">
        <v>1000</v>
      </c>
      <c r="K18" s="588">
        <v>1000</v>
      </c>
      <c r="L18" s="588">
        <v>1000</v>
      </c>
      <c r="M18" s="588">
        <v>1000</v>
      </c>
      <c r="N18" s="588">
        <v>1000</v>
      </c>
      <c r="O18" s="588">
        <v>1000</v>
      </c>
      <c r="P18" s="588">
        <v>1000</v>
      </c>
      <c r="Q18" s="588">
        <v>1000</v>
      </c>
      <c r="R18" s="588">
        <v>1000</v>
      </c>
      <c r="S18" s="592">
        <v>1000</v>
      </c>
      <c r="T18" s="593">
        <v>1000</v>
      </c>
      <c r="U18" s="588">
        <v>1000</v>
      </c>
      <c r="V18" s="588">
        <v>1000</v>
      </c>
      <c r="W18" s="588">
        <v>1000</v>
      </c>
      <c r="X18" s="588">
        <v>1000</v>
      </c>
      <c r="Y18" s="588">
        <v>1000</v>
      </c>
      <c r="Z18" s="588">
        <v>1000</v>
      </c>
      <c r="AA18" s="588">
        <v>1000</v>
      </c>
      <c r="AB18" s="588">
        <v>1000</v>
      </c>
      <c r="AC18" s="588">
        <v>1000</v>
      </c>
      <c r="AD18" s="588">
        <v>1000</v>
      </c>
      <c r="AE18" s="592">
        <v>1000</v>
      </c>
      <c r="AF18" s="593">
        <v>1000</v>
      </c>
      <c r="AG18" s="588">
        <v>1000</v>
      </c>
      <c r="AH18" s="588">
        <v>1000</v>
      </c>
      <c r="AI18" s="588">
        <v>1000</v>
      </c>
      <c r="AJ18" s="588">
        <v>1000</v>
      </c>
      <c r="AK18" s="588">
        <v>1000</v>
      </c>
      <c r="AL18" s="588">
        <v>1000</v>
      </c>
      <c r="AM18" s="588">
        <v>1000</v>
      </c>
      <c r="AN18" s="588">
        <v>1000</v>
      </c>
      <c r="AO18" s="588">
        <v>1000</v>
      </c>
      <c r="AP18" s="588">
        <v>1000</v>
      </c>
      <c r="AQ18" s="592">
        <v>1000</v>
      </c>
      <c r="AR18" s="593">
        <v>1000</v>
      </c>
      <c r="AS18" s="588">
        <v>1000</v>
      </c>
      <c r="AT18" s="588">
        <v>1000</v>
      </c>
      <c r="AU18" s="588">
        <v>1000</v>
      </c>
      <c r="AV18" s="588">
        <v>1000</v>
      </c>
      <c r="AW18" s="588">
        <v>1000</v>
      </c>
      <c r="AX18" s="588">
        <v>1000</v>
      </c>
      <c r="AY18" s="588">
        <v>1000</v>
      </c>
      <c r="AZ18" s="588">
        <v>1000</v>
      </c>
      <c r="BA18" s="588">
        <v>1000</v>
      </c>
      <c r="BB18" s="588">
        <v>1000</v>
      </c>
      <c r="BC18" s="592">
        <v>1000</v>
      </c>
      <c r="BD18" s="593">
        <v>1000</v>
      </c>
      <c r="BE18" s="588">
        <v>1000</v>
      </c>
      <c r="BF18" s="588">
        <v>1000</v>
      </c>
      <c r="BG18" s="588">
        <v>1000</v>
      </c>
      <c r="BH18" s="588">
        <v>1000</v>
      </c>
      <c r="BI18" s="588">
        <v>1000</v>
      </c>
      <c r="BJ18" s="588">
        <v>1000</v>
      </c>
      <c r="BK18" s="588">
        <v>1000</v>
      </c>
      <c r="BL18" s="588">
        <v>1000</v>
      </c>
      <c r="BM18" s="588">
        <v>1000</v>
      </c>
      <c r="BN18" s="588">
        <v>1000</v>
      </c>
      <c r="BO18" s="592">
        <v>1000</v>
      </c>
      <c r="BP18" s="594"/>
      <c r="BQ18" s="589"/>
      <c r="BR18" s="589"/>
      <c r="BS18" s="591"/>
      <c r="BT18" s="589"/>
      <c r="BU18" s="589"/>
      <c r="BV18" s="589"/>
      <c r="BW18" s="589"/>
      <c r="BX18" s="589"/>
      <c r="BY18" s="589"/>
      <c r="BZ18" s="589"/>
      <c r="CA18" s="589"/>
      <c r="CB18" s="589"/>
      <c r="CC18" s="589"/>
      <c r="CD18" s="590"/>
      <c r="CE18" s="591"/>
      <c r="CF18" s="589"/>
      <c r="CG18" s="589"/>
      <c r="CH18" s="589"/>
      <c r="CI18" s="589"/>
      <c r="CJ18" s="589"/>
      <c r="CK18" s="589"/>
      <c r="CL18" s="589"/>
      <c r="CM18" s="589"/>
      <c r="CN18" s="589"/>
      <c r="CO18" s="589"/>
      <c r="CP18" s="590"/>
      <c r="CQ18" s="591"/>
      <c r="CR18" s="589"/>
      <c r="CS18" s="589"/>
      <c r="CT18" s="589"/>
      <c r="CU18" s="589"/>
      <c r="CV18" s="589"/>
      <c r="CW18" s="589"/>
      <c r="CX18" s="589"/>
      <c r="CY18" s="589"/>
      <c r="CZ18" s="589"/>
      <c r="DA18" s="589"/>
      <c r="DB18" s="590"/>
    </row>
    <row r="19" spans="1:106" ht="12.75" hidden="1" customHeight="1" x14ac:dyDescent="0.2">
      <c r="A19" s="609" t="s">
        <v>262</v>
      </c>
      <c r="B19" s="832">
        <f t="shared" si="4"/>
        <v>1</v>
      </c>
      <c r="C19" s="608" t="s">
        <v>171</v>
      </c>
      <c r="D19" s="744"/>
      <c r="E19" s="605">
        <f t="shared" si="5"/>
        <v>64000</v>
      </c>
      <c r="F19" s="605">
        <f t="shared" si="6"/>
        <v>64000</v>
      </c>
      <c r="G19" s="607">
        <f t="shared" si="3"/>
        <v>0</v>
      </c>
      <c r="H19" s="593">
        <v>1000</v>
      </c>
      <c r="I19" s="588">
        <v>1000</v>
      </c>
      <c r="J19" s="588">
        <v>1000</v>
      </c>
      <c r="K19" s="588">
        <v>1000</v>
      </c>
      <c r="L19" s="588">
        <v>1000</v>
      </c>
      <c r="M19" s="588">
        <v>1000</v>
      </c>
      <c r="N19" s="588">
        <v>1000</v>
      </c>
      <c r="O19" s="588">
        <v>1000</v>
      </c>
      <c r="P19" s="588">
        <v>1000</v>
      </c>
      <c r="Q19" s="588">
        <v>1000</v>
      </c>
      <c r="R19" s="588">
        <v>1000</v>
      </c>
      <c r="S19" s="592">
        <v>1000</v>
      </c>
      <c r="T19" s="593">
        <v>1000</v>
      </c>
      <c r="U19" s="588">
        <v>1000</v>
      </c>
      <c r="V19" s="588">
        <v>1000</v>
      </c>
      <c r="W19" s="588">
        <v>1000</v>
      </c>
      <c r="X19" s="588">
        <v>1000</v>
      </c>
      <c r="Y19" s="588">
        <v>1000</v>
      </c>
      <c r="Z19" s="588">
        <v>1000</v>
      </c>
      <c r="AA19" s="588">
        <v>1000</v>
      </c>
      <c r="AB19" s="588">
        <v>1000</v>
      </c>
      <c r="AC19" s="588">
        <v>1000</v>
      </c>
      <c r="AD19" s="588">
        <v>1000</v>
      </c>
      <c r="AE19" s="592">
        <v>1000</v>
      </c>
      <c r="AF19" s="593">
        <v>1000</v>
      </c>
      <c r="AG19" s="588">
        <v>1000</v>
      </c>
      <c r="AH19" s="588">
        <v>1000</v>
      </c>
      <c r="AI19" s="588">
        <v>1000</v>
      </c>
      <c r="AJ19" s="588">
        <v>1000</v>
      </c>
      <c r="AK19" s="588">
        <v>1000</v>
      </c>
      <c r="AL19" s="588">
        <v>1000</v>
      </c>
      <c r="AM19" s="588">
        <v>1000</v>
      </c>
      <c r="AN19" s="588">
        <v>1000</v>
      </c>
      <c r="AO19" s="588">
        <v>1000</v>
      </c>
      <c r="AP19" s="588">
        <v>1000</v>
      </c>
      <c r="AQ19" s="592">
        <v>1000</v>
      </c>
      <c r="AR19" s="593">
        <v>1000</v>
      </c>
      <c r="AS19" s="588">
        <v>1000</v>
      </c>
      <c r="AT19" s="588">
        <v>1000</v>
      </c>
      <c r="AU19" s="588">
        <v>1000</v>
      </c>
      <c r="AV19" s="588">
        <v>1000</v>
      </c>
      <c r="AW19" s="588">
        <v>1000</v>
      </c>
      <c r="AX19" s="588">
        <v>1000</v>
      </c>
      <c r="AY19" s="588">
        <v>1000</v>
      </c>
      <c r="AZ19" s="588">
        <v>1000</v>
      </c>
      <c r="BA19" s="588">
        <v>1000</v>
      </c>
      <c r="BB19" s="588">
        <v>1000</v>
      </c>
      <c r="BC19" s="592">
        <v>1000</v>
      </c>
      <c r="BD19" s="593">
        <v>1000</v>
      </c>
      <c r="BE19" s="588">
        <v>1000</v>
      </c>
      <c r="BF19" s="588">
        <v>1000</v>
      </c>
      <c r="BG19" s="588">
        <v>1000</v>
      </c>
      <c r="BH19" s="588">
        <v>1000</v>
      </c>
      <c r="BI19" s="588">
        <v>1000</v>
      </c>
      <c r="BJ19" s="588">
        <v>1000</v>
      </c>
      <c r="BK19" s="588">
        <v>1000</v>
      </c>
      <c r="BL19" s="588">
        <v>1000</v>
      </c>
      <c r="BM19" s="588">
        <v>1000</v>
      </c>
      <c r="BN19" s="588">
        <v>1000</v>
      </c>
      <c r="BO19" s="592">
        <v>1000</v>
      </c>
      <c r="BP19" s="593">
        <v>1000</v>
      </c>
      <c r="BQ19" s="588">
        <v>1000</v>
      </c>
      <c r="BR19" s="588">
        <v>1000</v>
      </c>
      <c r="BS19" s="587">
        <v>1000</v>
      </c>
      <c r="BT19" s="589"/>
      <c r="BU19" s="589"/>
      <c r="BV19" s="589"/>
      <c r="BW19" s="589"/>
      <c r="BX19" s="589"/>
      <c r="BY19" s="589"/>
      <c r="BZ19" s="589"/>
      <c r="CA19" s="589"/>
      <c r="CB19" s="589"/>
      <c r="CC19" s="589"/>
      <c r="CD19" s="590"/>
      <c r="CE19" s="591"/>
      <c r="CF19" s="589"/>
      <c r="CG19" s="589"/>
      <c r="CH19" s="589"/>
      <c r="CI19" s="589"/>
      <c r="CJ19" s="589"/>
      <c r="CK19" s="589"/>
      <c r="CL19" s="589"/>
      <c r="CM19" s="589"/>
      <c r="CN19" s="589"/>
      <c r="CO19" s="589"/>
      <c r="CP19" s="590"/>
      <c r="CQ19" s="591"/>
      <c r="CR19" s="589"/>
      <c r="CS19" s="589"/>
      <c r="CT19" s="589"/>
      <c r="CU19" s="589"/>
      <c r="CV19" s="589"/>
      <c r="CW19" s="589"/>
      <c r="CX19" s="589"/>
      <c r="CY19" s="589"/>
      <c r="CZ19" s="589"/>
      <c r="DA19" s="589"/>
      <c r="DB19" s="590"/>
    </row>
    <row r="20" spans="1:106" ht="12.75" hidden="1" customHeight="1" x14ac:dyDescent="0.2">
      <c r="A20" s="609" t="s">
        <v>262</v>
      </c>
      <c r="B20" s="832">
        <f t="shared" si="4"/>
        <v>1</v>
      </c>
      <c r="C20" s="608" t="s">
        <v>173</v>
      </c>
      <c r="D20" s="744"/>
      <c r="E20" s="605">
        <f t="shared" si="5"/>
        <v>60000</v>
      </c>
      <c r="F20" s="605">
        <f t="shared" si="6"/>
        <v>60000</v>
      </c>
      <c r="G20" s="607">
        <f t="shared" si="3"/>
        <v>0</v>
      </c>
      <c r="H20" s="593">
        <v>1000</v>
      </c>
      <c r="I20" s="588">
        <v>1000</v>
      </c>
      <c r="J20" s="588">
        <v>1000</v>
      </c>
      <c r="K20" s="588">
        <v>1000</v>
      </c>
      <c r="L20" s="588">
        <v>1000</v>
      </c>
      <c r="M20" s="588">
        <v>1000</v>
      </c>
      <c r="N20" s="588">
        <v>1000</v>
      </c>
      <c r="O20" s="588">
        <v>1000</v>
      </c>
      <c r="P20" s="588">
        <v>1000</v>
      </c>
      <c r="Q20" s="588">
        <v>1000</v>
      </c>
      <c r="R20" s="588">
        <v>1000</v>
      </c>
      <c r="S20" s="592">
        <v>1000</v>
      </c>
      <c r="T20" s="593">
        <v>1000</v>
      </c>
      <c r="U20" s="588">
        <v>1000</v>
      </c>
      <c r="V20" s="588">
        <v>1000</v>
      </c>
      <c r="W20" s="588">
        <v>1000</v>
      </c>
      <c r="X20" s="588">
        <v>1000</v>
      </c>
      <c r="Y20" s="588">
        <v>1000</v>
      </c>
      <c r="Z20" s="588">
        <v>1000</v>
      </c>
      <c r="AA20" s="588">
        <v>1000</v>
      </c>
      <c r="AB20" s="588">
        <v>1000</v>
      </c>
      <c r="AC20" s="588">
        <v>1000</v>
      </c>
      <c r="AD20" s="588">
        <v>1000</v>
      </c>
      <c r="AE20" s="592">
        <v>1000</v>
      </c>
      <c r="AF20" s="593">
        <v>1000</v>
      </c>
      <c r="AG20" s="588">
        <v>1000</v>
      </c>
      <c r="AH20" s="588">
        <v>1000</v>
      </c>
      <c r="AI20" s="588">
        <v>1000</v>
      </c>
      <c r="AJ20" s="588">
        <v>1000</v>
      </c>
      <c r="AK20" s="588">
        <v>1000</v>
      </c>
      <c r="AL20" s="588">
        <v>1000</v>
      </c>
      <c r="AM20" s="588">
        <v>1000</v>
      </c>
      <c r="AN20" s="588">
        <v>1000</v>
      </c>
      <c r="AO20" s="588">
        <v>1000</v>
      </c>
      <c r="AP20" s="588">
        <v>1000</v>
      </c>
      <c r="AQ20" s="592">
        <v>1000</v>
      </c>
      <c r="AR20" s="593">
        <v>1000</v>
      </c>
      <c r="AS20" s="588">
        <v>1000</v>
      </c>
      <c r="AT20" s="588">
        <v>1000</v>
      </c>
      <c r="AU20" s="588">
        <v>1000</v>
      </c>
      <c r="AV20" s="588">
        <v>1000</v>
      </c>
      <c r="AW20" s="588">
        <v>1000</v>
      </c>
      <c r="AX20" s="588">
        <v>1000</v>
      </c>
      <c r="AY20" s="588">
        <v>1000</v>
      </c>
      <c r="AZ20" s="588">
        <v>1000</v>
      </c>
      <c r="BA20" s="588">
        <v>1000</v>
      </c>
      <c r="BB20" s="588">
        <v>1000</v>
      </c>
      <c r="BC20" s="592">
        <v>1000</v>
      </c>
      <c r="BD20" s="593">
        <v>1000</v>
      </c>
      <c r="BE20" s="588">
        <v>1000</v>
      </c>
      <c r="BF20" s="588">
        <v>1000</v>
      </c>
      <c r="BG20" s="588">
        <v>1000</v>
      </c>
      <c r="BH20" s="588">
        <v>1000</v>
      </c>
      <c r="BI20" s="588">
        <v>1000</v>
      </c>
      <c r="BJ20" s="588">
        <v>1000</v>
      </c>
      <c r="BK20" s="588">
        <v>1000</v>
      </c>
      <c r="BL20" s="588">
        <v>1000</v>
      </c>
      <c r="BM20" s="588">
        <v>1000</v>
      </c>
      <c r="BN20" s="588">
        <v>1000</v>
      </c>
      <c r="BO20" s="592">
        <v>1000</v>
      </c>
      <c r="BP20" s="594"/>
      <c r="BQ20" s="589"/>
      <c r="BR20" s="589"/>
      <c r="BS20" s="591"/>
      <c r="BT20" s="589"/>
      <c r="BU20" s="589"/>
      <c r="BV20" s="589"/>
      <c r="BW20" s="589"/>
      <c r="BX20" s="589"/>
      <c r="BY20" s="589"/>
      <c r="BZ20" s="589"/>
      <c r="CA20" s="589"/>
      <c r="CB20" s="589"/>
      <c r="CC20" s="589"/>
      <c r="CD20" s="590"/>
      <c r="CE20" s="591"/>
      <c r="CF20" s="589"/>
      <c r="CG20" s="589"/>
      <c r="CH20" s="589"/>
      <c r="CI20" s="589"/>
      <c r="CJ20" s="589"/>
      <c r="CK20" s="589"/>
      <c r="CL20" s="589"/>
      <c r="CM20" s="589"/>
      <c r="CN20" s="589"/>
      <c r="CO20" s="589"/>
      <c r="CP20" s="590"/>
      <c r="CQ20" s="591"/>
      <c r="CR20" s="589"/>
      <c r="CS20" s="589"/>
      <c r="CT20" s="589"/>
      <c r="CU20" s="589"/>
      <c r="CV20" s="589"/>
      <c r="CW20" s="589"/>
      <c r="CX20" s="589"/>
      <c r="CY20" s="589"/>
      <c r="CZ20" s="589"/>
      <c r="DA20" s="589"/>
      <c r="DB20" s="590"/>
    </row>
    <row r="21" spans="1:106" ht="12.75" hidden="1" customHeight="1" x14ac:dyDescent="0.2">
      <c r="A21" s="609" t="s">
        <v>264</v>
      </c>
      <c r="B21" s="832">
        <f t="shared" si="4"/>
        <v>1</v>
      </c>
      <c r="C21" s="581" t="s">
        <v>265</v>
      </c>
      <c r="D21" s="581"/>
      <c r="E21" s="605">
        <f t="shared" si="5"/>
        <v>48000</v>
      </c>
      <c r="F21" s="605">
        <f t="shared" si="6"/>
        <v>48000</v>
      </c>
      <c r="G21" s="607">
        <f t="shared" si="3"/>
        <v>0</v>
      </c>
      <c r="H21" s="593"/>
      <c r="I21" s="588"/>
      <c r="J21" s="589"/>
      <c r="K21" s="589"/>
      <c r="L21" s="589"/>
      <c r="M21" s="589"/>
      <c r="N21" s="589"/>
      <c r="O21" s="588">
        <v>1000</v>
      </c>
      <c r="P21" s="588">
        <v>1000</v>
      </c>
      <c r="Q21" s="588">
        <v>1000</v>
      </c>
      <c r="R21" s="588">
        <v>1000</v>
      </c>
      <c r="S21" s="592">
        <v>1000</v>
      </c>
      <c r="T21" s="593">
        <v>1000</v>
      </c>
      <c r="U21" s="588">
        <v>1000</v>
      </c>
      <c r="V21" s="588">
        <v>1000</v>
      </c>
      <c r="W21" s="588">
        <v>1000</v>
      </c>
      <c r="X21" s="588">
        <v>1000</v>
      </c>
      <c r="Y21" s="588">
        <v>1000</v>
      </c>
      <c r="Z21" s="588">
        <v>1000</v>
      </c>
      <c r="AA21" s="588">
        <v>1000</v>
      </c>
      <c r="AB21" s="588">
        <v>1000</v>
      </c>
      <c r="AC21" s="588">
        <v>1000</v>
      </c>
      <c r="AD21" s="588">
        <v>1000</v>
      </c>
      <c r="AE21" s="592">
        <v>1000</v>
      </c>
      <c r="AF21" s="593">
        <v>1000</v>
      </c>
      <c r="AG21" s="588">
        <v>1000</v>
      </c>
      <c r="AH21" s="588">
        <v>1000</v>
      </c>
      <c r="AI21" s="588"/>
      <c r="AJ21" s="588"/>
      <c r="AK21" s="588">
        <v>1000</v>
      </c>
      <c r="AL21" s="588">
        <v>1000</v>
      </c>
      <c r="AM21" s="588">
        <v>1000</v>
      </c>
      <c r="AN21" s="588">
        <v>1000</v>
      </c>
      <c r="AO21" s="588">
        <v>1000</v>
      </c>
      <c r="AP21" s="588">
        <v>1000</v>
      </c>
      <c r="AQ21" s="592">
        <v>1000</v>
      </c>
      <c r="AR21" s="593">
        <v>1000</v>
      </c>
      <c r="AS21" s="588">
        <v>1000</v>
      </c>
      <c r="AT21" s="588">
        <v>1000</v>
      </c>
      <c r="AU21" s="588">
        <v>1000</v>
      </c>
      <c r="AV21" s="588">
        <v>1000</v>
      </c>
      <c r="AW21" s="588">
        <v>1000</v>
      </c>
      <c r="AX21" s="588">
        <v>1000</v>
      </c>
      <c r="AY21" s="588">
        <v>1000</v>
      </c>
      <c r="AZ21" s="588">
        <v>1000</v>
      </c>
      <c r="BA21" s="588">
        <v>1000</v>
      </c>
      <c r="BB21" s="588">
        <v>1000</v>
      </c>
      <c r="BC21" s="592">
        <v>1000</v>
      </c>
      <c r="BD21" s="593">
        <v>1000</v>
      </c>
      <c r="BE21" s="588">
        <v>1000</v>
      </c>
      <c r="BF21" s="588">
        <v>1000</v>
      </c>
      <c r="BG21" s="588">
        <v>1000</v>
      </c>
      <c r="BH21" s="588">
        <v>1000</v>
      </c>
      <c r="BI21" s="588">
        <v>1000</v>
      </c>
      <c r="BJ21" s="588"/>
      <c r="BK21" s="588">
        <v>1000</v>
      </c>
      <c r="BL21" s="588">
        <v>1000</v>
      </c>
      <c r="BM21" s="588">
        <v>1000</v>
      </c>
      <c r="BN21" s="589"/>
      <c r="BO21" s="595"/>
      <c r="BP21" s="594"/>
      <c r="BQ21" s="589"/>
      <c r="BR21" s="589"/>
      <c r="BS21" s="591"/>
      <c r="BT21" s="589"/>
      <c r="BU21" s="589"/>
      <c r="BV21" s="589"/>
      <c r="BW21" s="589"/>
      <c r="BX21" s="589"/>
      <c r="BY21" s="589"/>
      <c r="BZ21" s="589"/>
      <c r="CA21" s="589"/>
      <c r="CB21" s="589"/>
      <c r="CC21" s="589"/>
      <c r="CD21" s="590"/>
      <c r="CE21" s="591"/>
      <c r="CF21" s="589"/>
      <c r="CG21" s="589"/>
      <c r="CH21" s="589"/>
      <c r="CI21" s="589"/>
      <c r="CJ21" s="589"/>
      <c r="CK21" s="589"/>
      <c r="CL21" s="589"/>
      <c r="CM21" s="589"/>
      <c r="CN21" s="589"/>
      <c r="CO21" s="589"/>
      <c r="CP21" s="590"/>
      <c r="CQ21" s="591"/>
      <c r="CR21" s="589"/>
      <c r="CS21" s="589"/>
      <c r="CT21" s="589"/>
      <c r="CU21" s="589"/>
      <c r="CV21" s="589"/>
      <c r="CW21" s="589"/>
      <c r="CX21" s="589"/>
      <c r="CY21" s="589"/>
      <c r="CZ21" s="589"/>
      <c r="DA21" s="589"/>
      <c r="DB21" s="590"/>
    </row>
    <row r="22" spans="1:106" ht="12.75" hidden="1" customHeight="1" x14ac:dyDescent="0.2">
      <c r="A22" s="609" t="s">
        <v>264</v>
      </c>
      <c r="B22" s="832">
        <f t="shared" si="4"/>
        <v>1</v>
      </c>
      <c r="C22" s="581" t="s">
        <v>266</v>
      </c>
      <c r="D22" s="581"/>
      <c r="E22" s="605">
        <f t="shared" si="5"/>
        <v>3000</v>
      </c>
      <c r="F22" s="605">
        <f t="shared" si="6"/>
        <v>3000</v>
      </c>
      <c r="G22" s="607">
        <f t="shared" si="3"/>
        <v>0</v>
      </c>
      <c r="H22" s="594"/>
      <c r="I22" s="589"/>
      <c r="J22" s="589"/>
      <c r="K22" s="589"/>
      <c r="L22" s="589"/>
      <c r="M22" s="589"/>
      <c r="N22" s="589"/>
      <c r="O22" s="589"/>
      <c r="P22" s="589"/>
      <c r="Q22" s="589"/>
      <c r="R22" s="589"/>
      <c r="S22" s="595"/>
      <c r="T22" s="594"/>
      <c r="U22" s="589"/>
      <c r="V22" s="589"/>
      <c r="W22" s="589"/>
      <c r="X22" s="589"/>
      <c r="Y22" s="589"/>
      <c r="Z22" s="589"/>
      <c r="AA22" s="589"/>
      <c r="AB22" s="589"/>
      <c r="AC22" s="589"/>
      <c r="AD22" s="589"/>
      <c r="AE22" s="595"/>
      <c r="AF22" s="594"/>
      <c r="AG22" s="589"/>
      <c r="AH22" s="589"/>
      <c r="AI22" s="589"/>
      <c r="AJ22" s="589"/>
      <c r="AK22" s="589"/>
      <c r="AL22" s="589"/>
      <c r="AM22" s="589"/>
      <c r="AN22" s="589"/>
      <c r="AO22" s="589"/>
      <c r="AP22" s="589"/>
      <c r="AQ22" s="595"/>
      <c r="AR22" s="594"/>
      <c r="AS22" s="589"/>
      <c r="AT22" s="589"/>
      <c r="AU22" s="589"/>
      <c r="AV22" s="589"/>
      <c r="AW22" s="589"/>
      <c r="AX22" s="589"/>
      <c r="AY22" s="589"/>
      <c r="AZ22" s="589"/>
      <c r="BA22" s="589"/>
      <c r="BB22" s="589"/>
      <c r="BC22" s="595"/>
      <c r="BD22" s="594"/>
      <c r="BE22" s="589"/>
      <c r="BF22" s="589"/>
      <c r="BG22" s="589"/>
      <c r="BH22" s="589"/>
      <c r="BI22" s="589"/>
      <c r="BJ22" s="589"/>
      <c r="BK22" s="588">
        <v>1000</v>
      </c>
      <c r="BL22" s="588">
        <v>1000</v>
      </c>
      <c r="BM22" s="588">
        <v>1000</v>
      </c>
      <c r="BN22" s="589"/>
      <c r="BO22" s="595"/>
      <c r="BP22" s="594"/>
      <c r="BQ22" s="589"/>
      <c r="BR22" s="589"/>
      <c r="BS22" s="591"/>
      <c r="BT22" s="589"/>
      <c r="BU22" s="589"/>
      <c r="BV22" s="589"/>
      <c r="BW22" s="589"/>
      <c r="BX22" s="589"/>
      <c r="BY22" s="589"/>
      <c r="BZ22" s="589"/>
      <c r="CA22" s="589"/>
      <c r="CB22" s="589"/>
      <c r="CC22" s="589"/>
      <c r="CD22" s="590"/>
      <c r="CE22" s="591"/>
      <c r="CF22" s="589"/>
      <c r="CG22" s="589"/>
      <c r="CH22" s="589"/>
      <c r="CI22" s="589"/>
      <c r="CJ22" s="589"/>
      <c r="CK22" s="589"/>
      <c r="CL22" s="589"/>
      <c r="CM22" s="589"/>
      <c r="CN22" s="589"/>
      <c r="CO22" s="589"/>
      <c r="CP22" s="590"/>
      <c r="CQ22" s="591"/>
      <c r="CR22" s="589"/>
      <c r="CS22" s="589"/>
      <c r="CT22" s="589"/>
      <c r="CU22" s="589"/>
      <c r="CV22" s="589"/>
      <c r="CW22" s="589"/>
      <c r="CX22" s="589"/>
      <c r="CY22" s="589"/>
      <c r="CZ22" s="589"/>
      <c r="DA22" s="589"/>
      <c r="DB22" s="590"/>
    </row>
    <row r="23" spans="1:106" ht="12.75" hidden="1" customHeight="1" x14ac:dyDescent="0.2">
      <c r="A23" s="609" t="s">
        <v>264</v>
      </c>
      <c r="B23" s="832">
        <f t="shared" si="4"/>
        <v>1</v>
      </c>
      <c r="C23" s="608" t="s">
        <v>267</v>
      </c>
      <c r="D23" s="744"/>
      <c r="E23" s="605">
        <f t="shared" si="5"/>
        <v>3000</v>
      </c>
      <c r="F23" s="605">
        <f t="shared" si="6"/>
        <v>3000</v>
      </c>
      <c r="G23" s="607">
        <f t="shared" si="3"/>
        <v>0</v>
      </c>
      <c r="H23" s="594"/>
      <c r="I23" s="589"/>
      <c r="J23" s="589"/>
      <c r="K23" s="589"/>
      <c r="L23" s="589"/>
      <c r="M23" s="589"/>
      <c r="N23" s="589"/>
      <c r="O23" s="589"/>
      <c r="P23" s="589"/>
      <c r="Q23" s="589"/>
      <c r="R23" s="589"/>
      <c r="S23" s="595"/>
      <c r="T23" s="594"/>
      <c r="U23" s="589"/>
      <c r="V23" s="589"/>
      <c r="W23" s="589"/>
      <c r="X23" s="589"/>
      <c r="Y23" s="589"/>
      <c r="Z23" s="589"/>
      <c r="AA23" s="589"/>
      <c r="AB23" s="589"/>
      <c r="AC23" s="589"/>
      <c r="AD23" s="589"/>
      <c r="AE23" s="595"/>
      <c r="AF23" s="594"/>
      <c r="AG23" s="589"/>
      <c r="AH23" s="589"/>
      <c r="AI23" s="589"/>
      <c r="AJ23" s="589"/>
      <c r="AK23" s="589"/>
      <c r="AL23" s="589"/>
      <c r="AM23" s="589"/>
      <c r="AN23" s="589"/>
      <c r="AO23" s="589"/>
      <c r="AP23" s="589"/>
      <c r="AQ23" s="595"/>
      <c r="AR23" s="594"/>
      <c r="AS23" s="589"/>
      <c r="AT23" s="589"/>
      <c r="AU23" s="589"/>
      <c r="AV23" s="589"/>
      <c r="AW23" s="589"/>
      <c r="AX23" s="589"/>
      <c r="AY23" s="589"/>
      <c r="AZ23" s="589"/>
      <c r="BA23" s="589"/>
      <c r="BB23" s="589"/>
      <c r="BC23" s="595"/>
      <c r="BD23" s="594"/>
      <c r="BE23" s="589"/>
      <c r="BF23" s="589"/>
      <c r="BG23" s="589"/>
      <c r="BH23" s="589"/>
      <c r="BI23" s="589"/>
      <c r="BJ23" s="589"/>
      <c r="BK23" s="588">
        <v>1000</v>
      </c>
      <c r="BL23" s="588">
        <v>1000</v>
      </c>
      <c r="BM23" s="588">
        <v>1000</v>
      </c>
      <c r="BN23" s="589"/>
      <c r="BO23" s="595"/>
      <c r="BP23" s="594"/>
      <c r="BQ23" s="589"/>
      <c r="BR23" s="589"/>
      <c r="BS23" s="591"/>
      <c r="BT23" s="589"/>
      <c r="BU23" s="589"/>
      <c r="BV23" s="589"/>
      <c r="BW23" s="589"/>
      <c r="BX23" s="589"/>
      <c r="BY23" s="589"/>
      <c r="BZ23" s="589"/>
      <c r="CA23" s="589"/>
      <c r="CB23" s="589"/>
      <c r="CC23" s="589"/>
      <c r="CD23" s="590"/>
      <c r="CE23" s="591"/>
      <c r="CF23" s="589"/>
      <c r="CG23" s="589"/>
      <c r="CH23" s="589"/>
      <c r="CI23" s="589"/>
      <c r="CJ23" s="589"/>
      <c r="CK23" s="589"/>
      <c r="CL23" s="589"/>
      <c r="CM23" s="589"/>
      <c r="CN23" s="589"/>
      <c r="CO23" s="589"/>
      <c r="CP23" s="590"/>
      <c r="CQ23" s="591"/>
      <c r="CR23" s="589"/>
      <c r="CS23" s="589"/>
      <c r="CT23" s="589"/>
      <c r="CU23" s="589"/>
      <c r="CV23" s="589"/>
      <c r="CW23" s="589"/>
      <c r="CX23" s="589"/>
      <c r="CY23" s="589"/>
      <c r="CZ23" s="589"/>
      <c r="DA23" s="589"/>
      <c r="DB23" s="590"/>
    </row>
    <row r="24" spans="1:106" ht="12.75" hidden="1" customHeight="1" x14ac:dyDescent="0.2">
      <c r="A24" s="609" t="s">
        <v>264</v>
      </c>
      <c r="B24" s="832">
        <f t="shared" si="4"/>
        <v>1</v>
      </c>
      <c r="C24" s="608" t="s">
        <v>268</v>
      </c>
      <c r="D24" s="744"/>
      <c r="E24" s="605">
        <f t="shared" si="5"/>
        <v>45000</v>
      </c>
      <c r="F24" s="605">
        <f t="shared" si="6"/>
        <v>45000</v>
      </c>
      <c r="G24" s="607">
        <f t="shared" si="3"/>
        <v>0</v>
      </c>
      <c r="H24" s="593"/>
      <c r="I24" s="588"/>
      <c r="J24" s="589"/>
      <c r="K24" s="589"/>
      <c r="L24" s="589"/>
      <c r="M24" s="589"/>
      <c r="N24" s="589"/>
      <c r="O24" s="588">
        <v>1000</v>
      </c>
      <c r="P24" s="588">
        <v>1000</v>
      </c>
      <c r="Q24" s="588">
        <v>1000</v>
      </c>
      <c r="R24" s="588">
        <v>1000</v>
      </c>
      <c r="S24" s="592">
        <v>1000</v>
      </c>
      <c r="T24" s="593">
        <v>1000</v>
      </c>
      <c r="U24" s="588">
        <v>1000</v>
      </c>
      <c r="V24" s="588">
        <v>1000</v>
      </c>
      <c r="W24" s="588">
        <v>1000</v>
      </c>
      <c r="X24" s="588">
        <v>1000</v>
      </c>
      <c r="Y24" s="588">
        <v>1000</v>
      </c>
      <c r="Z24" s="588">
        <v>1000</v>
      </c>
      <c r="AA24" s="588">
        <v>1000</v>
      </c>
      <c r="AB24" s="588">
        <v>1000</v>
      </c>
      <c r="AC24" s="588">
        <v>1000</v>
      </c>
      <c r="AD24" s="588">
        <v>1000</v>
      </c>
      <c r="AE24" s="592">
        <v>1000</v>
      </c>
      <c r="AF24" s="593">
        <v>1000</v>
      </c>
      <c r="AG24" s="588">
        <v>1000</v>
      </c>
      <c r="AH24" s="588">
        <v>1000</v>
      </c>
      <c r="AI24" s="588"/>
      <c r="AJ24" s="588"/>
      <c r="AK24" s="588">
        <v>1000</v>
      </c>
      <c r="AL24" s="588">
        <v>1000</v>
      </c>
      <c r="AM24" s="588">
        <v>1000</v>
      </c>
      <c r="AN24" s="588">
        <v>1000</v>
      </c>
      <c r="AO24" s="588">
        <v>1000</v>
      </c>
      <c r="AP24" s="588">
        <v>1000</v>
      </c>
      <c r="AQ24" s="592">
        <v>1000</v>
      </c>
      <c r="AR24" s="593">
        <v>1000</v>
      </c>
      <c r="AS24" s="588">
        <v>1000</v>
      </c>
      <c r="AT24" s="588">
        <v>1000</v>
      </c>
      <c r="AU24" s="588">
        <v>1000</v>
      </c>
      <c r="AV24" s="588">
        <v>1000</v>
      </c>
      <c r="AW24" s="588">
        <v>1000</v>
      </c>
      <c r="AX24" s="588">
        <v>1000</v>
      </c>
      <c r="AY24" s="588">
        <v>1000</v>
      </c>
      <c r="AZ24" s="588">
        <v>1000</v>
      </c>
      <c r="BA24" s="588">
        <v>1000</v>
      </c>
      <c r="BB24" s="588">
        <v>1000</v>
      </c>
      <c r="BC24" s="592">
        <v>1000</v>
      </c>
      <c r="BD24" s="593">
        <v>1000</v>
      </c>
      <c r="BE24" s="588">
        <v>1000</v>
      </c>
      <c r="BF24" s="588">
        <v>1000</v>
      </c>
      <c r="BG24" s="588">
        <v>1000</v>
      </c>
      <c r="BH24" s="588">
        <v>1000</v>
      </c>
      <c r="BI24" s="588">
        <v>1000</v>
      </c>
      <c r="BJ24" s="589"/>
      <c r="BK24" s="589"/>
      <c r="BL24" s="589"/>
      <c r="BM24" s="589"/>
      <c r="BN24" s="589"/>
      <c r="BO24" s="595"/>
      <c r="BP24" s="594"/>
      <c r="BQ24" s="589"/>
      <c r="BR24" s="589"/>
      <c r="BS24" s="591"/>
      <c r="BT24" s="589"/>
      <c r="BU24" s="589"/>
      <c r="BV24" s="589"/>
      <c r="BW24" s="589"/>
      <c r="BX24" s="589"/>
      <c r="BY24" s="589"/>
      <c r="BZ24" s="589"/>
      <c r="CA24" s="589"/>
      <c r="CB24" s="589"/>
      <c r="CC24" s="589"/>
      <c r="CD24" s="590"/>
      <c r="CE24" s="591"/>
      <c r="CF24" s="589"/>
      <c r="CG24" s="589"/>
      <c r="CH24" s="589"/>
      <c r="CI24" s="589"/>
      <c r="CJ24" s="589"/>
      <c r="CK24" s="589"/>
      <c r="CL24" s="589"/>
      <c r="CM24" s="589"/>
      <c r="CN24" s="589"/>
      <c r="CO24" s="589"/>
      <c r="CP24" s="590"/>
      <c r="CQ24" s="591"/>
      <c r="CR24" s="589"/>
      <c r="CS24" s="589"/>
      <c r="CT24" s="589"/>
      <c r="CU24" s="589"/>
      <c r="CV24" s="589"/>
      <c r="CW24" s="589"/>
      <c r="CX24" s="589"/>
      <c r="CY24" s="589"/>
      <c r="CZ24" s="589"/>
      <c r="DA24" s="589"/>
      <c r="DB24" s="590"/>
    </row>
    <row r="25" spans="1:106" ht="12.75" hidden="1" customHeight="1" x14ac:dyDescent="0.2">
      <c r="A25" s="609" t="s">
        <v>264</v>
      </c>
      <c r="B25" s="832">
        <f t="shared" si="4"/>
        <v>1</v>
      </c>
      <c r="C25" s="608" t="s">
        <v>269</v>
      </c>
      <c r="D25" s="744"/>
      <c r="E25" s="605">
        <f t="shared" si="5"/>
        <v>45000</v>
      </c>
      <c r="F25" s="605">
        <f t="shared" si="6"/>
        <v>45000</v>
      </c>
      <c r="G25" s="607">
        <f t="shared" si="3"/>
        <v>0</v>
      </c>
      <c r="H25" s="593"/>
      <c r="I25" s="588"/>
      <c r="J25" s="589"/>
      <c r="K25" s="589"/>
      <c r="L25" s="589"/>
      <c r="M25" s="589"/>
      <c r="N25" s="589"/>
      <c r="O25" s="588">
        <v>1000</v>
      </c>
      <c r="P25" s="588">
        <v>1000</v>
      </c>
      <c r="Q25" s="588">
        <v>1000</v>
      </c>
      <c r="R25" s="588">
        <v>1000</v>
      </c>
      <c r="S25" s="592">
        <v>1000</v>
      </c>
      <c r="T25" s="593">
        <v>1000</v>
      </c>
      <c r="U25" s="588">
        <v>1000</v>
      </c>
      <c r="V25" s="588">
        <v>1000</v>
      </c>
      <c r="W25" s="588">
        <v>1000</v>
      </c>
      <c r="X25" s="588">
        <v>1000</v>
      </c>
      <c r="Y25" s="588">
        <v>1000</v>
      </c>
      <c r="Z25" s="588">
        <v>1000</v>
      </c>
      <c r="AA25" s="588">
        <v>1000</v>
      </c>
      <c r="AB25" s="588">
        <v>1000</v>
      </c>
      <c r="AC25" s="588">
        <v>1000</v>
      </c>
      <c r="AD25" s="588">
        <v>1000</v>
      </c>
      <c r="AE25" s="592">
        <v>1000</v>
      </c>
      <c r="AF25" s="593">
        <v>1000</v>
      </c>
      <c r="AG25" s="588">
        <v>1000</v>
      </c>
      <c r="AH25" s="588">
        <v>1000</v>
      </c>
      <c r="AI25" s="588"/>
      <c r="AJ25" s="588"/>
      <c r="AK25" s="588">
        <v>1000</v>
      </c>
      <c r="AL25" s="588">
        <v>1000</v>
      </c>
      <c r="AM25" s="588">
        <v>1000</v>
      </c>
      <c r="AN25" s="588">
        <v>1000</v>
      </c>
      <c r="AO25" s="588">
        <v>1000</v>
      </c>
      <c r="AP25" s="588">
        <v>1000</v>
      </c>
      <c r="AQ25" s="592">
        <v>1000</v>
      </c>
      <c r="AR25" s="593">
        <v>1000</v>
      </c>
      <c r="AS25" s="588">
        <v>1000</v>
      </c>
      <c r="AT25" s="588">
        <v>1000</v>
      </c>
      <c r="AU25" s="588">
        <v>1000</v>
      </c>
      <c r="AV25" s="588">
        <v>1000</v>
      </c>
      <c r="AW25" s="588">
        <v>1000</v>
      </c>
      <c r="AX25" s="588">
        <v>1000</v>
      </c>
      <c r="AY25" s="588">
        <v>1000</v>
      </c>
      <c r="AZ25" s="588">
        <v>1000</v>
      </c>
      <c r="BA25" s="588">
        <v>1000</v>
      </c>
      <c r="BB25" s="588">
        <v>1000</v>
      </c>
      <c r="BC25" s="592">
        <v>1000</v>
      </c>
      <c r="BD25" s="593">
        <v>1000</v>
      </c>
      <c r="BE25" s="588">
        <v>1000</v>
      </c>
      <c r="BF25" s="588">
        <v>1000</v>
      </c>
      <c r="BG25" s="588">
        <v>1000</v>
      </c>
      <c r="BH25" s="588">
        <v>1000</v>
      </c>
      <c r="BI25" s="588">
        <v>1000</v>
      </c>
      <c r="BJ25" s="589"/>
      <c r="BK25" s="589"/>
      <c r="BL25" s="589"/>
      <c r="BM25" s="589"/>
      <c r="BN25" s="589"/>
      <c r="BO25" s="595"/>
      <c r="BP25" s="594"/>
      <c r="BQ25" s="589"/>
      <c r="BR25" s="589"/>
      <c r="BS25" s="591"/>
      <c r="BT25" s="589"/>
      <c r="BU25" s="589"/>
      <c r="BV25" s="589"/>
      <c r="BW25" s="589"/>
      <c r="BX25" s="589"/>
      <c r="BY25" s="589"/>
      <c r="BZ25" s="589"/>
      <c r="CA25" s="589"/>
      <c r="CB25" s="589"/>
      <c r="CC25" s="589"/>
      <c r="CD25" s="590"/>
      <c r="CE25" s="591"/>
      <c r="CF25" s="589"/>
      <c r="CG25" s="589"/>
      <c r="CH25" s="589"/>
      <c r="CI25" s="589"/>
      <c r="CJ25" s="589"/>
      <c r="CK25" s="589"/>
      <c r="CL25" s="589"/>
      <c r="CM25" s="589"/>
      <c r="CN25" s="589"/>
      <c r="CO25" s="589"/>
      <c r="CP25" s="590"/>
      <c r="CQ25" s="591"/>
      <c r="CR25" s="589"/>
      <c r="CS25" s="589"/>
      <c r="CT25" s="589"/>
      <c r="CU25" s="589"/>
      <c r="CV25" s="589"/>
      <c r="CW25" s="589"/>
      <c r="CX25" s="589"/>
      <c r="CY25" s="589"/>
      <c r="CZ25" s="589"/>
      <c r="DA25" s="589"/>
      <c r="DB25" s="590"/>
    </row>
    <row r="26" spans="1:106" ht="12.75" hidden="1" customHeight="1" x14ac:dyDescent="0.2">
      <c r="A26" s="609" t="s">
        <v>270</v>
      </c>
      <c r="B26" s="832">
        <f t="shared" si="4"/>
        <v>1</v>
      </c>
      <c r="C26" s="581" t="s">
        <v>272</v>
      </c>
      <c r="D26" s="581"/>
      <c r="E26" s="605">
        <f>SUM(H26:CD26)</f>
        <v>8000</v>
      </c>
      <c r="F26" s="605">
        <f>+COUNTA(H26:CY26)*1000</f>
        <v>8000</v>
      </c>
      <c r="G26" s="607">
        <f t="shared" si="3"/>
        <v>0</v>
      </c>
      <c r="H26" s="594"/>
      <c r="I26" s="589"/>
      <c r="J26" s="589"/>
      <c r="K26" s="589"/>
      <c r="L26" s="589"/>
      <c r="M26" s="589"/>
      <c r="N26" s="589"/>
      <c r="O26" s="589"/>
      <c r="P26" s="589"/>
      <c r="Q26" s="589"/>
      <c r="R26" s="589"/>
      <c r="S26" s="595"/>
      <c r="T26" s="594"/>
      <c r="U26" s="589"/>
      <c r="V26" s="589"/>
      <c r="W26" s="589"/>
      <c r="X26" s="589"/>
      <c r="Y26" s="589"/>
      <c r="Z26" s="589"/>
      <c r="AA26" s="589"/>
      <c r="AB26" s="589"/>
      <c r="AC26" s="589"/>
      <c r="AD26" s="589"/>
      <c r="AE26" s="595"/>
      <c r="AF26" s="594"/>
      <c r="AG26" s="589"/>
      <c r="AH26" s="589"/>
      <c r="AI26" s="589"/>
      <c r="AJ26" s="589"/>
      <c r="AK26" s="589"/>
      <c r="AL26" s="589"/>
      <c r="AM26" s="589"/>
      <c r="AN26" s="589"/>
      <c r="AO26" s="589"/>
      <c r="AP26" s="589"/>
      <c r="AQ26" s="595"/>
      <c r="AR26" s="594"/>
      <c r="AS26" s="589"/>
      <c r="AT26" s="589"/>
      <c r="AU26" s="589"/>
      <c r="AV26" s="589"/>
      <c r="AW26" s="589"/>
      <c r="AX26" s="589"/>
      <c r="AY26" s="589"/>
      <c r="AZ26" s="589"/>
      <c r="BA26" s="589"/>
      <c r="BB26" s="589"/>
      <c r="BC26" s="595"/>
      <c r="BD26" s="594"/>
      <c r="BE26" s="589"/>
      <c r="BF26" s="589"/>
      <c r="BG26" s="589"/>
      <c r="BH26" s="589"/>
      <c r="BI26" s="589"/>
      <c r="BJ26" s="588">
        <v>1000</v>
      </c>
      <c r="BK26" s="588">
        <v>1000</v>
      </c>
      <c r="BL26" s="588">
        <v>1000</v>
      </c>
      <c r="BM26" s="588">
        <v>1000</v>
      </c>
      <c r="BN26" s="588">
        <v>1000</v>
      </c>
      <c r="BO26" s="592">
        <v>1000</v>
      </c>
      <c r="BP26" s="593">
        <v>1000</v>
      </c>
      <c r="BQ26" s="588">
        <v>1000</v>
      </c>
      <c r="BR26" s="589"/>
      <c r="BS26" s="591"/>
      <c r="BT26" s="589"/>
      <c r="BU26" s="589"/>
      <c r="BV26" s="589"/>
      <c r="BW26" s="589"/>
      <c r="BX26" s="589"/>
      <c r="BY26" s="589"/>
      <c r="BZ26" s="589"/>
      <c r="CA26" s="589"/>
      <c r="CB26" s="589"/>
      <c r="CC26" s="589"/>
      <c r="CD26" s="590"/>
      <c r="CE26" s="591"/>
      <c r="CF26" s="589"/>
      <c r="CG26" s="589"/>
      <c r="CH26" s="589"/>
      <c r="CI26" s="589"/>
      <c r="CJ26" s="589"/>
      <c r="CK26" s="589"/>
      <c r="CL26" s="589"/>
      <c r="CM26" s="589"/>
      <c r="CN26" s="589"/>
      <c r="CO26" s="589"/>
      <c r="CP26" s="590"/>
      <c r="CQ26" s="591"/>
      <c r="CR26" s="589"/>
      <c r="CS26" s="589"/>
      <c r="CT26" s="589"/>
      <c r="CU26" s="589"/>
      <c r="CV26" s="589"/>
      <c r="CW26" s="589"/>
      <c r="CX26" s="589"/>
      <c r="CY26" s="589"/>
      <c r="CZ26" s="589"/>
      <c r="DA26" s="589"/>
      <c r="DB26" s="590"/>
    </row>
    <row r="27" spans="1:106" ht="12.75" hidden="1" customHeight="1" x14ac:dyDescent="0.2">
      <c r="A27" s="609" t="s">
        <v>253</v>
      </c>
      <c r="B27" s="832">
        <f t="shared" ref="B27:B32" si="7">+SUM(E27)/SUM(F27)</f>
        <v>0.76543209876543206</v>
      </c>
      <c r="C27" s="581" t="s">
        <v>128</v>
      </c>
      <c r="D27" s="581"/>
      <c r="E27" s="605">
        <f t="shared" ref="E27:E32" si="8">SUM(H27:DB27)</f>
        <v>62000</v>
      </c>
      <c r="F27" s="605">
        <f t="shared" ref="F27:F32" si="9">+COUNTA(H27:DB27)*1000</f>
        <v>81000</v>
      </c>
      <c r="G27" s="607">
        <f t="shared" ref="G27:G32" si="10">+IF((E27+F27)=0,"No Aplica",+E27/F27-1)</f>
        <v>-0.23456790123456794</v>
      </c>
      <c r="H27" s="593">
        <v>1000</v>
      </c>
      <c r="I27" s="588">
        <v>1000</v>
      </c>
      <c r="J27" s="588">
        <v>1000</v>
      </c>
      <c r="K27" s="588">
        <v>1000</v>
      </c>
      <c r="L27" s="588">
        <v>1000</v>
      </c>
      <c r="M27" s="588">
        <v>1000</v>
      </c>
      <c r="N27" s="588">
        <v>1000</v>
      </c>
      <c r="O27" s="588">
        <v>1000</v>
      </c>
      <c r="P27" s="588">
        <v>1000</v>
      </c>
      <c r="Q27" s="588">
        <v>1000</v>
      </c>
      <c r="R27" s="588">
        <v>1000</v>
      </c>
      <c r="S27" s="592">
        <v>1000</v>
      </c>
      <c r="T27" s="593">
        <v>1000</v>
      </c>
      <c r="U27" s="588">
        <v>1000</v>
      </c>
      <c r="V27" s="588">
        <v>1000</v>
      </c>
      <c r="W27" s="588">
        <v>1000</v>
      </c>
      <c r="X27" s="588">
        <v>1000</v>
      </c>
      <c r="Y27" s="588">
        <v>1000</v>
      </c>
      <c r="Z27" s="588">
        <v>1000</v>
      </c>
      <c r="AA27" s="588">
        <v>1000</v>
      </c>
      <c r="AB27" s="588">
        <v>1000</v>
      </c>
      <c r="AC27" s="588">
        <v>1000</v>
      </c>
      <c r="AD27" s="588">
        <v>1000</v>
      </c>
      <c r="AE27" s="592">
        <v>1000</v>
      </c>
      <c r="AF27" s="593">
        <v>1000</v>
      </c>
      <c r="AG27" s="588">
        <v>1000</v>
      </c>
      <c r="AH27" s="588">
        <v>1000</v>
      </c>
      <c r="AI27" s="588">
        <v>1000</v>
      </c>
      <c r="AJ27" s="588">
        <v>1000</v>
      </c>
      <c r="AK27" s="588">
        <v>1000</v>
      </c>
      <c r="AL27" s="588">
        <v>1000</v>
      </c>
      <c r="AM27" s="588">
        <v>1000</v>
      </c>
      <c r="AN27" s="588">
        <v>1000</v>
      </c>
      <c r="AO27" s="588">
        <v>1000</v>
      </c>
      <c r="AP27" s="588">
        <v>1000</v>
      </c>
      <c r="AQ27" s="592">
        <v>1000</v>
      </c>
      <c r="AR27" s="593">
        <v>1000</v>
      </c>
      <c r="AS27" s="588">
        <v>1000</v>
      </c>
      <c r="AT27" s="588">
        <v>1000</v>
      </c>
      <c r="AU27" s="588">
        <v>1000</v>
      </c>
      <c r="AV27" s="588">
        <v>1000</v>
      </c>
      <c r="AW27" s="588">
        <v>1000</v>
      </c>
      <c r="AX27" s="588">
        <v>1000</v>
      </c>
      <c r="AY27" s="588">
        <v>1000</v>
      </c>
      <c r="AZ27" s="588">
        <v>1000</v>
      </c>
      <c r="BA27" s="588">
        <v>1000</v>
      </c>
      <c r="BB27" s="588">
        <v>1000</v>
      </c>
      <c r="BC27" s="592">
        <v>1000</v>
      </c>
      <c r="BD27" s="593">
        <v>1000</v>
      </c>
      <c r="BE27" s="588">
        <v>1000</v>
      </c>
      <c r="BF27" s="588">
        <v>1000</v>
      </c>
      <c r="BG27" s="588">
        <v>1000</v>
      </c>
      <c r="BH27" s="588">
        <v>1000</v>
      </c>
      <c r="BI27" s="588">
        <v>1000</v>
      </c>
      <c r="BJ27" s="588">
        <v>1000</v>
      </c>
      <c r="BK27" s="588">
        <v>1000</v>
      </c>
      <c r="BL27" s="588">
        <v>1000</v>
      </c>
      <c r="BM27" s="588">
        <v>1000</v>
      </c>
      <c r="BN27" s="588">
        <v>1000</v>
      </c>
      <c r="BO27" s="592">
        <v>1000</v>
      </c>
      <c r="BP27" s="593">
        <v>1000</v>
      </c>
      <c r="BQ27" s="588">
        <v>0</v>
      </c>
      <c r="BR27" s="588">
        <v>0</v>
      </c>
      <c r="BS27" s="587">
        <v>0</v>
      </c>
      <c r="BT27" s="588">
        <v>0</v>
      </c>
      <c r="BU27" s="588">
        <v>0</v>
      </c>
      <c r="BV27" s="588">
        <v>0</v>
      </c>
      <c r="BW27" s="588">
        <v>0</v>
      </c>
      <c r="BX27" s="588">
        <v>0</v>
      </c>
      <c r="BY27" s="588">
        <v>0</v>
      </c>
      <c r="BZ27" s="588">
        <v>0</v>
      </c>
      <c r="CA27" s="588">
        <v>0</v>
      </c>
      <c r="CB27" s="588">
        <v>0</v>
      </c>
      <c r="CC27" s="588">
        <v>0</v>
      </c>
      <c r="CD27" s="596">
        <v>0</v>
      </c>
      <c r="CE27" s="587">
        <v>1000</v>
      </c>
      <c r="CF27" s="588">
        <v>0</v>
      </c>
      <c r="CG27" s="588">
        <v>0</v>
      </c>
      <c r="CH27" s="588">
        <v>0</v>
      </c>
      <c r="CI27" s="588">
        <v>0</v>
      </c>
      <c r="CJ27" s="588">
        <v>0</v>
      </c>
      <c r="CK27" s="589"/>
      <c r="CL27" s="589"/>
      <c r="CM27" s="589"/>
      <c r="CN27" s="589"/>
      <c r="CO27" s="589"/>
      <c r="CP27" s="590"/>
      <c r="CQ27" s="591"/>
      <c r="CR27" s="589"/>
      <c r="CS27" s="589"/>
      <c r="CT27" s="589"/>
      <c r="CU27" s="589"/>
      <c r="CV27" s="589"/>
      <c r="CW27" s="589"/>
      <c r="CX27" s="589"/>
      <c r="CY27" s="589"/>
      <c r="CZ27" s="589"/>
      <c r="DA27" s="589"/>
      <c r="DB27" s="590"/>
    </row>
    <row r="28" spans="1:106" ht="12.75" hidden="1" customHeight="1" x14ac:dyDescent="0.2">
      <c r="A28" s="609" t="s">
        <v>253</v>
      </c>
      <c r="B28" s="832">
        <f t="shared" si="7"/>
        <v>0.75308641975308643</v>
      </c>
      <c r="C28" s="581" t="s">
        <v>151</v>
      </c>
      <c r="D28" s="581"/>
      <c r="E28" s="605">
        <f t="shared" si="8"/>
        <v>61000</v>
      </c>
      <c r="F28" s="605">
        <f t="shared" si="9"/>
        <v>81000</v>
      </c>
      <c r="G28" s="607">
        <f t="shared" si="10"/>
        <v>-0.24691358024691357</v>
      </c>
      <c r="H28" s="593">
        <v>1000</v>
      </c>
      <c r="I28" s="588">
        <v>1000</v>
      </c>
      <c r="J28" s="588">
        <v>1000</v>
      </c>
      <c r="K28" s="588">
        <v>1000</v>
      </c>
      <c r="L28" s="588">
        <v>1000</v>
      </c>
      <c r="M28" s="588">
        <v>1000</v>
      </c>
      <c r="N28" s="588">
        <v>1000</v>
      </c>
      <c r="O28" s="588">
        <v>1000</v>
      </c>
      <c r="P28" s="588">
        <v>1000</v>
      </c>
      <c r="Q28" s="588">
        <v>1000</v>
      </c>
      <c r="R28" s="588">
        <v>1000</v>
      </c>
      <c r="S28" s="592">
        <v>1000</v>
      </c>
      <c r="T28" s="593">
        <v>1000</v>
      </c>
      <c r="U28" s="588">
        <v>1000</v>
      </c>
      <c r="V28" s="588">
        <v>1000</v>
      </c>
      <c r="W28" s="588">
        <v>1000</v>
      </c>
      <c r="X28" s="588">
        <v>1000</v>
      </c>
      <c r="Y28" s="588">
        <v>1000</v>
      </c>
      <c r="Z28" s="588">
        <v>1000</v>
      </c>
      <c r="AA28" s="588">
        <v>1000</v>
      </c>
      <c r="AB28" s="588">
        <v>1000</v>
      </c>
      <c r="AC28" s="588">
        <v>1000</v>
      </c>
      <c r="AD28" s="588">
        <v>1000</v>
      </c>
      <c r="AE28" s="592">
        <v>1000</v>
      </c>
      <c r="AF28" s="593">
        <v>1000</v>
      </c>
      <c r="AG28" s="588">
        <v>1000</v>
      </c>
      <c r="AH28" s="588">
        <v>1000</v>
      </c>
      <c r="AI28" s="588">
        <v>1000</v>
      </c>
      <c r="AJ28" s="588">
        <v>1000</v>
      </c>
      <c r="AK28" s="588">
        <v>1000</v>
      </c>
      <c r="AL28" s="588">
        <v>1000</v>
      </c>
      <c r="AM28" s="588">
        <v>1000</v>
      </c>
      <c r="AN28" s="588">
        <v>1000</v>
      </c>
      <c r="AO28" s="588">
        <v>1000</v>
      </c>
      <c r="AP28" s="588">
        <v>1000</v>
      </c>
      <c r="AQ28" s="592">
        <v>1000</v>
      </c>
      <c r="AR28" s="593">
        <v>1000</v>
      </c>
      <c r="AS28" s="588">
        <v>1000</v>
      </c>
      <c r="AT28" s="588">
        <v>1000</v>
      </c>
      <c r="AU28" s="588">
        <v>1000</v>
      </c>
      <c r="AV28" s="588">
        <v>1000</v>
      </c>
      <c r="AW28" s="588">
        <v>1000</v>
      </c>
      <c r="AX28" s="588">
        <v>1000</v>
      </c>
      <c r="AY28" s="588">
        <v>1000</v>
      </c>
      <c r="AZ28" s="588">
        <v>1000</v>
      </c>
      <c r="BA28" s="588">
        <v>1000</v>
      </c>
      <c r="BB28" s="588">
        <v>1000</v>
      </c>
      <c r="BC28" s="592">
        <v>1000</v>
      </c>
      <c r="BD28" s="593">
        <v>1000</v>
      </c>
      <c r="BE28" s="588">
        <v>1000</v>
      </c>
      <c r="BF28" s="588">
        <v>1000</v>
      </c>
      <c r="BG28" s="588">
        <v>1000</v>
      </c>
      <c r="BH28" s="588">
        <v>1000</v>
      </c>
      <c r="BI28" s="588">
        <v>1000</v>
      </c>
      <c r="BJ28" s="588">
        <v>1000</v>
      </c>
      <c r="BK28" s="588">
        <v>1000</v>
      </c>
      <c r="BL28" s="588">
        <v>1000</v>
      </c>
      <c r="BM28" s="588">
        <v>1000</v>
      </c>
      <c r="BN28" s="588">
        <v>1000</v>
      </c>
      <c r="BO28" s="592">
        <v>1000</v>
      </c>
      <c r="BP28" s="593">
        <v>1000</v>
      </c>
      <c r="BQ28" s="588">
        <v>0</v>
      </c>
      <c r="BR28" s="588">
        <v>0</v>
      </c>
      <c r="BS28" s="587">
        <v>0</v>
      </c>
      <c r="BT28" s="588">
        <v>0</v>
      </c>
      <c r="BU28" s="588">
        <v>0</v>
      </c>
      <c r="BV28" s="588">
        <v>0</v>
      </c>
      <c r="BW28" s="588">
        <v>0</v>
      </c>
      <c r="BX28" s="588">
        <v>0</v>
      </c>
      <c r="BY28" s="588">
        <v>0</v>
      </c>
      <c r="BZ28" s="588">
        <v>0</v>
      </c>
      <c r="CA28" s="588">
        <v>0</v>
      </c>
      <c r="CB28" s="588">
        <v>0</v>
      </c>
      <c r="CC28" s="588">
        <v>0</v>
      </c>
      <c r="CD28" s="596">
        <v>0</v>
      </c>
      <c r="CE28" s="587">
        <v>0</v>
      </c>
      <c r="CF28" s="588">
        <v>0</v>
      </c>
      <c r="CG28" s="588">
        <v>0</v>
      </c>
      <c r="CH28" s="588">
        <v>0</v>
      </c>
      <c r="CI28" s="588">
        <v>0</v>
      </c>
      <c r="CJ28" s="588">
        <v>0</v>
      </c>
      <c r="CK28" s="589"/>
      <c r="CL28" s="589"/>
      <c r="CM28" s="589"/>
      <c r="CN28" s="589"/>
      <c r="CO28" s="589"/>
      <c r="CP28" s="590"/>
      <c r="CQ28" s="591"/>
      <c r="CR28" s="589"/>
      <c r="CS28" s="589"/>
      <c r="CT28" s="589"/>
      <c r="CU28" s="589"/>
      <c r="CV28" s="589"/>
      <c r="CW28" s="589"/>
      <c r="CX28" s="589"/>
      <c r="CY28" s="589"/>
      <c r="CZ28" s="589"/>
      <c r="DA28" s="589"/>
      <c r="DB28" s="590"/>
    </row>
    <row r="29" spans="1:106" ht="12.75" hidden="1" customHeight="1" x14ac:dyDescent="0.2">
      <c r="A29" s="609" t="s">
        <v>253</v>
      </c>
      <c r="B29" s="832">
        <f t="shared" si="7"/>
        <v>0.76543209876543206</v>
      </c>
      <c r="C29" s="608" t="s">
        <v>152</v>
      </c>
      <c r="D29" s="744"/>
      <c r="E29" s="605">
        <f t="shared" si="8"/>
        <v>62000</v>
      </c>
      <c r="F29" s="605">
        <f t="shared" si="9"/>
        <v>81000</v>
      </c>
      <c r="G29" s="607">
        <f t="shared" si="10"/>
        <v>-0.23456790123456794</v>
      </c>
      <c r="H29" s="593">
        <v>1000</v>
      </c>
      <c r="I29" s="588">
        <v>1000</v>
      </c>
      <c r="J29" s="588">
        <v>1000</v>
      </c>
      <c r="K29" s="588">
        <v>1000</v>
      </c>
      <c r="L29" s="588">
        <v>1000</v>
      </c>
      <c r="M29" s="588">
        <v>1000</v>
      </c>
      <c r="N29" s="588">
        <v>1000</v>
      </c>
      <c r="O29" s="588">
        <v>1000</v>
      </c>
      <c r="P29" s="588">
        <v>1000</v>
      </c>
      <c r="Q29" s="588">
        <v>1000</v>
      </c>
      <c r="R29" s="588">
        <v>1000</v>
      </c>
      <c r="S29" s="592">
        <v>1000</v>
      </c>
      <c r="T29" s="593">
        <v>1000</v>
      </c>
      <c r="U29" s="588">
        <v>1000</v>
      </c>
      <c r="V29" s="588">
        <v>1000</v>
      </c>
      <c r="W29" s="588">
        <v>1000</v>
      </c>
      <c r="X29" s="588">
        <v>1000</v>
      </c>
      <c r="Y29" s="588">
        <v>1000</v>
      </c>
      <c r="Z29" s="588">
        <v>1000</v>
      </c>
      <c r="AA29" s="588">
        <v>1000</v>
      </c>
      <c r="AB29" s="588">
        <v>1000</v>
      </c>
      <c r="AC29" s="588">
        <v>1000</v>
      </c>
      <c r="AD29" s="588">
        <v>1000</v>
      </c>
      <c r="AE29" s="592">
        <v>1000</v>
      </c>
      <c r="AF29" s="593">
        <v>1000</v>
      </c>
      <c r="AG29" s="588">
        <v>1000</v>
      </c>
      <c r="AH29" s="588">
        <v>1000</v>
      </c>
      <c r="AI29" s="588">
        <v>1000</v>
      </c>
      <c r="AJ29" s="588">
        <v>1000</v>
      </c>
      <c r="AK29" s="588">
        <v>1000</v>
      </c>
      <c r="AL29" s="588">
        <v>1000</v>
      </c>
      <c r="AM29" s="588">
        <v>1000</v>
      </c>
      <c r="AN29" s="588">
        <v>1000</v>
      </c>
      <c r="AO29" s="588">
        <v>1000</v>
      </c>
      <c r="AP29" s="588">
        <v>1000</v>
      </c>
      <c r="AQ29" s="592">
        <v>1000</v>
      </c>
      <c r="AR29" s="593">
        <v>1000</v>
      </c>
      <c r="AS29" s="588">
        <v>1000</v>
      </c>
      <c r="AT29" s="588">
        <v>1000</v>
      </c>
      <c r="AU29" s="588">
        <v>1000</v>
      </c>
      <c r="AV29" s="588">
        <v>1000</v>
      </c>
      <c r="AW29" s="588">
        <v>1000</v>
      </c>
      <c r="AX29" s="588">
        <v>1000</v>
      </c>
      <c r="AY29" s="588">
        <v>1000</v>
      </c>
      <c r="AZ29" s="588">
        <v>1000</v>
      </c>
      <c r="BA29" s="588">
        <v>1000</v>
      </c>
      <c r="BB29" s="588">
        <v>1000</v>
      </c>
      <c r="BC29" s="592">
        <v>1000</v>
      </c>
      <c r="BD29" s="593">
        <v>1000</v>
      </c>
      <c r="BE29" s="588">
        <v>1000</v>
      </c>
      <c r="BF29" s="588">
        <v>1000</v>
      </c>
      <c r="BG29" s="588">
        <v>1000</v>
      </c>
      <c r="BH29" s="588">
        <v>1000</v>
      </c>
      <c r="BI29" s="588">
        <v>1000</v>
      </c>
      <c r="BJ29" s="588">
        <v>1000</v>
      </c>
      <c r="BK29" s="588">
        <v>1000</v>
      </c>
      <c r="BL29" s="588">
        <v>1000</v>
      </c>
      <c r="BM29" s="588">
        <v>1000</v>
      </c>
      <c r="BN29" s="588">
        <v>1000</v>
      </c>
      <c r="BO29" s="592">
        <v>1000</v>
      </c>
      <c r="BP29" s="593">
        <v>1000</v>
      </c>
      <c r="BQ29" s="588">
        <v>0</v>
      </c>
      <c r="BR29" s="588">
        <v>0</v>
      </c>
      <c r="BS29" s="587">
        <v>0</v>
      </c>
      <c r="BT29" s="588">
        <v>0</v>
      </c>
      <c r="BU29" s="588">
        <v>0</v>
      </c>
      <c r="BV29" s="588">
        <v>0</v>
      </c>
      <c r="BW29" s="588">
        <v>0</v>
      </c>
      <c r="BX29" s="588">
        <v>0</v>
      </c>
      <c r="BY29" s="588">
        <v>0</v>
      </c>
      <c r="BZ29" s="588">
        <v>0</v>
      </c>
      <c r="CA29" s="588">
        <v>0</v>
      </c>
      <c r="CB29" s="588">
        <v>0</v>
      </c>
      <c r="CC29" s="588">
        <v>0</v>
      </c>
      <c r="CD29" s="596">
        <v>0</v>
      </c>
      <c r="CE29" s="587">
        <v>1000</v>
      </c>
      <c r="CF29" s="588">
        <v>0</v>
      </c>
      <c r="CG29" s="588">
        <v>0</v>
      </c>
      <c r="CH29" s="588">
        <v>0</v>
      </c>
      <c r="CI29" s="588">
        <v>0</v>
      </c>
      <c r="CJ29" s="588">
        <v>0</v>
      </c>
      <c r="CK29" s="589"/>
      <c r="CL29" s="589"/>
      <c r="CM29" s="589"/>
      <c r="CN29" s="589"/>
      <c r="CO29" s="589"/>
      <c r="CP29" s="590"/>
      <c r="CQ29" s="591"/>
      <c r="CR29" s="589"/>
      <c r="CS29" s="589"/>
      <c r="CT29" s="589"/>
      <c r="CU29" s="589"/>
      <c r="CV29" s="589"/>
      <c r="CW29" s="589"/>
      <c r="CX29" s="589"/>
      <c r="CY29" s="589"/>
      <c r="CZ29" s="589"/>
      <c r="DA29" s="589"/>
      <c r="DB29" s="590"/>
    </row>
    <row r="30" spans="1:106" ht="12.75" hidden="1" customHeight="1" x14ac:dyDescent="0.2">
      <c r="A30" s="609" t="s">
        <v>254</v>
      </c>
      <c r="B30" s="832">
        <f t="shared" si="7"/>
        <v>0.27586206896551724</v>
      </c>
      <c r="C30" s="581" t="s">
        <v>153</v>
      </c>
      <c r="D30" s="581"/>
      <c r="E30" s="605">
        <f t="shared" si="8"/>
        <v>24000</v>
      </c>
      <c r="F30" s="605">
        <f t="shared" si="9"/>
        <v>87000</v>
      </c>
      <c r="G30" s="607">
        <f t="shared" si="10"/>
        <v>-0.72413793103448276</v>
      </c>
      <c r="H30" s="593">
        <v>1000</v>
      </c>
      <c r="I30" s="588">
        <v>1000</v>
      </c>
      <c r="J30" s="588">
        <v>1000</v>
      </c>
      <c r="K30" s="588">
        <v>1000</v>
      </c>
      <c r="L30" s="588">
        <v>1000</v>
      </c>
      <c r="M30" s="588">
        <v>1000</v>
      </c>
      <c r="N30" s="588">
        <v>1000</v>
      </c>
      <c r="O30" s="588">
        <v>1000</v>
      </c>
      <c r="P30" s="588">
        <v>1000</v>
      </c>
      <c r="Q30" s="588">
        <v>1000</v>
      </c>
      <c r="R30" s="588">
        <v>1000</v>
      </c>
      <c r="S30" s="592">
        <v>1000</v>
      </c>
      <c r="T30" s="593">
        <v>1000</v>
      </c>
      <c r="U30" s="588">
        <v>1000</v>
      </c>
      <c r="V30" s="588">
        <v>1000</v>
      </c>
      <c r="W30" s="588">
        <v>1000</v>
      </c>
      <c r="X30" s="588">
        <v>1000</v>
      </c>
      <c r="Y30" s="588">
        <v>1000</v>
      </c>
      <c r="Z30" s="588">
        <v>1000</v>
      </c>
      <c r="AA30" s="588">
        <v>1000</v>
      </c>
      <c r="AB30" s="588">
        <v>1000</v>
      </c>
      <c r="AC30" s="588">
        <v>1000</v>
      </c>
      <c r="AD30" s="588">
        <v>1000</v>
      </c>
      <c r="AE30" s="592">
        <v>1000</v>
      </c>
      <c r="AF30" s="593">
        <v>0</v>
      </c>
      <c r="AG30" s="588">
        <v>0</v>
      </c>
      <c r="AH30" s="588">
        <v>0</v>
      </c>
      <c r="AI30" s="588">
        <v>0</v>
      </c>
      <c r="AJ30" s="588">
        <v>0</v>
      </c>
      <c r="AK30" s="588">
        <v>0</v>
      </c>
      <c r="AL30" s="588">
        <v>0</v>
      </c>
      <c r="AM30" s="588">
        <v>0</v>
      </c>
      <c r="AN30" s="588">
        <v>0</v>
      </c>
      <c r="AO30" s="588">
        <v>0</v>
      </c>
      <c r="AP30" s="588">
        <v>0</v>
      </c>
      <c r="AQ30" s="592">
        <v>0</v>
      </c>
      <c r="AR30" s="593">
        <v>0</v>
      </c>
      <c r="AS30" s="588">
        <v>0</v>
      </c>
      <c r="AT30" s="588">
        <v>0</v>
      </c>
      <c r="AU30" s="588">
        <v>0</v>
      </c>
      <c r="AV30" s="588">
        <v>0</v>
      </c>
      <c r="AW30" s="588">
        <v>0</v>
      </c>
      <c r="AX30" s="588">
        <v>0</v>
      </c>
      <c r="AY30" s="588">
        <v>0</v>
      </c>
      <c r="AZ30" s="588">
        <v>0</v>
      </c>
      <c r="BA30" s="588">
        <v>0</v>
      </c>
      <c r="BB30" s="588">
        <v>0</v>
      </c>
      <c r="BC30" s="592">
        <v>0</v>
      </c>
      <c r="BD30" s="593">
        <v>0</v>
      </c>
      <c r="BE30" s="588">
        <v>0</v>
      </c>
      <c r="BF30" s="588">
        <v>0</v>
      </c>
      <c r="BG30" s="588">
        <v>0</v>
      </c>
      <c r="BH30" s="588">
        <v>0</v>
      </c>
      <c r="BI30" s="588">
        <v>0</v>
      </c>
      <c r="BJ30" s="588">
        <v>0</v>
      </c>
      <c r="BK30" s="588">
        <v>0</v>
      </c>
      <c r="BL30" s="588">
        <v>0</v>
      </c>
      <c r="BM30" s="588">
        <v>0</v>
      </c>
      <c r="BN30" s="588">
        <v>0</v>
      </c>
      <c r="BO30" s="592">
        <v>0</v>
      </c>
      <c r="BP30" s="593">
        <v>0</v>
      </c>
      <c r="BQ30" s="588">
        <v>0</v>
      </c>
      <c r="BR30" s="588">
        <v>0</v>
      </c>
      <c r="BS30" s="587">
        <v>0</v>
      </c>
      <c r="BT30" s="588">
        <v>0</v>
      </c>
      <c r="BU30" s="588">
        <v>0</v>
      </c>
      <c r="BV30" s="588">
        <v>0</v>
      </c>
      <c r="BW30" s="588">
        <v>0</v>
      </c>
      <c r="BX30" s="588">
        <v>0</v>
      </c>
      <c r="BY30" s="588">
        <v>0</v>
      </c>
      <c r="BZ30" s="588">
        <v>0</v>
      </c>
      <c r="CA30" s="588">
        <v>0</v>
      </c>
      <c r="CB30" s="588">
        <v>0</v>
      </c>
      <c r="CC30" s="588">
        <v>0</v>
      </c>
      <c r="CD30" s="596">
        <v>0</v>
      </c>
      <c r="CE30" s="587">
        <v>0</v>
      </c>
      <c r="CF30" s="588">
        <v>0</v>
      </c>
      <c r="CG30" s="588">
        <v>0</v>
      </c>
      <c r="CH30" s="588">
        <v>0</v>
      </c>
      <c r="CI30" s="588">
        <v>0</v>
      </c>
      <c r="CJ30" s="588">
        <v>0</v>
      </c>
      <c r="CK30" s="588">
        <v>0</v>
      </c>
      <c r="CL30" s="588">
        <v>0</v>
      </c>
      <c r="CM30" s="588">
        <v>0</v>
      </c>
      <c r="CN30" s="588">
        <v>0</v>
      </c>
      <c r="CO30" s="588">
        <v>0</v>
      </c>
      <c r="CP30" s="596">
        <v>0</v>
      </c>
      <c r="CQ30" s="587"/>
      <c r="CR30" s="588"/>
      <c r="CS30" s="588"/>
      <c r="CT30" s="588"/>
      <c r="CU30" s="588"/>
      <c r="CV30" s="588"/>
      <c r="CW30" s="588"/>
      <c r="CX30" s="588"/>
      <c r="CY30" s="588"/>
      <c r="CZ30" s="588"/>
      <c r="DA30" s="588"/>
      <c r="DB30" s="596"/>
    </row>
    <row r="31" spans="1:106" ht="12.75" hidden="1" customHeight="1" x14ac:dyDescent="0.2">
      <c r="A31" s="609" t="s">
        <v>254</v>
      </c>
      <c r="B31" s="832">
        <f t="shared" si="7"/>
        <v>0.27586206896551724</v>
      </c>
      <c r="C31" s="581" t="s">
        <v>154</v>
      </c>
      <c r="D31" s="581"/>
      <c r="E31" s="605">
        <f t="shared" si="8"/>
        <v>24000</v>
      </c>
      <c r="F31" s="605">
        <f t="shared" si="9"/>
        <v>87000</v>
      </c>
      <c r="G31" s="607">
        <f t="shared" si="10"/>
        <v>-0.72413793103448276</v>
      </c>
      <c r="H31" s="593">
        <v>1000</v>
      </c>
      <c r="I31" s="588">
        <v>1000</v>
      </c>
      <c r="J31" s="588">
        <v>1000</v>
      </c>
      <c r="K31" s="588">
        <v>1000</v>
      </c>
      <c r="L31" s="588">
        <v>1000</v>
      </c>
      <c r="M31" s="588">
        <v>1000</v>
      </c>
      <c r="N31" s="588">
        <v>1000</v>
      </c>
      <c r="O31" s="588">
        <v>1000</v>
      </c>
      <c r="P31" s="588">
        <v>1000</v>
      </c>
      <c r="Q31" s="588">
        <v>1000</v>
      </c>
      <c r="R31" s="588">
        <v>1000</v>
      </c>
      <c r="S31" s="592">
        <v>1000</v>
      </c>
      <c r="T31" s="593">
        <v>1000</v>
      </c>
      <c r="U31" s="588">
        <v>1000</v>
      </c>
      <c r="V31" s="588">
        <v>1000</v>
      </c>
      <c r="W31" s="588">
        <v>1000</v>
      </c>
      <c r="X31" s="588">
        <v>1000</v>
      </c>
      <c r="Y31" s="588">
        <v>1000</v>
      </c>
      <c r="Z31" s="588">
        <v>1000</v>
      </c>
      <c r="AA31" s="588">
        <v>1000</v>
      </c>
      <c r="AB31" s="588">
        <v>1000</v>
      </c>
      <c r="AC31" s="588">
        <v>1000</v>
      </c>
      <c r="AD31" s="588">
        <v>1000</v>
      </c>
      <c r="AE31" s="592">
        <v>1000</v>
      </c>
      <c r="AF31" s="593">
        <v>0</v>
      </c>
      <c r="AG31" s="588">
        <v>0</v>
      </c>
      <c r="AH31" s="588">
        <v>0</v>
      </c>
      <c r="AI31" s="588">
        <v>0</v>
      </c>
      <c r="AJ31" s="588">
        <v>0</v>
      </c>
      <c r="AK31" s="588">
        <v>0</v>
      </c>
      <c r="AL31" s="588">
        <v>0</v>
      </c>
      <c r="AM31" s="588">
        <v>0</v>
      </c>
      <c r="AN31" s="588">
        <v>0</v>
      </c>
      <c r="AO31" s="588">
        <v>0</v>
      </c>
      <c r="AP31" s="588">
        <v>0</v>
      </c>
      <c r="AQ31" s="592">
        <v>0</v>
      </c>
      <c r="AR31" s="593">
        <v>0</v>
      </c>
      <c r="AS31" s="588">
        <v>0</v>
      </c>
      <c r="AT31" s="588">
        <v>0</v>
      </c>
      <c r="AU31" s="588">
        <v>0</v>
      </c>
      <c r="AV31" s="588">
        <v>0</v>
      </c>
      <c r="AW31" s="588">
        <v>0</v>
      </c>
      <c r="AX31" s="588">
        <v>0</v>
      </c>
      <c r="AY31" s="588">
        <v>0</v>
      </c>
      <c r="AZ31" s="588">
        <v>0</v>
      </c>
      <c r="BA31" s="588">
        <v>0</v>
      </c>
      <c r="BB31" s="588">
        <v>0</v>
      </c>
      <c r="BC31" s="592">
        <v>0</v>
      </c>
      <c r="BD31" s="593">
        <v>0</v>
      </c>
      <c r="BE31" s="588">
        <v>0</v>
      </c>
      <c r="BF31" s="588">
        <v>0</v>
      </c>
      <c r="BG31" s="588">
        <v>0</v>
      </c>
      <c r="BH31" s="588">
        <v>0</v>
      </c>
      <c r="BI31" s="588">
        <v>0</v>
      </c>
      <c r="BJ31" s="588">
        <v>0</v>
      </c>
      <c r="BK31" s="588">
        <v>0</v>
      </c>
      <c r="BL31" s="588">
        <v>0</v>
      </c>
      <c r="BM31" s="588">
        <v>0</v>
      </c>
      <c r="BN31" s="588">
        <v>0</v>
      </c>
      <c r="BO31" s="592">
        <v>0</v>
      </c>
      <c r="BP31" s="593">
        <v>0</v>
      </c>
      <c r="BQ31" s="588">
        <v>0</v>
      </c>
      <c r="BR31" s="588">
        <v>0</v>
      </c>
      <c r="BS31" s="587">
        <v>0</v>
      </c>
      <c r="BT31" s="588">
        <v>0</v>
      </c>
      <c r="BU31" s="588">
        <v>0</v>
      </c>
      <c r="BV31" s="588">
        <v>0</v>
      </c>
      <c r="BW31" s="588">
        <v>0</v>
      </c>
      <c r="BX31" s="588">
        <v>0</v>
      </c>
      <c r="BY31" s="588">
        <v>0</v>
      </c>
      <c r="BZ31" s="588">
        <v>0</v>
      </c>
      <c r="CA31" s="588">
        <v>0</v>
      </c>
      <c r="CB31" s="588">
        <v>0</v>
      </c>
      <c r="CC31" s="588">
        <v>0</v>
      </c>
      <c r="CD31" s="596">
        <v>0</v>
      </c>
      <c r="CE31" s="587">
        <v>0</v>
      </c>
      <c r="CF31" s="588">
        <v>0</v>
      </c>
      <c r="CG31" s="588">
        <v>0</v>
      </c>
      <c r="CH31" s="588">
        <v>0</v>
      </c>
      <c r="CI31" s="588">
        <v>0</v>
      </c>
      <c r="CJ31" s="588">
        <v>0</v>
      </c>
      <c r="CK31" s="588">
        <v>0</v>
      </c>
      <c r="CL31" s="588">
        <v>0</v>
      </c>
      <c r="CM31" s="588">
        <v>0</v>
      </c>
      <c r="CN31" s="588">
        <v>0</v>
      </c>
      <c r="CO31" s="588">
        <v>0</v>
      </c>
      <c r="CP31" s="596">
        <v>0</v>
      </c>
      <c r="CQ31" s="587"/>
      <c r="CR31" s="588"/>
      <c r="CS31" s="588"/>
      <c r="CT31" s="588"/>
      <c r="CU31" s="588"/>
      <c r="CV31" s="588"/>
      <c r="CW31" s="588"/>
      <c r="CX31" s="588"/>
      <c r="CY31" s="588"/>
      <c r="CZ31" s="588"/>
      <c r="DA31" s="588"/>
      <c r="DB31" s="596"/>
    </row>
    <row r="32" spans="1:106" ht="12.75" hidden="1" customHeight="1" x14ac:dyDescent="0.2">
      <c r="A32" s="609" t="s">
        <v>254</v>
      </c>
      <c r="B32" s="832">
        <f t="shared" si="7"/>
        <v>0.27586206896551724</v>
      </c>
      <c r="C32" s="608" t="s">
        <v>155</v>
      </c>
      <c r="D32" s="744"/>
      <c r="E32" s="605">
        <f t="shared" si="8"/>
        <v>24000</v>
      </c>
      <c r="F32" s="605">
        <f t="shared" si="9"/>
        <v>87000</v>
      </c>
      <c r="G32" s="607">
        <f t="shared" si="10"/>
        <v>-0.72413793103448276</v>
      </c>
      <c r="H32" s="593">
        <v>1000</v>
      </c>
      <c r="I32" s="588">
        <v>1000</v>
      </c>
      <c r="J32" s="588">
        <v>1000</v>
      </c>
      <c r="K32" s="588">
        <v>1000</v>
      </c>
      <c r="L32" s="588">
        <v>1000</v>
      </c>
      <c r="M32" s="588">
        <v>1000</v>
      </c>
      <c r="N32" s="588">
        <v>1000</v>
      </c>
      <c r="O32" s="588">
        <v>1000</v>
      </c>
      <c r="P32" s="588">
        <v>1000</v>
      </c>
      <c r="Q32" s="588">
        <v>1000</v>
      </c>
      <c r="R32" s="588">
        <v>1000</v>
      </c>
      <c r="S32" s="592">
        <v>1000</v>
      </c>
      <c r="T32" s="593">
        <v>1000</v>
      </c>
      <c r="U32" s="588">
        <v>1000</v>
      </c>
      <c r="V32" s="588">
        <v>1000</v>
      </c>
      <c r="W32" s="588">
        <v>1000</v>
      </c>
      <c r="X32" s="588">
        <v>1000</v>
      </c>
      <c r="Y32" s="588">
        <v>1000</v>
      </c>
      <c r="Z32" s="588">
        <v>1000</v>
      </c>
      <c r="AA32" s="588">
        <v>1000</v>
      </c>
      <c r="AB32" s="588">
        <v>1000</v>
      </c>
      <c r="AC32" s="588">
        <v>1000</v>
      </c>
      <c r="AD32" s="588">
        <v>1000</v>
      </c>
      <c r="AE32" s="592">
        <v>1000</v>
      </c>
      <c r="AF32" s="593">
        <v>0</v>
      </c>
      <c r="AG32" s="588">
        <v>0</v>
      </c>
      <c r="AH32" s="588">
        <v>0</v>
      </c>
      <c r="AI32" s="588">
        <v>0</v>
      </c>
      <c r="AJ32" s="588">
        <v>0</v>
      </c>
      <c r="AK32" s="588">
        <v>0</v>
      </c>
      <c r="AL32" s="588">
        <v>0</v>
      </c>
      <c r="AM32" s="588">
        <v>0</v>
      </c>
      <c r="AN32" s="588">
        <v>0</v>
      </c>
      <c r="AO32" s="588">
        <v>0</v>
      </c>
      <c r="AP32" s="588">
        <v>0</v>
      </c>
      <c r="AQ32" s="592">
        <v>0</v>
      </c>
      <c r="AR32" s="593">
        <v>0</v>
      </c>
      <c r="AS32" s="588">
        <v>0</v>
      </c>
      <c r="AT32" s="588">
        <v>0</v>
      </c>
      <c r="AU32" s="588">
        <v>0</v>
      </c>
      <c r="AV32" s="588">
        <v>0</v>
      </c>
      <c r="AW32" s="588">
        <v>0</v>
      </c>
      <c r="AX32" s="588">
        <v>0</v>
      </c>
      <c r="AY32" s="588">
        <v>0</v>
      </c>
      <c r="AZ32" s="588">
        <v>0</v>
      </c>
      <c r="BA32" s="588">
        <v>0</v>
      </c>
      <c r="BB32" s="588">
        <v>0</v>
      </c>
      <c r="BC32" s="592">
        <v>0</v>
      </c>
      <c r="BD32" s="593">
        <v>0</v>
      </c>
      <c r="BE32" s="588">
        <v>0</v>
      </c>
      <c r="BF32" s="588">
        <v>0</v>
      </c>
      <c r="BG32" s="588">
        <v>0</v>
      </c>
      <c r="BH32" s="588">
        <v>0</v>
      </c>
      <c r="BI32" s="588">
        <v>0</v>
      </c>
      <c r="BJ32" s="588">
        <v>0</v>
      </c>
      <c r="BK32" s="588">
        <v>0</v>
      </c>
      <c r="BL32" s="588">
        <v>0</v>
      </c>
      <c r="BM32" s="588">
        <v>0</v>
      </c>
      <c r="BN32" s="588">
        <v>0</v>
      </c>
      <c r="BO32" s="592">
        <v>0</v>
      </c>
      <c r="BP32" s="593">
        <v>0</v>
      </c>
      <c r="BQ32" s="588">
        <v>0</v>
      </c>
      <c r="BR32" s="588">
        <v>0</v>
      </c>
      <c r="BS32" s="587">
        <v>0</v>
      </c>
      <c r="BT32" s="588">
        <v>0</v>
      </c>
      <c r="BU32" s="588">
        <v>0</v>
      </c>
      <c r="BV32" s="588">
        <v>0</v>
      </c>
      <c r="BW32" s="588">
        <v>0</v>
      </c>
      <c r="BX32" s="588">
        <v>0</v>
      </c>
      <c r="BY32" s="588">
        <v>0</v>
      </c>
      <c r="BZ32" s="588">
        <v>0</v>
      </c>
      <c r="CA32" s="588">
        <v>0</v>
      </c>
      <c r="CB32" s="588">
        <v>0</v>
      </c>
      <c r="CC32" s="588">
        <v>0</v>
      </c>
      <c r="CD32" s="596">
        <v>0</v>
      </c>
      <c r="CE32" s="587">
        <v>0</v>
      </c>
      <c r="CF32" s="588">
        <v>0</v>
      </c>
      <c r="CG32" s="588">
        <v>0</v>
      </c>
      <c r="CH32" s="588">
        <v>0</v>
      </c>
      <c r="CI32" s="588">
        <v>0</v>
      </c>
      <c r="CJ32" s="588">
        <v>0</v>
      </c>
      <c r="CK32" s="588">
        <v>0</v>
      </c>
      <c r="CL32" s="588">
        <v>0</v>
      </c>
      <c r="CM32" s="588">
        <v>0</v>
      </c>
      <c r="CN32" s="588">
        <v>0</v>
      </c>
      <c r="CO32" s="588">
        <v>0</v>
      </c>
      <c r="CP32" s="596">
        <v>0</v>
      </c>
      <c r="CQ32" s="587"/>
      <c r="CR32" s="588"/>
      <c r="CS32" s="588"/>
      <c r="CT32" s="588"/>
      <c r="CU32" s="588"/>
      <c r="CV32" s="588"/>
      <c r="CW32" s="588"/>
      <c r="CX32" s="588"/>
      <c r="CY32" s="588"/>
      <c r="CZ32" s="588"/>
      <c r="DA32" s="588"/>
      <c r="DB32" s="596"/>
    </row>
    <row r="33" spans="1:106" ht="12.75" hidden="1" customHeight="1" x14ac:dyDescent="0.2">
      <c r="A33" s="1135" t="s">
        <v>248</v>
      </c>
      <c r="B33" s="837">
        <f>SUM(E33)/SUM(F33)</f>
        <v>1</v>
      </c>
      <c r="C33" s="838" t="s">
        <v>502</v>
      </c>
      <c r="D33" s="839">
        <f>+F33-E33</f>
        <v>0</v>
      </c>
      <c r="E33" s="840">
        <f t="shared" ref="E33:E46" si="11">SUM(H33:DB33)</f>
        <v>12000</v>
      </c>
      <c r="F33" s="840">
        <f t="shared" ref="F33:F58" si="12">+COUNTA(H33:DB33)*1000</f>
        <v>12000</v>
      </c>
      <c r="G33" s="841">
        <f t="shared" si="3"/>
        <v>0</v>
      </c>
      <c r="H33" s="594"/>
      <c r="I33" s="589"/>
      <c r="J33" s="589"/>
      <c r="K33" s="589"/>
      <c r="L33" s="589"/>
      <c r="M33" s="589"/>
      <c r="N33" s="589"/>
      <c r="O33" s="589"/>
      <c r="P33" s="589"/>
      <c r="Q33" s="589"/>
      <c r="R33" s="589"/>
      <c r="S33" s="595"/>
      <c r="T33" s="594"/>
      <c r="U33" s="589"/>
      <c r="V33" s="589"/>
      <c r="W33" s="589"/>
      <c r="X33" s="589"/>
      <c r="Y33" s="589"/>
      <c r="Z33" s="589"/>
      <c r="AA33" s="589"/>
      <c r="AB33" s="589"/>
      <c r="AC33" s="589"/>
      <c r="AD33" s="589"/>
      <c r="AE33" s="595"/>
      <c r="AF33" s="594"/>
      <c r="AG33" s="589"/>
      <c r="AH33" s="589"/>
      <c r="AI33" s="589"/>
      <c r="AJ33" s="589"/>
      <c r="AK33" s="589"/>
      <c r="AL33" s="589"/>
      <c r="AM33" s="589"/>
      <c r="AN33" s="589"/>
      <c r="AO33" s="589"/>
      <c r="AP33" s="589"/>
      <c r="AQ33" s="595"/>
      <c r="AR33" s="594"/>
      <c r="AS33" s="589"/>
      <c r="AT33" s="589"/>
      <c r="AU33" s="589"/>
      <c r="AV33" s="589"/>
      <c r="AW33" s="589"/>
      <c r="AX33" s="589"/>
      <c r="AY33" s="589"/>
      <c r="AZ33" s="589"/>
      <c r="BA33" s="589"/>
      <c r="BB33" s="589"/>
      <c r="BC33" s="595"/>
      <c r="BD33" s="594"/>
      <c r="BE33" s="589"/>
      <c r="BF33" s="589"/>
      <c r="BG33" s="589"/>
      <c r="BH33" s="589"/>
      <c r="BI33" s="588">
        <v>1000</v>
      </c>
      <c r="BJ33" s="588">
        <v>1000</v>
      </c>
      <c r="BK33" s="588">
        <v>1000</v>
      </c>
      <c r="BL33" s="588">
        <v>1000</v>
      </c>
      <c r="BM33" s="588">
        <v>1000</v>
      </c>
      <c r="BN33" s="588">
        <v>1000</v>
      </c>
      <c r="BO33" s="592">
        <v>1000</v>
      </c>
      <c r="BP33" s="593">
        <v>1000</v>
      </c>
      <c r="BQ33" s="588">
        <v>1000</v>
      </c>
      <c r="BR33" s="588">
        <v>1000</v>
      </c>
      <c r="BS33" s="587">
        <v>1000</v>
      </c>
      <c r="BT33" s="588">
        <v>1000</v>
      </c>
      <c r="BU33" s="589"/>
      <c r="BV33" s="589"/>
      <c r="BW33" s="589"/>
      <c r="BX33" s="589"/>
      <c r="BY33" s="589"/>
      <c r="BZ33" s="589"/>
      <c r="CA33" s="589"/>
      <c r="CB33" s="589"/>
      <c r="CC33" s="589"/>
      <c r="CD33" s="590"/>
      <c r="CE33" s="591"/>
      <c r="CF33" s="589"/>
      <c r="CG33" s="589"/>
      <c r="CH33" s="589"/>
      <c r="CI33" s="589"/>
      <c r="CJ33" s="589"/>
      <c r="CK33" s="589"/>
      <c r="CL33" s="589"/>
      <c r="CM33" s="589"/>
      <c r="CN33" s="589"/>
      <c r="CO33" s="589"/>
      <c r="CP33" s="590"/>
      <c r="CQ33" s="591"/>
      <c r="CR33" s="589"/>
      <c r="CS33" s="589"/>
      <c r="CT33" s="589"/>
      <c r="CU33" s="589"/>
      <c r="CV33" s="589"/>
      <c r="CW33" s="589"/>
      <c r="CX33" s="589"/>
      <c r="CY33" s="589"/>
      <c r="CZ33" s="589"/>
      <c r="DA33" s="589"/>
      <c r="DB33" s="590"/>
    </row>
    <row r="34" spans="1:106" ht="12.75" customHeight="1" x14ac:dyDescent="0.2">
      <c r="A34" s="1136"/>
      <c r="B34" s="836">
        <f t="shared" ref="B34:B58" si="13">SUM(E34)/SUM(F34)</f>
        <v>0.4</v>
      </c>
      <c r="C34" s="842" t="s">
        <v>501</v>
      </c>
      <c r="D34" s="843">
        <f t="shared" ref="D34:D58" si="14">+F34-E34</f>
        <v>3000</v>
      </c>
      <c r="E34" s="605">
        <f>SUM(H34:DB34)</f>
        <v>2000</v>
      </c>
      <c r="F34" s="605">
        <f>+COUNTA(H34:DB34)*1000</f>
        <v>5000</v>
      </c>
      <c r="G34" s="844">
        <f>+IF((E34+F34)=0,"No Aplica",+E34/F34-1)</f>
        <v>-0.6</v>
      </c>
      <c r="H34" s="594"/>
      <c r="I34" s="589"/>
      <c r="J34" s="589"/>
      <c r="K34" s="589"/>
      <c r="L34" s="589"/>
      <c r="M34" s="589"/>
      <c r="N34" s="589"/>
      <c r="O34" s="589"/>
      <c r="P34" s="589"/>
      <c r="Q34" s="589"/>
      <c r="R34" s="589"/>
      <c r="S34" s="595"/>
      <c r="T34" s="594"/>
      <c r="U34" s="589"/>
      <c r="V34" s="589"/>
      <c r="W34" s="589"/>
      <c r="X34" s="589"/>
      <c r="Y34" s="589"/>
      <c r="Z34" s="589"/>
      <c r="AA34" s="589"/>
      <c r="AB34" s="589"/>
      <c r="AC34" s="589"/>
      <c r="AD34" s="589"/>
      <c r="AE34" s="595"/>
      <c r="AF34" s="594"/>
      <c r="AG34" s="589"/>
      <c r="AH34" s="589"/>
      <c r="AI34" s="589"/>
      <c r="AJ34" s="589"/>
      <c r="AK34" s="589"/>
      <c r="AL34" s="589"/>
      <c r="AM34" s="589"/>
      <c r="AN34" s="589"/>
      <c r="AO34" s="589"/>
      <c r="AP34" s="589"/>
      <c r="AQ34" s="595"/>
      <c r="AR34" s="594"/>
      <c r="AS34" s="589"/>
      <c r="AT34" s="589"/>
      <c r="AU34" s="589"/>
      <c r="AV34" s="589"/>
      <c r="AW34" s="589"/>
      <c r="AX34" s="589"/>
      <c r="AY34" s="589"/>
      <c r="AZ34" s="589"/>
      <c r="BA34" s="589"/>
      <c r="BB34" s="589"/>
      <c r="BC34" s="595"/>
      <c r="BD34" s="594"/>
      <c r="BE34" s="589"/>
      <c r="BF34" s="589"/>
      <c r="BG34" s="589"/>
      <c r="BH34" s="589"/>
      <c r="BI34" s="589"/>
      <c r="BJ34" s="589"/>
      <c r="BK34" s="589"/>
      <c r="BL34" s="589"/>
      <c r="BM34" s="589"/>
      <c r="BN34" s="589"/>
      <c r="BO34" s="595"/>
      <c r="BP34" s="594"/>
      <c r="BQ34" s="589"/>
      <c r="BR34" s="589"/>
      <c r="BS34" s="591"/>
      <c r="BT34" s="589"/>
      <c r="BU34" s="589"/>
      <c r="BV34" s="589"/>
      <c r="BW34" s="589"/>
      <c r="BX34" s="589"/>
      <c r="BY34" s="589"/>
      <c r="BZ34" s="589"/>
      <c r="CA34" s="589"/>
      <c r="CB34" s="589"/>
      <c r="CC34" s="589"/>
      <c r="CD34" s="590"/>
      <c r="CE34" s="591"/>
      <c r="CF34" s="589"/>
      <c r="CG34" s="589"/>
      <c r="CH34" s="589"/>
      <c r="CI34" s="589"/>
      <c r="CJ34" s="589"/>
      <c r="CK34" s="589"/>
      <c r="CL34" s="589"/>
      <c r="CM34" s="589"/>
      <c r="CN34" s="589"/>
      <c r="CO34" s="589"/>
      <c r="CP34" s="590"/>
      <c r="CQ34" s="591"/>
      <c r="CR34" s="589"/>
      <c r="CS34" s="589"/>
      <c r="CT34" s="68">
        <v>1000</v>
      </c>
      <c r="CU34" s="68">
        <v>1000</v>
      </c>
      <c r="CV34" s="68">
        <v>0</v>
      </c>
      <c r="CW34" s="68">
        <v>0</v>
      </c>
      <c r="CX34" s="68">
        <v>0</v>
      </c>
      <c r="CY34" s="68"/>
      <c r="CZ34" s="68"/>
      <c r="DA34" s="68"/>
      <c r="DB34" s="829"/>
    </row>
    <row r="35" spans="1:106" ht="12.75" customHeight="1" x14ac:dyDescent="0.2">
      <c r="A35" s="1136"/>
      <c r="B35" s="836">
        <f t="shared" si="13"/>
        <v>0.96385542168674698</v>
      </c>
      <c r="C35" s="842" t="s">
        <v>146</v>
      </c>
      <c r="D35" s="843">
        <f t="shared" si="14"/>
        <v>3000</v>
      </c>
      <c r="E35" s="605">
        <f t="shared" si="11"/>
        <v>80000</v>
      </c>
      <c r="F35" s="605">
        <f t="shared" si="12"/>
        <v>83000</v>
      </c>
      <c r="G35" s="844">
        <f t="shared" si="3"/>
        <v>-3.6144578313253017E-2</v>
      </c>
      <c r="H35" s="594"/>
      <c r="I35" s="589"/>
      <c r="J35" s="589"/>
      <c r="K35" s="589"/>
      <c r="L35" s="589"/>
      <c r="M35" s="589"/>
      <c r="N35" s="589"/>
      <c r="O35" s="589"/>
      <c r="P35" s="589"/>
      <c r="Q35" s="589"/>
      <c r="R35" s="589"/>
      <c r="S35" s="595"/>
      <c r="T35" s="593">
        <v>1000</v>
      </c>
      <c r="U35" s="588">
        <v>1000</v>
      </c>
      <c r="V35" s="588">
        <v>1000</v>
      </c>
      <c r="W35" s="588">
        <v>1000</v>
      </c>
      <c r="X35" s="588">
        <v>1000</v>
      </c>
      <c r="Y35" s="588">
        <v>1000</v>
      </c>
      <c r="Z35" s="588">
        <v>1000</v>
      </c>
      <c r="AA35" s="588">
        <v>1000</v>
      </c>
      <c r="AB35" s="588">
        <v>1000</v>
      </c>
      <c r="AC35" s="588">
        <v>1000</v>
      </c>
      <c r="AD35" s="588">
        <v>1000</v>
      </c>
      <c r="AE35" s="592">
        <v>1000</v>
      </c>
      <c r="AF35" s="593">
        <v>1000</v>
      </c>
      <c r="AG35" s="588">
        <v>1000</v>
      </c>
      <c r="AH35" s="588">
        <v>1000</v>
      </c>
      <c r="AI35" s="588">
        <v>1000</v>
      </c>
      <c r="AJ35" s="588">
        <v>1000</v>
      </c>
      <c r="AK35" s="588">
        <v>1000</v>
      </c>
      <c r="AL35" s="588">
        <v>1000</v>
      </c>
      <c r="AM35" s="588">
        <v>1000</v>
      </c>
      <c r="AN35" s="588">
        <v>1000</v>
      </c>
      <c r="AO35" s="588">
        <v>1000</v>
      </c>
      <c r="AP35" s="588">
        <v>1000</v>
      </c>
      <c r="AQ35" s="592">
        <v>1000</v>
      </c>
      <c r="AR35" s="593">
        <v>1000</v>
      </c>
      <c r="AS35" s="588">
        <v>1000</v>
      </c>
      <c r="AT35" s="588">
        <v>1000</v>
      </c>
      <c r="AU35" s="588">
        <v>1000</v>
      </c>
      <c r="AV35" s="588">
        <v>1000</v>
      </c>
      <c r="AW35" s="588">
        <v>1000</v>
      </c>
      <c r="AX35" s="588">
        <v>1000</v>
      </c>
      <c r="AY35" s="588">
        <v>1000</v>
      </c>
      <c r="AZ35" s="588">
        <v>1000</v>
      </c>
      <c r="BA35" s="588">
        <v>1000</v>
      </c>
      <c r="BB35" s="588">
        <v>1000</v>
      </c>
      <c r="BC35" s="592">
        <v>1000</v>
      </c>
      <c r="BD35" s="593">
        <v>1000</v>
      </c>
      <c r="BE35" s="588">
        <v>1000</v>
      </c>
      <c r="BF35" s="588">
        <v>1000</v>
      </c>
      <c r="BG35" s="588">
        <v>1000</v>
      </c>
      <c r="BH35" s="588">
        <v>1000</v>
      </c>
      <c r="BI35" s="588">
        <v>1000</v>
      </c>
      <c r="BJ35" s="588">
        <v>1000</v>
      </c>
      <c r="BK35" s="588">
        <v>1000</v>
      </c>
      <c r="BL35" s="588">
        <v>1000</v>
      </c>
      <c r="BM35" s="588">
        <v>1000</v>
      </c>
      <c r="BN35" s="588">
        <v>1000</v>
      </c>
      <c r="BO35" s="592">
        <v>1000</v>
      </c>
      <c r="BP35" s="593">
        <v>1000</v>
      </c>
      <c r="BQ35" s="588">
        <v>1000</v>
      </c>
      <c r="BR35" s="588">
        <v>1000</v>
      </c>
      <c r="BS35" s="587">
        <v>1000</v>
      </c>
      <c r="BT35" s="588">
        <v>1000</v>
      </c>
      <c r="BU35" s="588">
        <v>1000</v>
      </c>
      <c r="BV35" s="588">
        <v>1000</v>
      </c>
      <c r="BW35" s="588">
        <v>1000</v>
      </c>
      <c r="BX35" s="588">
        <v>1000</v>
      </c>
      <c r="BY35" s="588">
        <v>1000</v>
      </c>
      <c r="BZ35" s="588">
        <v>1000</v>
      </c>
      <c r="CA35" s="588">
        <v>1000</v>
      </c>
      <c r="CB35" s="588">
        <v>1000</v>
      </c>
      <c r="CC35" s="588">
        <v>1000</v>
      </c>
      <c r="CD35" s="596">
        <v>1000</v>
      </c>
      <c r="CE35" s="587">
        <v>1000</v>
      </c>
      <c r="CF35" s="588">
        <v>1000</v>
      </c>
      <c r="CG35" s="588">
        <v>1000</v>
      </c>
      <c r="CH35" s="588">
        <v>1000</v>
      </c>
      <c r="CI35" s="588">
        <v>1000</v>
      </c>
      <c r="CJ35" s="588">
        <v>1000</v>
      </c>
      <c r="CK35" s="588">
        <v>1000</v>
      </c>
      <c r="CL35" s="588">
        <v>1000</v>
      </c>
      <c r="CM35" s="588">
        <v>1000</v>
      </c>
      <c r="CN35" s="588">
        <v>1000</v>
      </c>
      <c r="CO35" s="588">
        <v>1000</v>
      </c>
      <c r="CP35" s="596">
        <v>1000</v>
      </c>
      <c r="CQ35" s="587">
        <v>1000</v>
      </c>
      <c r="CR35" s="588">
        <v>1000</v>
      </c>
      <c r="CS35" s="588">
        <v>1000</v>
      </c>
      <c r="CT35" s="588">
        <v>1000</v>
      </c>
      <c r="CU35" s="588">
        <v>1000</v>
      </c>
      <c r="CV35" s="588">
        <v>0</v>
      </c>
      <c r="CW35" s="588">
        <v>0</v>
      </c>
      <c r="CX35" s="588">
        <v>0</v>
      </c>
      <c r="CY35" s="588"/>
      <c r="CZ35" s="588"/>
      <c r="DA35" s="588"/>
      <c r="DB35" s="596"/>
    </row>
    <row r="36" spans="1:106" ht="12.75" customHeight="1" x14ac:dyDescent="0.2">
      <c r="A36" s="1137"/>
      <c r="B36" s="845">
        <f t="shared" si="13"/>
        <v>0.96385542168674698</v>
      </c>
      <c r="C36" s="846" t="s">
        <v>147</v>
      </c>
      <c r="D36" s="847">
        <f t="shared" si="14"/>
        <v>3000</v>
      </c>
      <c r="E36" s="848">
        <f t="shared" si="11"/>
        <v>80000</v>
      </c>
      <c r="F36" s="848">
        <f t="shared" si="12"/>
        <v>83000</v>
      </c>
      <c r="G36" s="849">
        <f t="shared" si="3"/>
        <v>-3.6144578313253017E-2</v>
      </c>
      <c r="H36" s="594"/>
      <c r="I36" s="589"/>
      <c r="J36" s="589"/>
      <c r="K36" s="589"/>
      <c r="L36" s="589"/>
      <c r="M36" s="589"/>
      <c r="N36" s="589"/>
      <c r="O36" s="589"/>
      <c r="P36" s="589"/>
      <c r="Q36" s="589"/>
      <c r="R36" s="589"/>
      <c r="S36" s="595"/>
      <c r="T36" s="593">
        <v>1000</v>
      </c>
      <c r="U36" s="588">
        <v>1000</v>
      </c>
      <c r="V36" s="588">
        <v>1000</v>
      </c>
      <c r="W36" s="588">
        <v>1000</v>
      </c>
      <c r="X36" s="588">
        <v>1000</v>
      </c>
      <c r="Y36" s="588">
        <v>1000</v>
      </c>
      <c r="Z36" s="588">
        <v>1000</v>
      </c>
      <c r="AA36" s="588">
        <v>1000</v>
      </c>
      <c r="AB36" s="588">
        <v>1000</v>
      </c>
      <c r="AC36" s="588">
        <v>1000</v>
      </c>
      <c r="AD36" s="588">
        <v>1000</v>
      </c>
      <c r="AE36" s="592">
        <v>1000</v>
      </c>
      <c r="AF36" s="593">
        <v>1000</v>
      </c>
      <c r="AG36" s="588">
        <v>1000</v>
      </c>
      <c r="AH36" s="588">
        <v>1000</v>
      </c>
      <c r="AI36" s="588">
        <v>1000</v>
      </c>
      <c r="AJ36" s="588">
        <v>1000</v>
      </c>
      <c r="AK36" s="588">
        <v>1000</v>
      </c>
      <c r="AL36" s="588">
        <v>1000</v>
      </c>
      <c r="AM36" s="588">
        <v>1000</v>
      </c>
      <c r="AN36" s="588">
        <v>1000</v>
      </c>
      <c r="AO36" s="588">
        <v>1000</v>
      </c>
      <c r="AP36" s="588">
        <v>1000</v>
      </c>
      <c r="AQ36" s="592">
        <v>1000</v>
      </c>
      <c r="AR36" s="593">
        <v>1000</v>
      </c>
      <c r="AS36" s="588">
        <v>1000</v>
      </c>
      <c r="AT36" s="588">
        <v>1000</v>
      </c>
      <c r="AU36" s="588">
        <v>1000</v>
      </c>
      <c r="AV36" s="588">
        <v>1000</v>
      </c>
      <c r="AW36" s="588">
        <v>1000</v>
      </c>
      <c r="AX36" s="588">
        <v>1000</v>
      </c>
      <c r="AY36" s="588">
        <v>1000</v>
      </c>
      <c r="AZ36" s="588">
        <v>1000</v>
      </c>
      <c r="BA36" s="588">
        <v>1000</v>
      </c>
      <c r="BB36" s="588">
        <v>1000</v>
      </c>
      <c r="BC36" s="592">
        <v>1000</v>
      </c>
      <c r="BD36" s="593">
        <v>1000</v>
      </c>
      <c r="BE36" s="588">
        <v>1000</v>
      </c>
      <c r="BF36" s="588">
        <v>1000</v>
      </c>
      <c r="BG36" s="588">
        <v>1000</v>
      </c>
      <c r="BH36" s="588">
        <v>1000</v>
      </c>
      <c r="BI36" s="588">
        <v>1000</v>
      </c>
      <c r="BJ36" s="588">
        <v>1000</v>
      </c>
      <c r="BK36" s="588">
        <v>1000</v>
      </c>
      <c r="BL36" s="588">
        <v>1000</v>
      </c>
      <c r="BM36" s="588">
        <v>1000</v>
      </c>
      <c r="BN36" s="588">
        <v>1000</v>
      </c>
      <c r="BO36" s="592">
        <v>1000</v>
      </c>
      <c r="BP36" s="593">
        <v>1000</v>
      </c>
      <c r="BQ36" s="588">
        <v>1000</v>
      </c>
      <c r="BR36" s="588">
        <v>1000</v>
      </c>
      <c r="BS36" s="587">
        <v>1000</v>
      </c>
      <c r="BT36" s="588">
        <v>1000</v>
      </c>
      <c r="BU36" s="588">
        <v>1000</v>
      </c>
      <c r="BV36" s="588">
        <v>1000</v>
      </c>
      <c r="BW36" s="588">
        <v>1000</v>
      </c>
      <c r="BX36" s="588">
        <v>1000</v>
      </c>
      <c r="BY36" s="588">
        <v>1000</v>
      </c>
      <c r="BZ36" s="588">
        <v>1000</v>
      </c>
      <c r="CA36" s="588">
        <v>1000</v>
      </c>
      <c r="CB36" s="588">
        <v>1000</v>
      </c>
      <c r="CC36" s="588">
        <v>1000</v>
      </c>
      <c r="CD36" s="596">
        <v>1000</v>
      </c>
      <c r="CE36" s="587">
        <v>1000</v>
      </c>
      <c r="CF36" s="588">
        <v>1000</v>
      </c>
      <c r="CG36" s="588">
        <v>1000</v>
      </c>
      <c r="CH36" s="588">
        <v>1000</v>
      </c>
      <c r="CI36" s="588">
        <v>1000</v>
      </c>
      <c r="CJ36" s="588">
        <v>1000</v>
      </c>
      <c r="CK36" s="588">
        <v>1000</v>
      </c>
      <c r="CL36" s="588">
        <v>1000</v>
      </c>
      <c r="CM36" s="588">
        <v>1000</v>
      </c>
      <c r="CN36" s="588">
        <v>1000</v>
      </c>
      <c r="CO36" s="588">
        <v>1000</v>
      </c>
      <c r="CP36" s="596">
        <v>1000</v>
      </c>
      <c r="CQ36" s="587">
        <v>1000</v>
      </c>
      <c r="CR36" s="588">
        <v>1000</v>
      </c>
      <c r="CS36" s="588">
        <v>1000</v>
      </c>
      <c r="CT36" s="588">
        <v>1000</v>
      </c>
      <c r="CU36" s="588">
        <v>1000</v>
      </c>
      <c r="CV36" s="588">
        <v>0</v>
      </c>
      <c r="CW36" s="588">
        <v>0</v>
      </c>
      <c r="CX36" s="588">
        <v>0</v>
      </c>
      <c r="CY36" s="588"/>
      <c r="CZ36" s="588"/>
      <c r="DA36" s="588"/>
      <c r="DB36" s="596"/>
    </row>
    <row r="37" spans="1:106" ht="12.75" customHeight="1" x14ac:dyDescent="0.2">
      <c r="A37" s="1135" t="s">
        <v>255</v>
      </c>
      <c r="B37" s="837">
        <f t="shared" si="13"/>
        <v>1</v>
      </c>
      <c r="C37" s="850" t="s">
        <v>156</v>
      </c>
      <c r="D37" s="839">
        <f t="shared" si="14"/>
        <v>0</v>
      </c>
      <c r="E37" s="840">
        <f t="shared" si="11"/>
        <v>99000</v>
      </c>
      <c r="F37" s="840">
        <f t="shared" si="12"/>
        <v>99000</v>
      </c>
      <c r="G37" s="841">
        <f>+IF((E37+F37)=0,"No Aplica",+E37/F37-1)</f>
        <v>0</v>
      </c>
      <c r="H37" s="593">
        <v>1000</v>
      </c>
      <c r="I37" s="588">
        <v>1000</v>
      </c>
      <c r="J37" s="588">
        <v>1000</v>
      </c>
      <c r="K37" s="588">
        <v>1000</v>
      </c>
      <c r="L37" s="588">
        <v>1000</v>
      </c>
      <c r="M37" s="588">
        <v>1000</v>
      </c>
      <c r="N37" s="588">
        <v>1000</v>
      </c>
      <c r="O37" s="588">
        <v>1000</v>
      </c>
      <c r="P37" s="588">
        <v>1000</v>
      </c>
      <c r="Q37" s="588">
        <v>1000</v>
      </c>
      <c r="R37" s="588">
        <v>1000</v>
      </c>
      <c r="S37" s="592">
        <v>1000</v>
      </c>
      <c r="T37" s="593">
        <v>1000</v>
      </c>
      <c r="U37" s="588">
        <v>1000</v>
      </c>
      <c r="V37" s="588">
        <v>1000</v>
      </c>
      <c r="W37" s="588">
        <v>1000</v>
      </c>
      <c r="X37" s="588">
        <v>1000</v>
      </c>
      <c r="Y37" s="588">
        <v>1000</v>
      </c>
      <c r="Z37" s="588">
        <v>1000</v>
      </c>
      <c r="AA37" s="588">
        <v>1000</v>
      </c>
      <c r="AB37" s="588">
        <v>1000</v>
      </c>
      <c r="AC37" s="588">
        <v>1000</v>
      </c>
      <c r="AD37" s="588">
        <v>1000</v>
      </c>
      <c r="AE37" s="592">
        <v>1000</v>
      </c>
      <c r="AF37" s="593">
        <v>1000</v>
      </c>
      <c r="AG37" s="588">
        <v>1000</v>
      </c>
      <c r="AH37" s="588">
        <v>1000</v>
      </c>
      <c r="AI37" s="588">
        <v>1000</v>
      </c>
      <c r="AJ37" s="588">
        <v>1000</v>
      </c>
      <c r="AK37" s="588">
        <v>1000</v>
      </c>
      <c r="AL37" s="588">
        <v>1000</v>
      </c>
      <c r="AM37" s="588">
        <v>1000</v>
      </c>
      <c r="AN37" s="588">
        <v>1000</v>
      </c>
      <c r="AO37" s="588">
        <v>1000</v>
      </c>
      <c r="AP37" s="588">
        <v>1000</v>
      </c>
      <c r="AQ37" s="592">
        <v>1000</v>
      </c>
      <c r="AR37" s="593">
        <v>1000</v>
      </c>
      <c r="AS37" s="588">
        <v>1000</v>
      </c>
      <c r="AT37" s="588">
        <v>1000</v>
      </c>
      <c r="AU37" s="588">
        <v>1000</v>
      </c>
      <c r="AV37" s="588">
        <v>1000</v>
      </c>
      <c r="AW37" s="588">
        <v>1000</v>
      </c>
      <c r="AX37" s="588">
        <v>1000</v>
      </c>
      <c r="AY37" s="588">
        <v>1000</v>
      </c>
      <c r="AZ37" s="588">
        <v>1000</v>
      </c>
      <c r="BA37" s="588">
        <v>1000</v>
      </c>
      <c r="BB37" s="588">
        <v>1000</v>
      </c>
      <c r="BC37" s="592">
        <v>1000</v>
      </c>
      <c r="BD37" s="593">
        <v>1000</v>
      </c>
      <c r="BE37" s="588">
        <v>1000</v>
      </c>
      <c r="BF37" s="588">
        <v>1000</v>
      </c>
      <c r="BG37" s="588">
        <v>1000</v>
      </c>
      <c r="BH37" s="588">
        <v>1000</v>
      </c>
      <c r="BI37" s="588">
        <v>1000</v>
      </c>
      <c r="BJ37" s="588">
        <v>1000</v>
      </c>
      <c r="BK37" s="588">
        <v>1000</v>
      </c>
      <c r="BL37" s="588">
        <v>1000</v>
      </c>
      <c r="BM37" s="588">
        <v>1000</v>
      </c>
      <c r="BN37" s="588">
        <v>1000</v>
      </c>
      <c r="BO37" s="592">
        <v>1000</v>
      </c>
      <c r="BP37" s="593">
        <v>1000</v>
      </c>
      <c r="BQ37" s="588">
        <v>1000</v>
      </c>
      <c r="BR37" s="588">
        <v>1000</v>
      </c>
      <c r="BS37" s="587">
        <v>1000</v>
      </c>
      <c r="BT37" s="588">
        <v>1000</v>
      </c>
      <c r="BU37" s="588">
        <v>1000</v>
      </c>
      <c r="BV37" s="588">
        <v>1000</v>
      </c>
      <c r="BW37" s="588">
        <v>1000</v>
      </c>
      <c r="BX37" s="588">
        <v>1000</v>
      </c>
      <c r="BY37" s="588">
        <v>1000</v>
      </c>
      <c r="BZ37" s="588">
        <v>1000</v>
      </c>
      <c r="CA37" s="588">
        <v>1000</v>
      </c>
      <c r="CB37" s="588">
        <v>1000</v>
      </c>
      <c r="CC37" s="588">
        <v>1000</v>
      </c>
      <c r="CD37" s="596">
        <v>1000</v>
      </c>
      <c r="CE37" s="587">
        <v>1000</v>
      </c>
      <c r="CF37" s="588">
        <v>1000</v>
      </c>
      <c r="CG37" s="588">
        <v>1000</v>
      </c>
      <c r="CH37" s="588">
        <v>1000</v>
      </c>
      <c r="CI37" s="588">
        <v>1000</v>
      </c>
      <c r="CJ37" s="588">
        <v>1000</v>
      </c>
      <c r="CK37" s="588">
        <v>1000</v>
      </c>
      <c r="CL37" s="588">
        <v>1000</v>
      </c>
      <c r="CM37" s="588">
        <v>1000</v>
      </c>
      <c r="CN37" s="588">
        <v>1000</v>
      </c>
      <c r="CO37" s="588">
        <v>1000</v>
      </c>
      <c r="CP37" s="596">
        <v>1000</v>
      </c>
      <c r="CQ37" s="587">
        <v>1000</v>
      </c>
      <c r="CR37" s="588">
        <v>1000</v>
      </c>
      <c r="CS37" s="588">
        <v>1000</v>
      </c>
      <c r="CT37" s="588">
        <v>1000</v>
      </c>
      <c r="CU37" s="588">
        <v>1000</v>
      </c>
      <c r="CV37" s="588">
        <v>1000</v>
      </c>
      <c r="CW37" s="588">
        <v>1000</v>
      </c>
      <c r="CX37" s="588">
        <v>1000</v>
      </c>
      <c r="CY37" s="588">
        <v>1000</v>
      </c>
      <c r="CZ37" s="588">
        <v>1000</v>
      </c>
      <c r="DA37" s="588">
        <v>1000</v>
      </c>
      <c r="DB37" s="596">
        <v>1000</v>
      </c>
    </row>
    <row r="38" spans="1:106" ht="12.75" customHeight="1" x14ac:dyDescent="0.2">
      <c r="A38" s="1136"/>
      <c r="B38" s="836">
        <f t="shared" si="13"/>
        <v>1</v>
      </c>
      <c r="C38" s="842" t="s">
        <v>499</v>
      </c>
      <c r="D38" s="843">
        <f t="shared" si="14"/>
        <v>0</v>
      </c>
      <c r="E38" s="605">
        <f>SUM(H38:DB38)</f>
        <v>12000</v>
      </c>
      <c r="F38" s="605">
        <f>+COUNTA(H38:DB38)*1000</f>
        <v>12000</v>
      </c>
      <c r="G38" s="844">
        <f>+IF((E38+F38)=0,"No Aplica",+E38/F38-1)</f>
        <v>0</v>
      </c>
      <c r="H38" s="594"/>
      <c r="I38" s="589"/>
      <c r="J38" s="589"/>
      <c r="K38" s="589"/>
      <c r="L38" s="589"/>
      <c r="M38" s="589"/>
      <c r="N38" s="589"/>
      <c r="O38" s="589"/>
      <c r="P38" s="589"/>
      <c r="Q38" s="589"/>
      <c r="R38" s="589"/>
      <c r="S38" s="595"/>
      <c r="T38" s="594"/>
      <c r="U38" s="589"/>
      <c r="V38" s="589"/>
      <c r="W38" s="589"/>
      <c r="X38" s="589"/>
      <c r="Y38" s="589"/>
      <c r="Z38" s="589"/>
      <c r="AA38" s="589"/>
      <c r="AB38" s="589"/>
      <c r="AC38" s="589"/>
      <c r="AD38" s="589"/>
      <c r="AE38" s="595"/>
      <c r="AF38" s="594"/>
      <c r="AG38" s="589"/>
      <c r="AH38" s="589"/>
      <c r="AI38" s="589"/>
      <c r="AJ38" s="589"/>
      <c r="AK38" s="589"/>
      <c r="AL38" s="589"/>
      <c r="AM38" s="589"/>
      <c r="AN38" s="589"/>
      <c r="AO38" s="589"/>
      <c r="AP38" s="589"/>
      <c r="AQ38" s="595"/>
      <c r="AR38" s="594"/>
      <c r="AS38" s="589"/>
      <c r="AT38" s="589"/>
      <c r="AU38" s="589"/>
      <c r="AV38" s="589"/>
      <c r="AW38" s="589"/>
      <c r="AX38" s="589"/>
      <c r="AY38" s="589"/>
      <c r="AZ38" s="589"/>
      <c r="BA38" s="589"/>
      <c r="BB38" s="589"/>
      <c r="BC38" s="595"/>
      <c r="BD38" s="594"/>
      <c r="BE38" s="589"/>
      <c r="BF38" s="589"/>
      <c r="BG38" s="589"/>
      <c r="BH38" s="589"/>
      <c r="BI38" s="589"/>
      <c r="BJ38" s="589"/>
      <c r="BK38" s="589"/>
      <c r="BL38" s="589"/>
      <c r="BM38" s="589"/>
      <c r="BN38" s="589"/>
      <c r="BO38" s="595"/>
      <c r="BP38" s="594"/>
      <c r="BQ38" s="589"/>
      <c r="BR38" s="589"/>
      <c r="BS38" s="591"/>
      <c r="BT38" s="589"/>
      <c r="BU38" s="589"/>
      <c r="BV38" s="589"/>
      <c r="BW38" s="589"/>
      <c r="BX38" s="589"/>
      <c r="BY38" s="589"/>
      <c r="BZ38" s="589"/>
      <c r="CA38" s="589"/>
      <c r="CB38" s="589"/>
      <c r="CC38" s="589"/>
      <c r="CD38" s="590"/>
      <c r="CE38" s="591"/>
      <c r="CF38" s="589"/>
      <c r="CG38" s="589"/>
      <c r="CH38" s="589"/>
      <c r="CI38" s="589"/>
      <c r="CJ38" s="589"/>
      <c r="CK38" s="589"/>
      <c r="CL38" s="589"/>
      <c r="CM38" s="589"/>
      <c r="CN38" s="589"/>
      <c r="CO38" s="589"/>
      <c r="CP38" s="590"/>
      <c r="CQ38" s="587">
        <v>1000</v>
      </c>
      <c r="CR38" s="588">
        <v>1000</v>
      </c>
      <c r="CS38" s="588">
        <v>1000</v>
      </c>
      <c r="CT38" s="588">
        <v>1000</v>
      </c>
      <c r="CU38" s="588">
        <v>1000</v>
      </c>
      <c r="CV38" s="588">
        <v>1000</v>
      </c>
      <c r="CW38" s="588">
        <v>1000</v>
      </c>
      <c r="CX38" s="588">
        <v>1000</v>
      </c>
      <c r="CY38" s="588">
        <v>1000</v>
      </c>
      <c r="CZ38" s="588">
        <v>1000</v>
      </c>
      <c r="DA38" s="588">
        <v>1000</v>
      </c>
      <c r="DB38" s="596">
        <v>1000</v>
      </c>
    </row>
    <row r="39" spans="1:106" ht="12.75" customHeight="1" x14ac:dyDescent="0.2">
      <c r="A39" s="1137"/>
      <c r="B39" s="845">
        <f t="shared" si="13"/>
        <v>1</v>
      </c>
      <c r="C39" s="846" t="s">
        <v>158</v>
      </c>
      <c r="D39" s="847">
        <f t="shared" si="14"/>
        <v>0</v>
      </c>
      <c r="E39" s="848">
        <f t="shared" si="11"/>
        <v>99000</v>
      </c>
      <c r="F39" s="848">
        <f t="shared" si="12"/>
        <v>99000</v>
      </c>
      <c r="G39" s="849">
        <f t="shared" si="3"/>
        <v>0</v>
      </c>
      <c r="H39" s="593">
        <v>1000</v>
      </c>
      <c r="I39" s="588">
        <v>1000</v>
      </c>
      <c r="J39" s="588">
        <v>1000</v>
      </c>
      <c r="K39" s="588">
        <v>1000</v>
      </c>
      <c r="L39" s="588">
        <v>1000</v>
      </c>
      <c r="M39" s="588">
        <v>1000</v>
      </c>
      <c r="N39" s="588">
        <v>1000</v>
      </c>
      <c r="O39" s="588">
        <v>1000</v>
      </c>
      <c r="P39" s="588">
        <v>1000</v>
      </c>
      <c r="Q39" s="588">
        <v>1000</v>
      </c>
      <c r="R39" s="588">
        <v>1000</v>
      </c>
      <c r="S39" s="592">
        <v>1000</v>
      </c>
      <c r="T39" s="593">
        <v>1000</v>
      </c>
      <c r="U39" s="588">
        <v>1000</v>
      </c>
      <c r="V39" s="588">
        <v>1000</v>
      </c>
      <c r="W39" s="588">
        <v>1000</v>
      </c>
      <c r="X39" s="588">
        <v>1000</v>
      </c>
      <c r="Y39" s="588">
        <v>1000</v>
      </c>
      <c r="Z39" s="588">
        <v>1000</v>
      </c>
      <c r="AA39" s="588">
        <v>1000</v>
      </c>
      <c r="AB39" s="588">
        <v>1000</v>
      </c>
      <c r="AC39" s="588">
        <v>1000</v>
      </c>
      <c r="AD39" s="588">
        <v>1000</v>
      </c>
      <c r="AE39" s="592">
        <v>1000</v>
      </c>
      <c r="AF39" s="593">
        <v>1000</v>
      </c>
      <c r="AG39" s="588">
        <v>1000</v>
      </c>
      <c r="AH39" s="588">
        <v>1000</v>
      </c>
      <c r="AI39" s="588">
        <v>1000</v>
      </c>
      <c r="AJ39" s="588">
        <v>1000</v>
      </c>
      <c r="AK39" s="588">
        <v>1000</v>
      </c>
      <c r="AL39" s="588">
        <v>1000</v>
      </c>
      <c r="AM39" s="588">
        <v>1000</v>
      </c>
      <c r="AN39" s="588">
        <v>1000</v>
      </c>
      <c r="AO39" s="588">
        <v>1000</v>
      </c>
      <c r="AP39" s="588">
        <v>1000</v>
      </c>
      <c r="AQ39" s="592">
        <v>1000</v>
      </c>
      <c r="AR39" s="593">
        <v>1000</v>
      </c>
      <c r="AS39" s="588">
        <v>1000</v>
      </c>
      <c r="AT39" s="588">
        <v>1000</v>
      </c>
      <c r="AU39" s="588">
        <v>1000</v>
      </c>
      <c r="AV39" s="588">
        <v>1000</v>
      </c>
      <c r="AW39" s="588">
        <v>1000</v>
      </c>
      <c r="AX39" s="588">
        <v>1000</v>
      </c>
      <c r="AY39" s="588">
        <v>1000</v>
      </c>
      <c r="AZ39" s="588">
        <v>1000</v>
      </c>
      <c r="BA39" s="588">
        <v>1000</v>
      </c>
      <c r="BB39" s="588">
        <v>1000</v>
      </c>
      <c r="BC39" s="592">
        <v>1000</v>
      </c>
      <c r="BD39" s="593">
        <v>1000</v>
      </c>
      <c r="BE39" s="588">
        <v>1000</v>
      </c>
      <c r="BF39" s="588">
        <v>1000</v>
      </c>
      <c r="BG39" s="588">
        <v>1000</v>
      </c>
      <c r="BH39" s="588">
        <v>1000</v>
      </c>
      <c r="BI39" s="588">
        <v>1000</v>
      </c>
      <c r="BJ39" s="588">
        <v>1000</v>
      </c>
      <c r="BK39" s="588">
        <v>1000</v>
      </c>
      <c r="BL39" s="588">
        <v>1000</v>
      </c>
      <c r="BM39" s="588">
        <v>1000</v>
      </c>
      <c r="BN39" s="588">
        <v>1000</v>
      </c>
      <c r="BO39" s="592">
        <v>1000</v>
      </c>
      <c r="BP39" s="593">
        <v>1000</v>
      </c>
      <c r="BQ39" s="588">
        <v>1000</v>
      </c>
      <c r="BR39" s="588">
        <v>1000</v>
      </c>
      <c r="BS39" s="587">
        <v>1000</v>
      </c>
      <c r="BT39" s="588">
        <v>1000</v>
      </c>
      <c r="BU39" s="588">
        <v>1000</v>
      </c>
      <c r="BV39" s="588">
        <v>1000</v>
      </c>
      <c r="BW39" s="588">
        <v>1000</v>
      </c>
      <c r="BX39" s="588">
        <v>1000</v>
      </c>
      <c r="BY39" s="588">
        <v>1000</v>
      </c>
      <c r="BZ39" s="588">
        <v>1000</v>
      </c>
      <c r="CA39" s="588">
        <v>1000</v>
      </c>
      <c r="CB39" s="588">
        <v>1000</v>
      </c>
      <c r="CC39" s="588">
        <v>1000</v>
      </c>
      <c r="CD39" s="596">
        <v>1000</v>
      </c>
      <c r="CE39" s="587">
        <v>1000</v>
      </c>
      <c r="CF39" s="588">
        <v>1000</v>
      </c>
      <c r="CG39" s="588">
        <v>1000</v>
      </c>
      <c r="CH39" s="588">
        <v>1000</v>
      </c>
      <c r="CI39" s="588">
        <v>1000</v>
      </c>
      <c r="CJ39" s="588">
        <v>1000</v>
      </c>
      <c r="CK39" s="588">
        <v>1000</v>
      </c>
      <c r="CL39" s="588">
        <v>1000</v>
      </c>
      <c r="CM39" s="588">
        <v>1000</v>
      </c>
      <c r="CN39" s="588">
        <v>1000</v>
      </c>
      <c r="CO39" s="588">
        <v>1000</v>
      </c>
      <c r="CP39" s="596">
        <v>1000</v>
      </c>
      <c r="CQ39" s="587">
        <v>1000</v>
      </c>
      <c r="CR39" s="588">
        <v>1000</v>
      </c>
      <c r="CS39" s="588">
        <v>1000</v>
      </c>
      <c r="CT39" s="588">
        <v>1000</v>
      </c>
      <c r="CU39" s="588">
        <v>1000</v>
      </c>
      <c r="CV39" s="588">
        <v>1000</v>
      </c>
      <c r="CW39" s="588">
        <v>1000</v>
      </c>
      <c r="CX39" s="588">
        <v>1000</v>
      </c>
      <c r="CY39" s="588">
        <v>1000</v>
      </c>
      <c r="CZ39" s="588">
        <v>1000</v>
      </c>
      <c r="DA39" s="588">
        <v>1000</v>
      </c>
      <c r="DB39" s="596">
        <v>1000</v>
      </c>
    </row>
    <row r="40" spans="1:106" ht="12.75" customHeight="1" x14ac:dyDescent="0.2">
      <c r="A40" s="1135" t="s">
        <v>256</v>
      </c>
      <c r="B40" s="837">
        <f t="shared" si="13"/>
        <v>1</v>
      </c>
      <c r="C40" s="851" t="s">
        <v>160</v>
      </c>
      <c r="D40" s="839">
        <f t="shared" si="14"/>
        <v>0</v>
      </c>
      <c r="E40" s="840">
        <f t="shared" si="11"/>
        <v>96000</v>
      </c>
      <c r="F40" s="840">
        <f t="shared" si="12"/>
        <v>96000</v>
      </c>
      <c r="G40" s="841">
        <f t="shared" si="3"/>
        <v>0</v>
      </c>
      <c r="H40" s="593">
        <v>1000</v>
      </c>
      <c r="I40" s="588">
        <v>1000</v>
      </c>
      <c r="J40" s="588">
        <v>1000</v>
      </c>
      <c r="K40" s="588">
        <v>1000</v>
      </c>
      <c r="L40" s="588">
        <v>1000</v>
      </c>
      <c r="M40" s="588">
        <v>1000</v>
      </c>
      <c r="N40" s="588">
        <v>1000</v>
      </c>
      <c r="O40" s="588">
        <v>1000</v>
      </c>
      <c r="P40" s="588">
        <v>1000</v>
      </c>
      <c r="Q40" s="588">
        <v>1000</v>
      </c>
      <c r="R40" s="588">
        <v>1000</v>
      </c>
      <c r="S40" s="592">
        <v>1000</v>
      </c>
      <c r="T40" s="593">
        <v>1000</v>
      </c>
      <c r="U40" s="588">
        <v>1000</v>
      </c>
      <c r="V40" s="588">
        <v>1000</v>
      </c>
      <c r="W40" s="588">
        <v>1000</v>
      </c>
      <c r="X40" s="588">
        <v>1000</v>
      </c>
      <c r="Y40" s="588">
        <v>1000</v>
      </c>
      <c r="Z40" s="588">
        <v>1000</v>
      </c>
      <c r="AA40" s="588">
        <v>1000</v>
      </c>
      <c r="AB40" s="588">
        <v>1000</v>
      </c>
      <c r="AC40" s="588">
        <v>1000</v>
      </c>
      <c r="AD40" s="588">
        <v>1000</v>
      </c>
      <c r="AE40" s="592">
        <v>1000</v>
      </c>
      <c r="AF40" s="593">
        <v>1000</v>
      </c>
      <c r="AG40" s="588">
        <v>1000</v>
      </c>
      <c r="AH40" s="588">
        <v>1000</v>
      </c>
      <c r="AI40" s="588">
        <v>1000</v>
      </c>
      <c r="AJ40" s="588">
        <v>1000</v>
      </c>
      <c r="AK40" s="588">
        <v>1000</v>
      </c>
      <c r="AL40" s="588">
        <v>1000</v>
      </c>
      <c r="AM40" s="588">
        <v>1000</v>
      </c>
      <c r="AN40" s="588">
        <v>1000</v>
      </c>
      <c r="AO40" s="588">
        <v>1000</v>
      </c>
      <c r="AP40" s="588">
        <v>1000</v>
      </c>
      <c r="AQ40" s="592">
        <v>1000</v>
      </c>
      <c r="AR40" s="593">
        <v>1000</v>
      </c>
      <c r="AS40" s="588">
        <v>1000</v>
      </c>
      <c r="AT40" s="588">
        <v>1000</v>
      </c>
      <c r="AU40" s="588">
        <v>1000</v>
      </c>
      <c r="AV40" s="588">
        <v>1000</v>
      </c>
      <c r="AW40" s="588">
        <v>1000</v>
      </c>
      <c r="AX40" s="588">
        <v>1000</v>
      </c>
      <c r="AY40" s="588">
        <v>1000</v>
      </c>
      <c r="AZ40" s="588">
        <v>1000</v>
      </c>
      <c r="BA40" s="588">
        <v>1000</v>
      </c>
      <c r="BB40" s="588">
        <v>1000</v>
      </c>
      <c r="BC40" s="592">
        <v>1000</v>
      </c>
      <c r="BD40" s="593">
        <v>1000</v>
      </c>
      <c r="BE40" s="588">
        <v>1000</v>
      </c>
      <c r="BF40" s="588">
        <v>1000</v>
      </c>
      <c r="BG40" s="588">
        <v>1000</v>
      </c>
      <c r="BH40" s="588">
        <v>1000</v>
      </c>
      <c r="BI40" s="588">
        <v>1000</v>
      </c>
      <c r="BJ40" s="588">
        <v>1000</v>
      </c>
      <c r="BK40" s="588">
        <v>1000</v>
      </c>
      <c r="BL40" s="588">
        <v>1000</v>
      </c>
      <c r="BM40" s="588">
        <v>1000</v>
      </c>
      <c r="BN40" s="588">
        <v>1000</v>
      </c>
      <c r="BO40" s="592">
        <v>1000</v>
      </c>
      <c r="BP40" s="593">
        <v>1000</v>
      </c>
      <c r="BQ40" s="588">
        <v>1000</v>
      </c>
      <c r="BR40" s="588">
        <v>1000</v>
      </c>
      <c r="BS40" s="587">
        <v>1000</v>
      </c>
      <c r="BT40" s="588">
        <v>1000</v>
      </c>
      <c r="BU40" s="588">
        <v>1000</v>
      </c>
      <c r="BV40" s="588">
        <v>1000</v>
      </c>
      <c r="BW40" s="588">
        <v>1000</v>
      </c>
      <c r="BX40" s="588">
        <v>1000</v>
      </c>
      <c r="BY40" s="588">
        <v>1000</v>
      </c>
      <c r="BZ40" s="588">
        <v>1000</v>
      </c>
      <c r="CA40" s="588">
        <v>1000</v>
      </c>
      <c r="CB40" s="588">
        <v>1000</v>
      </c>
      <c r="CC40" s="588">
        <v>1000</v>
      </c>
      <c r="CD40" s="596">
        <v>1000</v>
      </c>
      <c r="CE40" s="587">
        <v>1000</v>
      </c>
      <c r="CF40" s="588">
        <v>1000</v>
      </c>
      <c r="CG40" s="588">
        <v>1000</v>
      </c>
      <c r="CH40" s="588">
        <v>1000</v>
      </c>
      <c r="CI40" s="588">
        <v>1000</v>
      </c>
      <c r="CJ40" s="588">
        <v>1000</v>
      </c>
      <c r="CK40" s="588">
        <v>1000</v>
      </c>
      <c r="CL40" s="588">
        <v>1000</v>
      </c>
      <c r="CM40" s="588">
        <v>1000</v>
      </c>
      <c r="CN40" s="588">
        <v>1000</v>
      </c>
      <c r="CO40" s="588">
        <v>1000</v>
      </c>
      <c r="CP40" s="596">
        <v>1000</v>
      </c>
      <c r="CQ40" s="587">
        <v>1000</v>
      </c>
      <c r="CR40" s="588">
        <v>1000</v>
      </c>
      <c r="CS40" s="588">
        <v>1000</v>
      </c>
      <c r="CT40" s="588">
        <v>1000</v>
      </c>
      <c r="CU40" s="588">
        <v>1000</v>
      </c>
      <c r="CV40" s="588">
        <v>1000</v>
      </c>
      <c r="CW40" s="588">
        <v>1000</v>
      </c>
      <c r="CX40" s="588">
        <v>1000</v>
      </c>
      <c r="CY40" s="588">
        <v>1000</v>
      </c>
      <c r="CZ40" s="588"/>
      <c r="DA40" s="588"/>
      <c r="DB40" s="596"/>
    </row>
    <row r="41" spans="1:106" ht="12.75" customHeight="1" x14ac:dyDescent="0.2">
      <c r="A41" s="1136"/>
      <c r="B41" s="836">
        <f t="shared" si="13"/>
        <v>1</v>
      </c>
      <c r="C41" s="852" t="s">
        <v>161</v>
      </c>
      <c r="D41" s="843">
        <f t="shared" si="14"/>
        <v>0</v>
      </c>
      <c r="E41" s="605">
        <f t="shared" si="11"/>
        <v>41000</v>
      </c>
      <c r="F41" s="605">
        <f t="shared" si="12"/>
        <v>41000</v>
      </c>
      <c r="G41" s="844">
        <f t="shared" si="3"/>
        <v>0</v>
      </c>
      <c r="H41" s="594"/>
      <c r="I41" s="589"/>
      <c r="J41" s="589"/>
      <c r="K41" s="589"/>
      <c r="L41" s="589"/>
      <c r="M41" s="589"/>
      <c r="N41" s="589"/>
      <c r="O41" s="589"/>
      <c r="P41" s="589"/>
      <c r="Q41" s="589"/>
      <c r="R41" s="589"/>
      <c r="S41" s="595"/>
      <c r="T41" s="594"/>
      <c r="U41" s="589"/>
      <c r="V41" s="589"/>
      <c r="W41" s="589"/>
      <c r="X41" s="589"/>
      <c r="Y41" s="589"/>
      <c r="Z41" s="589"/>
      <c r="AA41" s="589"/>
      <c r="AB41" s="589"/>
      <c r="AC41" s="589"/>
      <c r="AD41" s="589"/>
      <c r="AE41" s="595"/>
      <c r="AF41" s="594"/>
      <c r="AG41" s="589"/>
      <c r="AH41" s="589"/>
      <c r="AI41" s="589"/>
      <c r="AJ41" s="589"/>
      <c r="AK41" s="589"/>
      <c r="AL41" s="589"/>
      <c r="AM41" s="589"/>
      <c r="AN41" s="589"/>
      <c r="AO41" s="589"/>
      <c r="AP41" s="589"/>
      <c r="AQ41" s="595"/>
      <c r="AR41" s="594"/>
      <c r="AS41" s="589"/>
      <c r="AT41" s="589"/>
      <c r="AU41" s="589"/>
      <c r="AV41" s="589"/>
      <c r="AW41" s="589"/>
      <c r="AX41" s="589"/>
      <c r="AY41" s="589"/>
      <c r="AZ41" s="589"/>
      <c r="BA41" s="589"/>
      <c r="BB41" s="589"/>
      <c r="BC41" s="595"/>
      <c r="BD41" s="594"/>
      <c r="BE41" s="589"/>
      <c r="BF41" s="589"/>
      <c r="BG41" s="589"/>
      <c r="BH41" s="589"/>
      <c r="BI41" s="589"/>
      <c r="BJ41" s="589"/>
      <c r="BK41" s="588">
        <v>1000</v>
      </c>
      <c r="BL41" s="588">
        <v>1000</v>
      </c>
      <c r="BM41" s="588">
        <v>1000</v>
      </c>
      <c r="BN41" s="588">
        <v>1000</v>
      </c>
      <c r="BO41" s="592">
        <v>1000</v>
      </c>
      <c r="BP41" s="593">
        <v>1000</v>
      </c>
      <c r="BQ41" s="588">
        <v>1000</v>
      </c>
      <c r="BR41" s="588">
        <v>1000</v>
      </c>
      <c r="BS41" s="587">
        <v>1000</v>
      </c>
      <c r="BT41" s="588">
        <v>1000</v>
      </c>
      <c r="BU41" s="588">
        <v>1000</v>
      </c>
      <c r="BV41" s="588">
        <v>1000</v>
      </c>
      <c r="BW41" s="588">
        <v>1000</v>
      </c>
      <c r="BX41" s="588">
        <v>1000</v>
      </c>
      <c r="BY41" s="588">
        <v>1000</v>
      </c>
      <c r="BZ41" s="588">
        <v>1000</v>
      </c>
      <c r="CA41" s="588">
        <v>1000</v>
      </c>
      <c r="CB41" s="588">
        <v>1000</v>
      </c>
      <c r="CC41" s="588">
        <v>1000</v>
      </c>
      <c r="CD41" s="596">
        <v>1000</v>
      </c>
      <c r="CE41" s="587">
        <v>1000</v>
      </c>
      <c r="CF41" s="588">
        <v>1000</v>
      </c>
      <c r="CG41" s="588">
        <v>1000</v>
      </c>
      <c r="CH41" s="588">
        <v>1000</v>
      </c>
      <c r="CI41" s="588">
        <v>1000</v>
      </c>
      <c r="CJ41" s="588">
        <v>1000</v>
      </c>
      <c r="CK41" s="588">
        <v>1000</v>
      </c>
      <c r="CL41" s="588">
        <v>1000</v>
      </c>
      <c r="CM41" s="588">
        <v>1000</v>
      </c>
      <c r="CN41" s="588">
        <v>1000</v>
      </c>
      <c r="CO41" s="588">
        <v>1000</v>
      </c>
      <c r="CP41" s="596">
        <v>1000</v>
      </c>
      <c r="CQ41" s="587">
        <v>1000</v>
      </c>
      <c r="CR41" s="588">
        <v>1000</v>
      </c>
      <c r="CS41" s="588">
        <v>1000</v>
      </c>
      <c r="CT41" s="588">
        <v>1000</v>
      </c>
      <c r="CU41" s="588">
        <v>1000</v>
      </c>
      <c r="CV41" s="588">
        <v>1000</v>
      </c>
      <c r="CW41" s="588">
        <v>1000</v>
      </c>
      <c r="CX41" s="588">
        <v>1000</v>
      </c>
      <c r="CY41" s="588">
        <v>1000</v>
      </c>
      <c r="CZ41" s="588"/>
      <c r="DA41" s="588"/>
      <c r="DB41" s="596"/>
    </row>
    <row r="42" spans="1:106" ht="12.75" customHeight="1" x14ac:dyDescent="0.2">
      <c r="A42" s="1137"/>
      <c r="B42" s="845">
        <f t="shared" si="13"/>
        <v>1</v>
      </c>
      <c r="C42" s="846" t="s">
        <v>162</v>
      </c>
      <c r="D42" s="847">
        <f t="shared" si="14"/>
        <v>0</v>
      </c>
      <c r="E42" s="848">
        <f t="shared" si="11"/>
        <v>41000</v>
      </c>
      <c r="F42" s="848">
        <f t="shared" si="12"/>
        <v>41000</v>
      </c>
      <c r="G42" s="849">
        <f t="shared" si="3"/>
        <v>0</v>
      </c>
      <c r="H42" s="594"/>
      <c r="I42" s="589"/>
      <c r="J42" s="589"/>
      <c r="K42" s="589"/>
      <c r="L42" s="589"/>
      <c r="M42" s="589"/>
      <c r="N42" s="589"/>
      <c r="O42" s="589"/>
      <c r="P42" s="589"/>
      <c r="Q42" s="589"/>
      <c r="R42" s="589"/>
      <c r="S42" s="595"/>
      <c r="T42" s="594"/>
      <c r="U42" s="589"/>
      <c r="V42" s="589"/>
      <c r="W42" s="589"/>
      <c r="X42" s="589"/>
      <c r="Y42" s="589"/>
      <c r="Z42" s="589"/>
      <c r="AA42" s="589"/>
      <c r="AB42" s="589"/>
      <c r="AC42" s="589"/>
      <c r="AD42" s="589"/>
      <c r="AE42" s="595"/>
      <c r="AF42" s="594"/>
      <c r="AG42" s="589"/>
      <c r="AH42" s="589"/>
      <c r="AI42" s="589"/>
      <c r="AJ42" s="589"/>
      <c r="AK42" s="589"/>
      <c r="AL42" s="589"/>
      <c r="AM42" s="589"/>
      <c r="AN42" s="589"/>
      <c r="AO42" s="589"/>
      <c r="AP42" s="589"/>
      <c r="AQ42" s="595"/>
      <c r="AR42" s="594"/>
      <c r="AS42" s="589"/>
      <c r="AT42" s="589"/>
      <c r="AU42" s="589"/>
      <c r="AV42" s="589"/>
      <c r="AW42" s="589"/>
      <c r="AX42" s="589"/>
      <c r="AY42" s="589"/>
      <c r="AZ42" s="589"/>
      <c r="BA42" s="589"/>
      <c r="BB42" s="589"/>
      <c r="BC42" s="595"/>
      <c r="BD42" s="594"/>
      <c r="BE42" s="589"/>
      <c r="BF42" s="589"/>
      <c r="BG42" s="589"/>
      <c r="BH42" s="589"/>
      <c r="BI42" s="589"/>
      <c r="BJ42" s="589"/>
      <c r="BK42" s="588">
        <v>1000</v>
      </c>
      <c r="BL42" s="588">
        <v>1000</v>
      </c>
      <c r="BM42" s="588">
        <v>1000</v>
      </c>
      <c r="BN42" s="588">
        <v>1000</v>
      </c>
      <c r="BO42" s="592">
        <v>1000</v>
      </c>
      <c r="BP42" s="593">
        <v>1000</v>
      </c>
      <c r="BQ42" s="588">
        <v>1000</v>
      </c>
      <c r="BR42" s="588">
        <v>1000</v>
      </c>
      <c r="BS42" s="587">
        <v>1000</v>
      </c>
      <c r="BT42" s="588">
        <v>1000</v>
      </c>
      <c r="BU42" s="588">
        <v>1000</v>
      </c>
      <c r="BV42" s="588">
        <v>1000</v>
      </c>
      <c r="BW42" s="588">
        <v>1000</v>
      </c>
      <c r="BX42" s="588">
        <v>1000</v>
      </c>
      <c r="BY42" s="588">
        <v>1000</v>
      </c>
      <c r="BZ42" s="588">
        <v>1000</v>
      </c>
      <c r="CA42" s="588">
        <v>1000</v>
      </c>
      <c r="CB42" s="588">
        <v>1000</v>
      </c>
      <c r="CC42" s="588">
        <v>1000</v>
      </c>
      <c r="CD42" s="596">
        <v>1000</v>
      </c>
      <c r="CE42" s="587">
        <v>1000</v>
      </c>
      <c r="CF42" s="588">
        <v>1000</v>
      </c>
      <c r="CG42" s="588">
        <v>1000</v>
      </c>
      <c r="CH42" s="588">
        <v>1000</v>
      </c>
      <c r="CI42" s="588">
        <v>1000</v>
      </c>
      <c r="CJ42" s="588">
        <v>1000</v>
      </c>
      <c r="CK42" s="588">
        <v>1000</v>
      </c>
      <c r="CL42" s="588">
        <v>1000</v>
      </c>
      <c r="CM42" s="588">
        <v>1000</v>
      </c>
      <c r="CN42" s="588">
        <v>1000</v>
      </c>
      <c r="CO42" s="588">
        <v>1000</v>
      </c>
      <c r="CP42" s="596">
        <v>1000</v>
      </c>
      <c r="CQ42" s="587">
        <v>1000</v>
      </c>
      <c r="CR42" s="588">
        <v>1000</v>
      </c>
      <c r="CS42" s="588">
        <v>1000</v>
      </c>
      <c r="CT42" s="588">
        <v>1000</v>
      </c>
      <c r="CU42" s="588">
        <v>1000</v>
      </c>
      <c r="CV42" s="588">
        <v>1000</v>
      </c>
      <c r="CW42" s="588">
        <v>1000</v>
      </c>
      <c r="CX42" s="588">
        <v>1000</v>
      </c>
      <c r="CY42" s="588">
        <v>1000</v>
      </c>
      <c r="CZ42" s="588"/>
      <c r="DA42" s="588"/>
      <c r="DB42" s="596"/>
    </row>
    <row r="43" spans="1:106" x14ac:dyDescent="0.2">
      <c r="A43" s="853" t="s">
        <v>258</v>
      </c>
      <c r="B43" s="837">
        <f t="shared" si="13"/>
        <v>1</v>
      </c>
      <c r="C43" s="851" t="s">
        <v>163</v>
      </c>
      <c r="D43" s="839">
        <f t="shared" si="14"/>
        <v>0</v>
      </c>
      <c r="E43" s="840">
        <f t="shared" si="11"/>
        <v>95000</v>
      </c>
      <c r="F43" s="840">
        <f t="shared" si="12"/>
        <v>95000</v>
      </c>
      <c r="G43" s="841">
        <f t="shared" si="3"/>
        <v>0</v>
      </c>
      <c r="H43" s="593">
        <v>1000</v>
      </c>
      <c r="I43" s="588">
        <v>1000</v>
      </c>
      <c r="J43" s="588">
        <v>1000</v>
      </c>
      <c r="K43" s="588">
        <v>1000</v>
      </c>
      <c r="L43" s="588">
        <v>1000</v>
      </c>
      <c r="M43" s="588">
        <v>1000</v>
      </c>
      <c r="N43" s="588">
        <v>1000</v>
      </c>
      <c r="O43" s="588">
        <v>1000</v>
      </c>
      <c r="P43" s="588">
        <v>1000</v>
      </c>
      <c r="Q43" s="588">
        <v>1000</v>
      </c>
      <c r="R43" s="588">
        <v>1000</v>
      </c>
      <c r="S43" s="592">
        <v>1000</v>
      </c>
      <c r="T43" s="593">
        <v>1000</v>
      </c>
      <c r="U43" s="588">
        <v>1000</v>
      </c>
      <c r="V43" s="588">
        <v>1000</v>
      </c>
      <c r="W43" s="588">
        <v>1000</v>
      </c>
      <c r="X43" s="588">
        <v>1000</v>
      </c>
      <c r="Y43" s="588">
        <v>1000</v>
      </c>
      <c r="Z43" s="588">
        <v>1000</v>
      </c>
      <c r="AA43" s="588">
        <v>1000</v>
      </c>
      <c r="AB43" s="588">
        <v>1000</v>
      </c>
      <c r="AC43" s="588">
        <v>1000</v>
      </c>
      <c r="AD43" s="588">
        <v>1000</v>
      </c>
      <c r="AE43" s="592">
        <v>1000</v>
      </c>
      <c r="AF43" s="593">
        <v>1000</v>
      </c>
      <c r="AG43" s="588">
        <v>1000</v>
      </c>
      <c r="AH43" s="588">
        <v>1000</v>
      </c>
      <c r="AI43" s="588">
        <v>1000</v>
      </c>
      <c r="AJ43" s="588">
        <v>1000</v>
      </c>
      <c r="AK43" s="588">
        <v>1000</v>
      </c>
      <c r="AL43" s="588">
        <v>1000</v>
      </c>
      <c r="AM43" s="588">
        <v>1000</v>
      </c>
      <c r="AN43" s="588">
        <v>1000</v>
      </c>
      <c r="AO43" s="588">
        <v>1000</v>
      </c>
      <c r="AP43" s="588">
        <v>1000</v>
      </c>
      <c r="AQ43" s="592">
        <v>1000</v>
      </c>
      <c r="AR43" s="593">
        <v>1000</v>
      </c>
      <c r="AS43" s="588">
        <v>1000</v>
      </c>
      <c r="AT43" s="588">
        <v>1000</v>
      </c>
      <c r="AU43" s="588">
        <v>1000</v>
      </c>
      <c r="AV43" s="588">
        <v>1000</v>
      </c>
      <c r="AW43" s="588">
        <v>1000</v>
      </c>
      <c r="AX43" s="588">
        <v>1000</v>
      </c>
      <c r="AY43" s="588">
        <v>1000</v>
      </c>
      <c r="AZ43" s="588">
        <v>1000</v>
      </c>
      <c r="BA43" s="588">
        <v>1000</v>
      </c>
      <c r="BB43" s="588">
        <v>1000</v>
      </c>
      <c r="BC43" s="592">
        <v>1000</v>
      </c>
      <c r="BD43" s="593">
        <v>1000</v>
      </c>
      <c r="BE43" s="588">
        <v>1000</v>
      </c>
      <c r="BF43" s="588">
        <v>1000</v>
      </c>
      <c r="BG43" s="588">
        <v>1000</v>
      </c>
      <c r="BH43" s="588">
        <v>1000</v>
      </c>
      <c r="BI43" s="588">
        <v>1000</v>
      </c>
      <c r="BJ43" s="588">
        <v>1000</v>
      </c>
      <c r="BK43" s="588">
        <v>1000</v>
      </c>
      <c r="BL43" s="588">
        <v>1000</v>
      </c>
      <c r="BM43" s="588">
        <v>1000</v>
      </c>
      <c r="BN43" s="588">
        <v>1000</v>
      </c>
      <c r="BO43" s="592">
        <v>1000</v>
      </c>
      <c r="BP43" s="593">
        <v>1000</v>
      </c>
      <c r="BQ43" s="588">
        <v>1000</v>
      </c>
      <c r="BR43" s="588">
        <v>1000</v>
      </c>
      <c r="BS43" s="587">
        <v>1000</v>
      </c>
      <c r="BT43" s="588">
        <v>1000</v>
      </c>
      <c r="BU43" s="588">
        <v>1000</v>
      </c>
      <c r="BV43" s="588">
        <v>1000</v>
      </c>
      <c r="BW43" s="588">
        <v>1000</v>
      </c>
      <c r="BX43" s="588">
        <v>1000</v>
      </c>
      <c r="BY43" s="588">
        <v>1000</v>
      </c>
      <c r="BZ43" s="588">
        <v>1000</v>
      </c>
      <c r="CA43" s="588">
        <v>1000</v>
      </c>
      <c r="CB43" s="588">
        <v>1000</v>
      </c>
      <c r="CC43" s="588">
        <v>1000</v>
      </c>
      <c r="CD43" s="596">
        <v>1000</v>
      </c>
      <c r="CE43" s="587">
        <v>1000</v>
      </c>
      <c r="CF43" s="588">
        <v>1000</v>
      </c>
      <c r="CG43" s="588">
        <v>1000</v>
      </c>
      <c r="CH43" s="588">
        <v>1000</v>
      </c>
      <c r="CI43" s="588">
        <v>1000</v>
      </c>
      <c r="CJ43" s="588">
        <v>1000</v>
      </c>
      <c r="CK43" s="588">
        <v>1000</v>
      </c>
      <c r="CL43" s="588">
        <v>1000</v>
      </c>
      <c r="CM43" s="588">
        <v>1000</v>
      </c>
      <c r="CN43" s="588">
        <v>1000</v>
      </c>
      <c r="CO43" s="588">
        <v>1000</v>
      </c>
      <c r="CP43" s="596">
        <v>1000</v>
      </c>
      <c r="CQ43" s="587">
        <v>1000</v>
      </c>
      <c r="CR43" s="588">
        <v>1000</v>
      </c>
      <c r="CS43" s="588">
        <v>1000</v>
      </c>
      <c r="CT43" s="588">
        <v>1000</v>
      </c>
      <c r="CU43" s="588">
        <v>1000</v>
      </c>
      <c r="CV43" s="588">
        <v>1000</v>
      </c>
      <c r="CW43" s="588">
        <v>1000</v>
      </c>
      <c r="CX43" s="588">
        <v>1000</v>
      </c>
      <c r="CY43" s="588"/>
      <c r="CZ43" s="588"/>
      <c r="DA43" s="588"/>
      <c r="DB43" s="596"/>
    </row>
    <row r="44" spans="1:106" ht="12.75" customHeight="1" x14ac:dyDescent="0.2">
      <c r="A44" s="1136" t="s">
        <v>258</v>
      </c>
      <c r="B44" s="836">
        <f t="shared" si="13"/>
        <v>0.65217391304347827</v>
      </c>
      <c r="C44" s="842" t="s">
        <v>348</v>
      </c>
      <c r="D44" s="843">
        <f t="shared" si="14"/>
        <v>8000</v>
      </c>
      <c r="E44" s="605">
        <f t="shared" si="11"/>
        <v>15000</v>
      </c>
      <c r="F44" s="605">
        <f t="shared" si="12"/>
        <v>23000</v>
      </c>
      <c r="G44" s="844">
        <f>+IF((E44+F44)=0,"No Aplica",+E44/F44-1)</f>
        <v>-0.34782608695652173</v>
      </c>
      <c r="H44" s="594"/>
      <c r="I44" s="589"/>
      <c r="J44" s="589"/>
      <c r="K44" s="589"/>
      <c r="L44" s="589"/>
      <c r="M44" s="589"/>
      <c r="N44" s="589"/>
      <c r="O44" s="589"/>
      <c r="P44" s="589"/>
      <c r="Q44" s="589"/>
      <c r="R44" s="589"/>
      <c r="S44" s="595"/>
      <c r="T44" s="594"/>
      <c r="U44" s="589"/>
      <c r="V44" s="589"/>
      <c r="W44" s="589"/>
      <c r="X44" s="589"/>
      <c r="Y44" s="589"/>
      <c r="Z44" s="589"/>
      <c r="AA44" s="589"/>
      <c r="AB44" s="589"/>
      <c r="AC44" s="589"/>
      <c r="AD44" s="589"/>
      <c r="AE44" s="595"/>
      <c r="AF44" s="594"/>
      <c r="AG44" s="589"/>
      <c r="AH44" s="589"/>
      <c r="AI44" s="589"/>
      <c r="AJ44" s="589"/>
      <c r="AK44" s="589"/>
      <c r="AL44" s="589"/>
      <c r="AM44" s="589"/>
      <c r="AN44" s="589"/>
      <c r="AO44" s="589"/>
      <c r="AP44" s="589"/>
      <c r="AQ44" s="595"/>
      <c r="AR44" s="594"/>
      <c r="AS44" s="589"/>
      <c r="AT44" s="589"/>
      <c r="AU44" s="589"/>
      <c r="AV44" s="589"/>
      <c r="AW44" s="589"/>
      <c r="AX44" s="589"/>
      <c r="AY44" s="589"/>
      <c r="AZ44" s="589"/>
      <c r="BA44" s="589"/>
      <c r="BB44" s="589"/>
      <c r="BC44" s="595"/>
      <c r="BD44" s="594"/>
      <c r="BE44" s="589"/>
      <c r="BF44" s="589"/>
      <c r="BG44" s="589"/>
      <c r="BH44" s="589"/>
      <c r="BI44" s="589"/>
      <c r="BJ44" s="589"/>
      <c r="BK44" s="589"/>
      <c r="BL44" s="589"/>
      <c r="BM44" s="589"/>
      <c r="BN44" s="589"/>
      <c r="BO44" s="595"/>
      <c r="BP44" s="594"/>
      <c r="BQ44" s="589"/>
      <c r="BR44" s="589"/>
      <c r="BS44" s="591"/>
      <c r="BT44" s="589"/>
      <c r="BU44" s="589"/>
      <c r="BV44" s="589"/>
      <c r="BW44" s="589"/>
      <c r="BX44" s="589"/>
      <c r="BY44" s="589"/>
      <c r="BZ44" s="589"/>
      <c r="CA44" s="589"/>
      <c r="CB44" s="588">
        <v>1000</v>
      </c>
      <c r="CC44" s="588">
        <v>1000</v>
      </c>
      <c r="CD44" s="596">
        <v>1000</v>
      </c>
      <c r="CE44" s="587">
        <v>1000</v>
      </c>
      <c r="CF44" s="588">
        <v>1000</v>
      </c>
      <c r="CG44" s="588">
        <v>1000</v>
      </c>
      <c r="CH44" s="588">
        <v>1000</v>
      </c>
      <c r="CI44" s="588">
        <v>1000</v>
      </c>
      <c r="CJ44" s="588">
        <v>1000</v>
      </c>
      <c r="CK44" s="588">
        <v>1000</v>
      </c>
      <c r="CL44" s="588">
        <v>1000</v>
      </c>
      <c r="CM44" s="588">
        <v>1000</v>
      </c>
      <c r="CN44" s="588">
        <v>1000</v>
      </c>
      <c r="CO44" s="588">
        <v>1000</v>
      </c>
      <c r="CP44" s="596">
        <v>1000</v>
      </c>
      <c r="CQ44" s="587">
        <v>0</v>
      </c>
      <c r="CR44" s="588">
        <v>0</v>
      </c>
      <c r="CS44" s="588">
        <v>0</v>
      </c>
      <c r="CT44" s="588">
        <v>0</v>
      </c>
      <c r="CU44" s="588">
        <v>0</v>
      </c>
      <c r="CV44" s="588">
        <v>0</v>
      </c>
      <c r="CW44" s="588">
        <v>0</v>
      </c>
      <c r="CX44" s="588">
        <v>0</v>
      </c>
      <c r="CY44" s="588"/>
      <c r="CZ44" s="588"/>
      <c r="DA44" s="588"/>
      <c r="DB44" s="596"/>
    </row>
    <row r="45" spans="1:106" ht="12.75" customHeight="1" x14ac:dyDescent="0.2">
      <c r="A45" s="1136"/>
      <c r="B45" s="836">
        <f t="shared" si="13"/>
        <v>0.65217391304347827</v>
      </c>
      <c r="C45" s="842" t="s">
        <v>349</v>
      </c>
      <c r="D45" s="843">
        <f t="shared" si="14"/>
        <v>8000</v>
      </c>
      <c r="E45" s="605">
        <f t="shared" si="11"/>
        <v>15000</v>
      </c>
      <c r="F45" s="605">
        <f t="shared" si="12"/>
        <v>23000</v>
      </c>
      <c r="G45" s="844">
        <f>+IF((E45+F45)=0,"No Aplica",+E45/F45-1)</f>
        <v>-0.34782608695652173</v>
      </c>
      <c r="H45" s="594"/>
      <c r="I45" s="589"/>
      <c r="J45" s="589"/>
      <c r="K45" s="589"/>
      <c r="L45" s="589"/>
      <c r="M45" s="589"/>
      <c r="N45" s="589"/>
      <c r="O45" s="589"/>
      <c r="P45" s="589"/>
      <c r="Q45" s="589"/>
      <c r="R45" s="589"/>
      <c r="S45" s="595"/>
      <c r="T45" s="594"/>
      <c r="U45" s="589"/>
      <c r="V45" s="589"/>
      <c r="W45" s="589"/>
      <c r="X45" s="589"/>
      <c r="Y45" s="589"/>
      <c r="Z45" s="589"/>
      <c r="AA45" s="589"/>
      <c r="AB45" s="589"/>
      <c r="AC45" s="589"/>
      <c r="AD45" s="589"/>
      <c r="AE45" s="595"/>
      <c r="AF45" s="594"/>
      <c r="AG45" s="589"/>
      <c r="AH45" s="589"/>
      <c r="AI45" s="589"/>
      <c r="AJ45" s="589"/>
      <c r="AK45" s="589"/>
      <c r="AL45" s="589"/>
      <c r="AM45" s="589"/>
      <c r="AN45" s="589"/>
      <c r="AO45" s="589"/>
      <c r="AP45" s="589"/>
      <c r="AQ45" s="595"/>
      <c r="AR45" s="594"/>
      <c r="AS45" s="589"/>
      <c r="AT45" s="589"/>
      <c r="AU45" s="589"/>
      <c r="AV45" s="589"/>
      <c r="AW45" s="589"/>
      <c r="AX45" s="589"/>
      <c r="AY45" s="589"/>
      <c r="AZ45" s="589"/>
      <c r="BA45" s="589"/>
      <c r="BB45" s="589"/>
      <c r="BC45" s="595"/>
      <c r="BD45" s="594"/>
      <c r="BE45" s="589"/>
      <c r="BF45" s="589"/>
      <c r="BG45" s="589"/>
      <c r="BH45" s="589"/>
      <c r="BI45" s="589"/>
      <c r="BJ45" s="589"/>
      <c r="BK45" s="589"/>
      <c r="BL45" s="589"/>
      <c r="BM45" s="589"/>
      <c r="BN45" s="589"/>
      <c r="BO45" s="595"/>
      <c r="BP45" s="594"/>
      <c r="BQ45" s="589"/>
      <c r="BR45" s="589"/>
      <c r="BS45" s="591"/>
      <c r="BT45" s="589"/>
      <c r="BU45" s="589"/>
      <c r="BV45" s="589"/>
      <c r="BW45" s="589"/>
      <c r="BX45" s="589"/>
      <c r="BY45" s="589"/>
      <c r="BZ45" s="589"/>
      <c r="CA45" s="589"/>
      <c r="CB45" s="588">
        <v>1000</v>
      </c>
      <c r="CC45" s="588">
        <v>1000</v>
      </c>
      <c r="CD45" s="596">
        <v>1000</v>
      </c>
      <c r="CE45" s="587">
        <v>1000</v>
      </c>
      <c r="CF45" s="588">
        <v>1000</v>
      </c>
      <c r="CG45" s="588">
        <v>1000</v>
      </c>
      <c r="CH45" s="588">
        <v>1000</v>
      </c>
      <c r="CI45" s="588">
        <v>1000</v>
      </c>
      <c r="CJ45" s="588">
        <v>1000</v>
      </c>
      <c r="CK45" s="588">
        <v>1000</v>
      </c>
      <c r="CL45" s="588">
        <v>1000</v>
      </c>
      <c r="CM45" s="588">
        <v>1000</v>
      </c>
      <c r="CN45" s="588">
        <v>1000</v>
      </c>
      <c r="CO45" s="588">
        <v>1000</v>
      </c>
      <c r="CP45" s="596">
        <v>1000</v>
      </c>
      <c r="CQ45" s="587">
        <v>0</v>
      </c>
      <c r="CR45" s="588">
        <v>0</v>
      </c>
      <c r="CS45" s="588">
        <v>0</v>
      </c>
      <c r="CT45" s="588">
        <v>0</v>
      </c>
      <c r="CU45" s="588">
        <v>0</v>
      </c>
      <c r="CV45" s="588">
        <v>0</v>
      </c>
      <c r="CW45" s="588">
        <v>0</v>
      </c>
      <c r="CX45" s="588">
        <v>0</v>
      </c>
      <c r="CY45" s="588"/>
      <c r="CZ45" s="588"/>
      <c r="DA45" s="588"/>
      <c r="DB45" s="596"/>
    </row>
    <row r="46" spans="1:106" ht="12.75" customHeight="1" x14ac:dyDescent="0.2">
      <c r="A46" s="1137"/>
      <c r="B46" s="845">
        <f t="shared" si="13"/>
        <v>0.91578947368421049</v>
      </c>
      <c r="C46" s="846" t="s">
        <v>129</v>
      </c>
      <c r="D46" s="847">
        <f t="shared" si="14"/>
        <v>8000</v>
      </c>
      <c r="E46" s="848">
        <f t="shared" si="11"/>
        <v>87000</v>
      </c>
      <c r="F46" s="848">
        <f t="shared" si="12"/>
        <v>95000</v>
      </c>
      <c r="G46" s="849">
        <f t="shared" si="3"/>
        <v>-8.4210526315789513E-2</v>
      </c>
      <c r="H46" s="593">
        <v>1000</v>
      </c>
      <c r="I46" s="588">
        <v>1000</v>
      </c>
      <c r="J46" s="588">
        <v>1000</v>
      </c>
      <c r="K46" s="588">
        <v>1000</v>
      </c>
      <c r="L46" s="588">
        <v>1000</v>
      </c>
      <c r="M46" s="588">
        <v>1000</v>
      </c>
      <c r="N46" s="588">
        <v>1000</v>
      </c>
      <c r="O46" s="588">
        <v>1000</v>
      </c>
      <c r="P46" s="588">
        <v>1000</v>
      </c>
      <c r="Q46" s="588">
        <v>1000</v>
      </c>
      <c r="R46" s="588">
        <v>1000</v>
      </c>
      <c r="S46" s="592">
        <v>1000</v>
      </c>
      <c r="T46" s="593">
        <v>1000</v>
      </c>
      <c r="U46" s="588">
        <v>1000</v>
      </c>
      <c r="V46" s="588">
        <v>1000</v>
      </c>
      <c r="W46" s="588">
        <v>1000</v>
      </c>
      <c r="X46" s="588">
        <v>1000</v>
      </c>
      <c r="Y46" s="588">
        <v>1000</v>
      </c>
      <c r="Z46" s="588">
        <v>1000</v>
      </c>
      <c r="AA46" s="588">
        <v>1000</v>
      </c>
      <c r="AB46" s="588">
        <v>1000</v>
      </c>
      <c r="AC46" s="588">
        <v>1000</v>
      </c>
      <c r="AD46" s="588">
        <v>1000</v>
      </c>
      <c r="AE46" s="592">
        <v>1000</v>
      </c>
      <c r="AF46" s="593">
        <v>1000</v>
      </c>
      <c r="AG46" s="588">
        <v>1000</v>
      </c>
      <c r="AH46" s="588">
        <v>1000</v>
      </c>
      <c r="AI46" s="588">
        <v>1000</v>
      </c>
      <c r="AJ46" s="588">
        <v>1000</v>
      </c>
      <c r="AK46" s="588">
        <v>1000</v>
      </c>
      <c r="AL46" s="588">
        <v>1000</v>
      </c>
      <c r="AM46" s="588">
        <v>1000</v>
      </c>
      <c r="AN46" s="588">
        <v>1000</v>
      </c>
      <c r="AO46" s="588">
        <v>1000</v>
      </c>
      <c r="AP46" s="588">
        <v>1000</v>
      </c>
      <c r="AQ46" s="592">
        <v>1000</v>
      </c>
      <c r="AR46" s="593">
        <v>1000</v>
      </c>
      <c r="AS46" s="588">
        <v>1000</v>
      </c>
      <c r="AT46" s="588">
        <v>1000</v>
      </c>
      <c r="AU46" s="588">
        <v>1000</v>
      </c>
      <c r="AV46" s="588">
        <v>1000</v>
      </c>
      <c r="AW46" s="588">
        <v>1000</v>
      </c>
      <c r="AX46" s="588">
        <v>1000</v>
      </c>
      <c r="AY46" s="588">
        <v>1000</v>
      </c>
      <c r="AZ46" s="588">
        <v>1000</v>
      </c>
      <c r="BA46" s="588">
        <v>1000</v>
      </c>
      <c r="BB46" s="588">
        <v>1000</v>
      </c>
      <c r="BC46" s="592">
        <v>1000</v>
      </c>
      <c r="BD46" s="593">
        <v>1000</v>
      </c>
      <c r="BE46" s="588">
        <v>1000</v>
      </c>
      <c r="BF46" s="588">
        <v>1000</v>
      </c>
      <c r="BG46" s="588">
        <v>1000</v>
      </c>
      <c r="BH46" s="588">
        <v>1000</v>
      </c>
      <c r="BI46" s="588">
        <v>1000</v>
      </c>
      <c r="BJ46" s="588">
        <v>1000</v>
      </c>
      <c r="BK46" s="588">
        <v>1000</v>
      </c>
      <c r="BL46" s="588">
        <v>1000</v>
      </c>
      <c r="BM46" s="588">
        <v>1000</v>
      </c>
      <c r="BN46" s="588">
        <v>1000</v>
      </c>
      <c r="BO46" s="592">
        <v>1000</v>
      </c>
      <c r="BP46" s="593">
        <v>1000</v>
      </c>
      <c r="BQ46" s="588">
        <v>1000</v>
      </c>
      <c r="BR46" s="588">
        <v>1000</v>
      </c>
      <c r="BS46" s="587">
        <v>1000</v>
      </c>
      <c r="BT46" s="588">
        <v>1000</v>
      </c>
      <c r="BU46" s="588">
        <v>1000</v>
      </c>
      <c r="BV46" s="588">
        <v>1000</v>
      </c>
      <c r="BW46" s="588">
        <v>1000</v>
      </c>
      <c r="BX46" s="588">
        <v>1000</v>
      </c>
      <c r="BY46" s="588">
        <v>1000</v>
      </c>
      <c r="BZ46" s="588">
        <v>1000</v>
      </c>
      <c r="CA46" s="588">
        <v>1000</v>
      </c>
      <c r="CB46" s="588">
        <v>1000</v>
      </c>
      <c r="CC46" s="588">
        <v>1000</v>
      </c>
      <c r="CD46" s="596">
        <v>1000</v>
      </c>
      <c r="CE46" s="587">
        <v>1000</v>
      </c>
      <c r="CF46" s="588">
        <v>1000</v>
      </c>
      <c r="CG46" s="588">
        <v>1000</v>
      </c>
      <c r="CH46" s="588">
        <v>1000</v>
      </c>
      <c r="CI46" s="588">
        <v>1000</v>
      </c>
      <c r="CJ46" s="588">
        <v>1000</v>
      </c>
      <c r="CK46" s="588">
        <v>1000</v>
      </c>
      <c r="CL46" s="588">
        <v>1000</v>
      </c>
      <c r="CM46" s="588">
        <v>1000</v>
      </c>
      <c r="CN46" s="588">
        <v>1000</v>
      </c>
      <c r="CO46" s="588">
        <v>1000</v>
      </c>
      <c r="CP46" s="596">
        <v>1000</v>
      </c>
      <c r="CQ46" s="587">
        <v>0</v>
      </c>
      <c r="CR46" s="588">
        <v>0</v>
      </c>
      <c r="CS46" s="588">
        <v>0</v>
      </c>
      <c r="CT46" s="588">
        <v>0</v>
      </c>
      <c r="CU46" s="588">
        <v>0</v>
      </c>
      <c r="CV46" s="588">
        <v>0</v>
      </c>
      <c r="CW46" s="588">
        <v>0</v>
      </c>
      <c r="CX46" s="588">
        <v>0</v>
      </c>
      <c r="CY46" s="588"/>
      <c r="CZ46" s="588"/>
      <c r="DA46" s="588"/>
      <c r="DB46" s="596"/>
    </row>
    <row r="47" spans="1:106" x14ac:dyDescent="0.2">
      <c r="A47" s="1138" t="s">
        <v>259</v>
      </c>
      <c r="B47" s="836">
        <f t="shared" si="13"/>
        <v>0.9263157894736842</v>
      </c>
      <c r="C47" s="603" t="s">
        <v>166</v>
      </c>
      <c r="D47" s="745">
        <f t="shared" si="14"/>
        <v>7000</v>
      </c>
      <c r="E47" s="605">
        <f t="shared" ref="E47:E58" si="15">SUM(H47:DB47)</f>
        <v>88000</v>
      </c>
      <c r="F47" s="605">
        <f t="shared" si="12"/>
        <v>95000</v>
      </c>
      <c r="G47" s="607">
        <f t="shared" si="3"/>
        <v>-7.3684210526315796E-2</v>
      </c>
      <c r="H47" s="593">
        <v>1000</v>
      </c>
      <c r="I47" s="588">
        <v>1000</v>
      </c>
      <c r="J47" s="588">
        <v>1000</v>
      </c>
      <c r="K47" s="588">
        <v>1000</v>
      </c>
      <c r="L47" s="588">
        <v>1000</v>
      </c>
      <c r="M47" s="588">
        <v>1000</v>
      </c>
      <c r="N47" s="588">
        <v>1000</v>
      </c>
      <c r="O47" s="588">
        <v>1000</v>
      </c>
      <c r="P47" s="588">
        <v>1000</v>
      </c>
      <c r="Q47" s="588">
        <v>1000</v>
      </c>
      <c r="R47" s="588">
        <v>1000</v>
      </c>
      <c r="S47" s="592">
        <v>1000</v>
      </c>
      <c r="T47" s="593">
        <v>1000</v>
      </c>
      <c r="U47" s="588">
        <v>1000</v>
      </c>
      <c r="V47" s="588">
        <v>1000</v>
      </c>
      <c r="W47" s="588">
        <v>1000</v>
      </c>
      <c r="X47" s="588">
        <v>1000</v>
      </c>
      <c r="Y47" s="588">
        <v>1000</v>
      </c>
      <c r="Z47" s="588">
        <v>1000</v>
      </c>
      <c r="AA47" s="588">
        <v>1000</v>
      </c>
      <c r="AB47" s="588">
        <v>1000</v>
      </c>
      <c r="AC47" s="588">
        <v>1000</v>
      </c>
      <c r="AD47" s="588">
        <v>1000</v>
      </c>
      <c r="AE47" s="592">
        <v>1000</v>
      </c>
      <c r="AF47" s="593">
        <v>1000</v>
      </c>
      <c r="AG47" s="588">
        <v>1000</v>
      </c>
      <c r="AH47" s="588">
        <v>1000</v>
      </c>
      <c r="AI47" s="588">
        <v>1000</v>
      </c>
      <c r="AJ47" s="588">
        <v>1000</v>
      </c>
      <c r="AK47" s="588">
        <v>1000</v>
      </c>
      <c r="AL47" s="588">
        <v>1000</v>
      </c>
      <c r="AM47" s="588">
        <v>1000</v>
      </c>
      <c r="AN47" s="588">
        <v>1000</v>
      </c>
      <c r="AO47" s="588">
        <v>1000</v>
      </c>
      <c r="AP47" s="588">
        <v>1000</v>
      </c>
      <c r="AQ47" s="592">
        <v>1000</v>
      </c>
      <c r="AR47" s="593">
        <v>1000</v>
      </c>
      <c r="AS47" s="588">
        <v>1000</v>
      </c>
      <c r="AT47" s="588">
        <v>1000</v>
      </c>
      <c r="AU47" s="588">
        <v>1000</v>
      </c>
      <c r="AV47" s="588">
        <v>1000</v>
      </c>
      <c r="AW47" s="588">
        <v>1000</v>
      </c>
      <c r="AX47" s="588">
        <v>1000</v>
      </c>
      <c r="AY47" s="588">
        <v>1000</v>
      </c>
      <c r="AZ47" s="588">
        <v>1000</v>
      </c>
      <c r="BA47" s="588">
        <v>1000</v>
      </c>
      <c r="BB47" s="588">
        <v>1000</v>
      </c>
      <c r="BC47" s="592">
        <v>1000</v>
      </c>
      <c r="BD47" s="593">
        <v>1000</v>
      </c>
      <c r="BE47" s="588">
        <v>1000</v>
      </c>
      <c r="BF47" s="588">
        <v>1000</v>
      </c>
      <c r="BG47" s="588">
        <v>1000</v>
      </c>
      <c r="BH47" s="588">
        <v>1000</v>
      </c>
      <c r="BI47" s="588">
        <v>1000</v>
      </c>
      <c r="BJ47" s="588">
        <v>1000</v>
      </c>
      <c r="BK47" s="588">
        <v>1000</v>
      </c>
      <c r="BL47" s="588">
        <v>1000</v>
      </c>
      <c r="BM47" s="588">
        <v>1000</v>
      </c>
      <c r="BN47" s="588">
        <v>1000</v>
      </c>
      <c r="BO47" s="592">
        <v>1000</v>
      </c>
      <c r="BP47" s="593">
        <v>1000</v>
      </c>
      <c r="BQ47" s="588">
        <v>1000</v>
      </c>
      <c r="BR47" s="588">
        <v>1000</v>
      </c>
      <c r="BS47" s="587">
        <v>1000</v>
      </c>
      <c r="BT47" s="588">
        <v>1000</v>
      </c>
      <c r="BU47" s="588">
        <v>1000</v>
      </c>
      <c r="BV47" s="588">
        <v>1000</v>
      </c>
      <c r="BW47" s="588">
        <v>1000</v>
      </c>
      <c r="BX47" s="588">
        <v>1000</v>
      </c>
      <c r="BY47" s="588">
        <v>1000</v>
      </c>
      <c r="BZ47" s="588">
        <v>1000</v>
      </c>
      <c r="CA47" s="588">
        <v>1000</v>
      </c>
      <c r="CB47" s="588">
        <v>1000</v>
      </c>
      <c r="CC47" s="588">
        <v>1000</v>
      </c>
      <c r="CD47" s="596">
        <v>1000</v>
      </c>
      <c r="CE47" s="587">
        <v>1000</v>
      </c>
      <c r="CF47" s="588">
        <v>1000</v>
      </c>
      <c r="CG47" s="588">
        <v>1000</v>
      </c>
      <c r="CH47" s="588">
        <v>1000</v>
      </c>
      <c r="CI47" s="588">
        <v>1000</v>
      </c>
      <c r="CJ47" s="588">
        <v>1000</v>
      </c>
      <c r="CK47" s="588">
        <v>1000</v>
      </c>
      <c r="CL47" s="588">
        <v>1000</v>
      </c>
      <c r="CM47" s="588">
        <v>1000</v>
      </c>
      <c r="CN47" s="588">
        <v>1000</v>
      </c>
      <c r="CO47" s="588">
        <v>1000</v>
      </c>
      <c r="CP47" s="596">
        <v>1000</v>
      </c>
      <c r="CQ47" s="587">
        <v>1000</v>
      </c>
      <c r="CR47" s="588">
        <v>0</v>
      </c>
      <c r="CS47" s="588">
        <v>0</v>
      </c>
      <c r="CT47" s="588">
        <v>0</v>
      </c>
      <c r="CU47" s="588">
        <v>0</v>
      </c>
      <c r="CV47" s="588">
        <v>0</v>
      </c>
      <c r="CW47" s="588">
        <v>0</v>
      </c>
      <c r="CX47" s="588">
        <v>0</v>
      </c>
      <c r="CY47" s="588"/>
      <c r="CZ47" s="588"/>
      <c r="DA47" s="588"/>
      <c r="DB47" s="596"/>
    </row>
    <row r="48" spans="1:106" x14ac:dyDescent="0.2">
      <c r="A48" s="1138"/>
      <c r="B48" s="836">
        <f t="shared" si="13"/>
        <v>0.9263157894736842</v>
      </c>
      <c r="C48" s="603" t="s">
        <v>167</v>
      </c>
      <c r="D48" s="745">
        <f t="shared" si="14"/>
        <v>7000</v>
      </c>
      <c r="E48" s="605">
        <f t="shared" si="15"/>
        <v>88000</v>
      </c>
      <c r="F48" s="605">
        <f t="shared" si="12"/>
        <v>95000</v>
      </c>
      <c r="G48" s="607">
        <f t="shared" si="3"/>
        <v>-7.3684210526315796E-2</v>
      </c>
      <c r="H48" s="593">
        <v>1000</v>
      </c>
      <c r="I48" s="588">
        <v>1000</v>
      </c>
      <c r="J48" s="588">
        <v>1000</v>
      </c>
      <c r="K48" s="588">
        <v>1000</v>
      </c>
      <c r="L48" s="588">
        <v>1000</v>
      </c>
      <c r="M48" s="588">
        <v>1000</v>
      </c>
      <c r="N48" s="588">
        <v>1000</v>
      </c>
      <c r="O48" s="588">
        <v>1000</v>
      </c>
      <c r="P48" s="588">
        <v>1000</v>
      </c>
      <c r="Q48" s="588">
        <v>1000</v>
      </c>
      <c r="R48" s="588">
        <v>1000</v>
      </c>
      <c r="S48" s="592">
        <v>1000</v>
      </c>
      <c r="T48" s="593">
        <v>1000</v>
      </c>
      <c r="U48" s="588">
        <v>1000</v>
      </c>
      <c r="V48" s="588">
        <v>1000</v>
      </c>
      <c r="W48" s="588">
        <v>1000</v>
      </c>
      <c r="X48" s="588">
        <v>1000</v>
      </c>
      <c r="Y48" s="588">
        <v>1000</v>
      </c>
      <c r="Z48" s="588">
        <v>1000</v>
      </c>
      <c r="AA48" s="588">
        <v>1000</v>
      </c>
      <c r="AB48" s="588">
        <v>1000</v>
      </c>
      <c r="AC48" s="588">
        <v>1000</v>
      </c>
      <c r="AD48" s="588">
        <v>1000</v>
      </c>
      <c r="AE48" s="592">
        <v>1000</v>
      </c>
      <c r="AF48" s="593">
        <v>1000</v>
      </c>
      <c r="AG48" s="588">
        <v>1000</v>
      </c>
      <c r="AH48" s="588">
        <v>1000</v>
      </c>
      <c r="AI48" s="588">
        <v>1000</v>
      </c>
      <c r="AJ48" s="588">
        <v>1000</v>
      </c>
      <c r="AK48" s="588">
        <v>1000</v>
      </c>
      <c r="AL48" s="588">
        <v>1000</v>
      </c>
      <c r="AM48" s="588">
        <v>1000</v>
      </c>
      <c r="AN48" s="588">
        <v>1000</v>
      </c>
      <c r="AO48" s="588">
        <v>1000</v>
      </c>
      <c r="AP48" s="588">
        <v>1000</v>
      </c>
      <c r="AQ48" s="592">
        <v>1000</v>
      </c>
      <c r="AR48" s="593">
        <v>1000</v>
      </c>
      <c r="AS48" s="588">
        <v>1000</v>
      </c>
      <c r="AT48" s="588">
        <v>1000</v>
      </c>
      <c r="AU48" s="588">
        <v>1000</v>
      </c>
      <c r="AV48" s="588">
        <v>1000</v>
      </c>
      <c r="AW48" s="588">
        <v>1000</v>
      </c>
      <c r="AX48" s="588">
        <v>1000</v>
      </c>
      <c r="AY48" s="588">
        <v>1000</v>
      </c>
      <c r="AZ48" s="588">
        <v>1000</v>
      </c>
      <c r="BA48" s="588">
        <v>1000</v>
      </c>
      <c r="BB48" s="588">
        <v>1000</v>
      </c>
      <c r="BC48" s="592">
        <v>1000</v>
      </c>
      <c r="BD48" s="593">
        <v>1000</v>
      </c>
      <c r="BE48" s="588">
        <v>1000</v>
      </c>
      <c r="BF48" s="588">
        <v>1000</v>
      </c>
      <c r="BG48" s="588">
        <v>1000</v>
      </c>
      <c r="BH48" s="588">
        <v>1000</v>
      </c>
      <c r="BI48" s="588">
        <v>1000</v>
      </c>
      <c r="BJ48" s="588">
        <v>1000</v>
      </c>
      <c r="BK48" s="588">
        <v>1000</v>
      </c>
      <c r="BL48" s="588">
        <v>1000</v>
      </c>
      <c r="BM48" s="588">
        <v>1000</v>
      </c>
      <c r="BN48" s="588">
        <v>1000</v>
      </c>
      <c r="BO48" s="592">
        <v>1000</v>
      </c>
      <c r="BP48" s="593">
        <v>1000</v>
      </c>
      <c r="BQ48" s="588">
        <v>1000</v>
      </c>
      <c r="BR48" s="588">
        <v>1000</v>
      </c>
      <c r="BS48" s="587">
        <v>1000</v>
      </c>
      <c r="BT48" s="588">
        <v>1000</v>
      </c>
      <c r="BU48" s="588">
        <v>1000</v>
      </c>
      <c r="BV48" s="588">
        <v>1000</v>
      </c>
      <c r="BW48" s="588">
        <v>1000</v>
      </c>
      <c r="BX48" s="588">
        <v>1000</v>
      </c>
      <c r="BY48" s="588">
        <v>1000</v>
      </c>
      <c r="BZ48" s="588">
        <v>1000</v>
      </c>
      <c r="CA48" s="588">
        <v>1000</v>
      </c>
      <c r="CB48" s="588">
        <v>1000</v>
      </c>
      <c r="CC48" s="588">
        <v>1000</v>
      </c>
      <c r="CD48" s="596">
        <v>1000</v>
      </c>
      <c r="CE48" s="587">
        <v>1000</v>
      </c>
      <c r="CF48" s="588">
        <v>1000</v>
      </c>
      <c r="CG48" s="588">
        <v>1000</v>
      </c>
      <c r="CH48" s="588">
        <v>1000</v>
      </c>
      <c r="CI48" s="588">
        <v>1000</v>
      </c>
      <c r="CJ48" s="588">
        <v>1000</v>
      </c>
      <c r="CK48" s="588">
        <v>1000</v>
      </c>
      <c r="CL48" s="588">
        <v>1000</v>
      </c>
      <c r="CM48" s="588">
        <v>1000</v>
      </c>
      <c r="CN48" s="588">
        <v>1000</v>
      </c>
      <c r="CO48" s="588">
        <v>1000</v>
      </c>
      <c r="CP48" s="596">
        <v>1000</v>
      </c>
      <c r="CQ48" s="587">
        <v>1000</v>
      </c>
      <c r="CR48" s="588">
        <v>0</v>
      </c>
      <c r="CS48" s="588">
        <v>0</v>
      </c>
      <c r="CT48" s="588">
        <v>0</v>
      </c>
      <c r="CU48" s="588">
        <v>0</v>
      </c>
      <c r="CV48" s="588">
        <v>0</v>
      </c>
      <c r="CW48" s="588">
        <v>0</v>
      </c>
      <c r="CX48" s="588">
        <v>0</v>
      </c>
      <c r="CY48" s="588"/>
      <c r="CZ48" s="588"/>
      <c r="DA48" s="588"/>
      <c r="DB48" s="596"/>
    </row>
    <row r="49" spans="1:108" x14ac:dyDescent="0.2">
      <c r="A49" s="1138"/>
      <c r="B49" s="836">
        <f t="shared" si="13"/>
        <v>0.86315789473684212</v>
      </c>
      <c r="C49" s="606" t="s">
        <v>260</v>
      </c>
      <c r="D49" s="745">
        <f t="shared" si="14"/>
        <v>13000</v>
      </c>
      <c r="E49" s="605">
        <f t="shared" si="15"/>
        <v>82000</v>
      </c>
      <c r="F49" s="605">
        <f t="shared" si="12"/>
        <v>95000</v>
      </c>
      <c r="G49" s="607">
        <f t="shared" si="3"/>
        <v>-0.13684210526315788</v>
      </c>
      <c r="H49" s="593">
        <v>1000</v>
      </c>
      <c r="I49" s="588">
        <v>1000</v>
      </c>
      <c r="J49" s="588">
        <v>1000</v>
      </c>
      <c r="K49" s="588">
        <v>1000</v>
      </c>
      <c r="L49" s="588">
        <v>1000</v>
      </c>
      <c r="M49" s="588">
        <v>1000</v>
      </c>
      <c r="N49" s="588">
        <v>1000</v>
      </c>
      <c r="O49" s="588">
        <v>1000</v>
      </c>
      <c r="P49" s="588">
        <v>1000</v>
      </c>
      <c r="Q49" s="588">
        <v>1000</v>
      </c>
      <c r="R49" s="588">
        <v>1000</v>
      </c>
      <c r="S49" s="592">
        <v>1000</v>
      </c>
      <c r="T49" s="593">
        <v>1000</v>
      </c>
      <c r="U49" s="588">
        <v>1000</v>
      </c>
      <c r="V49" s="588">
        <v>1000</v>
      </c>
      <c r="W49" s="588">
        <v>1000</v>
      </c>
      <c r="X49" s="588">
        <v>1000</v>
      </c>
      <c r="Y49" s="588">
        <v>1000</v>
      </c>
      <c r="Z49" s="588">
        <v>1000</v>
      </c>
      <c r="AA49" s="588">
        <v>1000</v>
      </c>
      <c r="AB49" s="588">
        <v>1000</v>
      </c>
      <c r="AC49" s="588">
        <v>1000</v>
      </c>
      <c r="AD49" s="588">
        <v>1000</v>
      </c>
      <c r="AE49" s="592">
        <v>1000</v>
      </c>
      <c r="AF49" s="593">
        <v>1000</v>
      </c>
      <c r="AG49" s="588">
        <v>1000</v>
      </c>
      <c r="AH49" s="588">
        <v>1000</v>
      </c>
      <c r="AI49" s="588">
        <v>1000</v>
      </c>
      <c r="AJ49" s="588">
        <v>1000</v>
      </c>
      <c r="AK49" s="588">
        <v>1000</v>
      </c>
      <c r="AL49" s="588">
        <v>1000</v>
      </c>
      <c r="AM49" s="588">
        <v>1000</v>
      </c>
      <c r="AN49" s="588">
        <v>1000</v>
      </c>
      <c r="AO49" s="588">
        <v>1000</v>
      </c>
      <c r="AP49" s="588">
        <v>1000</v>
      </c>
      <c r="AQ49" s="592">
        <v>1000</v>
      </c>
      <c r="AR49" s="593">
        <v>1000</v>
      </c>
      <c r="AS49" s="588">
        <v>1000</v>
      </c>
      <c r="AT49" s="588">
        <v>1000</v>
      </c>
      <c r="AU49" s="588">
        <v>1000</v>
      </c>
      <c r="AV49" s="588">
        <v>1000</v>
      </c>
      <c r="AW49" s="588">
        <v>1000</v>
      </c>
      <c r="AX49" s="588">
        <v>1000</v>
      </c>
      <c r="AY49" s="588">
        <v>1000</v>
      </c>
      <c r="AZ49" s="588">
        <v>1000</v>
      </c>
      <c r="BA49" s="588">
        <v>1000</v>
      </c>
      <c r="BB49" s="588">
        <v>1000</v>
      </c>
      <c r="BC49" s="592">
        <v>1000</v>
      </c>
      <c r="BD49" s="593">
        <v>1000</v>
      </c>
      <c r="BE49" s="588">
        <v>1000</v>
      </c>
      <c r="BF49" s="588">
        <v>1000</v>
      </c>
      <c r="BG49" s="588">
        <v>1000</v>
      </c>
      <c r="BH49" s="588">
        <v>1000</v>
      </c>
      <c r="BI49" s="588">
        <v>1000</v>
      </c>
      <c r="BJ49" s="588">
        <v>1000</v>
      </c>
      <c r="BK49" s="588">
        <v>1000</v>
      </c>
      <c r="BL49" s="588">
        <v>1000</v>
      </c>
      <c r="BM49" s="588">
        <v>1000</v>
      </c>
      <c r="BN49" s="588">
        <v>1000</v>
      </c>
      <c r="BO49" s="592">
        <v>1000</v>
      </c>
      <c r="BP49" s="593">
        <v>1000</v>
      </c>
      <c r="BQ49" s="588">
        <v>1000</v>
      </c>
      <c r="BR49" s="588">
        <v>1000</v>
      </c>
      <c r="BS49" s="587">
        <v>1000</v>
      </c>
      <c r="BT49" s="588">
        <v>1000</v>
      </c>
      <c r="BU49" s="588">
        <v>1000</v>
      </c>
      <c r="BV49" s="588">
        <v>1000</v>
      </c>
      <c r="BW49" s="588">
        <v>1000</v>
      </c>
      <c r="BX49" s="588">
        <v>1000</v>
      </c>
      <c r="BY49" s="588">
        <v>1000</v>
      </c>
      <c r="BZ49" s="588">
        <v>1000</v>
      </c>
      <c r="CA49" s="588">
        <v>1000</v>
      </c>
      <c r="CB49" s="588">
        <v>1000</v>
      </c>
      <c r="CC49" s="588">
        <v>1000</v>
      </c>
      <c r="CD49" s="596">
        <v>1000</v>
      </c>
      <c r="CE49" s="587">
        <v>1000</v>
      </c>
      <c r="CF49" s="588">
        <v>1000</v>
      </c>
      <c r="CG49" s="588">
        <v>1000</v>
      </c>
      <c r="CH49" s="588">
        <v>1000</v>
      </c>
      <c r="CI49" s="588">
        <v>1000</v>
      </c>
      <c r="CJ49" s="588">
        <v>1000</v>
      </c>
      <c r="CK49" s="588">
        <v>1000</v>
      </c>
      <c r="CL49" s="588">
        <v>0</v>
      </c>
      <c r="CM49" s="588">
        <v>0</v>
      </c>
      <c r="CN49" s="588">
        <v>0</v>
      </c>
      <c r="CO49" s="588">
        <v>0</v>
      </c>
      <c r="CP49" s="596">
        <v>0</v>
      </c>
      <c r="CQ49" s="587">
        <v>0</v>
      </c>
      <c r="CR49" s="588">
        <v>0</v>
      </c>
      <c r="CS49" s="588">
        <v>0</v>
      </c>
      <c r="CT49" s="588">
        <v>0</v>
      </c>
      <c r="CU49" s="588">
        <v>0</v>
      </c>
      <c r="CV49" s="588">
        <v>0</v>
      </c>
      <c r="CW49" s="588">
        <v>0</v>
      </c>
      <c r="CX49" s="588">
        <v>0</v>
      </c>
      <c r="CY49" s="588"/>
      <c r="CZ49" s="588"/>
      <c r="DA49" s="588"/>
      <c r="DB49" s="596"/>
    </row>
    <row r="50" spans="1:108" x14ac:dyDescent="0.2">
      <c r="A50" s="1135" t="s">
        <v>262</v>
      </c>
      <c r="B50" s="837">
        <f t="shared" si="13"/>
        <v>0.67368421052631577</v>
      </c>
      <c r="C50" s="851" t="s">
        <v>263</v>
      </c>
      <c r="D50" s="839">
        <f t="shared" si="14"/>
        <v>31000</v>
      </c>
      <c r="E50" s="840">
        <f t="shared" si="15"/>
        <v>64000</v>
      </c>
      <c r="F50" s="840">
        <f t="shared" si="12"/>
        <v>95000</v>
      </c>
      <c r="G50" s="841">
        <f t="shared" si="3"/>
        <v>-0.32631578947368423</v>
      </c>
      <c r="H50" s="593">
        <v>1000</v>
      </c>
      <c r="I50" s="588">
        <v>1000</v>
      </c>
      <c r="J50" s="588">
        <v>1000</v>
      </c>
      <c r="K50" s="588">
        <v>1000</v>
      </c>
      <c r="L50" s="588">
        <v>1000</v>
      </c>
      <c r="M50" s="588">
        <v>1000</v>
      </c>
      <c r="N50" s="588">
        <v>1000</v>
      </c>
      <c r="O50" s="588">
        <v>1000</v>
      </c>
      <c r="P50" s="588">
        <v>1000</v>
      </c>
      <c r="Q50" s="588">
        <v>1000</v>
      </c>
      <c r="R50" s="588">
        <v>1000</v>
      </c>
      <c r="S50" s="592">
        <v>1000</v>
      </c>
      <c r="T50" s="593">
        <v>1000</v>
      </c>
      <c r="U50" s="588">
        <v>1000</v>
      </c>
      <c r="V50" s="588">
        <v>1000</v>
      </c>
      <c r="W50" s="588">
        <v>1000</v>
      </c>
      <c r="X50" s="588">
        <v>1000</v>
      </c>
      <c r="Y50" s="588">
        <v>1000</v>
      </c>
      <c r="Z50" s="588">
        <v>1000</v>
      </c>
      <c r="AA50" s="588">
        <v>1000</v>
      </c>
      <c r="AB50" s="588">
        <v>1000</v>
      </c>
      <c r="AC50" s="588">
        <v>1000</v>
      </c>
      <c r="AD50" s="588">
        <v>1000</v>
      </c>
      <c r="AE50" s="592">
        <v>1000</v>
      </c>
      <c r="AF50" s="593">
        <v>1000</v>
      </c>
      <c r="AG50" s="588">
        <v>1000</v>
      </c>
      <c r="AH50" s="588">
        <v>1000</v>
      </c>
      <c r="AI50" s="588">
        <v>1000</v>
      </c>
      <c r="AJ50" s="588">
        <v>1000</v>
      </c>
      <c r="AK50" s="588">
        <v>1000</v>
      </c>
      <c r="AL50" s="588">
        <v>1000</v>
      </c>
      <c r="AM50" s="588">
        <v>1000</v>
      </c>
      <c r="AN50" s="588">
        <v>1000</v>
      </c>
      <c r="AO50" s="588">
        <v>1000</v>
      </c>
      <c r="AP50" s="588">
        <v>1000</v>
      </c>
      <c r="AQ50" s="592">
        <v>1000</v>
      </c>
      <c r="AR50" s="593">
        <v>1000</v>
      </c>
      <c r="AS50" s="588">
        <v>1000</v>
      </c>
      <c r="AT50" s="588">
        <v>1000</v>
      </c>
      <c r="AU50" s="588">
        <v>1000</v>
      </c>
      <c r="AV50" s="588">
        <v>1000</v>
      </c>
      <c r="AW50" s="588">
        <v>1000</v>
      </c>
      <c r="AX50" s="588">
        <v>1000</v>
      </c>
      <c r="AY50" s="588">
        <v>1000</v>
      </c>
      <c r="AZ50" s="588">
        <v>1000</v>
      </c>
      <c r="BA50" s="588">
        <v>1000</v>
      </c>
      <c r="BB50" s="588">
        <v>1000</v>
      </c>
      <c r="BC50" s="592">
        <v>1000</v>
      </c>
      <c r="BD50" s="593">
        <v>1000</v>
      </c>
      <c r="BE50" s="588">
        <v>1000</v>
      </c>
      <c r="BF50" s="588">
        <v>1000</v>
      </c>
      <c r="BG50" s="588">
        <v>1000</v>
      </c>
      <c r="BH50" s="588">
        <v>1000</v>
      </c>
      <c r="BI50" s="588">
        <v>1000</v>
      </c>
      <c r="BJ50" s="588">
        <v>1000</v>
      </c>
      <c r="BK50" s="588">
        <v>1000</v>
      </c>
      <c r="BL50" s="588">
        <v>1000</v>
      </c>
      <c r="BM50" s="588">
        <v>1000</v>
      </c>
      <c r="BN50" s="588">
        <v>1000</v>
      </c>
      <c r="BO50" s="592">
        <v>1000</v>
      </c>
      <c r="BP50" s="593">
        <v>1000</v>
      </c>
      <c r="BQ50" s="588">
        <v>1000</v>
      </c>
      <c r="BR50" s="588">
        <v>1000</v>
      </c>
      <c r="BS50" s="587">
        <v>1000</v>
      </c>
      <c r="BT50" s="588">
        <v>0</v>
      </c>
      <c r="BU50" s="588">
        <v>0</v>
      </c>
      <c r="BV50" s="588">
        <v>0</v>
      </c>
      <c r="BW50" s="588">
        <v>0</v>
      </c>
      <c r="BX50" s="588">
        <v>0</v>
      </c>
      <c r="BY50" s="588">
        <v>0</v>
      </c>
      <c r="BZ50" s="588">
        <v>0</v>
      </c>
      <c r="CA50" s="588">
        <v>0</v>
      </c>
      <c r="CB50" s="588">
        <v>0</v>
      </c>
      <c r="CC50" s="588">
        <v>0</v>
      </c>
      <c r="CD50" s="596">
        <v>0</v>
      </c>
      <c r="CE50" s="587">
        <v>0</v>
      </c>
      <c r="CF50" s="588">
        <v>0</v>
      </c>
      <c r="CG50" s="588">
        <v>0</v>
      </c>
      <c r="CH50" s="588">
        <v>0</v>
      </c>
      <c r="CI50" s="588">
        <v>0</v>
      </c>
      <c r="CJ50" s="588">
        <v>0</v>
      </c>
      <c r="CK50" s="588">
        <v>0</v>
      </c>
      <c r="CL50" s="588">
        <v>0</v>
      </c>
      <c r="CM50" s="588">
        <v>0</v>
      </c>
      <c r="CN50" s="588">
        <v>0</v>
      </c>
      <c r="CO50" s="588">
        <v>0</v>
      </c>
      <c r="CP50" s="596">
        <v>0</v>
      </c>
      <c r="CQ50" s="587">
        <v>0</v>
      </c>
      <c r="CR50" s="588">
        <v>0</v>
      </c>
      <c r="CS50" s="588">
        <v>0</v>
      </c>
      <c r="CT50" s="588">
        <v>0</v>
      </c>
      <c r="CU50" s="588">
        <v>0</v>
      </c>
      <c r="CV50" s="588">
        <v>0</v>
      </c>
      <c r="CW50" s="588">
        <v>0</v>
      </c>
      <c r="CX50" s="588">
        <v>0</v>
      </c>
      <c r="CY50" s="588"/>
      <c r="CZ50" s="588"/>
      <c r="DA50" s="588"/>
      <c r="DB50" s="596"/>
    </row>
    <row r="51" spans="1:108" x14ac:dyDescent="0.2">
      <c r="A51" s="1136"/>
      <c r="B51" s="836">
        <f t="shared" si="13"/>
        <v>0.79104477611940294</v>
      </c>
      <c r="C51" s="842" t="s">
        <v>172</v>
      </c>
      <c r="D51" s="843">
        <f t="shared" si="14"/>
        <v>14000</v>
      </c>
      <c r="E51" s="605">
        <f t="shared" si="15"/>
        <v>53000</v>
      </c>
      <c r="F51" s="605">
        <f t="shared" si="12"/>
        <v>67000</v>
      </c>
      <c r="G51" s="844">
        <f t="shared" si="3"/>
        <v>-0.20895522388059706</v>
      </c>
      <c r="H51" s="594"/>
      <c r="I51" s="589"/>
      <c r="J51" s="589"/>
      <c r="K51" s="589"/>
      <c r="L51" s="589"/>
      <c r="M51" s="589"/>
      <c r="N51" s="589"/>
      <c r="O51" s="589"/>
      <c r="P51" s="589"/>
      <c r="Q51" s="589"/>
      <c r="R51" s="589"/>
      <c r="S51" s="595"/>
      <c r="T51" s="594"/>
      <c r="U51" s="589"/>
      <c r="V51" s="589"/>
      <c r="W51" s="589"/>
      <c r="X51" s="589"/>
      <c r="Y51" s="589"/>
      <c r="Z51" s="589"/>
      <c r="AA51" s="589"/>
      <c r="AB51" s="589"/>
      <c r="AC51" s="589"/>
      <c r="AD51" s="589"/>
      <c r="AE51" s="595"/>
      <c r="AF51" s="594"/>
      <c r="AG51" s="589"/>
      <c r="AH51" s="589"/>
      <c r="AI51" s="589"/>
      <c r="AJ51" s="588">
        <v>1000</v>
      </c>
      <c r="AK51" s="588">
        <v>1000</v>
      </c>
      <c r="AL51" s="588">
        <v>1000</v>
      </c>
      <c r="AM51" s="588">
        <v>1000</v>
      </c>
      <c r="AN51" s="588">
        <v>1000</v>
      </c>
      <c r="AO51" s="588">
        <v>1000</v>
      </c>
      <c r="AP51" s="588">
        <v>1000</v>
      </c>
      <c r="AQ51" s="592">
        <v>1000</v>
      </c>
      <c r="AR51" s="593">
        <v>1000</v>
      </c>
      <c r="AS51" s="588">
        <v>1000</v>
      </c>
      <c r="AT51" s="588">
        <v>1000</v>
      </c>
      <c r="AU51" s="588">
        <v>1000</v>
      </c>
      <c r="AV51" s="588">
        <v>1000</v>
      </c>
      <c r="AW51" s="588">
        <v>1000</v>
      </c>
      <c r="AX51" s="588">
        <v>1000</v>
      </c>
      <c r="AY51" s="588">
        <v>1000</v>
      </c>
      <c r="AZ51" s="588">
        <v>1000</v>
      </c>
      <c r="BA51" s="588">
        <v>1000</v>
      </c>
      <c r="BB51" s="588">
        <v>1000</v>
      </c>
      <c r="BC51" s="592">
        <v>1000</v>
      </c>
      <c r="BD51" s="593">
        <v>1000</v>
      </c>
      <c r="BE51" s="588">
        <v>1000</v>
      </c>
      <c r="BF51" s="588">
        <v>1000</v>
      </c>
      <c r="BG51" s="588">
        <v>1000</v>
      </c>
      <c r="BH51" s="588">
        <v>1000</v>
      </c>
      <c r="BI51" s="588">
        <v>1000</v>
      </c>
      <c r="BJ51" s="588">
        <v>1000</v>
      </c>
      <c r="BK51" s="588">
        <v>1000</v>
      </c>
      <c r="BL51" s="588">
        <v>1000</v>
      </c>
      <c r="BM51" s="588">
        <v>1000</v>
      </c>
      <c r="BN51" s="588">
        <v>1000</v>
      </c>
      <c r="BO51" s="592">
        <v>1000</v>
      </c>
      <c r="BP51" s="593">
        <v>1000</v>
      </c>
      <c r="BQ51" s="588">
        <v>1000</v>
      </c>
      <c r="BR51" s="588">
        <v>1000</v>
      </c>
      <c r="BS51" s="587">
        <v>1000</v>
      </c>
      <c r="BT51" s="588">
        <v>1000</v>
      </c>
      <c r="BU51" s="588">
        <v>1000</v>
      </c>
      <c r="BV51" s="588">
        <v>1000</v>
      </c>
      <c r="BW51" s="588">
        <v>1000</v>
      </c>
      <c r="BX51" s="588">
        <v>1000</v>
      </c>
      <c r="BY51" s="588">
        <v>1000</v>
      </c>
      <c r="BZ51" s="588">
        <v>1000</v>
      </c>
      <c r="CA51" s="588">
        <v>1000</v>
      </c>
      <c r="CB51" s="588">
        <v>1000</v>
      </c>
      <c r="CC51" s="588">
        <v>1000</v>
      </c>
      <c r="CD51" s="596">
        <v>1000</v>
      </c>
      <c r="CE51" s="587">
        <v>1000</v>
      </c>
      <c r="CF51" s="588">
        <v>1000</v>
      </c>
      <c r="CG51" s="588">
        <v>1000</v>
      </c>
      <c r="CH51" s="588">
        <v>1000</v>
      </c>
      <c r="CI51" s="588">
        <v>1000</v>
      </c>
      <c r="CJ51" s="588">
        <v>1000</v>
      </c>
      <c r="CK51" s="588">
        <v>0</v>
      </c>
      <c r="CL51" s="588">
        <v>0</v>
      </c>
      <c r="CM51" s="588">
        <v>0</v>
      </c>
      <c r="CN51" s="588">
        <v>0</v>
      </c>
      <c r="CO51" s="588">
        <v>0</v>
      </c>
      <c r="CP51" s="596">
        <v>0</v>
      </c>
      <c r="CQ51" s="587">
        <v>0</v>
      </c>
      <c r="CR51" s="588">
        <v>0</v>
      </c>
      <c r="CS51" s="588">
        <v>0</v>
      </c>
      <c r="CT51" s="588">
        <v>0</v>
      </c>
      <c r="CU51" s="588">
        <v>0</v>
      </c>
      <c r="CV51" s="588">
        <v>0</v>
      </c>
      <c r="CW51" s="588">
        <v>0</v>
      </c>
      <c r="CX51" s="588">
        <v>0</v>
      </c>
      <c r="CY51" s="588"/>
      <c r="CZ51" s="588"/>
      <c r="DA51" s="588"/>
      <c r="DB51" s="596"/>
    </row>
    <row r="52" spans="1:108" x14ac:dyDescent="0.2">
      <c r="A52" s="1137"/>
      <c r="B52" s="845">
        <f t="shared" si="13"/>
        <v>1</v>
      </c>
      <c r="C52" s="854" t="s">
        <v>312</v>
      </c>
      <c r="D52" s="847">
        <f t="shared" si="14"/>
        <v>0</v>
      </c>
      <c r="E52" s="848">
        <f t="shared" si="15"/>
        <v>36000</v>
      </c>
      <c r="F52" s="848">
        <f t="shared" si="12"/>
        <v>36000</v>
      </c>
      <c r="G52" s="849">
        <f>+IF((E52+F52)=0,"No Aplica",+E52/F52-1)</f>
        <v>0</v>
      </c>
      <c r="H52" s="594"/>
      <c r="I52" s="589"/>
      <c r="J52" s="589"/>
      <c r="K52" s="589"/>
      <c r="L52" s="589"/>
      <c r="M52" s="589"/>
      <c r="N52" s="589"/>
      <c r="O52" s="589"/>
      <c r="P52" s="589"/>
      <c r="Q52" s="589"/>
      <c r="R52" s="589"/>
      <c r="S52" s="595"/>
      <c r="T52" s="594"/>
      <c r="U52" s="589"/>
      <c r="V52" s="589"/>
      <c r="W52" s="589"/>
      <c r="X52" s="589"/>
      <c r="Y52" s="589"/>
      <c r="Z52" s="589"/>
      <c r="AA52" s="589"/>
      <c r="AB52" s="589"/>
      <c r="AC52" s="589"/>
      <c r="AD52" s="589"/>
      <c r="AE52" s="595"/>
      <c r="AF52" s="594"/>
      <c r="AG52" s="589"/>
      <c r="AH52" s="589"/>
      <c r="AI52" s="589"/>
      <c r="AJ52" s="589"/>
      <c r="AK52" s="589"/>
      <c r="AL52" s="589"/>
      <c r="AM52" s="589"/>
      <c r="AN52" s="589"/>
      <c r="AO52" s="589"/>
      <c r="AP52" s="589"/>
      <c r="AQ52" s="595"/>
      <c r="AR52" s="594"/>
      <c r="AS52" s="589"/>
      <c r="AT52" s="589"/>
      <c r="AU52" s="589"/>
      <c r="AV52" s="589"/>
      <c r="AW52" s="589"/>
      <c r="AX52" s="589"/>
      <c r="AY52" s="589"/>
      <c r="AZ52" s="589"/>
      <c r="BA52" s="589"/>
      <c r="BB52" s="589"/>
      <c r="BC52" s="595"/>
      <c r="BD52" s="594"/>
      <c r="BE52" s="589"/>
      <c r="BF52" s="589"/>
      <c r="BG52" s="589"/>
      <c r="BH52" s="589"/>
      <c r="BI52" s="589"/>
      <c r="BJ52" s="589"/>
      <c r="BK52" s="589"/>
      <c r="BL52" s="589"/>
      <c r="BM52" s="589"/>
      <c r="BN52" s="589"/>
      <c r="BO52" s="595"/>
      <c r="BP52" s="594"/>
      <c r="BQ52" s="589"/>
      <c r="BR52" s="589"/>
      <c r="BS52" s="587">
        <v>1000</v>
      </c>
      <c r="BT52" s="588">
        <v>1000</v>
      </c>
      <c r="BU52" s="588">
        <v>1000</v>
      </c>
      <c r="BV52" s="588">
        <v>1000</v>
      </c>
      <c r="BW52" s="588">
        <v>1000</v>
      </c>
      <c r="BX52" s="588">
        <v>1000</v>
      </c>
      <c r="BY52" s="588">
        <v>1000</v>
      </c>
      <c r="BZ52" s="588">
        <v>1000</v>
      </c>
      <c r="CA52" s="588">
        <v>1000</v>
      </c>
      <c r="CB52" s="588">
        <v>1000</v>
      </c>
      <c r="CC52" s="588">
        <v>1000</v>
      </c>
      <c r="CD52" s="596">
        <v>1000</v>
      </c>
      <c r="CE52" s="587">
        <v>1000</v>
      </c>
      <c r="CF52" s="588">
        <v>1000</v>
      </c>
      <c r="CG52" s="588">
        <v>1000</v>
      </c>
      <c r="CH52" s="588">
        <v>1000</v>
      </c>
      <c r="CI52" s="588">
        <v>1000</v>
      </c>
      <c r="CJ52" s="588">
        <v>1000</v>
      </c>
      <c r="CK52" s="588">
        <v>1000</v>
      </c>
      <c r="CL52" s="588">
        <v>1000</v>
      </c>
      <c r="CM52" s="588">
        <v>1000</v>
      </c>
      <c r="CN52" s="588">
        <v>1000</v>
      </c>
      <c r="CO52" s="588">
        <v>1000</v>
      </c>
      <c r="CP52" s="596">
        <v>1000</v>
      </c>
      <c r="CQ52" s="587">
        <v>1000</v>
      </c>
      <c r="CR52" s="588">
        <v>1000</v>
      </c>
      <c r="CS52" s="588">
        <v>1000</v>
      </c>
      <c r="CT52" s="588">
        <v>1000</v>
      </c>
      <c r="CU52" s="588">
        <v>1000</v>
      </c>
      <c r="CV52" s="588">
        <v>1000</v>
      </c>
      <c r="CW52" s="588">
        <v>1000</v>
      </c>
      <c r="CX52" s="588">
        <v>1000</v>
      </c>
      <c r="CY52" s="588">
        <v>1000</v>
      </c>
      <c r="CZ52" s="588">
        <v>1000</v>
      </c>
      <c r="DA52" s="588">
        <v>1000</v>
      </c>
      <c r="DB52" s="596">
        <v>1000</v>
      </c>
    </row>
    <row r="53" spans="1:108" x14ac:dyDescent="0.2">
      <c r="A53" s="1135" t="s">
        <v>270</v>
      </c>
      <c r="B53" s="837">
        <f t="shared" si="13"/>
        <v>1</v>
      </c>
      <c r="C53" s="850" t="s">
        <v>174</v>
      </c>
      <c r="D53" s="839">
        <f t="shared" si="14"/>
        <v>0</v>
      </c>
      <c r="E53" s="840">
        <f t="shared" si="15"/>
        <v>41000</v>
      </c>
      <c r="F53" s="840">
        <f t="shared" si="12"/>
        <v>41000</v>
      </c>
      <c r="G53" s="841">
        <f t="shared" si="3"/>
        <v>0</v>
      </c>
      <c r="H53" s="594"/>
      <c r="I53" s="589"/>
      <c r="J53" s="589"/>
      <c r="K53" s="589"/>
      <c r="L53" s="589"/>
      <c r="M53" s="589"/>
      <c r="N53" s="589"/>
      <c r="O53" s="589"/>
      <c r="P53" s="589"/>
      <c r="Q53" s="589"/>
      <c r="R53" s="589"/>
      <c r="S53" s="595"/>
      <c r="T53" s="594"/>
      <c r="U53" s="589"/>
      <c r="V53" s="589"/>
      <c r="W53" s="589"/>
      <c r="X53" s="589"/>
      <c r="Y53" s="589"/>
      <c r="Z53" s="589"/>
      <c r="AA53" s="589"/>
      <c r="AB53" s="589"/>
      <c r="AC53" s="589"/>
      <c r="AD53" s="589"/>
      <c r="AE53" s="595"/>
      <c r="AF53" s="594"/>
      <c r="AG53" s="589"/>
      <c r="AH53" s="589"/>
      <c r="AI53" s="589"/>
      <c r="AJ53" s="589"/>
      <c r="AK53" s="589"/>
      <c r="AL53" s="589"/>
      <c r="AM53" s="589"/>
      <c r="AN53" s="589"/>
      <c r="AO53" s="589"/>
      <c r="AP53" s="589"/>
      <c r="AQ53" s="595"/>
      <c r="AR53" s="594"/>
      <c r="AS53" s="589"/>
      <c r="AT53" s="589"/>
      <c r="AU53" s="589"/>
      <c r="AV53" s="589"/>
      <c r="AW53" s="589"/>
      <c r="AX53" s="589"/>
      <c r="AY53" s="589"/>
      <c r="AZ53" s="589"/>
      <c r="BA53" s="589"/>
      <c r="BB53" s="589"/>
      <c r="BC53" s="595"/>
      <c r="BD53" s="594"/>
      <c r="BE53" s="589"/>
      <c r="BF53" s="589"/>
      <c r="BG53" s="589"/>
      <c r="BH53" s="589"/>
      <c r="BI53" s="589"/>
      <c r="BJ53" s="588">
        <v>1000</v>
      </c>
      <c r="BK53" s="588">
        <v>1000</v>
      </c>
      <c r="BL53" s="588">
        <v>1000</v>
      </c>
      <c r="BM53" s="588">
        <v>1000</v>
      </c>
      <c r="BN53" s="588">
        <v>1000</v>
      </c>
      <c r="BO53" s="592">
        <v>1000</v>
      </c>
      <c r="BP53" s="593">
        <v>1000</v>
      </c>
      <c r="BQ53" s="588">
        <v>1000</v>
      </c>
      <c r="BR53" s="588">
        <v>1000</v>
      </c>
      <c r="BS53" s="587">
        <v>1000</v>
      </c>
      <c r="BT53" s="588">
        <v>1000</v>
      </c>
      <c r="BU53" s="588">
        <v>1000</v>
      </c>
      <c r="BV53" s="588">
        <v>1000</v>
      </c>
      <c r="BW53" s="588">
        <v>1000</v>
      </c>
      <c r="BX53" s="588">
        <v>1000</v>
      </c>
      <c r="BY53" s="588">
        <v>1000</v>
      </c>
      <c r="BZ53" s="588">
        <v>1000</v>
      </c>
      <c r="CA53" s="588">
        <v>1000</v>
      </c>
      <c r="CB53" s="588">
        <v>1000</v>
      </c>
      <c r="CC53" s="588">
        <v>1000</v>
      </c>
      <c r="CD53" s="596">
        <v>1000</v>
      </c>
      <c r="CE53" s="587">
        <v>1000</v>
      </c>
      <c r="CF53" s="588">
        <v>1000</v>
      </c>
      <c r="CG53" s="588">
        <v>1000</v>
      </c>
      <c r="CH53" s="588">
        <v>1000</v>
      </c>
      <c r="CI53" s="588">
        <v>1000</v>
      </c>
      <c r="CJ53" s="588">
        <v>1000</v>
      </c>
      <c r="CK53" s="588">
        <v>1000</v>
      </c>
      <c r="CL53" s="588">
        <v>1000</v>
      </c>
      <c r="CM53" s="588">
        <v>1000</v>
      </c>
      <c r="CN53" s="588">
        <v>1000</v>
      </c>
      <c r="CO53" s="588">
        <v>1000</v>
      </c>
      <c r="CP53" s="596">
        <v>1000</v>
      </c>
      <c r="CQ53" s="587">
        <v>1000</v>
      </c>
      <c r="CR53" s="588">
        <v>1000</v>
      </c>
      <c r="CS53" s="588">
        <v>1000</v>
      </c>
      <c r="CT53" s="588">
        <v>1000</v>
      </c>
      <c r="CU53" s="588">
        <v>1000</v>
      </c>
      <c r="CV53" s="588">
        <v>1000</v>
      </c>
      <c r="CW53" s="588">
        <v>1000</v>
      </c>
      <c r="CX53" s="588">
        <v>1000</v>
      </c>
      <c r="CY53" s="588"/>
      <c r="CZ53" s="588"/>
      <c r="DA53" s="588"/>
      <c r="DB53" s="596"/>
    </row>
    <row r="54" spans="1:108" x14ac:dyDescent="0.2">
      <c r="A54" s="1136"/>
      <c r="B54" s="836">
        <f t="shared" si="13"/>
        <v>1</v>
      </c>
      <c r="C54" s="842" t="s">
        <v>271</v>
      </c>
      <c r="D54" s="843">
        <f t="shared" si="14"/>
        <v>0</v>
      </c>
      <c r="E54" s="605">
        <f t="shared" si="15"/>
        <v>41000</v>
      </c>
      <c r="F54" s="605">
        <f t="shared" si="12"/>
        <v>41000</v>
      </c>
      <c r="G54" s="844">
        <f t="shared" si="3"/>
        <v>0</v>
      </c>
      <c r="H54" s="594"/>
      <c r="I54" s="589"/>
      <c r="J54" s="589"/>
      <c r="K54" s="589"/>
      <c r="L54" s="589"/>
      <c r="M54" s="589"/>
      <c r="N54" s="589"/>
      <c r="O54" s="589"/>
      <c r="P54" s="589"/>
      <c r="Q54" s="589"/>
      <c r="R54" s="589"/>
      <c r="S54" s="595"/>
      <c r="T54" s="594"/>
      <c r="U54" s="589"/>
      <c r="V54" s="589"/>
      <c r="W54" s="589"/>
      <c r="X54" s="589"/>
      <c r="Y54" s="589"/>
      <c r="Z54" s="589"/>
      <c r="AA54" s="589"/>
      <c r="AB54" s="589"/>
      <c r="AC54" s="589"/>
      <c r="AD54" s="589"/>
      <c r="AE54" s="595"/>
      <c r="AF54" s="594"/>
      <c r="AG54" s="589"/>
      <c r="AH54" s="589"/>
      <c r="AI54" s="589"/>
      <c r="AJ54" s="589"/>
      <c r="AK54" s="589"/>
      <c r="AL54" s="589"/>
      <c r="AM54" s="589"/>
      <c r="AN54" s="589"/>
      <c r="AO54" s="589"/>
      <c r="AP54" s="589"/>
      <c r="AQ54" s="595"/>
      <c r="AR54" s="594"/>
      <c r="AS54" s="589"/>
      <c r="AT54" s="589"/>
      <c r="AU54" s="589"/>
      <c r="AV54" s="589"/>
      <c r="AW54" s="589"/>
      <c r="AX54" s="589"/>
      <c r="AY54" s="589"/>
      <c r="AZ54" s="589"/>
      <c r="BA54" s="589"/>
      <c r="BB54" s="589"/>
      <c r="BC54" s="595"/>
      <c r="BD54" s="594"/>
      <c r="BE54" s="589"/>
      <c r="BF54" s="589"/>
      <c r="BG54" s="589"/>
      <c r="BH54" s="589"/>
      <c r="BI54" s="589"/>
      <c r="BJ54" s="588">
        <v>1000</v>
      </c>
      <c r="BK54" s="588">
        <v>1000</v>
      </c>
      <c r="BL54" s="588">
        <v>1000</v>
      </c>
      <c r="BM54" s="588">
        <v>1000</v>
      </c>
      <c r="BN54" s="588">
        <v>1000</v>
      </c>
      <c r="BO54" s="592">
        <v>1000</v>
      </c>
      <c r="BP54" s="593">
        <v>1000</v>
      </c>
      <c r="BQ54" s="588">
        <v>1000</v>
      </c>
      <c r="BR54" s="588">
        <v>1000</v>
      </c>
      <c r="BS54" s="587">
        <v>1000</v>
      </c>
      <c r="BT54" s="588">
        <v>1000</v>
      </c>
      <c r="BU54" s="588">
        <v>1000</v>
      </c>
      <c r="BV54" s="588">
        <v>1000</v>
      </c>
      <c r="BW54" s="588">
        <v>1000</v>
      </c>
      <c r="BX54" s="588">
        <v>1000</v>
      </c>
      <c r="BY54" s="588">
        <v>1000</v>
      </c>
      <c r="BZ54" s="588">
        <v>1000</v>
      </c>
      <c r="CA54" s="588">
        <v>1000</v>
      </c>
      <c r="CB54" s="588">
        <v>1000</v>
      </c>
      <c r="CC54" s="588">
        <v>1000</v>
      </c>
      <c r="CD54" s="596">
        <v>1000</v>
      </c>
      <c r="CE54" s="587">
        <v>1000</v>
      </c>
      <c r="CF54" s="588">
        <v>1000</v>
      </c>
      <c r="CG54" s="588">
        <v>1000</v>
      </c>
      <c r="CH54" s="588">
        <v>1000</v>
      </c>
      <c r="CI54" s="588">
        <v>1000</v>
      </c>
      <c r="CJ54" s="588">
        <v>1000</v>
      </c>
      <c r="CK54" s="588">
        <v>1000</v>
      </c>
      <c r="CL54" s="588">
        <v>1000</v>
      </c>
      <c r="CM54" s="588">
        <v>1000</v>
      </c>
      <c r="CN54" s="588">
        <v>1000</v>
      </c>
      <c r="CO54" s="588">
        <v>1000</v>
      </c>
      <c r="CP54" s="596">
        <v>1000</v>
      </c>
      <c r="CQ54" s="587">
        <v>1000</v>
      </c>
      <c r="CR54" s="588">
        <v>1000</v>
      </c>
      <c r="CS54" s="588">
        <v>1000</v>
      </c>
      <c r="CT54" s="588">
        <v>1000</v>
      </c>
      <c r="CU54" s="588">
        <v>1000</v>
      </c>
      <c r="CV54" s="588">
        <v>1000</v>
      </c>
      <c r="CW54" s="588">
        <v>1000</v>
      </c>
      <c r="CX54" s="588">
        <v>1000</v>
      </c>
      <c r="CY54" s="588"/>
      <c r="CZ54" s="588"/>
      <c r="DA54" s="588"/>
      <c r="DB54" s="596"/>
    </row>
    <row r="55" spans="1:108" x14ac:dyDescent="0.2">
      <c r="A55" s="1137"/>
      <c r="B55" s="845">
        <f t="shared" si="13"/>
        <v>1</v>
      </c>
      <c r="C55" s="854" t="s">
        <v>221</v>
      </c>
      <c r="D55" s="847">
        <f t="shared" si="14"/>
        <v>0</v>
      </c>
      <c r="E55" s="848">
        <f t="shared" si="15"/>
        <v>33000</v>
      </c>
      <c r="F55" s="848">
        <f t="shared" si="12"/>
        <v>33000</v>
      </c>
      <c r="G55" s="849">
        <f t="shared" si="3"/>
        <v>0</v>
      </c>
      <c r="H55" s="594"/>
      <c r="I55" s="589"/>
      <c r="J55" s="589"/>
      <c r="K55" s="589"/>
      <c r="L55" s="589"/>
      <c r="M55" s="589"/>
      <c r="N55" s="589"/>
      <c r="O55" s="589"/>
      <c r="P55" s="589"/>
      <c r="Q55" s="589"/>
      <c r="R55" s="589"/>
      <c r="S55" s="595"/>
      <c r="T55" s="594"/>
      <c r="U55" s="589"/>
      <c r="V55" s="589"/>
      <c r="W55" s="589"/>
      <c r="X55" s="589"/>
      <c r="Y55" s="589"/>
      <c r="Z55" s="589"/>
      <c r="AA55" s="589"/>
      <c r="AB55" s="589"/>
      <c r="AC55" s="589"/>
      <c r="AD55" s="589"/>
      <c r="AE55" s="595"/>
      <c r="AF55" s="594"/>
      <c r="AG55" s="589"/>
      <c r="AH55" s="589"/>
      <c r="AI55" s="589"/>
      <c r="AJ55" s="589"/>
      <c r="AK55" s="589"/>
      <c r="AL55" s="589"/>
      <c r="AM55" s="589"/>
      <c r="AN55" s="589"/>
      <c r="AO55" s="589"/>
      <c r="AP55" s="589"/>
      <c r="AQ55" s="595"/>
      <c r="AR55" s="594"/>
      <c r="AS55" s="589"/>
      <c r="AT55" s="589"/>
      <c r="AU55" s="589"/>
      <c r="AV55" s="589"/>
      <c r="AW55" s="589"/>
      <c r="AX55" s="589"/>
      <c r="AY55" s="589"/>
      <c r="AZ55" s="589"/>
      <c r="BA55" s="589"/>
      <c r="BB55" s="589"/>
      <c r="BC55" s="595"/>
      <c r="BD55" s="594"/>
      <c r="BE55" s="589"/>
      <c r="BF55" s="589"/>
      <c r="BG55" s="589"/>
      <c r="BH55" s="589"/>
      <c r="BI55" s="589"/>
      <c r="BJ55" s="589"/>
      <c r="BK55" s="589"/>
      <c r="BL55" s="589"/>
      <c r="BM55" s="589"/>
      <c r="BN55" s="589"/>
      <c r="BO55" s="595"/>
      <c r="BP55" s="594"/>
      <c r="BQ55" s="589"/>
      <c r="BR55" s="588">
        <v>1000</v>
      </c>
      <c r="BS55" s="587">
        <v>1000</v>
      </c>
      <c r="BT55" s="588">
        <v>1000</v>
      </c>
      <c r="BU55" s="588">
        <v>1000</v>
      </c>
      <c r="BV55" s="588">
        <v>1000</v>
      </c>
      <c r="BW55" s="588">
        <v>1000</v>
      </c>
      <c r="BX55" s="588">
        <v>1000</v>
      </c>
      <c r="BY55" s="588">
        <v>1000</v>
      </c>
      <c r="BZ55" s="588">
        <v>1000</v>
      </c>
      <c r="CA55" s="588">
        <v>1000</v>
      </c>
      <c r="CB55" s="588">
        <v>1000</v>
      </c>
      <c r="CC55" s="588">
        <v>1000</v>
      </c>
      <c r="CD55" s="596">
        <v>1000</v>
      </c>
      <c r="CE55" s="587">
        <v>1000</v>
      </c>
      <c r="CF55" s="588">
        <v>1000</v>
      </c>
      <c r="CG55" s="588">
        <v>1000</v>
      </c>
      <c r="CH55" s="588">
        <v>1000</v>
      </c>
      <c r="CI55" s="588">
        <v>1000</v>
      </c>
      <c r="CJ55" s="588">
        <v>1000</v>
      </c>
      <c r="CK55" s="588">
        <v>1000</v>
      </c>
      <c r="CL55" s="588">
        <v>1000</v>
      </c>
      <c r="CM55" s="588">
        <v>1000</v>
      </c>
      <c r="CN55" s="588">
        <v>1000</v>
      </c>
      <c r="CO55" s="588">
        <v>1000</v>
      </c>
      <c r="CP55" s="596">
        <v>1000</v>
      </c>
      <c r="CQ55" s="587">
        <v>1000</v>
      </c>
      <c r="CR55" s="588">
        <v>1000</v>
      </c>
      <c r="CS55" s="588">
        <v>1000</v>
      </c>
      <c r="CT55" s="588">
        <v>1000</v>
      </c>
      <c r="CU55" s="588">
        <v>1000</v>
      </c>
      <c r="CV55" s="588">
        <v>1000</v>
      </c>
      <c r="CW55" s="588">
        <v>1000</v>
      </c>
      <c r="CX55" s="588">
        <v>1000</v>
      </c>
      <c r="CY55" s="588"/>
      <c r="CZ55" s="588"/>
      <c r="DA55" s="588"/>
      <c r="DB55" s="596"/>
    </row>
    <row r="56" spans="1:108" x14ac:dyDescent="0.2">
      <c r="A56" s="1135" t="s">
        <v>273</v>
      </c>
      <c r="B56" s="837">
        <f t="shared" si="13"/>
        <v>0.91578947368421049</v>
      </c>
      <c r="C56" s="850" t="s">
        <v>130</v>
      </c>
      <c r="D56" s="839">
        <f t="shared" si="14"/>
        <v>8000</v>
      </c>
      <c r="E56" s="840">
        <f t="shared" si="15"/>
        <v>87000</v>
      </c>
      <c r="F56" s="840">
        <f t="shared" si="12"/>
        <v>95000</v>
      </c>
      <c r="G56" s="841">
        <f t="shared" si="3"/>
        <v>-8.4210526315789513E-2</v>
      </c>
      <c r="H56" s="593">
        <v>1000</v>
      </c>
      <c r="I56" s="588">
        <v>1000</v>
      </c>
      <c r="J56" s="588">
        <v>1000</v>
      </c>
      <c r="K56" s="588">
        <v>1000</v>
      </c>
      <c r="L56" s="588">
        <v>1000</v>
      </c>
      <c r="M56" s="588">
        <v>1000</v>
      </c>
      <c r="N56" s="588">
        <v>1000</v>
      </c>
      <c r="O56" s="588">
        <v>1000</v>
      </c>
      <c r="P56" s="588">
        <v>1000</v>
      </c>
      <c r="Q56" s="588">
        <v>1000</v>
      </c>
      <c r="R56" s="588">
        <v>1000</v>
      </c>
      <c r="S56" s="592">
        <v>1000</v>
      </c>
      <c r="T56" s="593">
        <v>1000</v>
      </c>
      <c r="U56" s="588">
        <v>1000</v>
      </c>
      <c r="V56" s="588">
        <v>1000</v>
      </c>
      <c r="W56" s="588">
        <v>1000</v>
      </c>
      <c r="X56" s="588">
        <v>1000</v>
      </c>
      <c r="Y56" s="588">
        <v>1000</v>
      </c>
      <c r="Z56" s="588">
        <v>1000</v>
      </c>
      <c r="AA56" s="588">
        <v>1000</v>
      </c>
      <c r="AB56" s="588">
        <v>1000</v>
      </c>
      <c r="AC56" s="588">
        <v>1000</v>
      </c>
      <c r="AD56" s="588">
        <v>1000</v>
      </c>
      <c r="AE56" s="592">
        <v>1000</v>
      </c>
      <c r="AF56" s="593">
        <v>1000</v>
      </c>
      <c r="AG56" s="588">
        <v>1000</v>
      </c>
      <c r="AH56" s="588">
        <v>1000</v>
      </c>
      <c r="AI56" s="588">
        <v>1000</v>
      </c>
      <c r="AJ56" s="588">
        <v>1000</v>
      </c>
      <c r="AK56" s="588">
        <v>1000</v>
      </c>
      <c r="AL56" s="588">
        <v>1000</v>
      </c>
      <c r="AM56" s="588">
        <v>1000</v>
      </c>
      <c r="AN56" s="588">
        <v>1000</v>
      </c>
      <c r="AO56" s="588">
        <v>1000</v>
      </c>
      <c r="AP56" s="588">
        <v>1000</v>
      </c>
      <c r="AQ56" s="592">
        <v>1000</v>
      </c>
      <c r="AR56" s="593">
        <v>1000</v>
      </c>
      <c r="AS56" s="588">
        <v>1000</v>
      </c>
      <c r="AT56" s="588">
        <v>1000</v>
      </c>
      <c r="AU56" s="588">
        <v>1000</v>
      </c>
      <c r="AV56" s="588">
        <v>1000</v>
      </c>
      <c r="AW56" s="588">
        <v>1000</v>
      </c>
      <c r="AX56" s="588">
        <v>1000</v>
      </c>
      <c r="AY56" s="588">
        <v>1000</v>
      </c>
      <c r="AZ56" s="588">
        <v>1000</v>
      </c>
      <c r="BA56" s="588">
        <v>1000</v>
      </c>
      <c r="BB56" s="588">
        <v>1000</v>
      </c>
      <c r="BC56" s="592">
        <v>1000</v>
      </c>
      <c r="BD56" s="593">
        <v>1000</v>
      </c>
      <c r="BE56" s="588">
        <v>1000</v>
      </c>
      <c r="BF56" s="588">
        <v>1000</v>
      </c>
      <c r="BG56" s="588">
        <v>1000</v>
      </c>
      <c r="BH56" s="588">
        <v>1000</v>
      </c>
      <c r="BI56" s="588">
        <v>1000</v>
      </c>
      <c r="BJ56" s="588">
        <v>1000</v>
      </c>
      <c r="BK56" s="588">
        <v>1000</v>
      </c>
      <c r="BL56" s="588">
        <v>1000</v>
      </c>
      <c r="BM56" s="588">
        <v>1000</v>
      </c>
      <c r="BN56" s="588">
        <v>1000</v>
      </c>
      <c r="BO56" s="592">
        <v>1000</v>
      </c>
      <c r="BP56" s="593">
        <v>1000</v>
      </c>
      <c r="BQ56" s="588">
        <v>1000</v>
      </c>
      <c r="BR56" s="588">
        <v>1000</v>
      </c>
      <c r="BS56" s="587">
        <v>1000</v>
      </c>
      <c r="BT56" s="588">
        <v>1000</v>
      </c>
      <c r="BU56" s="588">
        <v>1000</v>
      </c>
      <c r="BV56" s="588">
        <v>1000</v>
      </c>
      <c r="BW56" s="588">
        <v>1000</v>
      </c>
      <c r="BX56" s="588">
        <v>1000</v>
      </c>
      <c r="BY56" s="588">
        <v>1000</v>
      </c>
      <c r="BZ56" s="588">
        <v>1000</v>
      </c>
      <c r="CA56" s="588">
        <v>1000</v>
      </c>
      <c r="CB56" s="588">
        <v>1000</v>
      </c>
      <c r="CC56" s="588">
        <v>1000</v>
      </c>
      <c r="CD56" s="596">
        <v>1000</v>
      </c>
      <c r="CE56" s="587">
        <v>1000</v>
      </c>
      <c r="CF56" s="588">
        <v>1000</v>
      </c>
      <c r="CG56" s="588">
        <v>1000</v>
      </c>
      <c r="CH56" s="588">
        <v>1000</v>
      </c>
      <c r="CI56" s="588">
        <v>1000</v>
      </c>
      <c r="CJ56" s="588">
        <v>1000</v>
      </c>
      <c r="CK56" s="588">
        <v>1000</v>
      </c>
      <c r="CL56" s="588">
        <v>1000</v>
      </c>
      <c r="CM56" s="588">
        <v>1000</v>
      </c>
      <c r="CN56" s="588">
        <v>1000</v>
      </c>
      <c r="CO56" s="588">
        <v>1000</v>
      </c>
      <c r="CP56" s="596">
        <v>1000</v>
      </c>
      <c r="CQ56" s="587">
        <v>0</v>
      </c>
      <c r="CR56" s="588">
        <v>0</v>
      </c>
      <c r="CS56" s="588">
        <v>0</v>
      </c>
      <c r="CT56" s="588">
        <v>0</v>
      </c>
      <c r="CU56" s="588">
        <v>0</v>
      </c>
      <c r="CV56" s="588">
        <v>0</v>
      </c>
      <c r="CW56" s="588">
        <v>0</v>
      </c>
      <c r="CX56" s="588">
        <v>0</v>
      </c>
      <c r="CY56" s="588"/>
      <c r="CZ56" s="588"/>
      <c r="DA56" s="588"/>
      <c r="DB56" s="596"/>
    </row>
    <row r="57" spans="1:108" x14ac:dyDescent="0.2">
      <c r="A57" s="1136"/>
      <c r="B57" s="836">
        <f t="shared" si="13"/>
        <v>0</v>
      </c>
      <c r="C57" s="842" t="s">
        <v>500</v>
      </c>
      <c r="D57" s="843">
        <f>+F57-E57</f>
        <v>3000</v>
      </c>
      <c r="E57" s="605">
        <f>SUM(H57:DB57)</f>
        <v>0</v>
      </c>
      <c r="F57" s="605">
        <f>+COUNTA(H57:DB57)*1000</f>
        <v>3000</v>
      </c>
      <c r="G57" s="844">
        <f>+IF((E57+F57)=0,"No Aplica",+E57/F57-1)</f>
        <v>-1</v>
      </c>
      <c r="H57" s="594"/>
      <c r="I57" s="589"/>
      <c r="J57" s="589"/>
      <c r="K57" s="589"/>
      <c r="L57" s="589"/>
      <c r="M57" s="589"/>
      <c r="N57" s="589"/>
      <c r="O57" s="589"/>
      <c r="P57" s="589"/>
      <c r="Q57" s="589"/>
      <c r="R57" s="589"/>
      <c r="S57" s="595"/>
      <c r="T57" s="594"/>
      <c r="U57" s="589"/>
      <c r="V57" s="589"/>
      <c r="W57" s="589"/>
      <c r="X57" s="589"/>
      <c r="Y57" s="589"/>
      <c r="Z57" s="589"/>
      <c r="AA57" s="589"/>
      <c r="AB57" s="589"/>
      <c r="AC57" s="589"/>
      <c r="AD57" s="589"/>
      <c r="AE57" s="595"/>
      <c r="AF57" s="594"/>
      <c r="AG57" s="589"/>
      <c r="AH57" s="589"/>
      <c r="AI57" s="589"/>
      <c r="AJ57" s="589"/>
      <c r="AK57" s="589"/>
      <c r="AL57" s="589"/>
      <c r="AM57" s="589"/>
      <c r="AN57" s="589"/>
      <c r="AO57" s="589"/>
      <c r="AP57" s="589"/>
      <c r="AQ57" s="595"/>
      <c r="AR57" s="594"/>
      <c r="AS57" s="589"/>
      <c r="AT57" s="589"/>
      <c r="AU57" s="589"/>
      <c r="AV57" s="589"/>
      <c r="AW57" s="589"/>
      <c r="AX57" s="589"/>
      <c r="AY57" s="589"/>
      <c r="AZ57" s="589"/>
      <c r="BA57" s="589"/>
      <c r="BB57" s="589"/>
      <c r="BC57" s="595"/>
      <c r="BD57" s="594"/>
      <c r="BE57" s="589"/>
      <c r="BF57" s="589"/>
      <c r="BG57" s="589"/>
      <c r="BH57" s="589"/>
      <c r="BI57" s="589"/>
      <c r="BJ57" s="589"/>
      <c r="BK57" s="589"/>
      <c r="BL57" s="589"/>
      <c r="BM57" s="589"/>
      <c r="BN57" s="589"/>
      <c r="BO57" s="595"/>
      <c r="BP57" s="594"/>
      <c r="BQ57" s="589"/>
      <c r="BR57" s="589"/>
      <c r="BS57" s="591"/>
      <c r="BT57" s="589"/>
      <c r="BU57" s="589"/>
      <c r="BV57" s="589"/>
      <c r="BW57" s="589"/>
      <c r="BX57" s="589"/>
      <c r="BY57" s="589"/>
      <c r="BZ57" s="589"/>
      <c r="CA57" s="589"/>
      <c r="CB57" s="589"/>
      <c r="CC57" s="589"/>
      <c r="CD57" s="590"/>
      <c r="CE57" s="591"/>
      <c r="CF57" s="589"/>
      <c r="CG57" s="589"/>
      <c r="CH57" s="589"/>
      <c r="CI57" s="589"/>
      <c r="CJ57" s="589"/>
      <c r="CK57" s="589"/>
      <c r="CL57" s="589"/>
      <c r="CM57" s="589"/>
      <c r="CN57" s="589"/>
      <c r="CO57" s="589"/>
      <c r="CP57" s="590"/>
      <c r="CQ57" s="591"/>
      <c r="CR57" s="589"/>
      <c r="CS57" s="589"/>
      <c r="CT57" s="589"/>
      <c r="CU57" s="589"/>
      <c r="CV57" s="588">
        <v>0</v>
      </c>
      <c r="CW57" s="588">
        <v>0</v>
      </c>
      <c r="CX57" s="588">
        <v>0</v>
      </c>
      <c r="CY57" s="588"/>
      <c r="CZ57" s="588"/>
      <c r="DA57" s="588"/>
      <c r="DB57" s="596"/>
    </row>
    <row r="58" spans="1:108" ht="13.5" thickBot="1" x14ac:dyDescent="0.25">
      <c r="A58" s="1137"/>
      <c r="B58" s="845">
        <f t="shared" si="13"/>
        <v>0.91578947368421049</v>
      </c>
      <c r="C58" s="846" t="s">
        <v>176</v>
      </c>
      <c r="D58" s="847">
        <f t="shared" si="14"/>
        <v>8000</v>
      </c>
      <c r="E58" s="848">
        <f t="shared" si="15"/>
        <v>87000</v>
      </c>
      <c r="F58" s="848">
        <f t="shared" si="12"/>
        <v>95000</v>
      </c>
      <c r="G58" s="849">
        <f t="shared" si="3"/>
        <v>-8.4210526315789513E-2</v>
      </c>
      <c r="H58" s="599">
        <v>1000</v>
      </c>
      <c r="I58" s="597">
        <v>1000</v>
      </c>
      <c r="J58" s="597">
        <v>1000</v>
      </c>
      <c r="K58" s="597">
        <v>1000</v>
      </c>
      <c r="L58" s="597">
        <v>1000</v>
      </c>
      <c r="M58" s="597">
        <v>1000</v>
      </c>
      <c r="N58" s="597">
        <v>1000</v>
      </c>
      <c r="O58" s="597">
        <v>1000</v>
      </c>
      <c r="P58" s="597">
        <v>1000</v>
      </c>
      <c r="Q58" s="597">
        <v>1000</v>
      </c>
      <c r="R58" s="597">
        <v>1000</v>
      </c>
      <c r="S58" s="598">
        <v>1000</v>
      </c>
      <c r="T58" s="599">
        <v>1000</v>
      </c>
      <c r="U58" s="597">
        <v>1000</v>
      </c>
      <c r="V58" s="597">
        <v>1000</v>
      </c>
      <c r="W58" s="597">
        <v>1000</v>
      </c>
      <c r="X58" s="597">
        <v>1000</v>
      </c>
      <c r="Y58" s="597">
        <v>1000</v>
      </c>
      <c r="Z58" s="597">
        <v>1000</v>
      </c>
      <c r="AA58" s="597">
        <v>1000</v>
      </c>
      <c r="AB58" s="597">
        <v>1000</v>
      </c>
      <c r="AC58" s="597">
        <v>1000</v>
      </c>
      <c r="AD58" s="597">
        <v>1000</v>
      </c>
      <c r="AE58" s="598">
        <v>1000</v>
      </c>
      <c r="AF58" s="599">
        <v>1000</v>
      </c>
      <c r="AG58" s="597">
        <v>1000</v>
      </c>
      <c r="AH58" s="597">
        <v>1000</v>
      </c>
      <c r="AI58" s="597">
        <v>1000</v>
      </c>
      <c r="AJ58" s="597">
        <v>1000</v>
      </c>
      <c r="AK58" s="597">
        <v>1000</v>
      </c>
      <c r="AL58" s="597">
        <v>1000</v>
      </c>
      <c r="AM58" s="597">
        <v>1000</v>
      </c>
      <c r="AN58" s="597">
        <v>1000</v>
      </c>
      <c r="AO58" s="597">
        <v>1000</v>
      </c>
      <c r="AP58" s="597">
        <v>1000</v>
      </c>
      <c r="AQ58" s="598">
        <v>1000</v>
      </c>
      <c r="AR58" s="599">
        <v>1000</v>
      </c>
      <c r="AS58" s="597">
        <v>1000</v>
      </c>
      <c r="AT58" s="597">
        <v>1000</v>
      </c>
      <c r="AU58" s="597">
        <v>1000</v>
      </c>
      <c r="AV58" s="597">
        <v>1000</v>
      </c>
      <c r="AW58" s="597">
        <v>1000</v>
      </c>
      <c r="AX58" s="597">
        <v>1000</v>
      </c>
      <c r="AY58" s="597">
        <v>1000</v>
      </c>
      <c r="AZ58" s="597">
        <v>1000</v>
      </c>
      <c r="BA58" s="597">
        <v>1000</v>
      </c>
      <c r="BB58" s="597">
        <v>1000</v>
      </c>
      <c r="BC58" s="598">
        <v>1000</v>
      </c>
      <c r="BD58" s="599">
        <v>1000</v>
      </c>
      <c r="BE58" s="597">
        <v>1000</v>
      </c>
      <c r="BF58" s="597">
        <v>1000</v>
      </c>
      <c r="BG58" s="597">
        <v>1000</v>
      </c>
      <c r="BH58" s="597">
        <v>1000</v>
      </c>
      <c r="BI58" s="597">
        <v>1000</v>
      </c>
      <c r="BJ58" s="597">
        <v>1000</v>
      </c>
      <c r="BK58" s="597">
        <v>1000</v>
      </c>
      <c r="BL58" s="597">
        <v>1000</v>
      </c>
      <c r="BM58" s="597">
        <v>1000</v>
      </c>
      <c r="BN58" s="597">
        <v>1000</v>
      </c>
      <c r="BO58" s="598">
        <v>1000</v>
      </c>
      <c r="BP58" s="599">
        <v>1000</v>
      </c>
      <c r="BQ58" s="597">
        <v>1000</v>
      </c>
      <c r="BR58" s="597">
        <v>1000</v>
      </c>
      <c r="BS58" s="600">
        <v>1000</v>
      </c>
      <c r="BT58" s="601">
        <v>1000</v>
      </c>
      <c r="BU58" s="601">
        <v>1000</v>
      </c>
      <c r="BV58" s="601">
        <v>1000</v>
      </c>
      <c r="BW58" s="601">
        <v>1000</v>
      </c>
      <c r="BX58" s="601">
        <v>1000</v>
      </c>
      <c r="BY58" s="601">
        <v>1000</v>
      </c>
      <c r="BZ58" s="601">
        <v>1000</v>
      </c>
      <c r="CA58" s="601">
        <v>1000</v>
      </c>
      <c r="CB58" s="601">
        <v>1000</v>
      </c>
      <c r="CC58" s="601">
        <v>1000</v>
      </c>
      <c r="CD58" s="602">
        <v>1000</v>
      </c>
      <c r="CE58" s="600">
        <v>1000</v>
      </c>
      <c r="CF58" s="601">
        <v>1000</v>
      </c>
      <c r="CG58" s="601">
        <v>1000</v>
      </c>
      <c r="CH58" s="601">
        <v>1000</v>
      </c>
      <c r="CI58" s="601">
        <v>1000</v>
      </c>
      <c r="CJ58" s="601">
        <v>1000</v>
      </c>
      <c r="CK58" s="601">
        <v>1000</v>
      </c>
      <c r="CL58" s="601">
        <v>1000</v>
      </c>
      <c r="CM58" s="601">
        <v>1000</v>
      </c>
      <c r="CN58" s="601">
        <v>1000</v>
      </c>
      <c r="CO58" s="601">
        <v>1000</v>
      </c>
      <c r="CP58" s="602">
        <v>1000</v>
      </c>
      <c r="CQ58" s="600">
        <v>0</v>
      </c>
      <c r="CR58" s="601">
        <v>0</v>
      </c>
      <c r="CS58" s="601">
        <v>0</v>
      </c>
      <c r="CT58" s="601">
        <v>0</v>
      </c>
      <c r="CU58" s="601">
        <v>0</v>
      </c>
      <c r="CV58" s="601">
        <v>0</v>
      </c>
      <c r="CW58" s="601">
        <v>0</v>
      </c>
      <c r="CX58" s="601">
        <v>0</v>
      </c>
      <c r="CY58" s="601"/>
      <c r="CZ58" s="601"/>
      <c r="DA58" s="601"/>
      <c r="DB58" s="602"/>
    </row>
    <row r="59" spans="1:108" s="628" customFormat="1" x14ac:dyDescent="0.2">
      <c r="A59" s="621"/>
      <c r="B59" s="833"/>
      <c r="C59" s="622"/>
      <c r="D59" s="623">
        <f>SUM(D33:D58)</f>
        <v>124000</v>
      </c>
      <c r="E59" s="623">
        <f>SUM(E3:E58)</f>
        <v>2746000</v>
      </c>
      <c r="F59" s="623">
        <f>SUM(F3:F58)</f>
        <v>3117000</v>
      </c>
      <c r="G59" s="624">
        <f t="shared" si="3"/>
        <v>-0.11902470324029513</v>
      </c>
      <c r="H59" s="1134">
        <f>SUM(H3:J58)</f>
        <v>93000</v>
      </c>
      <c r="I59" s="1134"/>
      <c r="J59" s="625"/>
      <c r="K59" s="1134">
        <f>+L60*1000</f>
        <v>389000</v>
      </c>
      <c r="L59" s="1134"/>
      <c r="M59" s="625"/>
      <c r="N59" s="625"/>
      <c r="O59" s="625"/>
      <c r="P59" s="625"/>
      <c r="Q59" s="625"/>
      <c r="R59" s="625"/>
      <c r="S59" s="625"/>
      <c r="T59" s="625"/>
      <c r="U59" s="1134"/>
      <c r="V59" s="1134"/>
      <c r="W59" s="1134">
        <f>+X60*1000</f>
        <v>417000</v>
      </c>
      <c r="X59" s="1134"/>
      <c r="Y59" s="625"/>
      <c r="Z59" s="625"/>
      <c r="AA59" s="625"/>
      <c r="AB59" s="625"/>
      <c r="AC59" s="625"/>
      <c r="AD59" s="625"/>
      <c r="AE59" s="625"/>
      <c r="AF59" s="625"/>
      <c r="AG59" s="1134"/>
      <c r="AH59" s="1134"/>
      <c r="AI59" s="1134">
        <f>+AJ60*1000</f>
        <v>397000</v>
      </c>
      <c r="AJ59" s="1134"/>
      <c r="AK59" s="625"/>
      <c r="AL59" s="625"/>
      <c r="AM59" s="625"/>
      <c r="AN59" s="625"/>
      <c r="AO59" s="625"/>
      <c r="AP59" s="625"/>
      <c r="AQ59" s="625"/>
      <c r="AR59" s="625"/>
      <c r="AS59" s="1134"/>
      <c r="AT59" s="1134"/>
      <c r="AU59" s="1134">
        <f>+AV60*1000</f>
        <v>411000</v>
      </c>
      <c r="AV59" s="1134"/>
      <c r="AW59" s="625"/>
      <c r="AX59" s="625"/>
      <c r="AY59" s="625"/>
      <c r="AZ59" s="625"/>
      <c r="BA59" s="625"/>
      <c r="BB59" s="625"/>
      <c r="BC59" s="625"/>
      <c r="BD59" s="625"/>
      <c r="BE59" s="1134"/>
      <c r="BF59" s="1134"/>
      <c r="BG59" s="1134">
        <f>+BH60*1000</f>
        <v>404000</v>
      </c>
      <c r="BH59" s="1134"/>
      <c r="BI59" s="625"/>
      <c r="BJ59" s="625"/>
      <c r="BK59" s="625"/>
      <c r="BL59" s="625"/>
      <c r="BM59" s="625"/>
      <c r="BN59" s="625"/>
      <c r="BO59" s="625"/>
      <c r="BP59" s="625"/>
      <c r="BQ59" s="1134"/>
      <c r="BR59" s="1134"/>
      <c r="BS59" s="1134">
        <f>+BT60*1000</f>
        <v>271000</v>
      </c>
      <c r="BT59" s="1134"/>
      <c r="BU59" s="625"/>
      <c r="BV59" s="625"/>
      <c r="BW59" s="625"/>
      <c r="BX59" s="625"/>
      <c r="BY59" s="625"/>
      <c r="BZ59" s="625"/>
      <c r="CA59" s="625"/>
      <c r="CB59" s="625"/>
      <c r="CC59" s="1134"/>
      <c r="CD59" s="1134"/>
      <c r="CE59" s="1134">
        <f>+CF60*1000</f>
        <v>243000</v>
      </c>
      <c r="CF59" s="1134"/>
      <c r="CG59" s="625"/>
      <c r="CH59" s="625"/>
      <c r="CI59" s="625"/>
      <c r="CJ59" s="625"/>
      <c r="CK59" s="625"/>
      <c r="CL59" s="625"/>
      <c r="CM59" s="625"/>
      <c r="CN59" s="625"/>
      <c r="CO59" s="1134"/>
      <c r="CP59" s="1134"/>
      <c r="CQ59" s="1134">
        <f>+CR60*1000</f>
        <v>121000</v>
      </c>
      <c r="CR59" s="1134"/>
      <c r="CS59" s="625"/>
      <c r="CT59" s="625"/>
      <c r="CU59" s="625"/>
      <c r="CV59" s="625"/>
      <c r="CW59" s="625"/>
      <c r="CX59" s="625"/>
      <c r="CY59" s="625"/>
      <c r="CZ59" s="625"/>
      <c r="DA59" s="1134">
        <f>+DB60*1000</f>
        <v>2746000</v>
      </c>
      <c r="DB59" s="1134"/>
      <c r="DC59" s="626">
        <f>SUM(H3:DB58)</f>
        <v>2746000</v>
      </c>
      <c r="DD59" s="627"/>
    </row>
    <row r="60" spans="1:108" x14ac:dyDescent="0.2">
      <c r="B60" s="834"/>
      <c r="E60" s="511"/>
      <c r="F60" s="511"/>
      <c r="G60" s="511"/>
      <c r="I60" s="588"/>
      <c r="K60" s="588">
        <v>1000</v>
      </c>
      <c r="L60" s="588">
        <f>+COUNTIF(K3:V58,K60)</f>
        <v>389</v>
      </c>
      <c r="M60" s="511"/>
      <c r="N60" s="511"/>
      <c r="U60" s="588"/>
      <c r="V60" s="588"/>
      <c r="W60" s="588">
        <v>1000</v>
      </c>
      <c r="X60" s="588">
        <f>+COUNTIF(W3:AH58,W60)</f>
        <v>417</v>
      </c>
      <c r="Y60" s="511"/>
      <c r="Z60" s="511"/>
      <c r="AG60" s="588"/>
      <c r="AH60" s="588"/>
      <c r="AI60" s="588">
        <v>1000</v>
      </c>
      <c r="AJ60" s="588">
        <f>+COUNTIF(AI3:AT58,AI60)</f>
        <v>397</v>
      </c>
      <c r="AK60" s="511"/>
      <c r="AL60" s="511"/>
      <c r="AS60" s="588"/>
      <c r="AT60" s="588"/>
      <c r="AU60" s="588">
        <v>1000</v>
      </c>
      <c r="AV60" s="588">
        <f>+COUNTIF(AU3:BF58,AU60)</f>
        <v>411</v>
      </c>
      <c r="AW60" s="511"/>
      <c r="AX60" s="511"/>
      <c r="BE60" s="588"/>
      <c r="BF60" s="588"/>
      <c r="BG60" s="588">
        <v>1000</v>
      </c>
      <c r="BH60" s="588">
        <f>+COUNTIF(BG3:BR58,BG60)</f>
        <v>404</v>
      </c>
      <c r="BI60" s="511"/>
      <c r="BJ60" s="511"/>
      <c r="BQ60" s="588"/>
      <c r="BR60" s="588"/>
      <c r="BS60" s="588">
        <v>1000</v>
      </c>
      <c r="BT60" s="588">
        <f>+COUNTIF(BS3:CD58,BS60)</f>
        <v>271</v>
      </c>
      <c r="BU60" s="511"/>
      <c r="BV60" s="511"/>
      <c r="CC60" s="588"/>
      <c r="CD60" s="588"/>
      <c r="CE60" s="588">
        <v>1000</v>
      </c>
      <c r="CF60" s="588">
        <f>+COUNTIF(CE3:CP58,CE60)</f>
        <v>243</v>
      </c>
      <c r="CG60" s="511"/>
      <c r="CH60" s="511"/>
      <c r="CO60" s="588"/>
      <c r="CP60" s="588"/>
      <c r="CQ60" s="588">
        <v>1000</v>
      </c>
      <c r="CR60" s="588">
        <f>+COUNTIF(CQ3:DB58,CQ60)</f>
        <v>121</v>
      </c>
      <c r="CS60" s="511"/>
      <c r="CT60" s="511"/>
      <c r="DA60" s="588">
        <v>1000</v>
      </c>
      <c r="DB60" s="588">
        <f>+COUNTIF($H$3:$DB$58,$DA$60)</f>
        <v>2746</v>
      </c>
    </row>
    <row r="64" spans="1:108" x14ac:dyDescent="0.2">
      <c r="CJ64" s="588"/>
    </row>
  </sheetData>
  <sheetProtection sheet="1" objects="1" scenarios="1"/>
  <mergeCells count="34">
    <mergeCell ref="DA1:DB1"/>
    <mergeCell ref="AR1:AS1"/>
    <mergeCell ref="BD1:BE1"/>
    <mergeCell ref="BP1:BQ1"/>
    <mergeCell ref="A33:A36"/>
    <mergeCell ref="H1:I1"/>
    <mergeCell ref="T1:U1"/>
    <mergeCell ref="AF1:AG1"/>
    <mergeCell ref="CC1:CD1"/>
    <mergeCell ref="CO1:CP1"/>
    <mergeCell ref="A37:A39"/>
    <mergeCell ref="A40:A42"/>
    <mergeCell ref="A44:A46"/>
    <mergeCell ref="A47:A49"/>
    <mergeCell ref="DA59:DB59"/>
    <mergeCell ref="A50:A52"/>
    <mergeCell ref="A53:A55"/>
    <mergeCell ref="A56:A58"/>
    <mergeCell ref="BS59:BT59"/>
    <mergeCell ref="CC59:CD59"/>
    <mergeCell ref="BG59:BH59"/>
    <mergeCell ref="BQ59:BR59"/>
    <mergeCell ref="AU59:AV59"/>
    <mergeCell ref="BE59:BF59"/>
    <mergeCell ref="CQ59:CR59"/>
    <mergeCell ref="CE59:CF59"/>
    <mergeCell ref="CO59:CP59"/>
    <mergeCell ref="K59:L59"/>
    <mergeCell ref="U59:V59"/>
    <mergeCell ref="H59:I59"/>
    <mergeCell ref="AI59:AJ59"/>
    <mergeCell ref="AS59:AT59"/>
    <mergeCell ref="W59:X59"/>
    <mergeCell ref="AG59:AH59"/>
  </mergeCells>
  <conditionalFormatting sqref="A37:A39">
    <cfRule type="expression" dxfId="81" priority="25">
      <formula>"100%"</formula>
    </cfRule>
  </conditionalFormatting>
  <conditionalFormatting sqref="G58">
    <cfRule type="iconSet" priority="20">
      <iconSet iconSet="3Symbols">
        <cfvo type="percent" val="0"/>
        <cfvo type="percent" val="33"/>
        <cfvo type="percent" val="67"/>
      </iconSet>
    </cfRule>
  </conditionalFormatting>
  <conditionalFormatting sqref="G3:G57">
    <cfRule type="iconSet" priority="16">
      <iconSet iconSet="3Symbols">
        <cfvo type="percent" val="0"/>
        <cfvo type="percent" val="33"/>
        <cfvo type="percent" val="67"/>
      </iconSet>
    </cfRule>
  </conditionalFormatting>
  <conditionalFormatting sqref="D33:D58">
    <cfRule type="colorScale" priority="13">
      <colorScale>
        <cfvo type="min"/>
        <cfvo type="max"/>
        <color rgb="FFFCFCFF"/>
        <color rgb="FFF8696B"/>
      </colorScale>
    </cfRule>
  </conditionalFormatting>
  <conditionalFormatting sqref="B3:B32">
    <cfRule type="colorScale" priority="3">
      <colorScale>
        <cfvo type="min"/>
        <cfvo type="percentile" val="50"/>
        <cfvo type="max"/>
        <color rgb="FFF8696B"/>
        <color rgb="FFFFEB84"/>
        <color rgb="FF63BE7B"/>
      </colorScale>
    </cfRule>
  </conditionalFormatting>
  <conditionalFormatting sqref="B33:B5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ignoredErrors>
    <ignoredError sqref="F11 E34 E57" formula="1"/>
    <ignoredError sqref="B7 B57" evalError="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tabColor rgb="FF92D050"/>
  </sheetPr>
  <dimension ref="A1:U103"/>
  <sheetViews>
    <sheetView showGridLines="0" topLeftCell="A7" workbookViewId="0"/>
  </sheetViews>
  <sheetFormatPr baseColWidth="10" defaultRowHeight="15" x14ac:dyDescent="0.25"/>
  <cols>
    <col min="1" max="1" width="1.7109375" style="19" customWidth="1"/>
    <col min="2" max="2" width="17" style="48" bestFit="1" customWidth="1"/>
    <col min="3" max="3" width="13.28515625" style="65" bestFit="1" customWidth="1"/>
    <col min="4" max="4" width="9.5703125" style="26" bestFit="1" customWidth="1"/>
    <col min="5" max="5" width="10.42578125" style="74" bestFit="1" customWidth="1"/>
    <col min="6" max="6" width="9.42578125" style="19" bestFit="1" customWidth="1"/>
    <col min="7" max="7" width="7" style="49" bestFit="1" customWidth="1"/>
    <col min="8" max="8" width="1.7109375" style="19" customWidth="1"/>
    <col min="9" max="9" width="17" style="48" bestFit="1" customWidth="1"/>
    <col min="10" max="10" width="11.7109375" style="65" bestFit="1" customWidth="1"/>
    <col min="11" max="11" width="9.5703125" style="26" bestFit="1" customWidth="1"/>
    <col min="12" max="12" width="10.42578125" style="74" bestFit="1" customWidth="1"/>
    <col min="13" max="13" width="9.42578125" style="19" bestFit="1" customWidth="1"/>
    <col min="14" max="14" width="7" style="49" bestFit="1" customWidth="1"/>
    <col min="15" max="15" width="1.7109375" style="19" customWidth="1"/>
    <col min="16" max="16" width="13.5703125" style="48" bestFit="1" customWidth="1"/>
    <col min="17" max="17" width="11.7109375" style="65" bestFit="1" customWidth="1"/>
    <col min="18" max="18" width="8.7109375" style="26" bestFit="1" customWidth="1"/>
    <col min="19" max="19" width="10.42578125" style="74" bestFit="1" customWidth="1"/>
    <col min="20" max="20" width="9.42578125" style="19" bestFit="1" customWidth="1"/>
    <col min="21" max="21" width="7.7109375" style="49" bestFit="1" customWidth="1"/>
    <col min="22" max="16384" width="11.42578125" style="19"/>
  </cols>
  <sheetData>
    <row r="1" spans="1:21" s="44" customFormat="1" x14ac:dyDescent="0.25">
      <c r="B1" s="1140" t="s">
        <v>498</v>
      </c>
      <c r="C1" s="1140"/>
      <c r="D1" s="1140"/>
      <c r="E1" s="1140"/>
      <c r="F1" s="1140"/>
      <c r="G1" s="956"/>
      <c r="I1" s="1140" t="s">
        <v>621</v>
      </c>
      <c r="J1" s="1140"/>
      <c r="K1" s="1140"/>
      <c r="L1" s="1140"/>
      <c r="M1" s="1140"/>
      <c r="N1" s="956"/>
      <c r="P1" s="1140"/>
      <c r="Q1" s="1140"/>
      <c r="R1" s="1140"/>
      <c r="S1" s="1140"/>
      <c r="T1" s="1140"/>
      <c r="U1" s="959"/>
    </row>
    <row r="2" spans="1:21" x14ac:dyDescent="0.25">
      <c r="B2" s="62" t="s">
        <v>220</v>
      </c>
      <c r="C2" s="62" t="s">
        <v>143</v>
      </c>
      <c r="D2" s="63" t="s">
        <v>102</v>
      </c>
      <c r="E2" s="63" t="s">
        <v>87</v>
      </c>
      <c r="F2" s="63" t="s">
        <v>4</v>
      </c>
      <c r="G2" s="957" t="s">
        <v>623</v>
      </c>
      <c r="I2" s="62" t="s">
        <v>220</v>
      </c>
      <c r="J2" s="62" t="s">
        <v>143</v>
      </c>
      <c r="K2" s="63" t="s">
        <v>102</v>
      </c>
      <c r="L2" s="63" t="s">
        <v>87</v>
      </c>
      <c r="M2" s="63" t="s">
        <v>4</v>
      </c>
      <c r="N2" s="957" t="s">
        <v>623</v>
      </c>
      <c r="P2" s="62" t="s">
        <v>220</v>
      </c>
      <c r="Q2" s="62" t="s">
        <v>143</v>
      </c>
      <c r="R2" s="63" t="s">
        <v>102</v>
      </c>
      <c r="S2" s="63" t="s">
        <v>87</v>
      </c>
      <c r="T2" s="63" t="s">
        <v>4</v>
      </c>
      <c r="U2" s="232" t="s">
        <v>623</v>
      </c>
    </row>
    <row r="3" spans="1:21" x14ac:dyDescent="0.25">
      <c r="A3" s="963"/>
      <c r="B3" s="64" t="s">
        <v>312</v>
      </c>
      <c r="C3" s="65" t="str">
        <f>+IF(Tabla691012131510[[#This Row],[TIPO]]="NO ASISTE","-",+IF(B3&lt;&gt;0,+LOOKUP(B3,SOCIOS!$B$2:$B$26,SOCIOS!$C$2:$C$26),"-"))</f>
        <v>CONCEPCION</v>
      </c>
      <c r="D3" s="66">
        <f>+IF(Tabla691012131510[[#This Row],[TIPO]]="NO ASISTE","-",+IF(B3&lt;&gt;0,+LOOKUP(B3,SOCIOS!$B$2:$B$26,SOCIOS!$D$2:$D$26),"-"))</f>
        <v>19000</v>
      </c>
      <c r="E3" s="66">
        <f>+IF(Tabla691012131510[[#This Row],[TIPO]]="NO ASISTE","-",+IF(B3&lt;&gt;0,+LOOKUP(B3,SOCIOS!$B$2:$B$26,SOCIOS!$E$2:$E$26),"-"))</f>
        <v>1000</v>
      </c>
      <c r="F3" s="211" t="s">
        <v>140</v>
      </c>
      <c r="G3" s="930">
        <v>1119</v>
      </c>
      <c r="I3" s="64" t="s">
        <v>224</v>
      </c>
      <c r="J3" s="65" t="str">
        <f>+IF(Tabla6910121315107[[#This Row],[TIPO]]="NO ASISTE","-",+IF(I3&lt;&gt;0,+LOOKUP(I3,SOCIOS!$B$2:$B$26,SOCIOS!$C$2:$C$26),"-"))</f>
        <v>CONCEPCION</v>
      </c>
      <c r="K3" s="66">
        <f>+IF(Tabla6910121315107[[#This Row],[TIPO]]="NO ASISTE","-",+IF(I3&lt;&gt;0,+LOOKUP(I3,SOCIOS!$B$2:$B$26,SOCIOS!$D$2:$D$26),"-"))</f>
        <v>19000</v>
      </c>
      <c r="L3" s="66">
        <f>+IF(Tabla6910121315107[[#This Row],[TIPO]]="NO ASISTE","-",+IF(I3&lt;&gt;0,+LOOKUP(I3,SOCIOS!$B$2:$B$26,SOCIOS!$E$2:$E$26),"-"))</f>
        <v>1000</v>
      </c>
      <c r="M3" s="211" t="s">
        <v>140</v>
      </c>
      <c r="N3" s="989">
        <v>1127</v>
      </c>
      <c r="P3" s="64"/>
      <c r="Q3" s="65" t="str">
        <f>+IF(Tabla6910121315107[[#This Row],[TIPO]]="NO ASISTE","-",+IF(P3&lt;&gt;0,+LOOKUP(P3,SOCIOS!$B$2:$B$26,SOCIOS!$C$2:$C$26),"-"))</f>
        <v>-</v>
      </c>
      <c r="R3" s="66" t="str">
        <f>+IF(Tabla6910121315107[[#This Row],[TIPO]]="NO ASISTE","-",+IF(P3&lt;&gt;0,+LOOKUP(P3,SOCIOS!$B$2:$B$26,SOCIOS!$D$2:$D$26),"-"))</f>
        <v>-</v>
      </c>
      <c r="S3" s="66" t="str">
        <f>+IF(Tabla6910121315107[[#This Row],[TIPO]]="NO ASISTE","-",+IF(P3&lt;&gt;0,+LOOKUP(P3,SOCIOS!$B$2:$B$26,SOCIOS!$E$2:$E$26),"-"))</f>
        <v>-</v>
      </c>
      <c r="T3" s="211"/>
    </row>
    <row r="4" spans="1:21" x14ac:dyDescent="0.25">
      <c r="A4" s="963"/>
      <c r="B4" s="64" t="s">
        <v>126</v>
      </c>
      <c r="C4" s="65" t="str">
        <f>+IF(Tabla691012131510[[#This Row],[TIPO]]="NO ASISTE","-",+IF(B4&lt;&gt;0,+LOOKUP(B4,SOCIOS!$B$2:$B$26,SOCIOS!$C$2:$C$26),"-"))</f>
        <v>TREBOL</v>
      </c>
      <c r="D4" s="66">
        <f>+IF(Tabla691012131510[[#This Row],[TIPO]]="NO ASISTE","-",+IF(B4&lt;&gt;0,+LOOKUP(B4,SOCIOS!$B$2:$B$26,SOCIOS!$D$2:$D$26),"-"))</f>
        <v>19000</v>
      </c>
      <c r="E4" s="66">
        <f>+IF(Tabla691012131510[[#This Row],[TIPO]]="NO ASISTE","-",+IF(B4&lt;&gt;0,+LOOKUP(B4,SOCIOS!$B$2:$B$26,SOCIOS!$E$2:$E$26),"-"))</f>
        <v>1000</v>
      </c>
      <c r="F4" s="211" t="s">
        <v>140</v>
      </c>
      <c r="G4" s="930">
        <v>1119</v>
      </c>
      <c r="I4" s="64" t="s">
        <v>174</v>
      </c>
      <c r="J4" s="65" t="str">
        <f>+IF(Tabla6910121315107[[#This Row],[TIPO]]="NO ASISTE","-",+IF(I4&lt;&gt;0,+LOOKUP(I4,SOCIOS!$B$2:$B$26,SOCIOS!$C$2:$C$26),"-"))</f>
        <v>CONCEPCION</v>
      </c>
      <c r="K4" s="66">
        <f>+IF(Tabla6910121315107[[#This Row],[TIPO]]="NO ASISTE","-",+IF(I4&lt;&gt;0,+LOOKUP(I4,SOCIOS!$B$2:$B$26,SOCIOS!$D$2:$D$26),"-"))</f>
        <v>19000</v>
      </c>
      <c r="L4" s="66">
        <f>+IF(Tabla6910121315107[[#This Row],[TIPO]]="NO ASISTE","-",+IF(I4&lt;&gt;0,+LOOKUP(I4,SOCIOS!$B$2:$B$26,SOCIOS!$E$2:$E$26),"-"))</f>
        <v>1000</v>
      </c>
      <c r="M4" s="211" t="s">
        <v>140</v>
      </c>
      <c r="N4" s="989">
        <v>1127</v>
      </c>
      <c r="P4" s="64"/>
      <c r="Q4" s="65" t="str">
        <f>+IF(Tabla6910121315107[[#This Row],[TIPO]]="NO ASISTE","-",+IF(P4&lt;&gt;0,+LOOKUP(P4,SOCIOS!$B$2:$B$26,SOCIOS!$C$2:$C$26),"-"))</f>
        <v>-</v>
      </c>
      <c r="R4" s="66" t="str">
        <f>+IF(Tabla6910121315107[[#This Row],[TIPO]]="NO ASISTE","-",+IF(P4&lt;&gt;0,+LOOKUP(P4,SOCIOS!$B$2:$B$26,SOCIOS!$D$2:$D$26),"-"))</f>
        <v>-</v>
      </c>
      <c r="S4" s="66" t="str">
        <f>+IF(Tabla6910121315107[[#This Row],[TIPO]]="NO ASISTE","-",+IF(P4&lt;&gt;0,+LOOKUP(P4,SOCIOS!$B$2:$B$26,SOCIOS!$E$2:$E$26),"-"))</f>
        <v>-</v>
      </c>
      <c r="T4" s="211"/>
    </row>
    <row r="5" spans="1:21" x14ac:dyDescent="0.25">
      <c r="A5" s="963"/>
      <c r="B5" s="64" t="s">
        <v>172</v>
      </c>
      <c r="C5" s="65" t="str">
        <f>+IF(Tabla691012131510[[#This Row],[TIPO]]="NO ASISTE","-",+IF(B5&lt;&gt;0,+LOOKUP(B5,SOCIOS!$B$2:$B$26,SOCIOS!$C$2:$C$26),"-"))</f>
        <v>COSTANERA</v>
      </c>
      <c r="D5" s="66">
        <f>+IF(Tabla691012131510[[#This Row],[TIPO]]="NO ASISTE","-",+IF(B5&lt;&gt;0,+LOOKUP(B5,SOCIOS!$B$2:$B$26,SOCIOS!$D$2:$D$26),"-"))</f>
        <v>19000</v>
      </c>
      <c r="E5" s="66">
        <f>+IF(Tabla691012131510[[#This Row],[TIPO]]="NO ASISTE","-",+IF(B5&lt;&gt;0,+LOOKUP(B5,SOCIOS!$B$2:$B$26,SOCIOS!$E$2:$E$26),"-"))</f>
        <v>1000</v>
      </c>
      <c r="F5" s="211" t="s">
        <v>140</v>
      </c>
      <c r="G5" s="930">
        <v>1119</v>
      </c>
      <c r="I5" s="64" t="s">
        <v>221</v>
      </c>
      <c r="J5" s="65" t="str">
        <f>+IF(Tabla6910121315107[[#This Row],[TIPO]]="NO ASISTE","-",+IF(I5&lt;&gt;0,+LOOKUP(I5,SOCIOS!$B$2:$B$26,SOCIOS!$C$2:$C$26),"-"))</f>
        <v>CONCEPCION</v>
      </c>
      <c r="K5" s="66">
        <f>+IF(Tabla6910121315107[[#This Row],[TIPO]]="NO ASISTE","-",+IF(I5&lt;&gt;0,+LOOKUP(I5,SOCIOS!$B$2:$B$26,SOCIOS!$D$2:$D$26),"-"))</f>
        <v>19000</v>
      </c>
      <c r="L5" s="66">
        <f>+IF(Tabla6910121315107[[#This Row],[TIPO]]="NO ASISTE","-",+IF(I5&lt;&gt;0,+LOOKUP(I5,SOCIOS!$B$2:$B$26,SOCIOS!$E$2:$E$26),"-"))</f>
        <v>1000</v>
      </c>
      <c r="M5" s="211" t="s">
        <v>140</v>
      </c>
      <c r="N5" s="989">
        <v>1127</v>
      </c>
      <c r="P5" s="64"/>
      <c r="Q5" s="65" t="str">
        <f>+IF(Tabla6910121315107[[#This Row],[TIPO]]="NO ASISTE","-",+IF(P5&lt;&gt;0,+LOOKUP(P5,SOCIOS!$B$2:$B$26,SOCIOS!$C$2:$C$26),"-"))</f>
        <v>-</v>
      </c>
      <c r="R5" s="66" t="str">
        <f>+IF(Tabla6910121315107[[#This Row],[TIPO]]="NO ASISTE","-",+IF(P5&lt;&gt;0,+LOOKUP(P5,SOCIOS!$B$2:$B$26,SOCIOS!$D$2:$D$26),"-"))</f>
        <v>-</v>
      </c>
      <c r="S5" s="66" t="str">
        <f>+IF(Tabla6910121315107[[#This Row],[TIPO]]="NO ASISTE","-",+IF(P5&lt;&gt;0,+LOOKUP(P5,SOCIOS!$B$2:$B$26,SOCIOS!$E$2:$E$26),"-"))</f>
        <v>-</v>
      </c>
      <c r="T5" s="211"/>
    </row>
    <row r="6" spans="1:21" x14ac:dyDescent="0.25">
      <c r="A6" s="963"/>
      <c r="B6" s="64" t="s">
        <v>129</v>
      </c>
      <c r="C6" s="65" t="str">
        <f>+IF(Tabla691012131510[[#This Row],[TIPO]]="NO ASISTE","-",+IF(B6&lt;&gt;0,+LOOKUP(B6,SOCIOS!$B$2:$B$26,SOCIOS!$C$2:$C$26),"-"))</f>
        <v>CONCEPCION</v>
      </c>
      <c r="D6" s="66">
        <f>+IF(Tabla691012131510[[#This Row],[TIPO]]="NO ASISTE","-",+IF(B6&lt;&gt;0,+LOOKUP(B6,SOCIOS!$B$2:$B$26,SOCIOS!$D$2:$D$26),"-"))</f>
        <v>19000</v>
      </c>
      <c r="E6" s="66">
        <f>+IF(Tabla691012131510[[#This Row],[TIPO]]="NO ASISTE","-",+IF(B6&lt;&gt;0,+LOOKUP(B6,SOCIOS!$B$2:$B$26,SOCIOS!$E$2:$E$26),"-"))</f>
        <v>1000</v>
      </c>
      <c r="F6" s="211" t="s">
        <v>140</v>
      </c>
      <c r="G6" s="930">
        <v>1120</v>
      </c>
      <c r="I6" s="64" t="s">
        <v>161</v>
      </c>
      <c r="J6" s="65" t="str">
        <f>+IF(Tabla6910121315107[[#This Row],[TIPO]]="NO ASISTE","-",+IF(I6&lt;&gt;0,+LOOKUP(I6,SOCIOS!$B$2:$B$26,SOCIOS!$C$2:$C$26),"-"))</f>
        <v>CONCEPCION</v>
      </c>
      <c r="K6" s="66">
        <f>+IF(Tabla6910121315107[[#This Row],[TIPO]]="NO ASISTE","-",+IF(I6&lt;&gt;0,+LOOKUP(I6,SOCIOS!$B$2:$B$26,SOCIOS!$D$2:$D$26),"-"))</f>
        <v>19000</v>
      </c>
      <c r="L6" s="66">
        <f>+IF(Tabla6910121315107[[#This Row],[TIPO]]="NO ASISTE","-",+IF(I6&lt;&gt;0,+LOOKUP(I6,SOCIOS!$B$2:$B$26,SOCIOS!$E$2:$E$26),"-"))</f>
        <v>1000</v>
      </c>
      <c r="M6" s="211" t="s">
        <v>629</v>
      </c>
      <c r="N6" s="989">
        <v>1128</v>
      </c>
      <c r="P6" s="64"/>
      <c r="Q6" s="65" t="str">
        <f>+IF(Tabla6910121315107[[#This Row],[TIPO]]="NO ASISTE","-",+IF(P6&lt;&gt;0,+LOOKUP(P6,SOCIOS!$B$2:$B$26,SOCIOS!$C$2:$C$26),"-"))</f>
        <v>-</v>
      </c>
      <c r="R6" s="66" t="str">
        <f>+IF(Tabla6910121315107[[#This Row],[TIPO]]="NO ASISTE","-",+IF(P6&lt;&gt;0,+LOOKUP(P6,SOCIOS!$B$2:$B$26,SOCIOS!$D$2:$D$26),"-"))</f>
        <v>-</v>
      </c>
      <c r="S6" s="66" t="str">
        <f>+IF(Tabla6910121315107[[#This Row],[TIPO]]="NO ASISTE","-",+IF(P6&lt;&gt;0,+LOOKUP(P6,SOCIOS!$B$2:$B$26,SOCIOS!$E$2:$E$26),"-"))</f>
        <v>-</v>
      </c>
      <c r="T6" s="211"/>
    </row>
    <row r="7" spans="1:21" x14ac:dyDescent="0.25">
      <c r="A7" s="963"/>
      <c r="B7" s="64" t="s">
        <v>163</v>
      </c>
      <c r="C7" s="65" t="str">
        <f>+IF(Tabla691012131510[[#This Row],[TIPO]]="NO ASISTE","-",+IF(B7&lt;&gt;0,+LOOKUP(B7,SOCIOS!$B$2:$B$26,SOCIOS!$C$2:$C$26),"-"))</f>
        <v>RANCAGUA</v>
      </c>
      <c r="D7" s="66">
        <f>+IF(Tabla691012131510[[#This Row],[TIPO]]="NO ASISTE","-",+IF(B7&lt;&gt;0,+LOOKUP(B7,SOCIOS!$B$2:$B$26,SOCIOS!$D$2:$D$26),"-"))</f>
        <v>19000</v>
      </c>
      <c r="E7" s="66">
        <f>+IF(Tabla691012131510[[#This Row],[TIPO]]="NO ASISTE","-",+IF(B7&lt;&gt;0,+LOOKUP(B7,SOCIOS!$B$2:$B$26,SOCIOS!$E$2:$E$26),"-"))</f>
        <v>1000</v>
      </c>
      <c r="F7" s="211" t="s">
        <v>140</v>
      </c>
      <c r="G7" s="930">
        <v>1120</v>
      </c>
      <c r="I7" s="64" t="s">
        <v>307</v>
      </c>
      <c r="J7" s="65" t="str">
        <f>+IF(Tabla6910121315107[[#This Row],[TIPO]]="NO ASISTE","-",+IF(I7&lt;&gt;0,+LOOKUP(I7,SOCIOS!$B$2:$B$26,SOCIOS!$C$2:$C$26),"-"))</f>
        <v>TREBOL</v>
      </c>
      <c r="K7" s="66">
        <f>+IF(Tabla6910121315107[[#This Row],[TIPO]]="NO ASISTE","-",+IF(I7&lt;&gt;0,+LOOKUP(I7,SOCIOS!$B$2:$B$26,SOCIOS!$D$2:$D$26),"-"))</f>
        <v>19000</v>
      </c>
      <c r="L7" s="66">
        <f>+IF(Tabla6910121315107[[#This Row],[TIPO]]="NO ASISTE","-",+IF(I7&lt;&gt;0,+LOOKUP(I7,SOCIOS!$B$2:$B$26,SOCIOS!$E$2:$E$26),"-"))</f>
        <v>1000</v>
      </c>
      <c r="M7" s="211" t="s">
        <v>629</v>
      </c>
      <c r="N7" s="989">
        <v>1128</v>
      </c>
      <c r="P7" s="64"/>
      <c r="Q7" s="65" t="str">
        <f>+IF(Tabla6910121315107[[#This Row],[TIPO]]="NO ASISTE","-",+IF(P7&lt;&gt;0,+LOOKUP(P7,SOCIOS!$B$2:$B$26,SOCIOS!$C$2:$C$26),"-"))</f>
        <v>-</v>
      </c>
      <c r="R7" s="66" t="str">
        <f>+IF(Tabla6910121315107[[#This Row],[TIPO]]="NO ASISTE","-",+IF(P7&lt;&gt;0,+LOOKUP(P7,SOCIOS!$B$2:$B$26,SOCIOS!$D$2:$D$26),"-"))</f>
        <v>-</v>
      </c>
      <c r="S7" s="66" t="str">
        <f>+IF(Tabla6910121315107[[#This Row],[TIPO]]="NO ASISTE","-",+IF(P7&lt;&gt;0,+LOOKUP(P7,SOCIOS!$B$2:$B$26,SOCIOS!$E$2:$E$26),"-"))</f>
        <v>-</v>
      </c>
      <c r="T7" s="211"/>
    </row>
    <row r="8" spans="1:21" x14ac:dyDescent="0.25">
      <c r="A8" s="963"/>
      <c r="B8" s="64" t="s">
        <v>348</v>
      </c>
      <c r="C8" s="65" t="str">
        <f>+IF(Tabla691012131510[[#This Row],[TIPO]]="NO ASISTE","-",+IF(B8&lt;&gt;0,+LOOKUP(B8,SOCIOS!$B$2:$B$26,SOCIOS!$C$2:$C$26),"-"))</f>
        <v>RANCAGUA</v>
      </c>
      <c r="D8" s="66">
        <f>+IF(Tabla691012131510[[#This Row],[TIPO]]="NO ASISTE","-",+IF(B8&lt;&gt;0,+LOOKUP(B8,SOCIOS!$B$2:$B$26,SOCIOS!$D$2:$D$26),"-"))</f>
        <v>19000</v>
      </c>
      <c r="E8" s="66">
        <f>+IF(Tabla691012131510[[#This Row],[TIPO]]="NO ASISTE","-",+IF(B8&lt;&gt;0,+LOOKUP(B8,SOCIOS!$B$2:$B$26,SOCIOS!$E$2:$E$26),"-"))</f>
        <v>1000</v>
      </c>
      <c r="F8" s="211" t="s">
        <v>140</v>
      </c>
      <c r="G8" s="930">
        <v>1120</v>
      </c>
      <c r="I8" s="960" t="s">
        <v>162</v>
      </c>
      <c r="J8" s="406" t="str">
        <f>+IF(Tabla6910121315107[[#This Row],[TIPO]]="NO ASISTE","-",+IF(I8&lt;&gt;0,+LOOKUP(I8,SOCIOS!$B$2:$B$26,SOCIOS!$C$2:$C$26),"-"))</f>
        <v>-</v>
      </c>
      <c r="K8" s="961" t="str">
        <f>+IF(Tabla6910121315107[[#This Row],[TIPO]]="NO ASISTE","-",+IF(I8&lt;&gt;0,+LOOKUP(I8,SOCIOS!$B$2:$B$26,SOCIOS!$D$2:$D$26),"-"))</f>
        <v>-</v>
      </c>
      <c r="L8" s="961" t="str">
        <f>+IF(Tabla6910121315107[[#This Row],[TIPO]]="NO ASISTE","-",+IF(I8&lt;&gt;0,+LOOKUP(I8,SOCIOS!$B$2:$B$26,SOCIOS!$E$2:$E$26),"-"))</f>
        <v>-</v>
      </c>
      <c r="M8" s="573" t="s">
        <v>230</v>
      </c>
      <c r="N8" s="962" t="s">
        <v>624</v>
      </c>
      <c r="P8" s="64"/>
      <c r="Q8" s="65" t="str">
        <f>+IF(Tabla6910121315107[[#This Row],[TIPO]]="NO ASISTE","-",+IF(P8&lt;&gt;0,+LOOKUP(P8,SOCIOS!$B$2:$B$26,SOCIOS!$C$2:$C$26),"-"))</f>
        <v>-</v>
      </c>
      <c r="R8" s="66" t="str">
        <f>+IF(Tabla6910121315107[[#This Row],[TIPO]]="NO ASISTE","-",+IF(P8&lt;&gt;0,+LOOKUP(P8,SOCIOS!$B$2:$B$26,SOCIOS!$D$2:$D$26),"-"))</f>
        <v>-</v>
      </c>
      <c r="S8" s="66" t="str">
        <f>+IF(Tabla6910121315107[[#This Row],[TIPO]]="NO ASISTE","-",+IF(P8&lt;&gt;0,+LOOKUP(P8,SOCIOS!$B$2:$B$26,SOCIOS!$E$2:$E$26),"-"))</f>
        <v>-</v>
      </c>
      <c r="T8" s="211"/>
    </row>
    <row r="9" spans="1:21" x14ac:dyDescent="0.25">
      <c r="A9" s="963"/>
      <c r="B9" s="64" t="s">
        <v>349</v>
      </c>
      <c r="C9" s="65" t="str">
        <f>+IF(Tabla691012131510[[#This Row],[TIPO]]="NO ASISTE","-",+IF(B9&lt;&gt;0,+LOOKUP(B9,SOCIOS!$B$2:$B$26,SOCIOS!$C$2:$C$26),"-"))</f>
        <v>RANCAGUA</v>
      </c>
      <c r="D9" s="66">
        <f>+IF(Tabla691012131510[[#This Row],[TIPO]]="NO ASISTE","-",+IF(B9&lt;&gt;0,+LOOKUP(B9,SOCIOS!$B$2:$B$26,SOCIOS!$D$2:$D$26),"-"))</f>
        <v>19000</v>
      </c>
      <c r="E9" s="66">
        <f>+IF(Tabla691012131510[[#This Row],[TIPO]]="NO ASISTE","-",+IF(B9&lt;&gt;0,+LOOKUP(B9,SOCIOS!$B$2:$B$26,SOCIOS!$E$2:$E$26),"-"))</f>
        <v>1000</v>
      </c>
      <c r="F9" s="211" t="s">
        <v>140</v>
      </c>
      <c r="G9" s="930">
        <v>1120</v>
      </c>
      <c r="I9" s="64" t="s">
        <v>166</v>
      </c>
      <c r="J9" s="65" t="str">
        <f>+IF(Tabla6910121315107[[#This Row],[TIPO]]="NO ASISTE","-",+IF(I9&lt;&gt;0,+LOOKUP(I9,SOCIOS!$B$2:$B$26,SOCIOS!$C$2:$C$26),"-"))</f>
        <v>CONCEPCION</v>
      </c>
      <c r="K9" s="66">
        <f>+IF(Tabla6910121315107[[#This Row],[TIPO]]="NO ASISTE","-",+IF(I9&lt;&gt;0,+LOOKUP(I9,SOCIOS!$B$2:$B$26,SOCIOS!$D$2:$D$26),"-"))</f>
        <v>19000</v>
      </c>
      <c r="L9" s="66">
        <f>+IF(Tabla6910121315107[[#This Row],[TIPO]]="NO ASISTE","-",+IF(I9&lt;&gt;0,+LOOKUP(I9,SOCIOS!$B$2:$B$26,SOCIOS!$E$2:$E$26),"-"))</f>
        <v>1000</v>
      </c>
      <c r="M9" s="211" t="s">
        <v>140</v>
      </c>
      <c r="N9" s="989">
        <v>1129</v>
      </c>
      <c r="P9" s="64"/>
      <c r="Q9" s="65" t="str">
        <f>+IF(Tabla6910121315107[[#This Row],[TIPO]]="NO ASISTE","-",+IF(P9&lt;&gt;0,+LOOKUP(P9,SOCIOS!$B$2:$B$26,SOCIOS!$C$2:$C$26),"-"))</f>
        <v>-</v>
      </c>
      <c r="R9" s="66" t="str">
        <f>+IF(Tabla6910121315107[[#This Row],[TIPO]]="NO ASISTE","-",+IF(P9&lt;&gt;0,+LOOKUP(P9,SOCIOS!$B$2:$B$26,SOCIOS!$D$2:$D$26),"-"))</f>
        <v>-</v>
      </c>
      <c r="S9" s="66" t="str">
        <f>+IF(Tabla6910121315107[[#This Row],[TIPO]]="NO ASISTE","-",+IF(P9&lt;&gt;0,+LOOKUP(P9,SOCIOS!$B$2:$B$26,SOCIOS!$E$2:$E$26),"-"))</f>
        <v>-</v>
      </c>
      <c r="T9" s="211"/>
    </row>
    <row r="10" spans="1:21" x14ac:dyDescent="0.25">
      <c r="A10" s="963"/>
      <c r="B10" s="64" t="s">
        <v>176</v>
      </c>
      <c r="C10" s="65" t="str">
        <f>+IF(Tabla691012131510[[#This Row],[TIPO]]="NO ASISTE","-",+IF(B10&lt;&gt;0,+LOOKUP(B10,SOCIOS!$B$2:$B$26,SOCIOS!$C$2:$C$26),"-"))</f>
        <v>CONCEPCION</v>
      </c>
      <c r="D10" s="66">
        <f>+IF(Tabla691012131510[[#This Row],[TIPO]]="NO ASISTE","-",+IF(B10&lt;&gt;0,+LOOKUP(B10,SOCIOS!$B$2:$B$26,SOCIOS!$D$2:$D$26),"-"))</f>
        <v>19000</v>
      </c>
      <c r="E10" s="66">
        <f>+IF(Tabla691012131510[[#This Row],[TIPO]]="NO ASISTE","-",+IF(B10&lt;&gt;0,+LOOKUP(B10,SOCIOS!$B$2:$B$26,SOCIOS!$E$2:$E$26),"-"))</f>
        <v>1000</v>
      </c>
      <c r="F10" s="211" t="s">
        <v>140</v>
      </c>
      <c r="G10" s="930">
        <v>1121</v>
      </c>
      <c r="I10" s="64" t="s">
        <v>167</v>
      </c>
      <c r="J10" s="65" t="str">
        <f>+IF(Tabla6910121315107[[#This Row],[TIPO]]="NO ASISTE","-",+IF(I10&lt;&gt;0,+LOOKUP(I10,SOCIOS!$B$2:$B$26,SOCIOS!$C$2:$C$26),"-"))</f>
        <v>COSTANERA</v>
      </c>
      <c r="K10" s="66">
        <f>+IF(Tabla6910121315107[[#This Row],[TIPO]]="NO ASISTE","-",+IF(I10&lt;&gt;0,+LOOKUP(I10,SOCIOS!$B$2:$B$26,SOCIOS!$D$2:$D$26),"-"))</f>
        <v>19000</v>
      </c>
      <c r="L10" s="66">
        <f>+IF(Tabla6910121315107[[#This Row],[TIPO]]="NO ASISTE","-",+IF(I10&lt;&gt;0,+LOOKUP(I10,SOCIOS!$B$2:$B$26,SOCIOS!$E$2:$E$26),"-"))</f>
        <v>1000</v>
      </c>
      <c r="M10" s="211" t="s">
        <v>140</v>
      </c>
      <c r="N10" s="989">
        <v>1129</v>
      </c>
      <c r="P10" s="64"/>
      <c r="Q10" s="65" t="str">
        <f>+IF(Tabla6910121315107[[#This Row],[TIPO]]="NO ASISTE","-",+IF(P10&lt;&gt;0,+LOOKUP(P10,SOCIOS!$B$2:$B$26,SOCIOS!$C$2:$C$26),"-"))</f>
        <v>-</v>
      </c>
      <c r="R10" s="66" t="str">
        <f>+IF(Tabla6910121315107[[#This Row],[TIPO]]="NO ASISTE","-",+IF(P10&lt;&gt;0,+LOOKUP(P10,SOCIOS!$B$2:$B$26,SOCIOS!$D$2:$D$26),"-"))</f>
        <v>-</v>
      </c>
      <c r="S10" s="66" t="str">
        <f>+IF(Tabla6910121315107[[#This Row],[TIPO]]="NO ASISTE","-",+IF(P10&lt;&gt;0,+LOOKUP(P10,SOCIOS!$B$2:$B$26,SOCIOS!$E$2:$E$26),"-"))</f>
        <v>-</v>
      </c>
      <c r="T10" s="211"/>
    </row>
    <row r="11" spans="1:21" x14ac:dyDescent="0.25">
      <c r="A11" s="963"/>
      <c r="B11" s="64" t="s">
        <v>500</v>
      </c>
      <c r="C11" s="65" t="str">
        <f>+IF(Tabla691012131510[[#This Row],[TIPO]]="NO ASISTE","-",+IF(B11&lt;&gt;0,+LOOKUP(B11,SOCIOS!$B$2:$B$26,SOCIOS!$C$2:$C$26),"-"))</f>
        <v>CONCEPCION</v>
      </c>
      <c r="D11" s="66">
        <f>+IF(Tabla691012131510[[#This Row],[TIPO]]="NO ASISTE","-",+IF(B11&lt;&gt;0,+LOOKUP(B11,SOCIOS!$B$2:$B$26,SOCIOS!$D$2:$D$26),"-"))</f>
        <v>19000</v>
      </c>
      <c r="E11" s="66">
        <f>+IF(Tabla691012131510[[#This Row],[TIPO]]="NO ASISTE","-",+IF(B11&lt;&gt;0,+LOOKUP(B11,SOCIOS!$B$2:$B$26,SOCIOS!$E$2:$E$26),"-"))</f>
        <v>1000</v>
      </c>
      <c r="F11" s="211" t="s">
        <v>140</v>
      </c>
      <c r="G11" s="930">
        <v>1121</v>
      </c>
      <c r="I11" s="960" t="s">
        <v>226</v>
      </c>
      <c r="J11" s="406" t="str">
        <f>+IF(Tabla6910121315107[[#This Row],[TIPO]]="NO ASISTE","-",+IF(I11&lt;&gt;0,+LOOKUP(I11,SOCIOS!$B$2:$B$26,SOCIOS!$C$2:$C$26),"-"))</f>
        <v>-</v>
      </c>
      <c r="K11" s="961" t="str">
        <f>+IF(Tabla6910121315107[[#This Row],[TIPO]]="NO ASISTE","-",+IF(I11&lt;&gt;0,+LOOKUP(I11,SOCIOS!$B$2:$B$26,SOCIOS!$D$2:$D$26),"-"))</f>
        <v>-</v>
      </c>
      <c r="L11" s="961" t="str">
        <f>+IF(Tabla6910121315107[[#This Row],[TIPO]]="NO ASISTE","-",+IF(I11&lt;&gt;0,+LOOKUP(I11,SOCIOS!$B$2:$B$26,SOCIOS!$E$2:$E$26),"-"))</f>
        <v>-</v>
      </c>
      <c r="M11" s="573" t="s">
        <v>230</v>
      </c>
      <c r="N11" s="962" t="s">
        <v>624</v>
      </c>
      <c r="P11" s="64"/>
      <c r="Q11" s="65" t="str">
        <f>+IF(Tabla6910121315107[[#This Row],[TIPO]]="NO ASISTE","-",+IF(P11&lt;&gt;0,+LOOKUP(P11,SOCIOS!$B$2:$B$26,SOCIOS!$C$2:$C$26),"-"))</f>
        <v>-</v>
      </c>
      <c r="R11" s="66" t="str">
        <f>+IF(Tabla6910121315107[[#This Row],[TIPO]]="NO ASISTE","-",+IF(P11&lt;&gt;0,+LOOKUP(P11,SOCIOS!$B$2:$B$26,SOCIOS!$D$2:$D$26),"-"))</f>
        <v>-</v>
      </c>
      <c r="S11" s="66" t="str">
        <f>+IF(Tabla6910121315107[[#This Row],[TIPO]]="NO ASISTE","-",+IF(P11&lt;&gt;0,+LOOKUP(P11,SOCIOS!$B$2:$B$26,SOCIOS!$E$2:$E$26),"-"))</f>
        <v>-</v>
      </c>
      <c r="T11" s="211"/>
    </row>
    <row r="12" spans="1:21" ht="15" customHeight="1" x14ac:dyDescent="0.25">
      <c r="A12" s="963"/>
      <c r="B12" s="960" t="s">
        <v>130</v>
      </c>
      <c r="C12" s="406" t="str">
        <f>+IF(Tabla691012131510[[#This Row],[TIPO]]="NO ASISTE","-",+IF(B12&lt;&gt;0,+LOOKUP(B12,SOCIOS!$B$2:$B$26,SOCIOS!$C$2:$C$26),"-"))</f>
        <v>-</v>
      </c>
      <c r="D12" s="961" t="str">
        <f>+IF(Tabla691012131510[[#This Row],[TIPO]]="NO ASISTE","-",+IF(B12&lt;&gt;0,+LOOKUP(B12,SOCIOS!$B$2:$B$26,SOCIOS!$D$2:$D$26),"-"))</f>
        <v>-</v>
      </c>
      <c r="E12" s="961" t="str">
        <f>+IF(Tabla691012131510[[#This Row],[TIPO]]="NO ASISTE","-",+IF(B12&lt;&gt;0,+LOOKUP(B12,SOCIOS!$B$2:$B$26,SOCIOS!$E$2:$E$26),"-"))</f>
        <v>-</v>
      </c>
      <c r="F12" s="573" t="s">
        <v>230</v>
      </c>
      <c r="G12" s="962" t="s">
        <v>624</v>
      </c>
      <c r="I12" s="960" t="s">
        <v>147</v>
      </c>
      <c r="J12" s="406" t="str">
        <f>+IF(Tabla6910121315107[[#This Row],[TIPO]]="NO ASISTE","-",+IF(I12&lt;&gt;0,+LOOKUP(I12,SOCIOS!$B$2:$B$26,SOCIOS!$C$2:$C$26),"-"))</f>
        <v>-</v>
      </c>
      <c r="K12" s="961" t="str">
        <f>+IF(Tabla6910121315107[[#This Row],[TIPO]]="NO ASISTE","-",+IF(I12&lt;&gt;0,+LOOKUP(I12,SOCIOS!$B$2:$B$26,SOCIOS!$D$2:$D$26),"-"))</f>
        <v>-</v>
      </c>
      <c r="L12" s="961" t="str">
        <f>+IF(Tabla6910121315107[[#This Row],[TIPO]]="NO ASISTE","-",+IF(I12&lt;&gt;0,+LOOKUP(I12,SOCIOS!$B$2:$B$26,SOCIOS!$E$2:$E$26),"-"))</f>
        <v>-</v>
      </c>
      <c r="M12" s="573" t="s">
        <v>230</v>
      </c>
      <c r="N12" s="962" t="s">
        <v>624</v>
      </c>
      <c r="P12" s="64"/>
      <c r="Q12" s="65" t="str">
        <f>+IF(Tabla6910121315107[[#This Row],[TIPO]]="NO ASISTE","-",+IF(P12&lt;&gt;0,+LOOKUP(P12,SOCIOS!$B$2:$B$26,SOCIOS!$C$2:$C$26),"-"))</f>
        <v>-</v>
      </c>
      <c r="R12" s="66" t="str">
        <f>+IF(Tabla6910121315107[[#This Row],[TIPO]]="NO ASISTE","-",+IF(P12&lt;&gt;0,+LOOKUP(P12,SOCIOS!$B$2:$B$26,SOCIOS!$D$2:$D$26),"-"))</f>
        <v>-</v>
      </c>
      <c r="S12" s="66" t="str">
        <f>+IF(Tabla6910121315107[[#This Row],[TIPO]]="NO ASISTE","-",+IF(P12&lt;&gt;0,+LOOKUP(P12,SOCIOS!$B$2:$B$26,SOCIOS!$E$2:$E$26),"-"))</f>
        <v>-</v>
      </c>
      <c r="T12" s="211"/>
    </row>
    <row r="13" spans="1:21" x14ac:dyDescent="0.25">
      <c r="A13" s="963"/>
      <c r="B13" s="64" t="s">
        <v>158</v>
      </c>
      <c r="C13" s="65" t="str">
        <f>+IF(Tabla691012131510[[#This Row],[TIPO]]="NO ASISTE","-",+IF(B13&lt;&gt;0,+LOOKUP(B13,SOCIOS!$B$2:$B$26,SOCIOS!$C$2:$C$26),"-"))</f>
        <v>TREBOL</v>
      </c>
      <c r="D13" s="66">
        <f>+IF(Tabla691012131510[[#This Row],[TIPO]]="NO ASISTE","-",+IF(B13&lt;&gt;0,+LOOKUP(B13,SOCIOS!$B$2:$B$26,SOCIOS!$D$2:$D$26),"-"))</f>
        <v>19000</v>
      </c>
      <c r="E13" s="66">
        <f>+IF(Tabla691012131510[[#This Row],[TIPO]]="NO ASISTE","-",+IF(B13&lt;&gt;0,+LOOKUP(B13,SOCIOS!$B$2:$B$26,SOCIOS!$E$2:$E$26),"-"))</f>
        <v>1000</v>
      </c>
      <c r="F13" s="211" t="s">
        <v>140</v>
      </c>
      <c r="G13" s="930">
        <v>1122</v>
      </c>
      <c r="I13" s="960" t="s">
        <v>146</v>
      </c>
      <c r="J13" s="406" t="str">
        <f>+IF(Tabla6910121315107[[#This Row],[TIPO]]="NO ASISTE","-",+IF(I13&lt;&gt;0,+LOOKUP(I13,SOCIOS!$B$2:$B$26,SOCIOS!$C$2:$C$26),"-"))</f>
        <v>-</v>
      </c>
      <c r="K13" s="961" t="str">
        <f>+IF(Tabla6910121315107[[#This Row],[TIPO]]="NO ASISTE","-",+IF(I13&lt;&gt;0,+LOOKUP(I13,SOCIOS!$B$2:$B$26,SOCIOS!$D$2:$D$26),"-"))</f>
        <v>-</v>
      </c>
      <c r="L13" s="961" t="str">
        <f>+IF(Tabla6910121315107[[#This Row],[TIPO]]="NO ASISTE","-",+IF(I13&lt;&gt;0,+LOOKUP(I13,SOCIOS!$B$2:$B$26,SOCIOS!$E$2:$E$26),"-"))</f>
        <v>-</v>
      </c>
      <c r="M13" s="573" t="s">
        <v>230</v>
      </c>
      <c r="N13" s="962" t="s">
        <v>624</v>
      </c>
      <c r="P13" s="64"/>
      <c r="Q13" s="65" t="str">
        <f>+IF(Tabla6910121315107[[#This Row],[TIPO]]="NO ASISTE","-",+IF(P13&lt;&gt;0,+LOOKUP(P13,SOCIOS!$B$2:$B$26,SOCIOS!$C$2:$C$26),"-"))</f>
        <v>-</v>
      </c>
      <c r="R13" s="66" t="str">
        <f>+IF(Tabla6910121315107[[#This Row],[TIPO]]="NO ASISTE","-",+IF(P13&lt;&gt;0,+LOOKUP(P13,SOCIOS!$B$2:$B$26,SOCIOS!$D$2:$D$26),"-"))</f>
        <v>-</v>
      </c>
      <c r="S13" s="66" t="str">
        <f>+IF(Tabla6910121315107[[#This Row],[TIPO]]="NO ASISTE","-",+IF(P13&lt;&gt;0,+LOOKUP(P13,SOCIOS!$B$2:$B$26,SOCIOS!$E$2:$E$26),"-"))</f>
        <v>-</v>
      </c>
      <c r="T13" s="211"/>
    </row>
    <row r="14" spans="1:21" x14ac:dyDescent="0.25">
      <c r="A14" s="963"/>
      <c r="B14" s="64" t="s">
        <v>156</v>
      </c>
      <c r="C14" s="65" t="str">
        <f>+IF(Tabla691012131510[[#This Row],[TIPO]]="NO ASISTE","-",+IF(B14&lt;&gt;0,+LOOKUP(B14,SOCIOS!$B$2:$B$26,SOCIOS!$C$2:$C$26),"-"))</f>
        <v>PLAZA NORTE</v>
      </c>
      <c r="D14" s="66">
        <f>+IF(Tabla691012131510[[#This Row],[TIPO]]="NO ASISTE","-",+IF(B14&lt;&gt;0,+LOOKUP(B14,SOCIOS!$B$2:$B$26,SOCIOS!$D$2:$D$26),"-"))</f>
        <v>19000</v>
      </c>
      <c r="E14" s="66">
        <f>+IF(Tabla691012131510[[#This Row],[TIPO]]="NO ASISTE","-",+IF(B14&lt;&gt;0,+LOOKUP(B14,SOCIOS!$B$2:$B$26,SOCIOS!$E$2:$E$26),"-"))</f>
        <v>1000</v>
      </c>
      <c r="F14" s="211" t="s">
        <v>140</v>
      </c>
      <c r="G14" s="930">
        <v>1122</v>
      </c>
      <c r="I14" s="960" t="s">
        <v>501</v>
      </c>
      <c r="J14" s="406" t="str">
        <f>+IF(Tabla6910121315107[[#This Row],[TIPO]]="NO ASISTE","-",+IF(I14&lt;&gt;0,+LOOKUP(I14,SOCIOS!$B$2:$B$26,SOCIOS!$C$2:$C$26),"-"))</f>
        <v>-</v>
      </c>
      <c r="K14" s="961" t="str">
        <f>+IF(Tabla6910121315107[[#This Row],[TIPO]]="NO ASISTE","-",+IF(I14&lt;&gt;0,+LOOKUP(I14,SOCIOS!$B$2:$B$26,SOCIOS!$D$2:$D$26),"-"))</f>
        <v>-</v>
      </c>
      <c r="L14" s="961" t="str">
        <f>+IF(Tabla6910121315107[[#This Row],[TIPO]]="NO ASISTE","-",+IF(I14&lt;&gt;0,+LOOKUP(I14,SOCIOS!$B$2:$B$26,SOCIOS!$E$2:$E$26),"-"))</f>
        <v>-</v>
      </c>
      <c r="M14" s="573" t="s">
        <v>230</v>
      </c>
      <c r="N14" s="962" t="s">
        <v>624</v>
      </c>
      <c r="P14" s="64"/>
      <c r="Q14" s="65" t="str">
        <f>+IF(Tabla6910121315107[[#This Row],[TIPO]]="NO ASISTE","-",+IF(P14&lt;&gt;0,+LOOKUP(P14,SOCIOS!$B$2:$B$26,SOCIOS!$C$2:$C$26),"-"))</f>
        <v>-</v>
      </c>
      <c r="R14" s="66" t="str">
        <f>+IF(Tabla6910121315107[[#This Row],[TIPO]]="NO ASISTE","-",+IF(P14&lt;&gt;0,+LOOKUP(P14,SOCIOS!$B$2:$B$26,SOCIOS!$D$2:$D$26),"-"))</f>
        <v>-</v>
      </c>
      <c r="S14" s="66" t="str">
        <f>+IF(Tabla6910121315107[[#This Row],[TIPO]]="NO ASISTE","-",+IF(P14&lt;&gt;0,+LOOKUP(P14,SOCIOS!$B$2:$B$26,SOCIOS!$E$2:$E$26),"-"))</f>
        <v>-</v>
      </c>
      <c r="T14" s="211"/>
    </row>
    <row r="15" spans="1:21" x14ac:dyDescent="0.25">
      <c r="A15" s="963"/>
      <c r="B15" s="64" t="s">
        <v>499</v>
      </c>
      <c r="C15" s="65" t="str">
        <f>+IF(Tabla691012131510[[#This Row],[TIPO]]="NO ASISTE","-",+IF(B15&lt;&gt;0,+LOOKUP(B15,SOCIOS!$B$2:$B$26,SOCIOS!$C$2:$C$26),"-"))</f>
        <v>TREBOL</v>
      </c>
      <c r="D15" s="66">
        <f>+IF(Tabla691012131510[[#This Row],[TIPO]]="NO ASISTE","-",+IF(B15&lt;&gt;0,+LOOKUP(B15,SOCIOS!$B$2:$B$26,SOCIOS!$D$2:$D$26),"-"))</f>
        <v>19000</v>
      </c>
      <c r="E15" s="66">
        <f>+IF(Tabla691012131510[[#This Row],[TIPO]]="NO ASISTE","-",+IF(B15&lt;&gt;0,+LOOKUP(B15,SOCIOS!$B$2:$B$26,SOCIOS!$E$2:$E$26),"-"))</f>
        <v>1000</v>
      </c>
      <c r="F15" s="211" t="s">
        <v>140</v>
      </c>
      <c r="G15" s="930">
        <v>1122</v>
      </c>
      <c r="I15" s="64" t="s">
        <v>158</v>
      </c>
      <c r="J15" s="65" t="str">
        <f>+IF(Tabla6910121315107[[#This Row],[TIPO]]="NO ASISTE","-",+IF(I15&lt;&gt;0,+LOOKUP(I15,SOCIOS!$B$2:$B$26,SOCIOS!$C$2:$C$26),"-"))</f>
        <v>TREBOL</v>
      </c>
      <c r="K15" s="66">
        <f>+IF(Tabla6910121315107[[#This Row],[TIPO]]="NO ASISTE","-",+IF(I15&lt;&gt;0,+LOOKUP(I15,SOCIOS!$B$2:$B$26,SOCIOS!$D$2:$D$26),"-"))</f>
        <v>19000</v>
      </c>
      <c r="L15" s="66">
        <f>+IF(Tabla6910121315107[[#This Row],[TIPO]]="NO ASISTE","-",+IF(I15&lt;&gt;0,+LOOKUP(I15,SOCIOS!$B$2:$B$26,SOCIOS!$E$2:$E$26),"-"))</f>
        <v>1000</v>
      </c>
      <c r="M15" s="211" t="s">
        <v>629</v>
      </c>
      <c r="N15" s="989">
        <v>1130</v>
      </c>
      <c r="P15" s="64"/>
      <c r="Q15" s="65" t="str">
        <f>+IF(Tabla6910121315107[[#This Row],[TIPO]]="NO ASISTE","-",+IF(P15&lt;&gt;0,+LOOKUP(P15,SOCIOS!$B$2:$B$26,SOCIOS!$C$2:$C$26),"-"))</f>
        <v>-</v>
      </c>
      <c r="R15" s="66" t="str">
        <f>+IF(Tabla6910121315107[[#This Row],[TIPO]]="NO ASISTE","-",+IF(P15&lt;&gt;0,+LOOKUP(P15,SOCIOS!$B$2:$B$26,SOCIOS!$D$2:$D$26),"-"))</f>
        <v>-</v>
      </c>
      <c r="S15" s="66" t="str">
        <f>+IF(Tabla6910121315107[[#This Row],[TIPO]]="NO ASISTE","-",+IF(P15&lt;&gt;0,+LOOKUP(P15,SOCIOS!$B$2:$B$26,SOCIOS!$E$2:$E$26),"-"))</f>
        <v>-</v>
      </c>
      <c r="T15" s="211"/>
    </row>
    <row r="16" spans="1:21" x14ac:dyDescent="0.25">
      <c r="A16" s="963"/>
      <c r="B16" s="64" t="s">
        <v>147</v>
      </c>
      <c r="C16" s="65" t="str">
        <f>+IF(Tabla691012131510[[#This Row],[TIPO]]="NO ASISTE","-",+IF(B16&lt;&gt;0,+LOOKUP(B16,SOCIOS!$B$2:$B$26,SOCIOS!$C$2:$C$26),"-"))</f>
        <v>TREBOL</v>
      </c>
      <c r="D16" s="66">
        <f>+IF(Tabla691012131510[[#This Row],[TIPO]]="NO ASISTE","-",+IF(B16&lt;&gt;0,+LOOKUP(B16,SOCIOS!$B$2:$B$26,SOCIOS!$D$2:$D$26),"-"))</f>
        <v>19000</v>
      </c>
      <c r="E16" s="66">
        <f>+IF(Tabla691012131510[[#This Row],[TIPO]]="NO ASISTE","-",+IF(B16&lt;&gt;0,+LOOKUP(B16,SOCIOS!$B$2:$B$26,SOCIOS!$E$2:$E$26),"-"))</f>
        <v>1000</v>
      </c>
      <c r="F16" s="211" t="s">
        <v>140</v>
      </c>
      <c r="G16" s="930">
        <v>1123</v>
      </c>
      <c r="I16" s="64" t="s">
        <v>156</v>
      </c>
      <c r="J16" s="65" t="str">
        <f>+IF(Tabla6910121315107[[#This Row],[TIPO]]="NO ASISTE","-",+IF(I16&lt;&gt;0,+LOOKUP(I16,SOCIOS!$B$2:$B$26,SOCIOS!$C$2:$C$26),"-"))</f>
        <v>PLAZA NORTE</v>
      </c>
      <c r="K16" s="66">
        <f>+IF(Tabla6910121315107[[#This Row],[TIPO]]="NO ASISTE","-",+IF(I16&lt;&gt;0,+LOOKUP(I16,SOCIOS!$B$2:$B$26,SOCIOS!$D$2:$D$26),"-"))</f>
        <v>19000</v>
      </c>
      <c r="L16" s="66">
        <f>+IF(Tabla6910121315107[[#This Row],[TIPO]]="NO ASISTE","-",+IF(I16&lt;&gt;0,+LOOKUP(I16,SOCIOS!$B$2:$B$26,SOCIOS!$E$2:$E$26),"-"))</f>
        <v>1000</v>
      </c>
      <c r="M16" s="211" t="s">
        <v>629</v>
      </c>
      <c r="N16" s="989">
        <v>1130</v>
      </c>
      <c r="P16" s="64"/>
      <c r="Q16" s="65" t="str">
        <f>+IF(Tabla6910121315107[[#This Row],[TIPO]]="NO ASISTE","-",+IF(P16&lt;&gt;0,+LOOKUP(P16,SOCIOS!$B$2:$B$26,SOCIOS!$C$2:$C$26),"-"))</f>
        <v>-</v>
      </c>
      <c r="R16" s="66" t="str">
        <f>+IF(Tabla6910121315107[[#This Row],[TIPO]]="NO ASISTE","-",+IF(P16&lt;&gt;0,+LOOKUP(P16,SOCIOS!$B$2:$B$26,SOCIOS!$D$2:$D$26),"-"))</f>
        <v>-</v>
      </c>
      <c r="S16" s="66" t="str">
        <f>+IF(Tabla6910121315107[[#This Row],[TIPO]]="NO ASISTE","-",+IF(P16&lt;&gt;0,+LOOKUP(P16,SOCIOS!$B$2:$B$26,SOCIOS!$E$2:$E$26),"-"))</f>
        <v>-</v>
      </c>
      <c r="T16" s="211"/>
    </row>
    <row r="17" spans="1:20" x14ac:dyDescent="0.25">
      <c r="A17" s="963"/>
      <c r="B17" s="64" t="s">
        <v>146</v>
      </c>
      <c r="C17" s="65" t="str">
        <f>+IF(Tabla691012131510[[#This Row],[TIPO]]="NO ASISTE","-",+IF(B17&lt;&gt;0,+LOOKUP(B17,SOCIOS!$B$2:$B$26,SOCIOS!$C$2:$C$26),"-"))</f>
        <v>CONCEPCION</v>
      </c>
      <c r="D17" s="66">
        <f>+IF(Tabla691012131510[[#This Row],[TIPO]]="NO ASISTE","-",+IF(B17&lt;&gt;0,+LOOKUP(B17,SOCIOS!$B$2:$B$26,SOCIOS!$D$2:$D$26),"-"))</f>
        <v>19000</v>
      </c>
      <c r="E17" s="66">
        <f>+IF(Tabla691012131510[[#This Row],[TIPO]]="NO ASISTE","-",+IF(B17&lt;&gt;0,+LOOKUP(B17,SOCIOS!$B$2:$B$26,SOCIOS!$E$2:$E$26),"-"))</f>
        <v>1000</v>
      </c>
      <c r="F17" s="211" t="s">
        <v>140</v>
      </c>
      <c r="G17" s="930">
        <v>1123</v>
      </c>
      <c r="I17" s="64" t="s">
        <v>499</v>
      </c>
      <c r="J17" s="65" t="str">
        <f>+IF(Tabla6910121315107[[#This Row],[TIPO]]="NO ASISTE","-",+IF(I17&lt;&gt;0,+LOOKUP(I17,SOCIOS!$B$2:$B$26,SOCIOS!$C$2:$C$26),"-"))</f>
        <v>TREBOL</v>
      </c>
      <c r="K17" s="66">
        <f>+IF(Tabla6910121315107[[#This Row],[TIPO]]="NO ASISTE","-",+IF(I17&lt;&gt;0,+LOOKUP(I17,SOCIOS!$B$2:$B$26,SOCIOS!$D$2:$D$26),"-"))</f>
        <v>19000</v>
      </c>
      <c r="L17" s="66">
        <f>+IF(Tabla6910121315107[[#This Row],[TIPO]]="NO ASISTE","-",+IF(I17&lt;&gt;0,+LOOKUP(I17,SOCIOS!$B$2:$B$26,SOCIOS!$E$2:$E$26),"-"))</f>
        <v>1000</v>
      </c>
      <c r="M17" s="211" t="s">
        <v>629</v>
      </c>
      <c r="N17" s="989">
        <v>1130</v>
      </c>
      <c r="P17" s="64"/>
      <c r="Q17" s="65" t="str">
        <f>+IF(Tabla6910121315107[[#This Row],[TIPO]]="NO ASISTE","-",+IF(P17&lt;&gt;0,+LOOKUP(P17,SOCIOS!$B$2:$B$26,SOCIOS!$C$2:$C$26),"-"))</f>
        <v>-</v>
      </c>
      <c r="R17" s="66" t="str">
        <f>+IF(Tabla6910121315107[[#This Row],[TIPO]]="NO ASISTE","-",+IF(P17&lt;&gt;0,+LOOKUP(P17,SOCIOS!$B$2:$B$26,SOCIOS!$D$2:$D$26),"-"))</f>
        <v>-</v>
      </c>
      <c r="S17" s="66" t="str">
        <f>+IF(Tabla6910121315107[[#This Row],[TIPO]]="NO ASISTE","-",+IF(P17&lt;&gt;0,+LOOKUP(P17,SOCIOS!$B$2:$B$26,SOCIOS!$E$2:$E$26),"-"))</f>
        <v>-</v>
      </c>
      <c r="T17" s="211"/>
    </row>
    <row r="18" spans="1:20" ht="15" customHeight="1" x14ac:dyDescent="0.25">
      <c r="A18" s="963"/>
      <c r="B18" s="64" t="s">
        <v>501</v>
      </c>
      <c r="C18" s="65" t="str">
        <f>+IF(Tabla691012131510[[#This Row],[TIPO]]="NO ASISTE","-",+IF(B18&lt;&gt;0,+LOOKUP(B18,SOCIOS!$B$2:$B$26,SOCIOS!$C$2:$C$26),"-"))</f>
        <v>TREBOL</v>
      </c>
      <c r="D18" s="66">
        <f>+IF(Tabla691012131510[[#This Row],[TIPO]]="NO ASISTE","-",+IF(B18&lt;&gt;0,+LOOKUP(B18,SOCIOS!$B$2:$B$26,SOCIOS!$D$2:$D$26),"-"))</f>
        <v>19000</v>
      </c>
      <c r="E18" s="66">
        <f>+IF(Tabla691012131510[[#This Row],[TIPO]]="NO ASISTE","-",+IF(B18&lt;&gt;0,+LOOKUP(B18,SOCIOS!$B$2:$B$26,SOCIOS!$E$2:$E$26),"-"))</f>
        <v>1000</v>
      </c>
      <c r="F18" s="211" t="s">
        <v>140</v>
      </c>
      <c r="G18" s="930">
        <v>1123</v>
      </c>
      <c r="I18" s="64" t="s">
        <v>176</v>
      </c>
      <c r="J18" s="65" t="str">
        <f>+IF(Tabla6910121315107[[#This Row],[TIPO]]="NO ASISTE","-",+IF(I18&lt;&gt;0,+LOOKUP(I18,SOCIOS!$B$2:$B$26,SOCIOS!$C$2:$C$26),"-"))</f>
        <v>CONCEPCION</v>
      </c>
      <c r="K18" s="66">
        <f>+IF(Tabla6910121315107[[#This Row],[TIPO]]="NO ASISTE","-",+IF(I18&lt;&gt;0,+LOOKUP(I18,SOCIOS!$B$2:$B$26,SOCIOS!$D$2:$D$26),"-"))</f>
        <v>19000</v>
      </c>
      <c r="L18" s="66">
        <f>+IF(Tabla6910121315107[[#This Row],[TIPO]]="NO ASISTE","-",+IF(I18&lt;&gt;0,+LOOKUP(I18,SOCIOS!$B$2:$B$26,SOCIOS!$E$2:$E$26),"-"))</f>
        <v>1000</v>
      </c>
      <c r="M18" s="211" t="s">
        <v>629</v>
      </c>
      <c r="N18" s="989">
        <v>1131</v>
      </c>
      <c r="P18" s="64"/>
      <c r="Q18" s="65" t="str">
        <f>+IF(Tabla6910121315107[[#This Row],[TIPO]]="NO ASISTE","-",+IF(P18&lt;&gt;0,+LOOKUP(P18,SOCIOS!$B$2:$B$26,SOCIOS!$C$2:$C$26),"-"))</f>
        <v>-</v>
      </c>
      <c r="R18" s="66" t="str">
        <f>+IF(Tabla6910121315107[[#This Row],[TIPO]]="NO ASISTE","-",+IF(P18&lt;&gt;0,+LOOKUP(P18,SOCIOS!$B$2:$B$26,SOCIOS!$D$2:$D$26),"-"))</f>
        <v>-</v>
      </c>
      <c r="S18" s="66" t="str">
        <f>+IF(Tabla6910121315107[[#This Row],[TIPO]]="NO ASISTE","-",+IF(P18&lt;&gt;0,+LOOKUP(P18,SOCIOS!$B$2:$B$26,SOCIOS!$E$2:$E$26),"-"))</f>
        <v>-</v>
      </c>
      <c r="T18" s="211"/>
    </row>
    <row r="19" spans="1:20" x14ac:dyDescent="0.25">
      <c r="A19" s="963"/>
      <c r="B19" s="64" t="s">
        <v>166</v>
      </c>
      <c r="C19" s="65" t="str">
        <f>+IF(Tabla691012131510[[#This Row],[TIPO]]="NO ASISTE","-",+IF(B19&lt;&gt;0,+LOOKUP(B19,SOCIOS!$B$2:$B$26,SOCIOS!$C$2:$C$26),"-"))</f>
        <v>CONCEPCION</v>
      </c>
      <c r="D19" s="66">
        <f>+IF(Tabla691012131510[[#This Row],[TIPO]]="NO ASISTE","-",+IF(B19&lt;&gt;0,+LOOKUP(B19,SOCIOS!$B$2:$B$26,SOCIOS!$D$2:$D$26),"-"))</f>
        <v>19000</v>
      </c>
      <c r="E19" s="66">
        <f>+IF(Tabla691012131510[[#This Row],[TIPO]]="NO ASISTE","-",+IF(B19&lt;&gt;0,+LOOKUP(B19,SOCIOS!$B$2:$B$26,SOCIOS!$E$2:$E$26),"-"))</f>
        <v>1000</v>
      </c>
      <c r="F19" s="211" t="s">
        <v>140</v>
      </c>
      <c r="G19" s="930">
        <v>1124</v>
      </c>
      <c r="I19" s="64" t="s">
        <v>500</v>
      </c>
      <c r="J19" s="65" t="str">
        <f>+IF(Tabla6910121315107[[#This Row],[TIPO]]="NO ASISTE","-",+IF(I19&lt;&gt;0,+LOOKUP(I19,SOCIOS!$B$2:$B$26,SOCIOS!$C$2:$C$26),"-"))</f>
        <v>CONCEPCION</v>
      </c>
      <c r="K19" s="66">
        <f>+IF(Tabla6910121315107[[#This Row],[TIPO]]="NO ASISTE","-",+IF(I19&lt;&gt;0,+LOOKUP(I19,SOCIOS!$B$2:$B$26,SOCIOS!$D$2:$D$26),"-"))</f>
        <v>19000</v>
      </c>
      <c r="L19" s="66">
        <f>+IF(Tabla6910121315107[[#This Row],[TIPO]]="NO ASISTE","-",+IF(I19&lt;&gt;0,+LOOKUP(I19,SOCIOS!$B$2:$B$26,SOCIOS!$E$2:$E$26),"-"))</f>
        <v>1000</v>
      </c>
      <c r="M19" s="211" t="s">
        <v>629</v>
      </c>
      <c r="N19" s="989">
        <v>1131</v>
      </c>
      <c r="P19" s="64"/>
      <c r="Q19" s="65" t="str">
        <f>+IF(Tabla6910121315107[[#This Row],[TIPO]]="NO ASISTE","-",+IF(P19&lt;&gt;0,+LOOKUP(P19,SOCIOS!$B$2:$B$26,SOCIOS!$C$2:$C$26),"-"))</f>
        <v>-</v>
      </c>
      <c r="R19" s="66" t="str">
        <f>+IF(Tabla6910121315107[[#This Row],[TIPO]]="NO ASISTE","-",+IF(P19&lt;&gt;0,+LOOKUP(P19,SOCIOS!$B$2:$B$26,SOCIOS!$D$2:$D$26),"-"))</f>
        <v>-</v>
      </c>
      <c r="S19" s="66" t="str">
        <f>+IF(Tabla6910121315107[[#This Row],[TIPO]]="NO ASISTE","-",+IF(P19&lt;&gt;0,+LOOKUP(P19,SOCIOS!$B$2:$B$26,SOCIOS!$E$2:$E$26),"-"))</f>
        <v>-</v>
      </c>
      <c r="T19" s="211"/>
    </row>
    <row r="20" spans="1:20" x14ac:dyDescent="0.25">
      <c r="A20" s="963"/>
      <c r="B20" s="64" t="s">
        <v>167</v>
      </c>
      <c r="C20" s="65" t="str">
        <f>+IF(Tabla691012131510[[#This Row],[TIPO]]="NO ASISTE","-",+IF(B20&lt;&gt;0,+LOOKUP(B20,SOCIOS!$B$2:$B$26,SOCIOS!$C$2:$C$26),"-"))</f>
        <v>COSTANERA</v>
      </c>
      <c r="D20" s="66">
        <f>+IF(Tabla691012131510[[#This Row],[TIPO]]="NO ASISTE","-",+IF(B20&lt;&gt;0,+LOOKUP(B20,SOCIOS!$B$2:$B$26,SOCIOS!$D$2:$D$26),"-"))</f>
        <v>19000</v>
      </c>
      <c r="E20" s="66">
        <f>+IF(Tabla691012131510[[#This Row],[TIPO]]="NO ASISTE","-",+IF(B20&lt;&gt;0,+LOOKUP(B20,SOCIOS!$B$2:$B$26,SOCIOS!$E$2:$E$26),"-"))</f>
        <v>1000</v>
      </c>
      <c r="F20" s="211" t="s">
        <v>140</v>
      </c>
      <c r="G20" s="930">
        <v>1124</v>
      </c>
      <c r="I20" s="64" t="s">
        <v>130</v>
      </c>
      <c r="J20" s="65" t="str">
        <f>+IF(Tabla6910121315107[[#This Row],[TIPO]]="NO ASISTE","-",+IF(I20&lt;&gt;0,+LOOKUP(I20,SOCIOS!$B$2:$B$26,SOCIOS!$C$2:$C$26),"-"))</f>
        <v>CONCEPCION</v>
      </c>
      <c r="K20" s="66">
        <f>+IF(Tabla6910121315107[[#This Row],[TIPO]]="NO ASISTE","-",+IF(I20&lt;&gt;0,+LOOKUP(I20,SOCIOS!$B$2:$B$26,SOCIOS!$D$2:$D$26),"-"))</f>
        <v>19000</v>
      </c>
      <c r="L20" s="66">
        <f>+IF(Tabla6910121315107[[#This Row],[TIPO]]="NO ASISTE","-",+IF(I20&lt;&gt;0,+LOOKUP(I20,SOCIOS!$B$2:$B$26,SOCIOS!$E$2:$E$26),"-"))</f>
        <v>1000</v>
      </c>
      <c r="M20" s="211" t="s">
        <v>629</v>
      </c>
      <c r="N20" s="989">
        <v>1131</v>
      </c>
      <c r="P20" s="64"/>
      <c r="Q20" s="65" t="str">
        <f>+IF(Tabla6910121315107[[#This Row],[TIPO]]="NO ASISTE","-",+IF(P20&lt;&gt;0,+LOOKUP(P20,SOCIOS!$B$2:$B$26,SOCIOS!$C$2:$C$26),"-"))</f>
        <v>-</v>
      </c>
      <c r="R20" s="66" t="str">
        <f>+IF(Tabla6910121315107[[#This Row],[TIPO]]="NO ASISTE","-",+IF(P20&lt;&gt;0,+LOOKUP(P20,SOCIOS!$B$2:$B$26,SOCIOS!$D$2:$D$26),"-"))</f>
        <v>-</v>
      </c>
      <c r="S20" s="66" t="str">
        <f>+IF(Tabla6910121315107[[#This Row],[TIPO]]="NO ASISTE","-",+IF(P20&lt;&gt;0,+LOOKUP(P20,SOCIOS!$B$2:$B$26,SOCIOS!$E$2:$E$26),"-"))</f>
        <v>-</v>
      </c>
      <c r="T20" s="211"/>
    </row>
    <row r="21" spans="1:20" x14ac:dyDescent="0.25">
      <c r="A21" s="963"/>
      <c r="B21" s="960" t="s">
        <v>226</v>
      </c>
      <c r="C21" s="406" t="str">
        <f>+IF(Tabla691012131510[[#This Row],[TIPO]]="NO ASISTE","-",+IF(B21&lt;&gt;0,+LOOKUP(B21,SOCIOS!$B$2:$B$26,SOCIOS!$C$2:$C$26),"-"))</f>
        <v>-</v>
      </c>
      <c r="D21" s="961" t="str">
        <f>+IF(Tabla691012131510[[#This Row],[TIPO]]="NO ASISTE","-",+IF(B21&lt;&gt;0,+LOOKUP(B21,SOCIOS!$B$2:$B$26,SOCIOS!$D$2:$D$26),"-"))</f>
        <v>-</v>
      </c>
      <c r="E21" s="961" t="str">
        <f>+IF(Tabla691012131510[[#This Row],[TIPO]]="NO ASISTE","-",+IF(B21&lt;&gt;0,+LOOKUP(B21,SOCIOS!$B$2:$B$26,SOCIOS!$E$2:$E$26),"-"))</f>
        <v>-</v>
      </c>
      <c r="F21" s="573" t="s">
        <v>230</v>
      </c>
      <c r="G21" s="962" t="s">
        <v>624</v>
      </c>
      <c r="I21" s="960" t="s">
        <v>129</v>
      </c>
      <c r="J21" s="406" t="str">
        <f>+IF(Tabla6910121315107[[#This Row],[TIPO]]="NO ASISTE","-",+IF(I21&lt;&gt;0,+LOOKUP(I21,SOCIOS!$B$2:$B$26,SOCIOS!$C$2:$C$26),"-"))</f>
        <v>CONCEPCION</v>
      </c>
      <c r="K21" s="961">
        <f>+IF(Tabla6910121315107[[#This Row],[TIPO]]="NO ASISTE","-",+IF(I21&lt;&gt;0,+LOOKUP(I21,SOCIOS!$B$2:$B$26,SOCIOS!$D$2:$D$26),"-"))</f>
        <v>19000</v>
      </c>
      <c r="L21" s="961">
        <f>+IF(Tabla6910121315107[[#This Row],[TIPO]]="NO ASISTE","-",+IF(I21&lt;&gt;0,+LOOKUP(I21,SOCIOS!$B$2:$B$26,SOCIOS!$E$2:$E$26),"-"))</f>
        <v>1000</v>
      </c>
      <c r="M21" s="573" t="s">
        <v>635</v>
      </c>
      <c r="N21" s="962">
        <v>1133</v>
      </c>
      <c r="P21" s="64"/>
      <c r="Q21" s="65" t="str">
        <f>+IF(Tabla6910121315107[[#This Row],[TIPO]]="NO ASISTE","-",+IF(P21&lt;&gt;0,+LOOKUP(P21,SOCIOS!$B$2:$B$26,SOCIOS!$C$2:$C$26),"-"))</f>
        <v>-</v>
      </c>
      <c r="R21" s="66" t="str">
        <f>+IF(Tabla6910121315107[[#This Row],[TIPO]]="NO ASISTE","-",+IF(P21&lt;&gt;0,+LOOKUP(P21,SOCIOS!$B$2:$B$26,SOCIOS!$D$2:$D$26),"-"))</f>
        <v>-</v>
      </c>
      <c r="S21" s="66" t="str">
        <f>+IF(Tabla6910121315107[[#This Row],[TIPO]]="NO ASISTE","-",+IF(P21&lt;&gt;0,+LOOKUP(P21,SOCIOS!$B$2:$B$26,SOCIOS!$E$2:$E$26),"-"))</f>
        <v>-</v>
      </c>
      <c r="T21" s="211"/>
    </row>
    <row r="22" spans="1:20" x14ac:dyDescent="0.25">
      <c r="A22" s="963"/>
      <c r="B22" s="64" t="s">
        <v>161</v>
      </c>
      <c r="C22" s="65" t="str">
        <f>+IF(Tabla691012131510[[#This Row],[TIPO]]="NO ASISTE","-",+IF(B22&lt;&gt;0,+LOOKUP(B22,SOCIOS!$B$2:$B$26,SOCIOS!$C$2:$C$26),"-"))</f>
        <v>CONCEPCION</v>
      </c>
      <c r="D22" s="66">
        <f>+IF(Tabla691012131510[[#This Row],[TIPO]]="NO ASISTE","-",+IF(B22&lt;&gt;0,+LOOKUP(B22,SOCIOS!$B$2:$B$26,SOCIOS!$D$2:$D$26),"-"))</f>
        <v>19000</v>
      </c>
      <c r="E22" s="66">
        <f>+IF(Tabla691012131510[[#This Row],[TIPO]]="NO ASISTE","-",+IF(B22&lt;&gt;0,+LOOKUP(B22,SOCIOS!$B$2:$B$26,SOCIOS!$E$2:$E$26),"-"))</f>
        <v>1000</v>
      </c>
      <c r="F22" s="211" t="s">
        <v>140</v>
      </c>
      <c r="G22" s="930">
        <v>1125</v>
      </c>
      <c r="I22" s="960" t="s">
        <v>348</v>
      </c>
      <c r="J22" s="406" t="str">
        <f>+IF(Tabla6910121315107[[#This Row],[TIPO]]="NO ASISTE","-",+IF(I22&lt;&gt;0,+LOOKUP(I22,SOCIOS!$B$2:$B$26,SOCIOS!$C$2:$C$26),"-"))</f>
        <v>RANCAGUA</v>
      </c>
      <c r="K22" s="961">
        <f>+IF(Tabla6910121315107[[#This Row],[TIPO]]="NO ASISTE","-",+IF(I22&lt;&gt;0,+LOOKUP(I22,SOCIOS!$B$2:$B$26,SOCIOS!$D$2:$D$26),"-"))</f>
        <v>19000</v>
      </c>
      <c r="L22" s="961">
        <f>+IF(Tabla6910121315107[[#This Row],[TIPO]]="NO ASISTE","-",+IF(I22&lt;&gt;0,+LOOKUP(I22,SOCIOS!$B$2:$B$26,SOCIOS!$E$2:$E$26),"-"))</f>
        <v>1000</v>
      </c>
      <c r="M22" s="573" t="s">
        <v>635</v>
      </c>
      <c r="N22" s="962">
        <v>1133</v>
      </c>
      <c r="P22" s="64"/>
      <c r="Q22" s="65" t="str">
        <f>+IF(Tabla6910121315107[[#This Row],[TIPO]]="NO ASISTE","-",+IF(P22&lt;&gt;0,+LOOKUP(P22,SOCIOS!$B$2:$B$26,SOCIOS!$C$2:$C$26),"-"))</f>
        <v>-</v>
      </c>
      <c r="R22" s="66" t="str">
        <f>+IF(Tabla6910121315107[[#This Row],[TIPO]]="NO ASISTE","-",+IF(P22&lt;&gt;0,+LOOKUP(P22,SOCIOS!$B$2:$B$26,SOCIOS!$D$2:$D$26),"-"))</f>
        <v>-</v>
      </c>
      <c r="S22" s="66" t="str">
        <f>+IF(Tabla6910121315107[[#This Row],[TIPO]]="NO ASISTE","-",+IF(P22&lt;&gt;0,+LOOKUP(P22,SOCIOS!$B$2:$B$26,SOCIOS!$E$2:$E$26),"-"))</f>
        <v>-</v>
      </c>
      <c r="T22" s="211"/>
    </row>
    <row r="23" spans="1:20" x14ac:dyDescent="0.25">
      <c r="A23" s="963"/>
      <c r="B23" s="64" t="s">
        <v>307</v>
      </c>
      <c r="C23" s="65" t="str">
        <f>+IF(Tabla691012131510[[#This Row],[TIPO]]="NO ASISTE","-",+IF(B23&lt;&gt;0,+LOOKUP(B23,SOCIOS!$B$2:$B$26,SOCIOS!$C$2:$C$26),"-"))</f>
        <v>TREBOL</v>
      </c>
      <c r="D23" s="66">
        <f>+IF(Tabla691012131510[[#This Row],[TIPO]]="NO ASISTE","-",+IF(B23&lt;&gt;0,+LOOKUP(B23,SOCIOS!$B$2:$B$26,SOCIOS!$D$2:$D$26),"-"))</f>
        <v>19000</v>
      </c>
      <c r="E23" s="66">
        <f>+IF(Tabla691012131510[[#This Row],[TIPO]]="NO ASISTE","-",+IF(B23&lt;&gt;0,+LOOKUP(B23,SOCIOS!$B$2:$B$26,SOCIOS!$E$2:$E$26),"-"))</f>
        <v>1000</v>
      </c>
      <c r="F23" s="211" t="s">
        <v>140</v>
      </c>
      <c r="G23" s="930">
        <v>1125</v>
      </c>
      <c r="I23" s="960" t="s">
        <v>349</v>
      </c>
      <c r="J23" s="406" t="str">
        <f>+IF(Tabla6910121315107[[#This Row],[TIPO]]="NO ASISTE","-",+IF(I23&lt;&gt;0,+LOOKUP(I23,SOCIOS!$B$2:$B$26,SOCIOS!$C$2:$C$26),"-"))</f>
        <v>RANCAGUA</v>
      </c>
      <c r="K23" s="961">
        <f>+IF(Tabla6910121315107[[#This Row],[TIPO]]="NO ASISTE","-",+IF(I23&lt;&gt;0,+LOOKUP(I23,SOCIOS!$B$2:$B$26,SOCIOS!$D$2:$D$26),"-"))</f>
        <v>19000</v>
      </c>
      <c r="L23" s="961">
        <f>+IF(Tabla6910121315107[[#This Row],[TIPO]]="NO ASISTE","-",+IF(I23&lt;&gt;0,+LOOKUP(I23,SOCIOS!$B$2:$B$26,SOCIOS!$E$2:$E$26),"-"))</f>
        <v>1000</v>
      </c>
      <c r="M23" s="573" t="s">
        <v>635</v>
      </c>
      <c r="N23" s="962">
        <v>1133</v>
      </c>
      <c r="P23" s="64"/>
      <c r="Q23" s="65" t="str">
        <f>+IF(Tabla6910121315107[[#This Row],[TIPO]]="NO ASISTE","-",+IF(P23&lt;&gt;0,+LOOKUP(P23,SOCIOS!$B$2:$B$26,SOCIOS!$C$2:$C$26),"-"))</f>
        <v>-</v>
      </c>
      <c r="R23" s="66" t="str">
        <f>+IF(Tabla6910121315107[[#This Row],[TIPO]]="NO ASISTE","-",+IF(P23&lt;&gt;0,+LOOKUP(P23,SOCIOS!$B$2:$B$26,SOCIOS!$D$2:$D$26),"-"))</f>
        <v>-</v>
      </c>
      <c r="S23" s="66" t="str">
        <f>+IF(Tabla6910121315107[[#This Row],[TIPO]]="NO ASISTE","-",+IF(P23&lt;&gt;0,+LOOKUP(P23,SOCIOS!$B$2:$B$26,SOCIOS!$E$2:$E$26),"-"))</f>
        <v>-</v>
      </c>
      <c r="T23" s="211"/>
    </row>
    <row r="24" spans="1:20" x14ac:dyDescent="0.25">
      <c r="A24" s="963"/>
      <c r="B24" s="64" t="s">
        <v>162</v>
      </c>
      <c r="C24" s="65" t="str">
        <f>+IF(Tabla691012131510[[#This Row],[TIPO]]="NO ASISTE","-",+IF(B24&lt;&gt;0,+LOOKUP(B24,SOCIOS!$B$2:$B$26,SOCIOS!$C$2:$C$26),"-"))</f>
        <v>RANCAGUA</v>
      </c>
      <c r="D24" s="66">
        <f>+IF(Tabla691012131510[[#This Row],[TIPO]]="NO ASISTE","-",+IF(B24&lt;&gt;0,+LOOKUP(B24,SOCIOS!$B$2:$B$26,SOCIOS!$D$2:$D$26),"-"))</f>
        <v>19000</v>
      </c>
      <c r="E24" s="66">
        <f>+IF(Tabla691012131510[[#This Row],[TIPO]]="NO ASISTE","-",+IF(B24&lt;&gt;0,+LOOKUP(B24,SOCIOS!$B$2:$B$26,SOCIOS!$E$2:$E$26),"-"))</f>
        <v>1000</v>
      </c>
      <c r="F24" s="211" t="s">
        <v>140</v>
      </c>
      <c r="G24" s="930">
        <v>1125</v>
      </c>
      <c r="I24" s="64" t="s">
        <v>163</v>
      </c>
      <c r="J24" s="65" t="str">
        <f>+IF(Tabla6910121315107[[#This Row],[TIPO]]="NO ASISTE","-",+IF(I24&lt;&gt;0,+LOOKUP(I24,SOCIOS!$B$2:$B$26,SOCIOS!$C$2:$C$26),"-"))</f>
        <v>RANCAGUA</v>
      </c>
      <c r="K24" s="66">
        <f>+IF(Tabla6910121315107[[#This Row],[TIPO]]="NO ASISTE","-",+IF(I24&lt;&gt;0,+LOOKUP(I24,SOCIOS!$B$2:$B$26,SOCIOS!$D$2:$D$26),"-"))</f>
        <v>19000</v>
      </c>
      <c r="L24" s="66">
        <f>+IF(Tabla6910121315107[[#This Row],[TIPO]]="NO ASISTE","-",+IF(I24&lt;&gt;0,+LOOKUP(I24,SOCIOS!$B$2:$B$26,SOCIOS!$E$2:$E$26),"-"))</f>
        <v>1000</v>
      </c>
      <c r="M24" s="211" t="s">
        <v>629</v>
      </c>
      <c r="N24" s="989">
        <v>1133</v>
      </c>
      <c r="P24" s="64"/>
      <c r="Q24" s="65" t="str">
        <f>+IF(Tabla6910121315107[[#This Row],[TIPO]]="NO ASISTE","-",+IF(P24&lt;&gt;0,+LOOKUP(P24,SOCIOS!$B$2:$B$26,SOCIOS!$C$2:$C$26),"-"))</f>
        <v>-</v>
      </c>
      <c r="R24" s="66" t="str">
        <f>+IF(Tabla6910121315107[[#This Row],[TIPO]]="NO ASISTE","-",+IF(P24&lt;&gt;0,+LOOKUP(P24,SOCIOS!$B$2:$B$26,SOCIOS!$D$2:$D$26),"-"))</f>
        <v>-</v>
      </c>
      <c r="S24" s="66" t="str">
        <f>+IF(Tabla6910121315107[[#This Row],[TIPO]]="NO ASISTE","-",+IF(P24&lt;&gt;0,+LOOKUP(P24,SOCIOS!$B$2:$B$26,SOCIOS!$E$2:$E$26),"-"))</f>
        <v>-</v>
      </c>
      <c r="T24" s="211"/>
    </row>
    <row r="25" spans="1:20" x14ac:dyDescent="0.25">
      <c r="A25" s="963"/>
      <c r="B25" s="64" t="s">
        <v>224</v>
      </c>
      <c r="C25" s="65" t="str">
        <f>+IF(Tabla691012131510[[#This Row],[TIPO]]="NO ASISTE","-",+IF(B25&lt;&gt;0,+LOOKUP(B25,SOCIOS!$B$2:$B$26,SOCIOS!$C$2:$C$26),"-"))</f>
        <v>CONCEPCION</v>
      </c>
      <c r="D25" s="66">
        <f>+IF(Tabla691012131510[[#This Row],[TIPO]]="NO ASISTE","-",+IF(B25&lt;&gt;0,+LOOKUP(B25,SOCIOS!$B$2:$B$26,SOCIOS!$D$2:$D$26),"-"))</f>
        <v>19000</v>
      </c>
      <c r="E25" s="66">
        <f>+IF(Tabla691012131510[[#This Row],[TIPO]]="NO ASISTE","-",+IF(B25&lt;&gt;0,+LOOKUP(B25,SOCIOS!$B$2:$B$26,SOCIOS!$E$2:$E$26),"-"))</f>
        <v>1000</v>
      </c>
      <c r="F25" s="211" t="s">
        <v>140</v>
      </c>
      <c r="G25" s="930">
        <v>1126</v>
      </c>
      <c r="I25" s="64" t="s">
        <v>312</v>
      </c>
      <c r="J25" s="65" t="str">
        <f>+IF(Tabla6910121315107[[#This Row],[TIPO]]="NO ASISTE","-",+IF(I25&lt;&gt;0,+LOOKUP(I25,SOCIOS!$B$2:$B$26,SOCIOS!$C$2:$C$26),"-"))</f>
        <v>CONCEPCION</v>
      </c>
      <c r="K25" s="66">
        <f>+IF(Tabla6910121315107[[#This Row],[TIPO]]="NO ASISTE","-",+IF(I25&lt;&gt;0,+LOOKUP(I25,SOCIOS!$B$2:$B$26,SOCIOS!$D$2:$D$26),"-"))</f>
        <v>19000</v>
      </c>
      <c r="L25" s="66">
        <f>+IF(Tabla6910121315107[[#This Row],[TIPO]]="NO ASISTE","-",+IF(I25&lt;&gt;0,+LOOKUP(I25,SOCIOS!$B$2:$B$26,SOCIOS!$E$2:$E$26),"-"))</f>
        <v>1000</v>
      </c>
      <c r="M25" s="211" t="s">
        <v>629</v>
      </c>
      <c r="N25" s="989">
        <v>1132</v>
      </c>
      <c r="P25" s="64"/>
      <c r="Q25" s="65" t="str">
        <f>+IF(Tabla6910121315107[[#This Row],[TIPO]]="NO ASISTE","-",+IF(P25&lt;&gt;0,+LOOKUP(P25,SOCIOS!$B$2:$B$26,SOCIOS!$C$2:$C$26),"-"))</f>
        <v>-</v>
      </c>
      <c r="R25" s="66" t="str">
        <f>+IF(Tabla6910121315107[[#This Row],[TIPO]]="NO ASISTE","-",+IF(P25&lt;&gt;0,+LOOKUP(P25,SOCIOS!$B$2:$B$26,SOCIOS!$D$2:$D$26),"-"))</f>
        <v>-</v>
      </c>
      <c r="S25" s="66" t="str">
        <f>+IF(Tabla6910121315107[[#This Row],[TIPO]]="NO ASISTE","-",+IF(P25&lt;&gt;0,+LOOKUP(P25,SOCIOS!$B$2:$B$26,SOCIOS!$E$2:$E$26),"-"))</f>
        <v>-</v>
      </c>
      <c r="T25" s="211"/>
    </row>
    <row r="26" spans="1:20" x14ac:dyDescent="0.25">
      <c r="A26" s="963"/>
      <c r="B26" s="64" t="s">
        <v>174</v>
      </c>
      <c r="C26" s="65" t="str">
        <f>+IF(Tabla691012131510[[#This Row],[TIPO]]="NO ASISTE","-",+IF(B26&lt;&gt;0,+LOOKUP(B26,SOCIOS!$B$2:$B$26,SOCIOS!$C$2:$C$26),"-"))</f>
        <v>CONCEPCION</v>
      </c>
      <c r="D26" s="66">
        <f>+IF(Tabla691012131510[[#This Row],[TIPO]]="NO ASISTE","-",+IF(B26&lt;&gt;0,+LOOKUP(B26,SOCIOS!$B$2:$B$26,SOCIOS!$D$2:$D$26),"-"))</f>
        <v>19000</v>
      </c>
      <c r="E26" s="66">
        <f>+IF(Tabla691012131510[[#This Row],[TIPO]]="NO ASISTE","-",+IF(B26&lt;&gt;0,+LOOKUP(B26,SOCIOS!$B$2:$B$26,SOCIOS!$E$2:$E$26),"-"))</f>
        <v>1000</v>
      </c>
      <c r="F26" s="211" t="s">
        <v>140</v>
      </c>
      <c r="G26" s="930">
        <v>1126</v>
      </c>
      <c r="I26" s="64" t="s">
        <v>126</v>
      </c>
      <c r="J26" s="65" t="str">
        <f>+IF(Tabla6910121315107[[#This Row],[TIPO]]="NO ASISTE","-",+IF(I26&lt;&gt;0,+LOOKUP(I26,SOCIOS!$B$2:$B$26,SOCIOS!$C$2:$C$26),"-"))</f>
        <v>TREBOL</v>
      </c>
      <c r="K26" s="66">
        <f>+IF(Tabla6910121315107[[#This Row],[TIPO]]="NO ASISTE","-",+IF(I26&lt;&gt;0,+LOOKUP(I26,SOCIOS!$B$2:$B$26,SOCIOS!$D$2:$D$26),"-"))</f>
        <v>19000</v>
      </c>
      <c r="L26" s="66">
        <f>+IF(Tabla6910121315107[[#This Row],[TIPO]]="NO ASISTE","-",+IF(I26&lt;&gt;0,+LOOKUP(I26,SOCIOS!$B$2:$B$26,SOCIOS!$E$2:$E$26),"-"))</f>
        <v>1000</v>
      </c>
      <c r="M26" s="211" t="s">
        <v>629</v>
      </c>
      <c r="N26" s="989">
        <v>1132</v>
      </c>
      <c r="P26" s="64"/>
      <c r="Q26" s="65" t="str">
        <f>+IF(Tabla6910121315107[[#This Row],[TIPO]]="NO ASISTE","-",+IF(P26&lt;&gt;0,+LOOKUP(P26,SOCIOS!$B$2:$B$26,SOCIOS!$C$2:$C$26),"-"))</f>
        <v>-</v>
      </c>
      <c r="R26" s="66" t="str">
        <f>+IF(Tabla6910121315107[[#This Row],[TIPO]]="NO ASISTE","-",+IF(P26&lt;&gt;0,+LOOKUP(P26,SOCIOS!$B$2:$B$26,SOCIOS!$D$2:$D$26),"-"))</f>
        <v>-</v>
      </c>
      <c r="S26" s="66" t="str">
        <f>+IF(Tabla6910121315107[[#This Row],[TIPO]]="NO ASISTE","-",+IF(P26&lt;&gt;0,+LOOKUP(P26,SOCIOS!$B$2:$B$26,SOCIOS!$E$2:$E$26),"-"))</f>
        <v>-</v>
      </c>
      <c r="T26" s="211"/>
    </row>
    <row r="27" spans="1:20" x14ac:dyDescent="0.25">
      <c r="A27" s="963"/>
      <c r="B27" s="64" t="s">
        <v>221</v>
      </c>
      <c r="C27" s="65" t="str">
        <f>+IF(Tabla691012131510[[#This Row],[TIPO]]="NO ASISTE","-",+IF(B27&lt;&gt;0,+LOOKUP(B27,SOCIOS!$B$2:$B$26,SOCIOS!$C$2:$C$26),"-"))</f>
        <v>CONCEPCION</v>
      </c>
      <c r="D27" s="66">
        <f>+IF(Tabla691012131510[[#This Row],[TIPO]]="NO ASISTE","-",+IF(B27&lt;&gt;0,+LOOKUP(B27,SOCIOS!$B$2:$B$26,SOCIOS!$D$2:$D$26),"-"))</f>
        <v>19000</v>
      </c>
      <c r="E27" s="66">
        <f>+IF(Tabla691012131510[[#This Row],[TIPO]]="NO ASISTE","-",+IF(B27&lt;&gt;0,+LOOKUP(B27,SOCIOS!$B$2:$B$26,SOCIOS!$E$2:$E$26),"-"))</f>
        <v>1000</v>
      </c>
      <c r="F27" s="211" t="s">
        <v>140</v>
      </c>
      <c r="G27" s="930">
        <v>1126</v>
      </c>
      <c r="I27" s="64" t="s">
        <v>172</v>
      </c>
      <c r="J27" s="65" t="str">
        <f>+IF(Tabla6910121315107[[#This Row],[TIPO]]="NO ASISTE","-",+IF(I27&lt;&gt;0,+LOOKUP(I27,SOCIOS!$B$2:$B$26,SOCIOS!$C$2:$C$26),"-"))</f>
        <v>COSTANERA</v>
      </c>
      <c r="K27" s="66">
        <f>+IF(Tabla6910121315107[[#This Row],[TIPO]]="NO ASISTE","-",+IF(I27&lt;&gt;0,+LOOKUP(I27,SOCIOS!$B$2:$B$26,SOCIOS!$D$2:$D$26),"-"))</f>
        <v>19000</v>
      </c>
      <c r="L27" s="66">
        <f>+IF(Tabla6910121315107[[#This Row],[TIPO]]="NO ASISTE","-",+IF(I27&lt;&gt;0,+LOOKUP(I27,SOCIOS!$B$2:$B$26,SOCIOS!$E$2:$E$26),"-"))</f>
        <v>1000</v>
      </c>
      <c r="M27" s="211" t="s">
        <v>629</v>
      </c>
      <c r="N27" s="989">
        <v>1132</v>
      </c>
      <c r="P27" s="64"/>
      <c r="Q27" s="65" t="str">
        <f>+IF(Tabla6910121315107[[#This Row],[TIPO]]="NO ASISTE","-",+IF(P27&lt;&gt;0,+LOOKUP(P27,SOCIOS!$B$2:$B$26,SOCIOS!$C$2:$C$26),"-"))</f>
        <v>-</v>
      </c>
      <c r="R27" s="66" t="str">
        <f>+IF(Tabla6910121315107[[#This Row],[TIPO]]="NO ASISTE","-",+IF(P27&lt;&gt;0,+LOOKUP(P27,SOCIOS!$B$2:$B$26,SOCIOS!$D$2:$D$26),"-"))</f>
        <v>-</v>
      </c>
      <c r="S27" s="66" t="str">
        <f>+IF(Tabla6910121315107[[#This Row],[TIPO]]="NO ASISTE","-",+IF(P27&lt;&gt;0,+LOOKUP(P27,SOCIOS!$B$2:$B$26,SOCIOS!$E$2:$E$26),"-"))</f>
        <v>-</v>
      </c>
      <c r="T27" s="211"/>
    </row>
    <row r="28" spans="1:20" x14ac:dyDescent="0.25">
      <c r="B28" s="64"/>
      <c r="C28" s="239"/>
      <c r="D28" s="66"/>
      <c r="E28" s="66"/>
      <c r="F28" s="211"/>
      <c r="G28" s="930"/>
      <c r="I28" s="64"/>
      <c r="J28" s="65" t="str">
        <f>+IF(Tabla6910121315107[[#This Row],[TIPO]]="NO ASISTE","-",+IF(I28&lt;&gt;0,+LOOKUP(I28,SOCIOS!$B$2:$B$26,SOCIOS!$C$2:$C$26),"-"))</f>
        <v>-</v>
      </c>
      <c r="K28" s="66" t="str">
        <f>+IF(Tabla6910121315107[[#This Row],[TIPO]]="NO ASISTE","-",+IF(I28&lt;&gt;0,+LOOKUP(I28,SOCIOS!$B$2:$B$26,SOCIOS!$D$2:$D$26),"-"))</f>
        <v>-</v>
      </c>
      <c r="L28" s="66" t="str">
        <f>+IF(Tabla6910121315107[[#This Row],[TIPO]]="NO ASISTE","-",+IF(I28&lt;&gt;0,+LOOKUP(I28,SOCIOS!$B$2:$B$26,SOCIOS!$E$2:$E$26),"-"))</f>
        <v>-</v>
      </c>
      <c r="M28" s="211"/>
      <c r="N28" s="989"/>
      <c r="P28" s="64"/>
      <c r="Q28" s="65" t="str">
        <f>+IF(Tabla6910121315107[[#This Row],[TIPO]]="NO ASISTE","-",+IF(P28&lt;&gt;0,+LOOKUP(P28,SOCIOS!$B$2:$B$26,SOCIOS!$C$2:$C$26),"-"))</f>
        <v>-</v>
      </c>
      <c r="R28" s="66" t="str">
        <f>+IF(Tabla6910121315107[[#This Row],[TIPO]]="NO ASISTE","-",+IF(P28&lt;&gt;0,+LOOKUP(P28,SOCIOS!$B$2:$B$26,SOCIOS!$D$2:$D$26),"-"))</f>
        <v>-</v>
      </c>
      <c r="S28" s="66" t="str">
        <f>+IF(Tabla6910121315107[[#This Row],[TIPO]]="NO ASISTE","-",+IF(P28&lt;&gt;0,+LOOKUP(P28,SOCIOS!$B$2:$B$26,SOCIOS!$E$2:$E$26),"-"))</f>
        <v>-</v>
      </c>
      <c r="T28" s="211"/>
    </row>
    <row r="29" spans="1:20" x14ac:dyDescent="0.25">
      <c r="B29" s="64"/>
      <c r="C29" s="239"/>
      <c r="D29" s="66"/>
      <c r="E29" s="66"/>
      <c r="F29" s="211"/>
      <c r="G29" s="930"/>
      <c r="I29" s="64"/>
      <c r="J29" s="65" t="str">
        <f>+IF(Tabla6910121315107[[#This Row],[TIPO]]="NO ASISTE","-",+IF(I29&lt;&gt;0,+LOOKUP(I29,SOCIOS!$B$2:$B$26,SOCIOS!$C$2:$C$26),"-"))</f>
        <v>-</v>
      </c>
      <c r="K29" s="66" t="str">
        <f>+IF(Tabla6910121315107[[#This Row],[TIPO]]="NO ASISTE","-",+IF(I29&lt;&gt;0,+LOOKUP(I29,SOCIOS!$B$2:$B$26,SOCIOS!$D$2:$D$26),"-"))</f>
        <v>-</v>
      </c>
      <c r="L29" s="66" t="str">
        <f>+IF(Tabla6910121315107[[#This Row],[TIPO]]="NO ASISTE","-",+IF(I29&lt;&gt;0,+LOOKUP(I29,SOCIOS!$B$2:$B$26,SOCIOS!$E$2:$E$26),"-"))</f>
        <v>-</v>
      </c>
      <c r="M29" s="211"/>
      <c r="N29" s="989"/>
      <c r="P29" s="64"/>
      <c r="Q29" s="65" t="str">
        <f>+IF(Tabla6910121315107[[#This Row],[TIPO]]="NO ASISTE","-",+IF(P29&lt;&gt;0,+LOOKUP(P29,SOCIOS!$B$2:$B$26,SOCIOS!$C$2:$C$26),"-"))</f>
        <v>-</v>
      </c>
      <c r="R29" s="66" t="str">
        <f>+IF(Tabla6910121315107[[#This Row],[TIPO]]="NO ASISTE","-",+IF(P29&lt;&gt;0,+LOOKUP(P29,SOCIOS!$B$2:$B$26,SOCIOS!$D$2:$D$26),"-"))</f>
        <v>-</v>
      </c>
      <c r="S29" s="66" t="str">
        <f>+IF(Tabla6910121315107[[#This Row],[TIPO]]="NO ASISTE","-",+IF(P29&lt;&gt;0,+LOOKUP(P29,SOCIOS!$B$2:$B$26,SOCIOS!$E$2:$E$26),"-"))</f>
        <v>-</v>
      </c>
      <c r="T29" s="211"/>
    </row>
    <row r="30" spans="1:20" x14ac:dyDescent="0.25">
      <c r="B30" s="64"/>
      <c r="C30" s="239"/>
      <c r="D30" s="66"/>
      <c r="E30" s="66"/>
      <c r="F30" s="211"/>
      <c r="G30" s="930"/>
      <c r="I30" s="64"/>
      <c r="J30" s="65" t="str">
        <f>+IF(Tabla6910121315107[[#This Row],[TIPO]]="NO ASISTE","-",+IF(I30&lt;&gt;0,+LOOKUP(I30,SOCIOS!$B$2:$B$26,SOCIOS!$C$2:$C$26),"-"))</f>
        <v>-</v>
      </c>
      <c r="K30" s="66" t="str">
        <f>+IF(Tabla6910121315107[[#This Row],[TIPO]]="NO ASISTE","-",+IF(I30&lt;&gt;0,+LOOKUP(I30,SOCIOS!$B$2:$B$26,SOCIOS!$D$2:$D$26),"-"))</f>
        <v>-</v>
      </c>
      <c r="L30" s="66" t="str">
        <f>+IF(Tabla6910121315107[[#This Row],[TIPO]]="NO ASISTE","-",+IF(I30&lt;&gt;0,+LOOKUP(I30,SOCIOS!$B$2:$B$26,SOCIOS!$E$2:$E$26),"-"))</f>
        <v>-</v>
      </c>
      <c r="M30" s="211"/>
      <c r="N30" s="989"/>
      <c r="P30" s="64"/>
      <c r="Q30" s="65" t="str">
        <f>+IF(Tabla6910121315107[[#This Row],[TIPO]]="NO ASISTE","-",+IF(P30&lt;&gt;0,+LOOKUP(P30,SOCIOS!$B$2:$B$26,SOCIOS!$C$2:$C$26),"-"))</f>
        <v>-</v>
      </c>
      <c r="R30" s="66" t="str">
        <f>+IF(Tabla6910121315107[[#This Row],[TIPO]]="NO ASISTE","-",+IF(P30&lt;&gt;0,+LOOKUP(P30,SOCIOS!$B$2:$B$26,SOCIOS!$D$2:$D$26),"-"))</f>
        <v>-</v>
      </c>
      <c r="S30" s="66" t="str">
        <f>+IF(Tabla6910121315107[[#This Row],[TIPO]]="NO ASISTE","-",+IF(P30&lt;&gt;0,+LOOKUP(P30,SOCIOS!$B$2:$B$26,SOCIOS!$E$2:$E$26),"-"))</f>
        <v>-</v>
      </c>
      <c r="T30" s="211"/>
    </row>
    <row r="31" spans="1:20" x14ac:dyDescent="0.25">
      <c r="B31" s="64"/>
      <c r="C31" s="239"/>
      <c r="D31" s="66"/>
      <c r="E31" s="66"/>
      <c r="F31" s="211"/>
      <c r="G31" s="930"/>
      <c r="I31" s="64"/>
      <c r="J31" s="65" t="str">
        <f>+IF(Tabla6910121315107[[#This Row],[TIPO]]="NO ASISTE","-",+IF(I31&lt;&gt;0,+LOOKUP(I31,SOCIOS!$B$2:$B$26,SOCIOS!$C$2:$C$26),"-"))</f>
        <v>-</v>
      </c>
      <c r="K31" s="66" t="str">
        <f>+IF(Tabla6910121315107[[#This Row],[TIPO]]="NO ASISTE","-",+IF(I31&lt;&gt;0,+LOOKUP(I31,SOCIOS!$B$2:$B$26,SOCIOS!$D$2:$D$26),"-"))</f>
        <v>-</v>
      </c>
      <c r="L31" s="66" t="str">
        <f>+IF(Tabla6910121315107[[#This Row],[TIPO]]="NO ASISTE","-",+IF(I31&lt;&gt;0,+LOOKUP(I31,SOCIOS!$B$2:$B$26,SOCIOS!$E$2:$E$26),"-"))</f>
        <v>-</v>
      </c>
      <c r="M31" s="211"/>
      <c r="N31" s="989"/>
      <c r="P31" s="64"/>
      <c r="Q31" s="65" t="str">
        <f>+IF(Tabla6910121315107[[#This Row],[TIPO]]="NO ASISTE","-",+IF(P31&lt;&gt;0,+LOOKUP(P31,SOCIOS!$B$2:$B$26,SOCIOS!$C$2:$C$26),"-"))</f>
        <v>-</v>
      </c>
      <c r="R31" s="66" t="str">
        <f>+IF(Tabla6910121315107[[#This Row],[TIPO]]="NO ASISTE","-",+IF(P31&lt;&gt;0,+LOOKUP(P31,SOCIOS!$B$2:$B$26,SOCIOS!$D$2:$D$26),"-"))</f>
        <v>-</v>
      </c>
      <c r="S31" s="66" t="str">
        <f>+IF(Tabla6910121315107[[#This Row],[TIPO]]="NO ASISTE","-",+IF(P31&lt;&gt;0,+LOOKUP(P31,SOCIOS!$B$2:$B$26,SOCIOS!$E$2:$E$26),"-"))</f>
        <v>-</v>
      </c>
      <c r="T31" s="211"/>
    </row>
    <row r="32" spans="1:20" x14ac:dyDescent="0.25">
      <c r="B32" s="64"/>
      <c r="C32" s="239"/>
      <c r="D32" s="66"/>
      <c r="E32" s="66"/>
      <c r="F32" s="211"/>
      <c r="G32" s="930"/>
      <c r="I32" s="64"/>
      <c r="J32" s="65" t="str">
        <f>+IF(Tabla6910121315107[[#This Row],[TIPO]]="NO ASISTE","-",+IF(I32&lt;&gt;0,+LOOKUP(I32,SOCIOS!$B$2:$B$26,SOCIOS!$C$2:$C$26),"-"))</f>
        <v>-</v>
      </c>
      <c r="K32" s="66" t="str">
        <f>+IF(Tabla6910121315107[[#This Row],[TIPO]]="NO ASISTE","-",+IF(I32&lt;&gt;0,+LOOKUP(I32,SOCIOS!$B$2:$B$26,SOCIOS!$D$2:$D$26),"-"))</f>
        <v>-</v>
      </c>
      <c r="L32" s="66" t="str">
        <f>+IF(Tabla6910121315107[[#This Row],[TIPO]]="NO ASISTE","-",+IF(I32&lt;&gt;0,+LOOKUP(I32,SOCIOS!$B$2:$B$26,SOCIOS!$E$2:$E$26),"-"))</f>
        <v>-</v>
      </c>
      <c r="M32" s="211"/>
      <c r="N32" s="989"/>
      <c r="P32" s="64"/>
      <c r="Q32" s="65" t="str">
        <f>+IF(Tabla6910121315107[[#This Row],[TIPO]]="NO ASISTE","-",+IF(P32&lt;&gt;0,+LOOKUP(P32,SOCIOS!$B$2:$B$26,SOCIOS!$C$2:$C$26),"-"))</f>
        <v>-</v>
      </c>
      <c r="R32" s="66" t="str">
        <f>+IF(Tabla6910121315107[[#This Row],[TIPO]]="NO ASISTE","-",+IF(P32&lt;&gt;0,+LOOKUP(P32,SOCIOS!$B$2:$B$26,SOCIOS!$D$2:$D$26),"-"))</f>
        <v>-</v>
      </c>
      <c r="S32" s="66" t="str">
        <f>+IF(Tabla6910121315107[[#This Row],[TIPO]]="NO ASISTE","-",+IF(P32&lt;&gt;0,+LOOKUP(P32,SOCIOS!$B$2:$B$26,SOCIOS!$E$2:$E$26),"-"))</f>
        <v>-</v>
      </c>
      <c r="T32" s="211"/>
    </row>
    <row r="33" spans="2:21" x14ac:dyDescent="0.25">
      <c r="B33" s="64"/>
      <c r="C33" s="239"/>
      <c r="D33" s="66"/>
      <c r="E33" s="66"/>
      <c r="F33" s="211"/>
      <c r="G33" s="930"/>
      <c r="I33" s="64"/>
      <c r="J33" s="65" t="str">
        <f>+IF(Tabla6910121315107[[#This Row],[TIPO]]="NO ASISTE","-",+IF(I33&lt;&gt;0,+LOOKUP(I33,SOCIOS!$B$2:$B$26,SOCIOS!$C$2:$C$26),"-"))</f>
        <v>-</v>
      </c>
      <c r="K33" s="66" t="str">
        <f>+IF(Tabla6910121315107[[#This Row],[TIPO]]="NO ASISTE","-",+IF(I33&lt;&gt;0,+LOOKUP(I33,SOCIOS!$B$2:$B$26,SOCIOS!$D$2:$D$26),"-"))</f>
        <v>-</v>
      </c>
      <c r="L33" s="66" t="str">
        <f>+IF(Tabla6910121315107[[#This Row],[TIPO]]="NO ASISTE","-",+IF(I33&lt;&gt;0,+LOOKUP(I33,SOCIOS!$B$2:$B$26,SOCIOS!$E$2:$E$26),"-"))</f>
        <v>-</v>
      </c>
      <c r="M33" s="211"/>
      <c r="N33" s="989"/>
      <c r="P33" s="64"/>
      <c r="Q33" s="65" t="str">
        <f>+IF(Tabla6910121315107[[#This Row],[TIPO]]="NO ASISTE","-",+IF(P33&lt;&gt;0,+LOOKUP(P33,SOCIOS!$B$2:$B$26,SOCIOS!$C$2:$C$26),"-"))</f>
        <v>-</v>
      </c>
      <c r="R33" s="66" t="str">
        <f>+IF(Tabla6910121315107[[#This Row],[TIPO]]="NO ASISTE","-",+IF(P33&lt;&gt;0,+LOOKUP(P33,SOCIOS!$B$2:$B$26,SOCIOS!$D$2:$D$26),"-"))</f>
        <v>-</v>
      </c>
      <c r="S33" s="66" t="str">
        <f>+IF(Tabla6910121315107[[#This Row],[TIPO]]="NO ASISTE","-",+IF(P33&lt;&gt;0,+LOOKUP(P33,SOCIOS!$B$2:$B$26,SOCIOS!$E$2:$E$26),"-"))</f>
        <v>-</v>
      </c>
      <c r="T33" s="211"/>
    </row>
    <row r="34" spans="2:21" x14ac:dyDescent="0.25">
      <c r="B34" s="64"/>
      <c r="C34" s="239"/>
      <c r="D34" s="66"/>
      <c r="E34" s="66"/>
      <c r="F34" s="211"/>
      <c r="G34" s="930"/>
      <c r="I34" s="64"/>
      <c r="J34" s="65" t="str">
        <f>+IF(Tabla6910121315107[[#This Row],[TIPO]]="NO ASISTE","-",+IF(I34&lt;&gt;0,+LOOKUP(I34,SOCIOS!$B$2:$B$26,SOCIOS!$C$2:$C$26),"-"))</f>
        <v>-</v>
      </c>
      <c r="K34" s="66" t="str">
        <f>+IF(Tabla6910121315107[[#This Row],[TIPO]]="NO ASISTE","-",+IF(I34&lt;&gt;0,+LOOKUP(I34,SOCIOS!$B$2:$B$26,SOCIOS!$D$2:$D$26),"-"))</f>
        <v>-</v>
      </c>
      <c r="L34" s="66" t="str">
        <f>+IF(Tabla6910121315107[[#This Row],[TIPO]]="NO ASISTE","-",+IF(I34&lt;&gt;0,+LOOKUP(I34,SOCIOS!$B$2:$B$26,SOCIOS!$E$2:$E$26),"-"))</f>
        <v>-</v>
      </c>
      <c r="M34" s="211"/>
      <c r="N34" s="989"/>
      <c r="P34" s="64"/>
      <c r="Q34" s="239" t="str">
        <f>+IF(Tabla6910121315107[[#This Row],[TIPO]]="NO ASISTE","-",+IF(P34&lt;&gt;0,+LOOKUP(P34,SOCIOS!$B$2:$B$26,SOCIOS!$C$2:$C$26),"-"))</f>
        <v>-</v>
      </c>
      <c r="R34" s="66" t="str">
        <f>+IF(Tabla6910121315107[[#This Row],[TIPO]]="NO ASISTE","-",+IF(P34&lt;&gt;0,+LOOKUP(P34,SOCIOS!$B$2:$B$26,SOCIOS!$D$2:$D$26),"-"))</f>
        <v>-</v>
      </c>
      <c r="S34" s="66" t="str">
        <f>+IF(Tabla6910121315107[[#This Row],[TIPO]]="NO ASISTE","-",+IF(P34&lt;&gt;0,+LOOKUP(P34,SOCIOS!$B$2:$B$26,SOCIOS!$E$2:$E$26),"-"))</f>
        <v>-</v>
      </c>
      <c r="T34" s="211"/>
    </row>
    <row r="35" spans="2:21" x14ac:dyDescent="0.25">
      <c r="B35" s="64"/>
      <c r="C35" s="239"/>
      <c r="D35" s="66"/>
      <c r="E35" s="66"/>
      <c r="F35" s="211"/>
      <c r="G35" s="930"/>
      <c r="I35" s="64"/>
      <c r="J35" s="65" t="str">
        <f>+IF(Tabla6910121315107[[#This Row],[TIPO]]="NO ASISTE","-",+IF(I35&lt;&gt;0,+LOOKUP(I35,SOCIOS!$B$2:$B$26,SOCIOS!$C$2:$C$26),"-"))</f>
        <v>-</v>
      </c>
      <c r="K35" s="66" t="str">
        <f>+IF(Tabla6910121315107[[#This Row],[TIPO]]="NO ASISTE","-",+IF(I35&lt;&gt;0,+LOOKUP(I35,SOCIOS!$B$2:$B$26,SOCIOS!$D$2:$D$26),"-"))</f>
        <v>-</v>
      </c>
      <c r="L35" s="66" t="str">
        <f>+IF(Tabla6910121315107[[#This Row],[TIPO]]="NO ASISTE","-",+IF(I35&lt;&gt;0,+LOOKUP(I35,SOCIOS!$B$2:$B$26,SOCIOS!$E$2:$E$26),"-"))</f>
        <v>-</v>
      </c>
      <c r="M35" s="211"/>
      <c r="N35" s="989"/>
      <c r="P35" s="64"/>
      <c r="Q35" s="239" t="str">
        <f>+IF(Tabla6910121315107[[#This Row],[TIPO]]="NO ASISTE","-",+IF(P35&lt;&gt;0,+LOOKUP(P35,SOCIOS!$B$2:$B$26,SOCIOS!$C$2:$C$26),"-"))</f>
        <v>-</v>
      </c>
      <c r="R35" s="66" t="str">
        <f>+IF(Tabla6910121315107[[#This Row],[TIPO]]="NO ASISTE","-",+IF(P35&lt;&gt;0,+LOOKUP(P35,SOCIOS!$B$2:$B$26,SOCIOS!$D$2:$D$26),"-"))</f>
        <v>-</v>
      </c>
      <c r="S35" s="66" t="str">
        <f>+IF(Tabla6910121315107[[#This Row],[TIPO]]="NO ASISTE","-",+IF(P35&lt;&gt;0,+LOOKUP(P35,SOCIOS!$B$2:$B$26,SOCIOS!$E$2:$E$26),"-"))</f>
        <v>-</v>
      </c>
      <c r="T35" s="211"/>
    </row>
    <row r="36" spans="2:21" x14ac:dyDescent="0.25">
      <c r="B36" s="67">
        <f>SUBTOTAL(103,Tabla691012131510[DIRECTOR])</f>
        <v>25</v>
      </c>
      <c r="C36" s="68"/>
      <c r="D36" s="69">
        <f>SUBTOTAL(109,Tabla691012131510[CUOTA])</f>
        <v>437000</v>
      </c>
      <c r="E36" s="69">
        <f>SUBTOTAL(109,Tabla691012131510[PROPINA])</f>
        <v>23000</v>
      </c>
      <c r="F36" s="48"/>
      <c r="G36" s="205"/>
      <c r="I36" s="67">
        <f>SUBTOTAL(103,Tabla6910121315107[DIRECTOR])</f>
        <v>25</v>
      </c>
      <c r="J36" s="68"/>
      <c r="K36" s="69">
        <f>SUBTOTAL(109,Tabla6910121315107[CUOTA])</f>
        <v>380000</v>
      </c>
      <c r="L36" s="69">
        <f>SUBTOTAL(109,Tabla6910121315107[PROPINA])</f>
        <v>20000</v>
      </c>
      <c r="M36" s="48"/>
      <c r="N36" s="205"/>
      <c r="P36" s="67">
        <f>SUBTOTAL(103,Tabla6910121315109[DIRECTOR])</f>
        <v>0</v>
      </c>
      <c r="Q36" s="68"/>
      <c r="R36" s="69">
        <f>SUBTOTAL(109,Tabla6910121315109[CUOTA])</f>
        <v>0</v>
      </c>
      <c r="S36" s="69">
        <f>SUBTOTAL(109,Tabla6910121315109[PROPINA])</f>
        <v>0</v>
      </c>
      <c r="T36" s="48"/>
      <c r="U36" s="205"/>
    </row>
    <row r="37" spans="2:21" x14ac:dyDescent="0.25">
      <c r="B37" s="70" t="s">
        <v>229</v>
      </c>
      <c r="C37" s="71"/>
      <c r="D37" s="72"/>
      <c r="E37" s="72">
        <f>+Tabla691012131510[[#Totals],[PROPINA]]+15000</f>
        <v>38000</v>
      </c>
      <c r="F37" s="72" t="s">
        <v>136</v>
      </c>
      <c r="G37" s="958"/>
      <c r="I37" s="70" t="s">
        <v>229</v>
      </c>
      <c r="J37" s="71"/>
      <c r="K37" s="72"/>
      <c r="L37" s="72">
        <f>+Tabla6910121315107[[#Totals],[PROPINA]]+15000</f>
        <v>35000</v>
      </c>
      <c r="M37" s="72" t="s">
        <v>136</v>
      </c>
      <c r="N37" s="958"/>
      <c r="P37" s="70" t="s">
        <v>229</v>
      </c>
      <c r="Q37" s="71"/>
      <c r="R37" s="72"/>
      <c r="S37" s="72">
        <f>+Tabla6910121315109[[#Totals],[PROPINA]]+15000</f>
        <v>15000</v>
      </c>
      <c r="T37" s="72" t="s">
        <v>136</v>
      </c>
    </row>
    <row r="38" spans="2:21" x14ac:dyDescent="0.25">
      <c r="B38" s="19"/>
      <c r="C38" s="19"/>
      <c r="D38" s="19"/>
      <c r="E38" s="22">
        <f>+Tabla691012131510[[#Totals],[CUOTA]]+Tabla691012131510[[#Totals],[PROPINA]]</f>
        <v>460000</v>
      </c>
      <c r="I38" s="19"/>
      <c r="J38" s="19"/>
      <c r="K38" s="19"/>
      <c r="L38" s="22">
        <f>+Tabla6910121315107[[#Totals],[CUOTA]]+Tabla6910121315107[[#Totals],[PROPINA]]</f>
        <v>400000</v>
      </c>
      <c r="P38" s="19"/>
      <c r="Q38" s="19"/>
      <c r="R38" s="19"/>
      <c r="S38" s="22">
        <f>+Tabla6910121315109[[#Totals],[CUOTA]]+Tabla6910121315109[[#Totals],[PROPINA]]</f>
        <v>0</v>
      </c>
    </row>
    <row r="39" spans="2:21" x14ac:dyDescent="0.25">
      <c r="B39" s="990" t="s">
        <v>231</v>
      </c>
      <c r="C39" s="991">
        <f>+C41-C40</f>
        <v>23</v>
      </c>
      <c r="D39" s="73" t="s">
        <v>228</v>
      </c>
      <c r="E39" s="1141" t="s">
        <v>181</v>
      </c>
      <c r="F39" s="1141"/>
      <c r="G39" s="931"/>
      <c r="I39" s="990" t="s">
        <v>231</v>
      </c>
      <c r="J39" s="991">
        <f>+J41-J40</f>
        <v>17</v>
      </c>
      <c r="K39" s="73" t="s">
        <v>228</v>
      </c>
      <c r="L39" s="1141" t="s">
        <v>181</v>
      </c>
      <c r="M39" s="1141"/>
      <c r="N39" s="931"/>
      <c r="P39" s="73" t="s">
        <v>231</v>
      </c>
      <c r="Q39" s="380">
        <f>+Q41-Q40</f>
        <v>0</v>
      </c>
      <c r="R39" s="73" t="s">
        <v>228</v>
      </c>
      <c r="S39" s="1141" t="s">
        <v>181</v>
      </c>
      <c r="T39" s="1141"/>
    </row>
    <row r="40" spans="2:21" x14ac:dyDescent="0.25">
      <c r="B40" s="992" t="s">
        <v>232</v>
      </c>
      <c r="C40" s="993">
        <f>+COUNTIF(Tabla691012131510[TIPO],"NO ASISTE")</f>
        <v>2</v>
      </c>
      <c r="D40" s="73" t="s">
        <v>227</v>
      </c>
      <c r="E40" s="1141" t="s">
        <v>630</v>
      </c>
      <c r="F40" s="1141"/>
      <c r="G40" s="931"/>
      <c r="I40" s="992" t="s">
        <v>232</v>
      </c>
      <c r="J40" s="993">
        <f>+COUNTIF(Tabla6910121315107[TIPO],"NO ASISTE")+COUNTIF(Tabla6910121315107[TIPO],"CONFIRMA")</f>
        <v>8</v>
      </c>
      <c r="K40" s="73" t="s">
        <v>227</v>
      </c>
      <c r="L40" s="1141" t="s">
        <v>631</v>
      </c>
      <c r="M40" s="1141"/>
      <c r="N40" s="931"/>
      <c r="P40" s="73" t="s">
        <v>232</v>
      </c>
      <c r="Q40" s="380">
        <f>+COUNTIF(Tabla6910121315109[TIPO],"NO ASISTE")</f>
        <v>0</v>
      </c>
      <c r="R40" s="73" t="s">
        <v>227</v>
      </c>
      <c r="S40" s="1141"/>
      <c r="T40" s="1141"/>
    </row>
    <row r="41" spans="2:21" x14ac:dyDescent="0.25">
      <c r="B41" s="73" t="s">
        <v>28</v>
      </c>
      <c r="C41" s="372">
        <f>+Tabla691012131510[[#Totals],[DIRECTOR]]</f>
        <v>25</v>
      </c>
      <c r="D41" s="73" t="s">
        <v>177</v>
      </c>
      <c r="E41" s="1142">
        <v>45888</v>
      </c>
      <c r="F41" s="1141"/>
      <c r="G41" s="931"/>
      <c r="I41" s="73" t="s">
        <v>28</v>
      </c>
      <c r="J41" s="380">
        <f>+Tabla6910121315107[[#Totals],[DIRECTOR]]</f>
        <v>25</v>
      </c>
      <c r="K41" s="73" t="s">
        <v>177</v>
      </c>
      <c r="L41" s="1142">
        <v>45979</v>
      </c>
      <c r="M41" s="1141"/>
      <c r="N41" s="931"/>
      <c r="P41" s="73" t="s">
        <v>28</v>
      </c>
      <c r="Q41" s="380">
        <f>+Tabla6910121315109[[#Totals],[DIRECTOR]]</f>
        <v>0</v>
      </c>
      <c r="R41" s="73" t="s">
        <v>177</v>
      </c>
      <c r="S41" s="1142"/>
      <c r="T41" s="1141"/>
    </row>
    <row r="42" spans="2:21" x14ac:dyDescent="0.25">
      <c r="B42" s="349"/>
      <c r="I42" s="349"/>
      <c r="P42" s="349"/>
    </row>
    <row r="43" spans="2:21" x14ac:dyDescent="0.25">
      <c r="B43" s="349"/>
      <c r="I43" s="19"/>
      <c r="P43" s="19"/>
    </row>
    <row r="44" spans="2:21" x14ac:dyDescent="0.25">
      <c r="B44" s="349"/>
      <c r="I44" s="19"/>
      <c r="P44" s="19"/>
    </row>
    <row r="45" spans="2:21" x14ac:dyDescent="0.25">
      <c r="B45" s="349"/>
      <c r="E45" s="75"/>
      <c r="I45" s="19"/>
      <c r="L45" s="75"/>
      <c r="P45" s="19"/>
      <c r="S45" s="75"/>
    </row>
    <row r="46" spans="2:21" x14ac:dyDescent="0.25">
      <c r="B46" s="349"/>
      <c r="E46" s="75"/>
      <c r="I46" s="19"/>
      <c r="L46" s="75"/>
      <c r="P46" s="19"/>
      <c r="S46" s="75"/>
    </row>
    <row r="47" spans="2:21" x14ac:dyDescent="0.25">
      <c r="B47" s="349"/>
      <c r="E47" s="75"/>
      <c r="I47" s="19"/>
      <c r="L47" s="75"/>
      <c r="P47" s="19"/>
      <c r="S47" s="75"/>
    </row>
    <row r="48" spans="2:21" x14ac:dyDescent="0.25">
      <c r="B48" s="349"/>
      <c r="E48" s="75"/>
      <c r="I48" s="19"/>
      <c r="L48" s="75"/>
      <c r="P48" s="19"/>
      <c r="S48" s="75"/>
    </row>
    <row r="49" spans="2:19" x14ac:dyDescent="0.25">
      <c r="B49" s="349"/>
      <c r="E49" s="75"/>
      <c r="I49" s="19"/>
      <c r="L49" s="75"/>
      <c r="P49" s="19"/>
      <c r="S49" s="75"/>
    </row>
    <row r="50" spans="2:19" x14ac:dyDescent="0.25">
      <c r="B50" s="349"/>
      <c r="E50" s="75"/>
      <c r="I50" s="19"/>
      <c r="L50" s="75"/>
      <c r="P50" s="19"/>
      <c r="S50" s="75"/>
    </row>
    <row r="51" spans="2:19" x14ac:dyDescent="0.25">
      <c r="B51" s="19"/>
      <c r="E51" s="75"/>
      <c r="I51" s="19"/>
      <c r="L51" s="75"/>
      <c r="P51" s="19"/>
      <c r="S51" s="75"/>
    </row>
    <row r="52" spans="2:19" x14ac:dyDescent="0.25">
      <c r="B52" s="19"/>
      <c r="E52" s="75"/>
      <c r="I52" s="19"/>
      <c r="L52" s="75"/>
      <c r="P52" s="19"/>
      <c r="S52" s="75"/>
    </row>
    <row r="53" spans="2:19" x14ac:dyDescent="0.25">
      <c r="B53" s="19"/>
      <c r="E53" s="75"/>
      <c r="I53" s="19"/>
      <c r="L53" s="75"/>
      <c r="P53" s="19"/>
      <c r="S53" s="75"/>
    </row>
    <row r="54" spans="2:19" x14ac:dyDescent="0.25">
      <c r="B54" s="19"/>
      <c r="E54" s="75"/>
      <c r="I54" s="19"/>
      <c r="L54" s="75"/>
      <c r="P54" s="19"/>
      <c r="S54" s="75"/>
    </row>
    <row r="55" spans="2:19" x14ac:dyDescent="0.25">
      <c r="B55" s="19"/>
      <c r="E55" s="75"/>
      <c r="I55" s="19"/>
      <c r="L55" s="75"/>
      <c r="P55" s="19"/>
      <c r="S55" s="75"/>
    </row>
    <row r="56" spans="2:19" x14ac:dyDescent="0.25">
      <c r="B56" s="19"/>
      <c r="E56" s="75"/>
      <c r="I56" s="19"/>
      <c r="L56" s="75"/>
      <c r="P56" s="19"/>
      <c r="S56" s="75"/>
    </row>
    <row r="57" spans="2:19" x14ac:dyDescent="0.25">
      <c r="B57" s="19"/>
      <c r="E57" s="75"/>
      <c r="I57" s="19"/>
      <c r="L57" s="75"/>
      <c r="P57" s="19"/>
      <c r="S57" s="75"/>
    </row>
    <row r="58" spans="2:19" x14ac:dyDescent="0.25">
      <c r="B58" s="19"/>
      <c r="E58" s="75"/>
      <c r="I58" s="19"/>
      <c r="L58" s="75"/>
      <c r="P58" s="19"/>
      <c r="S58" s="75"/>
    </row>
    <row r="59" spans="2:19" x14ac:dyDescent="0.25">
      <c r="B59" s="19"/>
      <c r="E59" s="75"/>
      <c r="I59" s="19"/>
      <c r="L59" s="75"/>
      <c r="P59" s="19"/>
      <c r="S59" s="75"/>
    </row>
    <row r="60" spans="2:19" x14ac:dyDescent="0.25">
      <c r="B60" s="19"/>
      <c r="E60" s="75"/>
      <c r="I60" s="19"/>
      <c r="L60" s="75"/>
      <c r="P60" s="19"/>
      <c r="S60" s="75"/>
    </row>
    <row r="61" spans="2:19" x14ac:dyDescent="0.25">
      <c r="B61" s="19"/>
      <c r="E61" s="75"/>
      <c r="I61" s="19"/>
      <c r="L61" s="75"/>
      <c r="P61" s="19"/>
      <c r="S61" s="75"/>
    </row>
    <row r="62" spans="2:19" x14ac:dyDescent="0.25">
      <c r="B62" s="19"/>
      <c r="E62" s="75"/>
      <c r="I62" s="19"/>
      <c r="L62" s="75"/>
      <c r="P62" s="19"/>
      <c r="S62" s="75"/>
    </row>
    <row r="63" spans="2:19" x14ac:dyDescent="0.25">
      <c r="B63" s="19"/>
      <c r="E63" s="75"/>
      <c r="I63" s="19"/>
      <c r="L63" s="75"/>
      <c r="P63" s="19"/>
      <c r="S63" s="75"/>
    </row>
    <row r="64" spans="2:19" x14ac:dyDescent="0.25">
      <c r="B64" s="19"/>
      <c r="E64" s="75"/>
      <c r="I64" s="19"/>
      <c r="L64" s="75"/>
      <c r="P64" s="19"/>
      <c r="S64" s="75"/>
    </row>
    <row r="65" spans="2:19" x14ac:dyDescent="0.25">
      <c r="B65" s="19"/>
      <c r="E65" s="75"/>
      <c r="I65" s="19"/>
      <c r="L65" s="75"/>
      <c r="P65" s="19"/>
      <c r="S65" s="75"/>
    </row>
    <row r="66" spans="2:19" x14ac:dyDescent="0.25">
      <c r="B66" s="19"/>
      <c r="E66" s="75"/>
      <c r="I66" s="19"/>
      <c r="L66" s="75"/>
      <c r="P66" s="19"/>
      <c r="S66" s="75"/>
    </row>
    <row r="67" spans="2:19" x14ac:dyDescent="0.25">
      <c r="B67" s="19"/>
      <c r="E67" s="75"/>
      <c r="I67" s="19"/>
      <c r="L67" s="75"/>
      <c r="P67" s="19"/>
      <c r="S67" s="75"/>
    </row>
    <row r="68" spans="2:19" x14ac:dyDescent="0.25">
      <c r="B68" s="19"/>
      <c r="E68" s="75"/>
      <c r="I68" s="19"/>
      <c r="L68" s="75"/>
      <c r="P68" s="19"/>
      <c r="S68" s="75"/>
    </row>
    <row r="69" spans="2:19" x14ac:dyDescent="0.25">
      <c r="B69" s="19"/>
      <c r="E69" s="75"/>
      <c r="I69" s="19"/>
      <c r="L69" s="75"/>
      <c r="P69" s="19"/>
      <c r="S69" s="75"/>
    </row>
    <row r="70" spans="2:19" x14ac:dyDescent="0.25">
      <c r="B70" s="19"/>
      <c r="E70" s="75"/>
      <c r="I70" s="19"/>
      <c r="L70" s="75"/>
      <c r="P70" s="19"/>
      <c r="S70" s="75"/>
    </row>
    <row r="71" spans="2:19" x14ac:dyDescent="0.25">
      <c r="B71" s="19"/>
      <c r="E71" s="75"/>
      <c r="I71" s="19"/>
      <c r="L71" s="75"/>
      <c r="P71" s="19"/>
      <c r="S71" s="75"/>
    </row>
    <row r="72" spans="2:19" x14ac:dyDescent="0.25">
      <c r="B72" s="19"/>
      <c r="E72" s="75"/>
      <c r="I72" s="19"/>
      <c r="L72" s="75"/>
      <c r="P72" s="19"/>
      <c r="S72" s="75"/>
    </row>
    <row r="73" spans="2:19" x14ac:dyDescent="0.25">
      <c r="B73" s="19"/>
      <c r="E73" s="75"/>
      <c r="I73" s="19"/>
      <c r="L73" s="75"/>
      <c r="P73" s="19"/>
      <c r="S73" s="75"/>
    </row>
    <row r="74" spans="2:19" x14ac:dyDescent="0.25">
      <c r="B74" s="19"/>
      <c r="E74" s="75"/>
      <c r="I74" s="19"/>
      <c r="L74" s="75"/>
      <c r="P74" s="19"/>
      <c r="S74" s="75"/>
    </row>
    <row r="75" spans="2:19" x14ac:dyDescent="0.25">
      <c r="B75" s="19"/>
      <c r="E75" s="75"/>
      <c r="I75" s="19"/>
      <c r="L75" s="75"/>
      <c r="P75" s="19"/>
      <c r="S75" s="75"/>
    </row>
    <row r="76" spans="2:19" x14ac:dyDescent="0.25">
      <c r="B76" s="19"/>
      <c r="E76" s="75"/>
      <c r="I76" s="19"/>
      <c r="L76" s="75"/>
      <c r="P76" s="19"/>
      <c r="S76" s="75"/>
    </row>
    <row r="77" spans="2:19" x14ac:dyDescent="0.25">
      <c r="B77" s="19"/>
      <c r="E77" s="75"/>
      <c r="I77" s="19"/>
      <c r="L77" s="75"/>
      <c r="P77" s="19"/>
      <c r="S77" s="75"/>
    </row>
    <row r="78" spans="2:19" x14ac:dyDescent="0.25">
      <c r="B78" s="19"/>
      <c r="E78" s="75"/>
      <c r="I78" s="19"/>
      <c r="L78" s="75"/>
      <c r="P78" s="19"/>
      <c r="S78" s="75"/>
    </row>
    <row r="79" spans="2:19" x14ac:dyDescent="0.25">
      <c r="B79" s="19"/>
      <c r="E79" s="75"/>
      <c r="I79" s="19"/>
      <c r="L79" s="75"/>
      <c r="P79" s="19"/>
      <c r="S79" s="75"/>
    </row>
    <row r="80" spans="2:19" x14ac:dyDescent="0.25">
      <c r="B80" s="19"/>
      <c r="E80" s="75"/>
      <c r="I80" s="19"/>
      <c r="L80" s="75"/>
      <c r="P80" s="19"/>
      <c r="S80" s="75"/>
    </row>
    <row r="81" spans="2:19" x14ac:dyDescent="0.25">
      <c r="B81" s="19"/>
      <c r="E81" s="75"/>
      <c r="I81" s="19"/>
      <c r="L81" s="75"/>
      <c r="P81" s="19"/>
      <c r="S81" s="75"/>
    </row>
    <row r="82" spans="2:19" x14ac:dyDescent="0.25">
      <c r="B82" s="19"/>
      <c r="E82" s="75"/>
      <c r="I82" s="19"/>
      <c r="L82" s="75"/>
      <c r="P82" s="19"/>
      <c r="S82" s="75"/>
    </row>
    <row r="83" spans="2:19" x14ac:dyDescent="0.25">
      <c r="B83" s="19"/>
      <c r="E83" s="75"/>
      <c r="I83" s="19"/>
      <c r="L83" s="75"/>
      <c r="P83" s="19"/>
      <c r="S83" s="75"/>
    </row>
    <row r="84" spans="2:19" x14ac:dyDescent="0.25">
      <c r="B84" s="19"/>
      <c r="E84" s="75"/>
      <c r="I84" s="19"/>
      <c r="L84" s="75"/>
      <c r="P84" s="19"/>
      <c r="S84" s="75"/>
    </row>
    <row r="85" spans="2:19" x14ac:dyDescent="0.25">
      <c r="B85" s="19"/>
      <c r="E85" s="75"/>
      <c r="I85" s="19"/>
      <c r="L85" s="75"/>
      <c r="P85" s="19"/>
      <c r="S85" s="75"/>
    </row>
    <row r="86" spans="2:19" x14ac:dyDescent="0.25">
      <c r="B86" s="19"/>
      <c r="E86" s="75"/>
      <c r="I86" s="19"/>
      <c r="L86" s="75"/>
      <c r="P86" s="19"/>
      <c r="S86" s="75"/>
    </row>
    <row r="87" spans="2:19" x14ac:dyDescent="0.25">
      <c r="B87" s="19"/>
      <c r="E87" s="75"/>
      <c r="I87" s="19"/>
      <c r="L87" s="75"/>
      <c r="P87" s="19"/>
      <c r="S87" s="75"/>
    </row>
    <row r="88" spans="2:19" x14ac:dyDescent="0.25">
      <c r="B88" s="19"/>
      <c r="E88" s="75"/>
      <c r="I88" s="19"/>
      <c r="L88" s="75"/>
      <c r="P88" s="19"/>
      <c r="S88" s="75"/>
    </row>
    <row r="89" spans="2:19" x14ac:dyDescent="0.25">
      <c r="B89" s="19"/>
      <c r="E89" s="75"/>
      <c r="I89" s="19"/>
      <c r="L89" s="75"/>
      <c r="P89" s="19"/>
      <c r="S89" s="75"/>
    </row>
    <row r="90" spans="2:19" x14ac:dyDescent="0.25">
      <c r="B90" s="19"/>
      <c r="E90" s="75"/>
      <c r="I90" s="19"/>
      <c r="L90" s="75"/>
      <c r="P90" s="19"/>
      <c r="S90" s="75"/>
    </row>
    <row r="91" spans="2:19" x14ac:dyDescent="0.25">
      <c r="B91" s="19"/>
      <c r="E91" s="75"/>
      <c r="I91" s="19"/>
      <c r="L91" s="75"/>
      <c r="P91" s="19"/>
      <c r="S91" s="75"/>
    </row>
    <row r="92" spans="2:19" x14ac:dyDescent="0.25">
      <c r="B92" s="19"/>
      <c r="E92" s="75"/>
      <c r="I92" s="19"/>
      <c r="L92" s="75"/>
      <c r="P92" s="19"/>
      <c r="S92" s="75"/>
    </row>
    <row r="93" spans="2:19" x14ac:dyDescent="0.25">
      <c r="B93" s="19"/>
      <c r="E93" s="75"/>
      <c r="I93" s="19"/>
      <c r="L93" s="75"/>
      <c r="P93" s="19"/>
      <c r="S93" s="75"/>
    </row>
    <row r="94" spans="2:19" x14ac:dyDescent="0.25">
      <c r="B94" s="19"/>
      <c r="I94" s="19"/>
      <c r="P94" s="19"/>
    </row>
    <row r="95" spans="2:19" x14ac:dyDescent="0.25">
      <c r="B95" s="19"/>
      <c r="I95" s="19"/>
      <c r="P95" s="19"/>
    </row>
    <row r="96" spans="2:19" x14ac:dyDescent="0.25">
      <c r="B96" s="19"/>
      <c r="I96" s="19"/>
      <c r="P96" s="19"/>
    </row>
    <row r="97" spans="2:16" x14ac:dyDescent="0.25">
      <c r="B97" s="19"/>
      <c r="I97" s="19"/>
      <c r="P97" s="19"/>
    </row>
    <row r="98" spans="2:16" x14ac:dyDescent="0.25">
      <c r="B98" s="19"/>
      <c r="I98" s="19"/>
      <c r="P98" s="19"/>
    </row>
    <row r="99" spans="2:16" x14ac:dyDescent="0.25">
      <c r="B99" s="19"/>
      <c r="I99" s="19"/>
      <c r="P99" s="19"/>
    </row>
    <row r="100" spans="2:16" x14ac:dyDescent="0.25">
      <c r="B100" s="19"/>
      <c r="I100" s="19"/>
      <c r="P100" s="19"/>
    </row>
    <row r="101" spans="2:16" x14ac:dyDescent="0.25">
      <c r="B101" s="19"/>
      <c r="I101" s="19"/>
      <c r="P101" s="19"/>
    </row>
    <row r="102" spans="2:16" x14ac:dyDescent="0.25">
      <c r="B102" s="19"/>
      <c r="I102" s="19"/>
      <c r="P102" s="19"/>
    </row>
    <row r="103" spans="2:16" x14ac:dyDescent="0.25">
      <c r="B103" s="19"/>
      <c r="I103" s="19"/>
      <c r="P103" s="19"/>
    </row>
  </sheetData>
  <sheetProtection sheet="1" objects="1" scenarios="1"/>
  <mergeCells count="12">
    <mergeCell ref="B1:F1"/>
    <mergeCell ref="E39:F39"/>
    <mergeCell ref="E40:F40"/>
    <mergeCell ref="E41:F41"/>
    <mergeCell ref="S41:T41"/>
    <mergeCell ref="P1:T1"/>
    <mergeCell ref="S39:T39"/>
    <mergeCell ref="S40:T40"/>
    <mergeCell ref="I1:M1"/>
    <mergeCell ref="L39:M39"/>
    <mergeCell ref="L40:M40"/>
    <mergeCell ref="L41:M41"/>
  </mergeCells>
  <phoneticPr fontId="22" type="noConversion"/>
  <dataValidations count="2">
    <dataValidation type="list" allowBlank="1" showInputMessage="1" showErrorMessage="1" sqref="P3:P35" xr:uid="{00000000-0002-0000-1000-000000000000}">
      <formula1>$B$3:$B$29</formula1>
    </dataValidation>
    <dataValidation type="list" allowBlank="1" showInputMessage="1" showErrorMessage="1" sqref="F3:F35 T3:T35" xr:uid="{00000000-0002-0000-1000-000001000000}">
      <formula1>$B$43:$B$46</formula1>
    </dataValidation>
  </dataValidations>
  <printOptions horizontalCentered="1"/>
  <pageMargins left="0.70866141732283472" right="0.70866141732283472" top="0.74803149606299213" bottom="0.74803149606299213" header="0.31496062992125984" footer="0.31496062992125984"/>
  <pageSetup paperSize="139" scale="120" orientation="portrait" horizontalDpi="300" verticalDpi="300"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2B61ED6-30BE-4538-9E4C-DE9F1008E319}">
          <x14:formula1>
            <xm:f>SOCIOS!$A$1:$A$6</xm:f>
          </x14:formula1>
          <xm:sqref>M3:M35</xm:sqref>
        </x14:dataValidation>
        <x14:dataValidation type="list" allowBlank="1" showInputMessage="1" showErrorMessage="1" xr:uid="{C2512793-47EB-4A94-BEE1-E85951F97640}">
          <x14:formula1>
            <xm:f>SOCIOS!$B$2:$B$26</xm:f>
          </x14:formula1>
          <xm:sqref>I3:I35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tabColor rgb="FF92D050"/>
  </sheetPr>
  <dimension ref="A1:M26"/>
  <sheetViews>
    <sheetView showGridLines="0" topLeftCell="A10" workbookViewId="0">
      <selection activeCell="B3" sqref="B3"/>
    </sheetView>
  </sheetViews>
  <sheetFormatPr baseColWidth="10" defaultRowHeight="15" x14ac:dyDescent="0.25"/>
  <cols>
    <col min="2" max="3" width="18.28515625" style="47" bestFit="1" customWidth="1"/>
    <col min="4" max="4" width="15" style="47" bestFit="1" customWidth="1"/>
    <col min="5" max="5" width="11.42578125" style="47" customWidth="1"/>
    <col min="6" max="6" width="10.42578125" customWidth="1"/>
    <col min="7" max="7" width="2.140625" customWidth="1"/>
    <col min="9" max="9" width="17.85546875" bestFit="1" customWidth="1"/>
    <col min="10" max="10" width="15" bestFit="1" customWidth="1"/>
    <col min="11" max="11" width="10.28515625" bestFit="1" customWidth="1"/>
    <col min="13" max="13" width="13.5703125" customWidth="1"/>
  </cols>
  <sheetData>
    <row r="1" spans="1:13" x14ac:dyDescent="0.25">
      <c r="A1" t="s">
        <v>135</v>
      </c>
      <c r="B1" s="59" t="s">
        <v>220</v>
      </c>
      <c r="C1" s="59" t="s">
        <v>143</v>
      </c>
      <c r="D1" s="59" t="s">
        <v>102</v>
      </c>
      <c r="E1" s="59" t="s">
        <v>87</v>
      </c>
      <c r="F1" s="59" t="s">
        <v>222</v>
      </c>
    </row>
    <row r="2" spans="1:13" x14ac:dyDescent="0.25">
      <c r="A2" t="s">
        <v>136</v>
      </c>
      <c r="B2" s="60" t="s">
        <v>224</v>
      </c>
      <c r="C2" s="61" t="s">
        <v>141</v>
      </c>
      <c r="D2" s="60">
        <v>19000</v>
      </c>
      <c r="E2" s="60">
        <v>1000</v>
      </c>
      <c r="F2" t="s">
        <v>223</v>
      </c>
      <c r="I2" s="951" t="s">
        <v>169</v>
      </c>
      <c r="J2" s="952" t="s">
        <v>215</v>
      </c>
      <c r="K2" s="953" t="s">
        <v>309</v>
      </c>
      <c r="L2" s="82"/>
      <c r="M2" t="s">
        <v>215</v>
      </c>
    </row>
    <row r="3" spans="1:13" x14ac:dyDescent="0.25">
      <c r="A3" t="s">
        <v>140</v>
      </c>
      <c r="B3" s="60" t="s">
        <v>221</v>
      </c>
      <c r="C3" s="61" t="s">
        <v>141</v>
      </c>
      <c r="D3" s="60">
        <v>19000</v>
      </c>
      <c r="E3" s="60">
        <v>1000</v>
      </c>
      <c r="F3" t="s">
        <v>223</v>
      </c>
      <c r="I3" s="954" t="s">
        <v>168</v>
      </c>
      <c r="J3" s="47" t="s">
        <v>215</v>
      </c>
      <c r="K3" s="760" t="s">
        <v>309</v>
      </c>
      <c r="M3" t="s">
        <v>211</v>
      </c>
    </row>
    <row r="4" spans="1:13" x14ac:dyDescent="0.25">
      <c r="A4" t="s">
        <v>230</v>
      </c>
      <c r="B4" s="60" t="s">
        <v>174</v>
      </c>
      <c r="C4" s="61" t="s">
        <v>141</v>
      </c>
      <c r="D4" s="60">
        <v>19000</v>
      </c>
      <c r="E4" s="60">
        <v>1000</v>
      </c>
      <c r="F4" t="s">
        <v>223</v>
      </c>
      <c r="I4" s="955" t="s">
        <v>170</v>
      </c>
      <c r="J4" s="762" t="s">
        <v>215</v>
      </c>
      <c r="K4" s="772" t="s">
        <v>309</v>
      </c>
      <c r="M4" t="s">
        <v>210</v>
      </c>
    </row>
    <row r="5" spans="1:13" x14ac:dyDescent="0.25">
      <c r="A5" t="s">
        <v>635</v>
      </c>
      <c r="B5" s="60" t="s">
        <v>161</v>
      </c>
      <c r="C5" s="61" t="s">
        <v>214</v>
      </c>
      <c r="D5" s="60">
        <v>19000</v>
      </c>
      <c r="E5" s="60">
        <v>1000</v>
      </c>
      <c r="F5" t="s">
        <v>223</v>
      </c>
      <c r="I5" s="951" t="s">
        <v>149</v>
      </c>
      <c r="J5" s="952" t="s">
        <v>211</v>
      </c>
      <c r="K5" s="953" t="s">
        <v>309</v>
      </c>
      <c r="M5" t="s">
        <v>209</v>
      </c>
    </row>
    <row r="6" spans="1:13" x14ac:dyDescent="0.25">
      <c r="A6" t="s">
        <v>629</v>
      </c>
      <c r="B6" s="60" t="s">
        <v>162</v>
      </c>
      <c r="C6" s="61" t="s">
        <v>214</v>
      </c>
      <c r="D6" s="60">
        <v>19000</v>
      </c>
      <c r="E6" s="60">
        <v>1000</v>
      </c>
      <c r="F6" t="s">
        <v>223</v>
      </c>
      <c r="I6" s="954" t="s">
        <v>150</v>
      </c>
      <c r="J6" s="47" t="s">
        <v>211</v>
      </c>
      <c r="K6" s="760" t="s">
        <v>309</v>
      </c>
      <c r="M6" t="s">
        <v>212</v>
      </c>
    </row>
    <row r="7" spans="1:13" x14ac:dyDescent="0.25">
      <c r="B7" s="60" t="s">
        <v>307</v>
      </c>
      <c r="C7" s="61" t="s">
        <v>214</v>
      </c>
      <c r="D7" s="60">
        <v>19000</v>
      </c>
      <c r="E7" s="60">
        <v>1000</v>
      </c>
      <c r="F7" t="s">
        <v>223</v>
      </c>
      <c r="I7" s="955" t="s">
        <v>179</v>
      </c>
      <c r="J7" s="762" t="s">
        <v>211</v>
      </c>
      <c r="K7" s="772" t="s">
        <v>309</v>
      </c>
      <c r="M7" t="s">
        <v>139</v>
      </c>
    </row>
    <row r="8" spans="1:13" x14ac:dyDescent="0.25">
      <c r="B8" s="60" t="s">
        <v>166</v>
      </c>
      <c r="C8" s="61" t="s">
        <v>217</v>
      </c>
      <c r="D8" s="60">
        <v>19000</v>
      </c>
      <c r="E8" s="60">
        <v>1000</v>
      </c>
      <c r="F8" t="s">
        <v>223</v>
      </c>
      <c r="I8" s="951" t="s">
        <v>171</v>
      </c>
      <c r="J8" s="952" t="s">
        <v>218</v>
      </c>
      <c r="K8" s="953" t="s">
        <v>309</v>
      </c>
    </row>
    <row r="9" spans="1:13" x14ac:dyDescent="0.25">
      <c r="B9" s="60" t="s">
        <v>167</v>
      </c>
      <c r="C9" s="61" t="s">
        <v>217</v>
      </c>
      <c r="D9" s="60">
        <v>19000</v>
      </c>
      <c r="E9" s="60">
        <v>1000</v>
      </c>
      <c r="F9" t="s">
        <v>223</v>
      </c>
      <c r="I9" s="955" t="s">
        <v>173</v>
      </c>
      <c r="J9" s="762" t="s">
        <v>218</v>
      </c>
      <c r="K9" s="772" t="s">
        <v>309</v>
      </c>
    </row>
    <row r="10" spans="1:13" x14ac:dyDescent="0.25">
      <c r="B10" s="60" t="s">
        <v>226</v>
      </c>
      <c r="C10" s="61" t="s">
        <v>217</v>
      </c>
      <c r="D10" s="60">
        <v>19000</v>
      </c>
      <c r="E10" s="60">
        <v>1000</v>
      </c>
      <c r="F10" t="s">
        <v>223</v>
      </c>
      <c r="I10" s="951" t="s">
        <v>310</v>
      </c>
      <c r="J10" s="952" t="s">
        <v>210</v>
      </c>
      <c r="K10" s="953" t="s">
        <v>309</v>
      </c>
    </row>
    <row r="11" spans="1:13" x14ac:dyDescent="0.25">
      <c r="B11" s="60" t="s">
        <v>146</v>
      </c>
      <c r="C11" s="61" t="s">
        <v>209</v>
      </c>
      <c r="D11" s="60">
        <v>19000</v>
      </c>
      <c r="E11" s="60">
        <v>1000</v>
      </c>
      <c r="F11" t="s">
        <v>223</v>
      </c>
      <c r="I11" s="954" t="s">
        <v>225</v>
      </c>
      <c r="J11" s="47" t="s">
        <v>210</v>
      </c>
      <c r="K11" s="760" t="s">
        <v>309</v>
      </c>
    </row>
    <row r="12" spans="1:13" x14ac:dyDescent="0.25">
      <c r="B12" s="60" t="s">
        <v>147</v>
      </c>
      <c r="C12" s="61" t="s">
        <v>209</v>
      </c>
      <c r="D12" s="60">
        <v>19000</v>
      </c>
      <c r="E12" s="60">
        <v>1000</v>
      </c>
      <c r="F12" t="s">
        <v>223</v>
      </c>
      <c r="I12" s="955" t="s">
        <v>148</v>
      </c>
      <c r="J12" s="762" t="s">
        <v>210</v>
      </c>
      <c r="K12" s="772" t="s">
        <v>309</v>
      </c>
    </row>
    <row r="13" spans="1:13" x14ac:dyDescent="0.25">
      <c r="B13" s="60" t="s">
        <v>501</v>
      </c>
      <c r="C13" s="61" t="s">
        <v>209</v>
      </c>
      <c r="D13" s="60">
        <v>19000</v>
      </c>
      <c r="E13" s="60">
        <v>1000</v>
      </c>
      <c r="F13" t="s">
        <v>223</v>
      </c>
      <c r="I13" s="951" t="s">
        <v>144</v>
      </c>
      <c r="J13" s="952" t="s">
        <v>209</v>
      </c>
      <c r="K13" s="953" t="s">
        <v>309</v>
      </c>
    </row>
    <row r="14" spans="1:13" x14ac:dyDescent="0.25">
      <c r="B14" s="60" t="s">
        <v>156</v>
      </c>
      <c r="C14" s="61" t="s">
        <v>213</v>
      </c>
      <c r="D14" s="60">
        <v>19000</v>
      </c>
      <c r="E14" s="60">
        <v>1000</v>
      </c>
      <c r="F14" t="s">
        <v>223</v>
      </c>
      <c r="I14" s="955" t="s">
        <v>145</v>
      </c>
      <c r="J14" s="762" t="s">
        <v>209</v>
      </c>
      <c r="K14" s="772" t="s">
        <v>309</v>
      </c>
    </row>
    <row r="15" spans="1:13" x14ac:dyDescent="0.25">
      <c r="B15" s="60" t="s">
        <v>499</v>
      </c>
      <c r="C15" s="61" t="s">
        <v>213</v>
      </c>
      <c r="D15" s="60">
        <v>19000</v>
      </c>
      <c r="E15" s="60">
        <v>1000</v>
      </c>
      <c r="F15" t="s">
        <v>223</v>
      </c>
      <c r="I15" s="951" t="s">
        <v>164</v>
      </c>
      <c r="J15" s="952" t="s">
        <v>216</v>
      </c>
      <c r="K15" s="953" t="s">
        <v>309</v>
      </c>
    </row>
    <row r="16" spans="1:13" x14ac:dyDescent="0.25">
      <c r="B16" s="60" t="s">
        <v>158</v>
      </c>
      <c r="C16" s="61" t="s">
        <v>213</v>
      </c>
      <c r="D16" s="60">
        <v>19000</v>
      </c>
      <c r="E16" s="60">
        <v>1000</v>
      </c>
      <c r="F16" t="s">
        <v>223</v>
      </c>
      <c r="I16" s="955" t="s">
        <v>165</v>
      </c>
      <c r="J16" s="762" t="s">
        <v>216</v>
      </c>
      <c r="K16" s="772" t="s">
        <v>309</v>
      </c>
    </row>
    <row r="17" spans="2:11" x14ac:dyDescent="0.25">
      <c r="B17" s="60" t="s">
        <v>176</v>
      </c>
      <c r="C17" s="61" t="s">
        <v>219</v>
      </c>
      <c r="D17" s="60">
        <v>19000</v>
      </c>
      <c r="E17" s="60">
        <v>1000</v>
      </c>
      <c r="F17" t="s">
        <v>223</v>
      </c>
      <c r="I17" s="951" t="s">
        <v>622</v>
      </c>
      <c r="J17" s="952" t="s">
        <v>212</v>
      </c>
      <c r="K17" s="953" t="s">
        <v>309</v>
      </c>
    </row>
    <row r="18" spans="2:11" x14ac:dyDescent="0.25">
      <c r="B18" s="60" t="s">
        <v>500</v>
      </c>
      <c r="C18" s="61" t="s">
        <v>219</v>
      </c>
      <c r="D18" s="60">
        <v>19000</v>
      </c>
      <c r="E18" s="60">
        <v>1000</v>
      </c>
      <c r="F18" t="s">
        <v>223</v>
      </c>
      <c r="I18" s="954" t="s">
        <v>395</v>
      </c>
      <c r="J18" s="47" t="s">
        <v>212</v>
      </c>
      <c r="K18" s="760" t="s">
        <v>309</v>
      </c>
    </row>
    <row r="19" spans="2:11" x14ac:dyDescent="0.25">
      <c r="B19" s="60" t="s">
        <v>130</v>
      </c>
      <c r="C19" s="61" t="s">
        <v>219</v>
      </c>
      <c r="D19" s="60">
        <v>19000</v>
      </c>
      <c r="E19" s="60">
        <v>1000</v>
      </c>
      <c r="F19" t="s">
        <v>223</v>
      </c>
      <c r="I19" s="955" t="s">
        <v>396</v>
      </c>
      <c r="J19" s="762" t="s">
        <v>212</v>
      </c>
      <c r="K19" s="772" t="s">
        <v>309</v>
      </c>
    </row>
    <row r="20" spans="2:11" x14ac:dyDescent="0.25">
      <c r="B20" s="60" t="s">
        <v>129</v>
      </c>
      <c r="C20" s="61" t="s">
        <v>216</v>
      </c>
      <c r="D20" s="60">
        <v>19000</v>
      </c>
      <c r="E20" s="60">
        <v>1000</v>
      </c>
      <c r="F20" t="s">
        <v>223</v>
      </c>
      <c r="I20" s="951" t="s">
        <v>155</v>
      </c>
      <c r="J20" s="952" t="s">
        <v>139</v>
      </c>
      <c r="K20" s="953" t="s">
        <v>309</v>
      </c>
    </row>
    <row r="21" spans="2:11" x14ac:dyDescent="0.25">
      <c r="B21" s="60" t="s">
        <v>349</v>
      </c>
      <c r="C21" s="61" t="s">
        <v>216</v>
      </c>
      <c r="D21" s="60">
        <v>19000</v>
      </c>
      <c r="E21" s="60">
        <v>1000</v>
      </c>
      <c r="F21" t="s">
        <v>223</v>
      </c>
      <c r="I21" s="954" t="s">
        <v>154</v>
      </c>
      <c r="J21" s="47" t="s">
        <v>139</v>
      </c>
      <c r="K21" s="760" t="s">
        <v>309</v>
      </c>
    </row>
    <row r="22" spans="2:11" x14ac:dyDescent="0.25">
      <c r="B22" s="60" t="s">
        <v>348</v>
      </c>
      <c r="C22" s="61" t="s">
        <v>216</v>
      </c>
      <c r="D22" s="60">
        <v>19000</v>
      </c>
      <c r="E22" s="60">
        <v>1000</v>
      </c>
      <c r="F22" t="s">
        <v>223</v>
      </c>
      <c r="I22" s="955" t="s">
        <v>153</v>
      </c>
      <c r="J22" s="762" t="s">
        <v>139</v>
      </c>
      <c r="K22" s="772" t="s">
        <v>309</v>
      </c>
    </row>
    <row r="23" spans="2:11" x14ac:dyDescent="0.25">
      <c r="B23" s="60" t="s">
        <v>163</v>
      </c>
      <c r="C23" s="61" t="s">
        <v>216</v>
      </c>
      <c r="D23" s="60">
        <v>19000</v>
      </c>
      <c r="E23" s="60">
        <v>1000</v>
      </c>
      <c r="F23" t="s">
        <v>223</v>
      </c>
      <c r="I23" s="951" t="s">
        <v>175</v>
      </c>
      <c r="J23" s="952" t="s">
        <v>219</v>
      </c>
      <c r="K23" s="953" t="s">
        <v>309</v>
      </c>
    </row>
    <row r="24" spans="2:11" x14ac:dyDescent="0.25">
      <c r="B24" s="60" t="s">
        <v>312</v>
      </c>
      <c r="C24" s="61" t="s">
        <v>218</v>
      </c>
      <c r="D24" s="60">
        <v>19000</v>
      </c>
      <c r="E24" s="60">
        <v>1000</v>
      </c>
      <c r="F24" t="s">
        <v>223</v>
      </c>
      <c r="I24" s="955" t="s">
        <v>157</v>
      </c>
      <c r="J24" s="762" t="s">
        <v>213</v>
      </c>
      <c r="K24" s="772" t="s">
        <v>309</v>
      </c>
    </row>
    <row r="25" spans="2:11" x14ac:dyDescent="0.25">
      <c r="B25" s="60" t="s">
        <v>172</v>
      </c>
      <c r="C25" s="61" t="s">
        <v>218</v>
      </c>
      <c r="D25" s="60">
        <v>19000</v>
      </c>
      <c r="E25" s="60">
        <v>1000</v>
      </c>
      <c r="F25" t="s">
        <v>223</v>
      </c>
    </row>
    <row r="26" spans="2:11" x14ac:dyDescent="0.25">
      <c r="B26" s="60" t="s">
        <v>126</v>
      </c>
      <c r="C26" s="61" t="s">
        <v>218</v>
      </c>
      <c r="D26" s="60">
        <v>19000</v>
      </c>
      <c r="E26" s="60">
        <v>1000</v>
      </c>
      <c r="F26" t="s">
        <v>223</v>
      </c>
    </row>
  </sheetData>
  <sortState xmlns:xlrd2="http://schemas.microsoft.com/office/spreadsheetml/2017/richdata2" ref="B29:B47">
    <sortCondition ref="B29:B47"/>
  </sortSt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4">
    <tabColor rgb="FF92D050"/>
    <pageSetUpPr fitToPage="1"/>
  </sheetPr>
  <dimension ref="A1:J36"/>
  <sheetViews>
    <sheetView showGridLines="0" workbookViewId="0"/>
  </sheetViews>
  <sheetFormatPr baseColWidth="10" defaultColWidth="11.42578125" defaultRowHeight="15" x14ac:dyDescent="0.25"/>
  <cols>
    <col min="1" max="1" width="7.140625" style="205" customWidth="1"/>
    <col min="2" max="2" width="11" style="78" bestFit="1" customWidth="1"/>
    <col min="3" max="3" width="10.42578125" style="78" bestFit="1" customWidth="1"/>
    <col min="4" max="4" width="11.28515625" style="78" bestFit="1" customWidth="1"/>
    <col min="5" max="5" width="13.5703125" style="231" bestFit="1" customWidth="1"/>
    <col min="6" max="6" width="14.42578125" style="230" bestFit="1" customWidth="1"/>
    <col min="7" max="7" width="10.5703125" style="233" bestFit="1" customWidth="1"/>
    <col min="8" max="8" width="91.140625" style="48" customWidth="1"/>
    <col min="9" max="9" width="22.42578125" style="78" bestFit="1" customWidth="1"/>
    <col min="10" max="10" width="8.7109375" style="78" bestFit="1" customWidth="1"/>
    <col min="11" max="11" width="9.42578125" style="48" bestFit="1" customWidth="1"/>
    <col min="12" max="16384" width="11.42578125" style="48"/>
  </cols>
  <sheetData>
    <row r="1" spans="1:10" x14ac:dyDescent="0.25">
      <c r="A1" s="352" t="s">
        <v>411</v>
      </c>
      <c r="D1" s="350"/>
      <c r="E1" s="210">
        <f>SUBTOTAL(9,E3:E1395)</f>
        <v>0</v>
      </c>
      <c r="F1" s="227"/>
      <c r="G1" s="228"/>
    </row>
    <row r="2" spans="1:10" s="205" customFormat="1" x14ac:dyDescent="0.25">
      <c r="A2" s="200" t="s">
        <v>286</v>
      </c>
      <c r="B2" s="200" t="s">
        <v>284</v>
      </c>
      <c r="C2" s="200" t="s">
        <v>0</v>
      </c>
      <c r="D2" s="351" t="s">
        <v>135</v>
      </c>
      <c r="E2" s="207" t="s">
        <v>287</v>
      </c>
      <c r="F2" s="229" t="s">
        <v>285</v>
      </c>
      <c r="G2" s="229" t="s">
        <v>288</v>
      </c>
      <c r="H2" s="200" t="s">
        <v>6</v>
      </c>
      <c r="I2" s="200" t="s">
        <v>289</v>
      </c>
      <c r="J2" s="200" t="s">
        <v>290</v>
      </c>
    </row>
    <row r="3" spans="1:10" s="363" customFormat="1" x14ac:dyDescent="0.25">
      <c r="A3" s="370"/>
      <c r="B3" s="350"/>
      <c r="C3" s="358"/>
      <c r="D3" s="350"/>
      <c r="E3" s="231"/>
      <c r="F3" s="383"/>
      <c r="G3" s="374"/>
      <c r="I3" s="350"/>
      <c r="J3" s="350"/>
    </row>
    <row r="4" spans="1:10" s="363" customFormat="1" x14ac:dyDescent="0.25">
      <c r="A4" s="370"/>
      <c r="B4" s="350"/>
      <c r="C4" s="358"/>
      <c r="D4" s="350"/>
      <c r="E4" s="231"/>
      <c r="F4" s="383"/>
      <c r="G4" s="374"/>
      <c r="I4" s="350"/>
      <c r="J4" s="350"/>
    </row>
    <row r="5" spans="1:10" s="363" customFormat="1" x14ac:dyDescent="0.25">
      <c r="A5" s="370"/>
      <c r="B5" s="350"/>
      <c r="C5" s="358"/>
      <c r="D5" s="350"/>
      <c r="E5" s="231"/>
      <c r="F5" s="383"/>
      <c r="G5" s="374"/>
      <c r="I5" s="350"/>
      <c r="J5" s="350"/>
    </row>
    <row r="6" spans="1:10" s="363" customFormat="1" x14ac:dyDescent="0.25">
      <c r="A6" s="370"/>
      <c r="B6" s="350"/>
      <c r="C6" s="358"/>
      <c r="D6" s="350"/>
      <c r="E6" s="231"/>
      <c r="F6" s="383"/>
      <c r="G6" s="374"/>
      <c r="I6" s="350"/>
      <c r="J6" s="350"/>
    </row>
    <row r="7" spans="1:10" s="363" customFormat="1" x14ac:dyDescent="0.25">
      <c r="A7" s="370"/>
      <c r="B7" s="350"/>
      <c r="C7" s="358"/>
      <c r="D7" s="350"/>
      <c r="E7" s="231"/>
      <c r="F7" s="383"/>
      <c r="G7" s="374"/>
      <c r="I7" s="350"/>
      <c r="J7" s="350"/>
    </row>
    <row r="8" spans="1:10" s="363" customFormat="1" x14ac:dyDescent="0.25">
      <c r="A8" s="370"/>
      <c r="B8" s="350"/>
      <c r="C8" s="358"/>
      <c r="D8" s="350"/>
      <c r="E8" s="231"/>
      <c r="F8" s="383"/>
      <c r="G8" s="374"/>
      <c r="I8" s="350"/>
      <c r="J8" s="350"/>
    </row>
    <row r="9" spans="1:10" s="363" customFormat="1" x14ac:dyDescent="0.25">
      <c r="A9" s="370"/>
      <c r="B9" s="350"/>
      <c r="C9" s="358"/>
      <c r="D9" s="350"/>
      <c r="E9" s="231"/>
      <c r="F9" s="383"/>
      <c r="G9" s="374"/>
      <c r="I9" s="350"/>
      <c r="J9" s="350"/>
    </row>
    <row r="10" spans="1:10" s="363" customFormat="1" x14ac:dyDescent="0.25">
      <c r="A10" s="370"/>
      <c r="B10" s="350"/>
      <c r="C10" s="358"/>
      <c r="D10" s="350"/>
      <c r="E10" s="231"/>
      <c r="F10" s="383"/>
      <c r="G10" s="374"/>
      <c r="I10" s="350"/>
      <c r="J10" s="350"/>
    </row>
    <row r="11" spans="1:10" s="363" customFormat="1" x14ac:dyDescent="0.25">
      <c r="A11" s="370"/>
      <c r="B11" s="350"/>
      <c r="C11" s="358"/>
      <c r="D11" s="350"/>
      <c r="E11" s="231"/>
      <c r="F11" s="383"/>
      <c r="G11" s="374"/>
      <c r="I11" s="350"/>
      <c r="J11" s="350"/>
    </row>
    <row r="12" spans="1:10" s="363" customFormat="1" x14ac:dyDescent="0.25">
      <c r="A12" s="384"/>
      <c r="B12" s="385"/>
      <c r="C12" s="386"/>
      <c r="D12" s="385"/>
      <c r="E12" s="362"/>
      <c r="F12" s="386"/>
      <c r="G12" s="374"/>
      <c r="H12" s="250"/>
      <c r="I12" s="385"/>
      <c r="J12" s="350"/>
    </row>
    <row r="13" spans="1:10" s="363" customFormat="1" x14ac:dyDescent="0.25">
      <c r="A13" s="370"/>
      <c r="B13" s="350"/>
      <c r="C13" s="358"/>
      <c r="D13" s="350"/>
      <c r="E13" s="231"/>
      <c r="F13" s="383"/>
      <c r="G13" s="374"/>
      <c r="I13" s="350"/>
      <c r="J13" s="350"/>
    </row>
    <row r="14" spans="1:10" s="363" customFormat="1" x14ac:dyDescent="0.25">
      <c r="A14" s="370"/>
      <c r="B14" s="350"/>
      <c r="C14" s="358"/>
      <c r="D14" s="350"/>
      <c r="E14" s="231"/>
      <c r="F14" s="383"/>
      <c r="G14" s="374"/>
      <c r="I14" s="350"/>
      <c r="J14" s="350"/>
    </row>
    <row r="15" spans="1:10" s="363" customFormat="1" x14ac:dyDescent="0.25">
      <c r="A15" s="370"/>
      <c r="B15" s="350"/>
      <c r="C15" s="358"/>
      <c r="D15" s="350"/>
      <c r="E15" s="231"/>
      <c r="F15" s="383"/>
      <c r="G15" s="374"/>
      <c r="I15" s="350"/>
      <c r="J15" s="350"/>
    </row>
    <row r="16" spans="1:10" s="363" customFormat="1" x14ac:dyDescent="0.25">
      <c r="A16" s="370"/>
      <c r="B16" s="350"/>
      <c r="C16" s="358"/>
      <c r="D16" s="350"/>
      <c r="E16" s="231"/>
      <c r="F16" s="383"/>
      <c r="G16" s="374"/>
      <c r="I16" s="350"/>
      <c r="J16" s="350"/>
    </row>
    <row r="17" spans="1:10" s="363" customFormat="1" x14ac:dyDescent="0.25">
      <c r="A17" s="370"/>
      <c r="B17" s="350"/>
      <c r="C17" s="358"/>
      <c r="D17" s="350"/>
      <c r="E17" s="231"/>
      <c r="F17" s="383"/>
      <c r="G17" s="374"/>
      <c r="I17" s="350"/>
      <c r="J17" s="350"/>
    </row>
    <row r="18" spans="1:10" s="363" customFormat="1" x14ac:dyDescent="0.25">
      <c r="A18" s="370"/>
      <c r="B18" s="350"/>
      <c r="C18" s="358"/>
      <c r="D18" s="350"/>
      <c r="E18" s="231"/>
      <c r="F18" s="383"/>
      <c r="I18" s="350"/>
      <c r="J18" s="350"/>
    </row>
    <row r="19" spans="1:10" s="363" customFormat="1" x14ac:dyDescent="0.25">
      <c r="A19" s="370"/>
      <c r="B19" s="350"/>
      <c r="C19" s="358"/>
      <c r="D19" s="350"/>
      <c r="E19" s="231"/>
      <c r="F19" s="383"/>
      <c r="G19" s="374"/>
      <c r="I19" s="350"/>
      <c r="J19" s="350"/>
    </row>
    <row r="20" spans="1:10" s="363" customFormat="1" x14ac:dyDescent="0.25">
      <c r="A20" s="370"/>
      <c r="B20" s="350"/>
      <c r="C20" s="358"/>
      <c r="D20" s="350"/>
      <c r="E20" s="231"/>
      <c r="F20" s="383"/>
      <c r="G20" s="374"/>
      <c r="I20" s="350"/>
      <c r="J20" s="350"/>
    </row>
    <row r="21" spans="1:10" s="363" customFormat="1" x14ac:dyDescent="0.25">
      <c r="A21" s="370"/>
      <c r="B21" s="350"/>
      <c r="C21" s="358"/>
      <c r="D21" s="350"/>
      <c r="E21" s="231"/>
      <c r="F21" s="383"/>
      <c r="G21" s="374"/>
      <c r="I21" s="350"/>
      <c r="J21" s="350"/>
    </row>
    <row r="22" spans="1:10" s="363" customFormat="1" x14ac:dyDescent="0.25">
      <c r="A22" s="370"/>
      <c r="B22" s="350"/>
      <c r="C22" s="358"/>
      <c r="D22" s="350"/>
      <c r="E22" s="231"/>
      <c r="F22" s="383"/>
      <c r="G22" s="374"/>
      <c r="I22" s="350"/>
      <c r="J22" s="350"/>
    </row>
    <row r="23" spans="1:10" s="363" customFormat="1" x14ac:dyDescent="0.25">
      <c r="A23" s="370"/>
      <c r="B23" s="350"/>
      <c r="C23" s="358"/>
      <c r="D23" s="350"/>
      <c r="E23" s="231"/>
      <c r="F23" s="383"/>
      <c r="G23" s="374"/>
      <c r="I23" s="350"/>
      <c r="J23" s="350"/>
    </row>
    <row r="24" spans="1:10" s="363" customFormat="1" x14ac:dyDescent="0.25">
      <c r="A24" s="370"/>
      <c r="B24" s="350"/>
      <c r="C24" s="358"/>
      <c r="D24" s="350"/>
      <c r="E24" s="231"/>
      <c r="F24" s="383"/>
      <c r="G24" s="374"/>
      <c r="I24" s="350"/>
      <c r="J24" s="350"/>
    </row>
    <row r="25" spans="1:10" s="363" customFormat="1" x14ac:dyDescent="0.25">
      <c r="A25" s="370"/>
      <c r="B25" s="350"/>
      <c r="C25" s="358"/>
      <c r="D25" s="350"/>
      <c r="E25" s="231"/>
      <c r="F25" s="383"/>
      <c r="G25" s="374"/>
      <c r="I25" s="350"/>
      <c r="J25" s="350"/>
    </row>
    <row r="26" spans="1:10" s="363" customFormat="1" x14ac:dyDescent="0.25">
      <c r="A26" s="370"/>
      <c r="B26" s="350"/>
      <c r="C26" s="358"/>
      <c r="D26" s="350"/>
      <c r="E26" s="231"/>
      <c r="F26" s="383"/>
      <c r="G26" s="374"/>
      <c r="I26" s="350"/>
      <c r="J26" s="350"/>
    </row>
    <row r="27" spans="1:10" s="363" customFormat="1" x14ac:dyDescent="0.25">
      <c r="A27" s="370"/>
      <c r="B27" s="350"/>
      <c r="C27" s="358"/>
      <c r="D27" s="350"/>
      <c r="E27" s="231"/>
      <c r="F27" s="383"/>
      <c r="G27" s="374"/>
      <c r="I27" s="350"/>
      <c r="J27" s="350"/>
    </row>
    <row r="28" spans="1:10" s="363" customFormat="1" x14ac:dyDescent="0.25">
      <c r="A28" s="370"/>
      <c r="B28" s="350"/>
      <c r="C28" s="358"/>
      <c r="D28" s="350"/>
      <c r="E28" s="231"/>
      <c r="F28" s="383"/>
      <c r="G28" s="374"/>
      <c r="I28" s="350"/>
      <c r="J28" s="350"/>
    </row>
    <row r="29" spans="1:10" s="363" customFormat="1" x14ac:dyDescent="0.25">
      <c r="A29" s="370"/>
      <c r="B29" s="350"/>
      <c r="C29" s="358"/>
      <c r="D29" s="350"/>
      <c r="E29" s="231"/>
      <c r="F29" s="383"/>
      <c r="G29" s="374"/>
      <c r="I29" s="350"/>
      <c r="J29" s="350"/>
    </row>
    <row r="30" spans="1:10" s="363" customFormat="1" x14ac:dyDescent="0.25">
      <c r="A30" s="370"/>
      <c r="B30" s="350"/>
      <c r="C30" s="358"/>
      <c r="D30" s="350"/>
      <c r="E30" s="231"/>
      <c r="F30" s="383"/>
      <c r="G30" s="374"/>
      <c r="I30" s="350"/>
      <c r="J30" s="350"/>
    </row>
    <row r="31" spans="1:10" s="363" customFormat="1" x14ac:dyDescent="0.25">
      <c r="A31" s="370"/>
      <c r="B31" s="350"/>
      <c r="C31" s="383"/>
      <c r="D31" s="350"/>
      <c r="E31" s="231"/>
      <c r="F31" s="383"/>
      <c r="G31" s="374"/>
      <c r="I31" s="350"/>
      <c r="J31" s="350"/>
    </row>
    <row r="32" spans="1:10" s="363" customFormat="1" x14ac:dyDescent="0.25">
      <c r="A32" s="370"/>
      <c r="B32" s="350"/>
      <c r="C32" s="358"/>
      <c r="D32" s="350"/>
      <c r="E32" s="231"/>
      <c r="F32" s="383"/>
      <c r="G32" s="374"/>
      <c r="I32" s="350"/>
      <c r="J32" s="350"/>
    </row>
    <row r="33" spans="1:10" s="363" customFormat="1" x14ac:dyDescent="0.25">
      <c r="A33" s="370"/>
      <c r="B33" s="350"/>
      <c r="C33" s="358"/>
      <c r="D33" s="350"/>
      <c r="E33" s="231"/>
      <c r="F33" s="383"/>
      <c r="G33" s="374"/>
      <c r="I33" s="350"/>
      <c r="J33" s="350"/>
    </row>
    <row r="34" spans="1:10" s="363" customFormat="1" x14ac:dyDescent="0.25">
      <c r="A34" s="370"/>
      <c r="B34" s="350"/>
      <c r="C34" s="350"/>
      <c r="D34" s="350"/>
      <c r="E34" s="231"/>
      <c r="F34" s="383"/>
      <c r="G34" s="374"/>
      <c r="I34" s="350"/>
      <c r="J34" s="350"/>
    </row>
    <row r="35" spans="1:10" s="363" customFormat="1" x14ac:dyDescent="0.25">
      <c r="A35" s="370"/>
      <c r="B35" s="350"/>
      <c r="C35" s="350"/>
      <c r="D35" s="350"/>
      <c r="E35" s="231"/>
      <c r="F35" s="383"/>
      <c r="G35" s="374"/>
      <c r="I35" s="350"/>
      <c r="J35" s="350"/>
    </row>
    <row r="36" spans="1:10" s="363" customFormat="1" x14ac:dyDescent="0.25">
      <c r="A36" s="370"/>
      <c r="B36" s="350"/>
      <c r="C36" s="350"/>
      <c r="D36" s="350"/>
      <c r="E36" s="231"/>
      <c r="F36" s="383"/>
      <c r="G36" s="374"/>
      <c r="I36" s="350"/>
      <c r="J36" s="350"/>
    </row>
  </sheetData>
  <autoFilter ref="A2:K2" xr:uid="{00000000-0009-0000-0000-000012000000}"/>
  <sortState xmlns:xlrd2="http://schemas.microsoft.com/office/spreadsheetml/2017/richdata2" ref="A22:I30">
    <sortCondition ref="B22:B30"/>
  </sortState>
  <phoneticPr fontId="22" type="noConversion"/>
  <pageMargins left="0.23622047244094491" right="0.23622047244094491" top="0.74803149606299213" bottom="0.74803149606299213" header="0.31496062992125984" footer="0.31496062992125984"/>
  <pageSetup paperSize="9" scale="75" orientation="landscape"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rgb="FF92D050"/>
  </sheetPr>
  <dimension ref="A1:Q38"/>
  <sheetViews>
    <sheetView showGridLines="0" zoomScale="80" zoomScaleNormal="80" workbookViewId="0"/>
  </sheetViews>
  <sheetFormatPr baseColWidth="10" defaultRowHeight="15" x14ac:dyDescent="0.25"/>
  <cols>
    <col min="1" max="1" width="10.140625" style="48" bestFit="1" customWidth="1"/>
    <col min="2" max="2" width="24.42578125" style="48" bestFit="1" customWidth="1"/>
    <col min="3" max="3" width="3.5703125" style="48" customWidth="1"/>
    <col min="4" max="4" width="12.42578125" style="48" bestFit="1" customWidth="1"/>
    <col min="5" max="5" width="20.28515625" style="48" bestFit="1" customWidth="1"/>
    <col min="6" max="6" width="5.140625" style="48" customWidth="1"/>
    <col min="7" max="7" width="10.140625" style="48" bestFit="1" customWidth="1"/>
    <col min="8" max="8" width="24.42578125" style="48" bestFit="1" customWidth="1"/>
    <col min="9" max="9" width="3.5703125" style="48" customWidth="1"/>
    <col min="10" max="10" width="12.42578125" style="48" bestFit="1" customWidth="1"/>
    <col min="11" max="11" width="20.28515625" style="48" bestFit="1" customWidth="1"/>
    <col min="12" max="12" width="5.140625" style="48" customWidth="1"/>
    <col min="13" max="13" width="10.140625" style="48" bestFit="1" customWidth="1"/>
    <col min="14" max="14" width="24.42578125" style="48" bestFit="1" customWidth="1"/>
    <col min="15" max="15" width="3.5703125" style="48" customWidth="1"/>
    <col min="16" max="16" width="12.42578125" style="48" bestFit="1" customWidth="1"/>
    <col min="17" max="17" width="20.28515625" style="48" bestFit="1" customWidth="1"/>
    <col min="18" max="16384" width="11.42578125" style="48"/>
  </cols>
  <sheetData>
    <row r="1" spans="1:17" ht="18.75" x14ac:dyDescent="0.3">
      <c r="A1" s="212"/>
      <c r="B1" s="1143" t="s">
        <v>274</v>
      </c>
      <c r="C1" s="1144"/>
      <c r="D1" s="1144"/>
      <c r="E1" s="1145"/>
      <c r="G1" s="212"/>
      <c r="H1" s="1143" t="s">
        <v>274</v>
      </c>
      <c r="I1" s="1144"/>
      <c r="J1" s="1144"/>
      <c r="K1" s="1145"/>
      <c r="M1" s="212"/>
      <c r="N1" s="1143" t="s">
        <v>274</v>
      </c>
      <c r="O1" s="1144"/>
      <c r="P1" s="1144"/>
      <c r="Q1" s="1145"/>
    </row>
    <row r="2" spans="1:17" ht="15.75" customHeight="1" x14ac:dyDescent="0.25">
      <c r="A2" s="213"/>
      <c r="B2" s="214"/>
      <c r="C2" s="214"/>
      <c r="D2" s="214"/>
      <c r="E2" s="215"/>
      <c r="G2" s="213"/>
      <c r="H2" s="214"/>
      <c r="I2" s="214"/>
      <c r="J2" s="214"/>
      <c r="K2" s="215"/>
      <c r="M2" s="213"/>
      <c r="N2" s="214"/>
      <c r="O2" s="214"/>
      <c r="P2" s="214"/>
      <c r="Q2" s="215"/>
    </row>
    <row r="3" spans="1:17" ht="15.75" customHeight="1" x14ac:dyDescent="0.25">
      <c r="A3" s="216" t="s">
        <v>275</v>
      </c>
      <c r="B3" s="217"/>
      <c r="C3" s="217"/>
      <c r="D3" s="217" t="s">
        <v>276</v>
      </c>
      <c r="E3" s="218"/>
      <c r="G3" s="216" t="s">
        <v>275</v>
      </c>
      <c r="H3" s="217"/>
      <c r="I3" s="217"/>
      <c r="J3" s="217" t="s">
        <v>276</v>
      </c>
      <c r="K3" s="218"/>
      <c r="M3" s="216" t="s">
        <v>275</v>
      </c>
      <c r="N3" s="217"/>
      <c r="O3" s="217"/>
      <c r="P3" s="217" t="s">
        <v>276</v>
      </c>
      <c r="Q3" s="218"/>
    </row>
    <row r="4" spans="1:17" ht="15.75" x14ac:dyDescent="0.25">
      <c r="A4" s="216"/>
      <c r="B4" s="217"/>
      <c r="C4" s="217"/>
      <c r="D4" s="217"/>
      <c r="E4" s="218"/>
      <c r="G4" s="216"/>
      <c r="H4" s="217"/>
      <c r="I4" s="217"/>
      <c r="J4" s="217"/>
      <c r="K4" s="218"/>
      <c r="M4" s="216"/>
      <c r="N4" s="217"/>
      <c r="O4" s="217"/>
      <c r="P4" s="217"/>
      <c r="Q4" s="218"/>
    </row>
    <row r="5" spans="1:17" ht="15.75" x14ac:dyDescent="0.25">
      <c r="A5" s="216" t="s">
        <v>177</v>
      </c>
      <c r="B5" s="219"/>
      <c r="C5" s="217"/>
      <c r="D5" s="217"/>
      <c r="E5" s="218"/>
      <c r="G5" s="216" t="s">
        <v>177</v>
      </c>
      <c r="H5" s="219"/>
      <c r="I5" s="217"/>
      <c r="J5" s="217"/>
      <c r="K5" s="218"/>
      <c r="M5" s="216" t="s">
        <v>177</v>
      </c>
      <c r="N5" s="219"/>
      <c r="O5" s="217"/>
      <c r="P5" s="217"/>
      <c r="Q5" s="218"/>
    </row>
    <row r="6" spans="1:17" ht="15.75" x14ac:dyDescent="0.25">
      <c r="A6" s="216" t="s">
        <v>277</v>
      </c>
      <c r="B6" s="220"/>
      <c r="C6" s="217"/>
      <c r="D6" s="217"/>
      <c r="E6" s="218"/>
      <c r="G6" s="216" t="s">
        <v>277</v>
      </c>
      <c r="H6" s="220"/>
      <c r="I6" s="217"/>
      <c r="J6" s="217"/>
      <c r="K6" s="218"/>
      <c r="M6" s="216" t="s">
        <v>277</v>
      </c>
      <c r="N6" s="220"/>
      <c r="O6" s="217"/>
      <c r="P6" s="217"/>
      <c r="Q6" s="218"/>
    </row>
    <row r="7" spans="1:17" ht="15.75" x14ac:dyDescent="0.25">
      <c r="A7" s="216" t="s">
        <v>278</v>
      </c>
      <c r="B7" s="220"/>
      <c r="C7" s="217"/>
      <c r="D7" s="217"/>
      <c r="E7" s="218"/>
      <c r="G7" s="216" t="s">
        <v>278</v>
      </c>
      <c r="H7" s="220"/>
      <c r="I7" s="217"/>
      <c r="J7" s="217"/>
      <c r="K7" s="218"/>
      <c r="M7" s="216" t="s">
        <v>278</v>
      </c>
      <c r="N7" s="220"/>
      <c r="O7" s="217"/>
      <c r="P7" s="217"/>
      <c r="Q7" s="218"/>
    </row>
    <row r="8" spans="1:17" ht="15.75" x14ac:dyDescent="0.25">
      <c r="A8" s="221" t="s">
        <v>279</v>
      </c>
      <c r="B8" s="222">
        <f>+B6+B7</f>
        <v>0</v>
      </c>
      <c r="C8" s="217"/>
      <c r="D8" s="217"/>
      <c r="E8" s="218"/>
      <c r="G8" s="221" t="s">
        <v>279</v>
      </c>
      <c r="H8" s="222">
        <f>+H6+H7</f>
        <v>0</v>
      </c>
      <c r="I8" s="217"/>
      <c r="J8" s="217"/>
      <c r="K8" s="218"/>
      <c r="M8" s="221" t="s">
        <v>279</v>
      </c>
      <c r="N8" s="222">
        <f>+N6+N7</f>
        <v>0</v>
      </c>
      <c r="O8" s="217"/>
      <c r="P8" s="217"/>
      <c r="Q8" s="218"/>
    </row>
    <row r="9" spans="1:17" ht="15.75" x14ac:dyDescent="0.25">
      <c r="A9" s="216"/>
      <c r="B9" s="217"/>
      <c r="C9" s="217"/>
      <c r="D9" s="217"/>
      <c r="E9" s="218"/>
      <c r="G9" s="216"/>
      <c r="H9" s="217"/>
      <c r="I9" s="217"/>
      <c r="J9" s="217"/>
      <c r="K9" s="218"/>
      <c r="M9" s="216"/>
      <c r="N9" s="217"/>
      <c r="O9" s="217"/>
      <c r="P9" s="217"/>
      <c r="Q9" s="218"/>
    </row>
    <row r="10" spans="1:17" ht="15.75" x14ac:dyDescent="0.25">
      <c r="A10" s="216" t="s">
        <v>280</v>
      </c>
      <c r="B10" s="223"/>
      <c r="C10" s="217"/>
      <c r="D10" s="217"/>
      <c r="E10" s="218"/>
      <c r="G10" s="216" t="s">
        <v>280</v>
      </c>
      <c r="H10" s="223"/>
      <c r="I10" s="217"/>
      <c r="J10" s="217"/>
      <c r="K10" s="218"/>
      <c r="M10" s="216" t="s">
        <v>280</v>
      </c>
      <c r="N10" s="223"/>
      <c r="O10" s="217"/>
      <c r="P10" s="217"/>
      <c r="Q10" s="218"/>
    </row>
    <row r="11" spans="1:17" ht="15.75" x14ac:dyDescent="0.25">
      <c r="A11" s="216" t="s">
        <v>281</v>
      </c>
      <c r="B11" s="223"/>
      <c r="C11" s="217"/>
      <c r="D11" s="217"/>
      <c r="E11" s="218"/>
      <c r="G11" s="216" t="s">
        <v>281</v>
      </c>
      <c r="H11" s="223"/>
      <c r="I11" s="217"/>
      <c r="J11" s="217"/>
      <c r="K11" s="218"/>
      <c r="M11" s="216" t="s">
        <v>281</v>
      </c>
      <c r="N11" s="223"/>
      <c r="O11" s="217"/>
      <c r="P11" s="217"/>
      <c r="Q11" s="218"/>
    </row>
    <row r="12" spans="1:17" ht="15.75" x14ac:dyDescent="0.25">
      <c r="A12" s="224"/>
      <c r="B12" s="225"/>
      <c r="C12" s="225"/>
      <c r="D12" s="225"/>
      <c r="E12" s="226"/>
      <c r="G12" s="224"/>
      <c r="H12" s="225"/>
      <c r="I12" s="225"/>
      <c r="J12" s="225"/>
      <c r="K12" s="226"/>
      <c r="M12" s="224"/>
      <c r="N12" s="225"/>
      <c r="O12" s="225"/>
      <c r="P12" s="225"/>
      <c r="Q12" s="226"/>
    </row>
    <row r="14" spans="1:17" ht="18.75" x14ac:dyDescent="0.3">
      <c r="A14" s="212"/>
      <c r="B14" s="1143" t="s">
        <v>274</v>
      </c>
      <c r="C14" s="1144"/>
      <c r="D14" s="1144"/>
      <c r="E14" s="1145"/>
      <c r="G14" s="212"/>
      <c r="H14" s="1143" t="s">
        <v>274</v>
      </c>
      <c r="I14" s="1144"/>
      <c r="J14" s="1144"/>
      <c r="K14" s="1145"/>
      <c r="M14" s="212"/>
      <c r="N14" s="1143" t="s">
        <v>274</v>
      </c>
      <c r="O14" s="1144"/>
      <c r="P14" s="1144"/>
      <c r="Q14" s="1145"/>
    </row>
    <row r="15" spans="1:17" ht="15.75" x14ac:dyDescent="0.25">
      <c r="A15" s="213"/>
      <c r="B15" s="214"/>
      <c r="C15" s="214"/>
      <c r="D15" s="214"/>
      <c r="E15" s="215"/>
      <c r="G15" s="213"/>
      <c r="H15" s="214"/>
      <c r="I15" s="214"/>
      <c r="J15" s="214"/>
      <c r="K15" s="215"/>
      <c r="M15" s="213"/>
      <c r="N15" s="214"/>
      <c r="O15" s="214"/>
      <c r="P15" s="214"/>
      <c r="Q15" s="215"/>
    </row>
    <row r="16" spans="1:17" ht="15.75" x14ac:dyDescent="0.25">
      <c r="A16" s="216" t="s">
        <v>275</v>
      </c>
      <c r="B16" s="217"/>
      <c r="C16" s="217"/>
      <c r="D16" s="217" t="s">
        <v>276</v>
      </c>
      <c r="E16" s="218"/>
      <c r="G16" s="216" t="s">
        <v>275</v>
      </c>
      <c r="H16" s="217"/>
      <c r="I16" s="217"/>
      <c r="J16" s="217" t="s">
        <v>276</v>
      </c>
      <c r="K16" s="218"/>
      <c r="M16" s="216" t="s">
        <v>275</v>
      </c>
      <c r="N16" s="217"/>
      <c r="O16" s="217"/>
      <c r="P16" s="217" t="s">
        <v>276</v>
      </c>
      <c r="Q16" s="218"/>
    </row>
    <row r="17" spans="1:17" ht="15.75" x14ac:dyDescent="0.25">
      <c r="A17" s="216"/>
      <c r="B17" s="217"/>
      <c r="C17" s="217"/>
      <c r="D17" s="217"/>
      <c r="E17" s="218"/>
      <c r="G17" s="216"/>
      <c r="H17" s="217"/>
      <c r="I17" s="217"/>
      <c r="J17" s="217"/>
      <c r="K17" s="218"/>
      <c r="M17" s="216"/>
      <c r="N17" s="217"/>
      <c r="O17" s="217"/>
      <c r="P17" s="217"/>
      <c r="Q17" s="218"/>
    </row>
    <row r="18" spans="1:17" ht="15.75" x14ac:dyDescent="0.25">
      <c r="A18" s="216" t="s">
        <v>177</v>
      </c>
      <c r="B18" s="219"/>
      <c r="C18" s="217"/>
      <c r="D18" s="217"/>
      <c r="E18" s="218"/>
      <c r="G18" s="216" t="s">
        <v>177</v>
      </c>
      <c r="H18" s="219"/>
      <c r="I18" s="217"/>
      <c r="J18" s="217"/>
      <c r="K18" s="218"/>
      <c r="M18" s="216" t="s">
        <v>177</v>
      </c>
      <c r="N18" s="219"/>
      <c r="O18" s="217"/>
      <c r="P18" s="217"/>
      <c r="Q18" s="218"/>
    </row>
    <row r="19" spans="1:17" ht="15.75" x14ac:dyDescent="0.25">
      <c r="A19" s="216" t="s">
        <v>277</v>
      </c>
      <c r="B19" s="220"/>
      <c r="C19" s="217"/>
      <c r="D19" s="217"/>
      <c r="E19" s="218"/>
      <c r="G19" s="216" t="s">
        <v>277</v>
      </c>
      <c r="H19" s="220"/>
      <c r="I19" s="217"/>
      <c r="J19" s="217"/>
      <c r="K19" s="218"/>
      <c r="M19" s="216" t="s">
        <v>277</v>
      </c>
      <c r="N19" s="220"/>
      <c r="O19" s="217"/>
      <c r="P19" s="217"/>
      <c r="Q19" s="218"/>
    </row>
    <row r="20" spans="1:17" ht="15.75" x14ac:dyDescent="0.25">
      <c r="A20" s="216" t="s">
        <v>278</v>
      </c>
      <c r="B20" s="220"/>
      <c r="C20" s="217"/>
      <c r="D20" s="217"/>
      <c r="E20" s="218"/>
      <c r="G20" s="216" t="s">
        <v>278</v>
      </c>
      <c r="H20" s="220"/>
      <c r="I20" s="217"/>
      <c r="J20" s="217"/>
      <c r="K20" s="218"/>
      <c r="M20" s="216" t="s">
        <v>278</v>
      </c>
      <c r="N20" s="220"/>
      <c r="O20" s="217"/>
      <c r="P20" s="217"/>
      <c r="Q20" s="218"/>
    </row>
    <row r="21" spans="1:17" ht="15.75" x14ac:dyDescent="0.25">
      <c r="A21" s="221" t="s">
        <v>279</v>
      </c>
      <c r="B21" s="222">
        <f>+B19+B20</f>
        <v>0</v>
      </c>
      <c r="C21" s="217"/>
      <c r="D21" s="217"/>
      <c r="E21" s="218"/>
      <c r="G21" s="221" t="s">
        <v>279</v>
      </c>
      <c r="H21" s="222">
        <f>+H19+H20</f>
        <v>0</v>
      </c>
      <c r="I21" s="217"/>
      <c r="J21" s="217"/>
      <c r="K21" s="218"/>
      <c r="M21" s="221" t="s">
        <v>279</v>
      </c>
      <c r="N21" s="222">
        <f>+N19+N20</f>
        <v>0</v>
      </c>
      <c r="O21" s="217"/>
      <c r="P21" s="217"/>
      <c r="Q21" s="218"/>
    </row>
    <row r="22" spans="1:17" ht="15.75" x14ac:dyDescent="0.25">
      <c r="A22" s="216"/>
      <c r="B22" s="217"/>
      <c r="C22" s="217"/>
      <c r="D22" s="217"/>
      <c r="E22" s="218"/>
      <c r="G22" s="216"/>
      <c r="H22" s="217"/>
      <c r="I22" s="217"/>
      <c r="J22" s="217"/>
      <c r="K22" s="218"/>
      <c r="M22" s="216"/>
      <c r="N22" s="217"/>
      <c r="O22" s="217"/>
      <c r="P22" s="217"/>
      <c r="Q22" s="218"/>
    </row>
    <row r="23" spans="1:17" ht="15.75" x14ac:dyDescent="0.25">
      <c r="A23" s="216" t="s">
        <v>280</v>
      </c>
      <c r="B23" s="223"/>
      <c r="C23" s="217"/>
      <c r="D23" s="217"/>
      <c r="E23" s="218"/>
      <c r="G23" s="216" t="s">
        <v>280</v>
      </c>
      <c r="H23" s="223"/>
      <c r="I23" s="217"/>
      <c r="J23" s="217"/>
      <c r="K23" s="218"/>
      <c r="M23" s="216" t="s">
        <v>280</v>
      </c>
      <c r="N23" s="223"/>
      <c r="O23" s="217"/>
      <c r="P23" s="217"/>
      <c r="Q23" s="218"/>
    </row>
    <row r="24" spans="1:17" ht="15.75" x14ac:dyDescent="0.25">
      <c r="A24" s="216" t="s">
        <v>281</v>
      </c>
      <c r="B24" s="223"/>
      <c r="C24" s="217"/>
      <c r="D24" s="217"/>
      <c r="E24" s="218"/>
      <c r="G24" s="216" t="s">
        <v>281</v>
      </c>
      <c r="H24" s="223"/>
      <c r="I24" s="217"/>
      <c r="J24" s="217"/>
      <c r="K24" s="218"/>
      <c r="M24" s="216" t="s">
        <v>281</v>
      </c>
      <c r="N24" s="223"/>
      <c r="O24" s="217"/>
      <c r="P24" s="217"/>
      <c r="Q24" s="218"/>
    </row>
    <row r="25" spans="1:17" ht="15.75" x14ac:dyDescent="0.25">
      <c r="A25" s="224"/>
      <c r="B25" s="225"/>
      <c r="C25" s="225"/>
      <c r="D25" s="225"/>
      <c r="E25" s="226"/>
      <c r="G25" s="224"/>
      <c r="H25" s="225"/>
      <c r="I25" s="225"/>
      <c r="J25" s="225"/>
      <c r="K25" s="226"/>
      <c r="M25" s="224"/>
      <c r="N25" s="225"/>
      <c r="O25" s="225"/>
      <c r="P25" s="225"/>
      <c r="Q25" s="226"/>
    </row>
    <row r="27" spans="1:17" ht="18.75" x14ac:dyDescent="0.3">
      <c r="A27" s="212"/>
      <c r="B27" s="1143" t="s">
        <v>274</v>
      </c>
      <c r="C27" s="1144"/>
      <c r="D27" s="1144"/>
      <c r="E27" s="1145"/>
      <c r="G27" s="212"/>
      <c r="H27" s="1143" t="s">
        <v>274</v>
      </c>
      <c r="I27" s="1144"/>
      <c r="J27" s="1144"/>
      <c r="K27" s="1145"/>
      <c r="M27" s="212"/>
      <c r="N27" s="1143" t="s">
        <v>274</v>
      </c>
      <c r="O27" s="1144"/>
      <c r="P27" s="1144"/>
      <c r="Q27" s="1145"/>
    </row>
    <row r="28" spans="1:17" ht="15.75" x14ac:dyDescent="0.25">
      <c r="A28" s="213"/>
      <c r="B28" s="214"/>
      <c r="C28" s="214"/>
      <c r="D28" s="214"/>
      <c r="E28" s="215"/>
      <c r="G28" s="213"/>
      <c r="H28" s="214"/>
      <c r="I28" s="214"/>
      <c r="J28" s="214"/>
      <c r="K28" s="215"/>
      <c r="M28" s="213"/>
      <c r="N28" s="214"/>
      <c r="O28" s="214"/>
      <c r="P28" s="214"/>
      <c r="Q28" s="215"/>
    </row>
    <row r="29" spans="1:17" ht="15.75" x14ac:dyDescent="0.25">
      <c r="A29" s="216" t="s">
        <v>275</v>
      </c>
      <c r="B29" s="217"/>
      <c r="C29" s="217"/>
      <c r="D29" s="217" t="s">
        <v>276</v>
      </c>
      <c r="E29" s="218"/>
      <c r="G29" s="216" t="s">
        <v>275</v>
      </c>
      <c r="H29" s="217"/>
      <c r="I29" s="217"/>
      <c r="J29" s="217" t="s">
        <v>276</v>
      </c>
      <c r="K29" s="218"/>
      <c r="M29" s="216" t="s">
        <v>275</v>
      </c>
      <c r="N29" s="217"/>
      <c r="O29" s="217"/>
      <c r="P29" s="217" t="s">
        <v>276</v>
      </c>
      <c r="Q29" s="218"/>
    </row>
    <row r="30" spans="1:17" ht="15.75" x14ac:dyDescent="0.25">
      <c r="A30" s="216"/>
      <c r="B30" s="217"/>
      <c r="C30" s="217"/>
      <c r="D30" s="217"/>
      <c r="E30" s="218"/>
      <c r="G30" s="216"/>
      <c r="H30" s="217"/>
      <c r="I30" s="217"/>
      <c r="J30" s="217"/>
      <c r="K30" s="218"/>
      <c r="M30" s="216"/>
      <c r="N30" s="217"/>
      <c r="O30" s="217"/>
      <c r="P30" s="217"/>
      <c r="Q30" s="218"/>
    </row>
    <row r="31" spans="1:17" ht="15.75" x14ac:dyDescent="0.25">
      <c r="A31" s="216" t="s">
        <v>177</v>
      </c>
      <c r="B31" s="219"/>
      <c r="C31" s="217"/>
      <c r="D31" s="217"/>
      <c r="E31" s="218"/>
      <c r="G31" s="216" t="s">
        <v>177</v>
      </c>
      <c r="H31" s="219"/>
      <c r="I31" s="217"/>
      <c r="J31" s="217"/>
      <c r="K31" s="218"/>
      <c r="M31" s="216" t="s">
        <v>177</v>
      </c>
      <c r="N31" s="219"/>
      <c r="O31" s="217"/>
      <c r="P31" s="217"/>
      <c r="Q31" s="218"/>
    </row>
    <row r="32" spans="1:17" ht="15.75" x14ac:dyDescent="0.25">
      <c r="A32" s="216" t="s">
        <v>277</v>
      </c>
      <c r="B32" s="220"/>
      <c r="C32" s="217"/>
      <c r="D32" s="217"/>
      <c r="E32" s="218"/>
      <c r="G32" s="216" t="s">
        <v>277</v>
      </c>
      <c r="H32" s="220"/>
      <c r="I32" s="217"/>
      <c r="J32" s="217"/>
      <c r="K32" s="218"/>
      <c r="M32" s="216" t="s">
        <v>277</v>
      </c>
      <c r="N32" s="220"/>
      <c r="O32" s="217"/>
      <c r="P32" s="217"/>
      <c r="Q32" s="218"/>
    </row>
    <row r="33" spans="1:17" ht="15.75" x14ac:dyDescent="0.25">
      <c r="A33" s="216" t="s">
        <v>278</v>
      </c>
      <c r="B33" s="220"/>
      <c r="C33" s="217"/>
      <c r="D33" s="217"/>
      <c r="E33" s="218"/>
      <c r="G33" s="216" t="s">
        <v>278</v>
      </c>
      <c r="H33" s="220"/>
      <c r="I33" s="217"/>
      <c r="J33" s="217"/>
      <c r="K33" s="218"/>
      <c r="M33" s="216" t="s">
        <v>278</v>
      </c>
      <c r="N33" s="220"/>
      <c r="O33" s="217"/>
      <c r="P33" s="217"/>
      <c r="Q33" s="218"/>
    </row>
    <row r="34" spans="1:17" ht="15.75" x14ac:dyDescent="0.25">
      <c r="A34" s="221" t="s">
        <v>279</v>
      </c>
      <c r="B34" s="222">
        <f>+B32+B33</f>
        <v>0</v>
      </c>
      <c r="C34" s="217"/>
      <c r="D34" s="217"/>
      <c r="E34" s="218"/>
      <c r="G34" s="221" t="s">
        <v>279</v>
      </c>
      <c r="H34" s="222">
        <f>+H32+H33</f>
        <v>0</v>
      </c>
      <c r="I34" s="217"/>
      <c r="J34" s="217"/>
      <c r="K34" s="218"/>
      <c r="M34" s="221" t="s">
        <v>279</v>
      </c>
      <c r="N34" s="222">
        <f>+N32+N33</f>
        <v>0</v>
      </c>
      <c r="O34" s="217"/>
      <c r="P34" s="217"/>
      <c r="Q34" s="218"/>
    </row>
    <row r="35" spans="1:17" ht="15.75" x14ac:dyDescent="0.25">
      <c r="A35" s="216"/>
      <c r="B35" s="217"/>
      <c r="C35" s="217"/>
      <c r="D35" s="217"/>
      <c r="E35" s="218"/>
      <c r="G35" s="216"/>
      <c r="H35" s="217"/>
      <c r="I35" s="217"/>
      <c r="J35" s="217"/>
      <c r="K35" s="218"/>
      <c r="M35" s="216"/>
      <c r="N35" s="217"/>
      <c r="O35" s="217"/>
      <c r="P35" s="217"/>
      <c r="Q35" s="218"/>
    </row>
    <row r="36" spans="1:17" ht="15.75" x14ac:dyDescent="0.25">
      <c r="A36" s="216" t="s">
        <v>280</v>
      </c>
      <c r="B36" s="223"/>
      <c r="C36" s="217"/>
      <c r="D36" s="217"/>
      <c r="E36" s="218"/>
      <c r="G36" s="216" t="s">
        <v>280</v>
      </c>
      <c r="H36" s="223"/>
      <c r="I36" s="217"/>
      <c r="J36" s="217"/>
      <c r="K36" s="218"/>
      <c r="M36" s="216" t="s">
        <v>280</v>
      </c>
      <c r="N36" s="223"/>
      <c r="O36" s="217"/>
      <c r="P36" s="217"/>
      <c r="Q36" s="218"/>
    </row>
    <row r="37" spans="1:17" ht="15.75" x14ac:dyDescent="0.25">
      <c r="A37" s="216" t="s">
        <v>281</v>
      </c>
      <c r="B37" s="223"/>
      <c r="C37" s="217"/>
      <c r="D37" s="217"/>
      <c r="E37" s="218"/>
      <c r="G37" s="216" t="s">
        <v>281</v>
      </c>
      <c r="H37" s="223"/>
      <c r="I37" s="217"/>
      <c r="J37" s="217"/>
      <c r="K37" s="218"/>
      <c r="M37" s="216" t="s">
        <v>281</v>
      </c>
      <c r="N37" s="223"/>
      <c r="O37" s="217"/>
      <c r="P37" s="217"/>
      <c r="Q37" s="218"/>
    </row>
    <row r="38" spans="1:17" ht="15.75" x14ac:dyDescent="0.25">
      <c r="A38" s="224"/>
      <c r="B38" s="225"/>
      <c r="C38" s="225"/>
      <c r="D38" s="225"/>
      <c r="E38" s="226"/>
      <c r="G38" s="224"/>
      <c r="H38" s="225"/>
      <c r="I38" s="225"/>
      <c r="J38" s="225"/>
      <c r="K38" s="226"/>
      <c r="M38" s="224"/>
      <c r="N38" s="225"/>
      <c r="O38" s="225"/>
      <c r="P38" s="225"/>
      <c r="Q38" s="226"/>
    </row>
  </sheetData>
  <mergeCells count="9">
    <mergeCell ref="B27:E27"/>
    <mergeCell ref="H27:K27"/>
    <mergeCell ref="N27:Q27"/>
    <mergeCell ref="B1:E1"/>
    <mergeCell ref="H1:K1"/>
    <mergeCell ref="N1:Q1"/>
    <mergeCell ref="B14:E14"/>
    <mergeCell ref="H14:K14"/>
    <mergeCell ref="N14:Q14"/>
  </mergeCells>
  <printOptions horizontalCentered="1" verticalCentered="1"/>
  <pageMargins left="1.1811023622047245" right="1.1811023622047245" top="0.78740157480314965" bottom="0.78740157480314965" header="0.31496062992125984" footer="0.31496062992125984"/>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8">
    <tabColor rgb="FF92D050"/>
  </sheetPr>
  <dimension ref="A1:L11"/>
  <sheetViews>
    <sheetView showGridLines="0" workbookViewId="0">
      <selection activeCell="F15" sqref="F15"/>
    </sheetView>
  </sheetViews>
  <sheetFormatPr baseColWidth="10" defaultRowHeight="15" x14ac:dyDescent="0.25"/>
  <cols>
    <col min="1" max="1" width="3.42578125" customWidth="1"/>
    <col min="2" max="2" width="10.7109375" bestFit="1" customWidth="1"/>
    <col min="3" max="3" width="12.85546875" bestFit="1" customWidth="1"/>
    <col min="4" max="4" width="11.7109375" bestFit="1" customWidth="1"/>
    <col min="5" max="5" width="3.42578125" customWidth="1"/>
    <col min="6" max="6" width="10.7109375" bestFit="1" customWidth="1"/>
    <col min="7" max="7" width="12.85546875" bestFit="1" customWidth="1"/>
    <col min="8" max="8" width="10.140625" bestFit="1" customWidth="1"/>
    <col min="9" max="9" width="5.7109375" bestFit="1" customWidth="1"/>
    <col min="10" max="10" width="3.42578125" customWidth="1"/>
    <col min="11" max="11" width="14" bestFit="1" customWidth="1"/>
    <col min="12" max="12" width="3.42578125" customWidth="1"/>
    <col min="14" max="14" width="12.85546875" bestFit="1" customWidth="1"/>
  </cols>
  <sheetData>
    <row r="1" spans="1:12" ht="15.75" thickBot="1" x14ac:dyDescent="0.3">
      <c r="A1" s="692"/>
      <c r="B1" s="695"/>
      <c r="C1" s="695"/>
      <c r="D1" s="695"/>
      <c r="E1" s="695"/>
      <c r="F1" s="695"/>
      <c r="G1" s="695"/>
      <c r="H1" s="695"/>
      <c r="I1" s="695"/>
      <c r="J1" s="695"/>
      <c r="K1" s="695"/>
      <c r="L1" s="689"/>
    </row>
    <row r="2" spans="1:12" x14ac:dyDescent="0.25">
      <c r="A2" s="693"/>
      <c r="B2" s="677" t="s">
        <v>465</v>
      </c>
      <c r="C2" s="698">
        <f>+CARTOLA!E1</f>
        <v>10611753</v>
      </c>
      <c r="D2" s="679"/>
      <c r="E2" s="697"/>
      <c r="F2" s="677" t="s">
        <v>465</v>
      </c>
      <c r="G2" s="698">
        <f>+C2</f>
        <v>10611753</v>
      </c>
      <c r="H2" s="678"/>
      <c r="I2" s="679"/>
      <c r="J2" s="697"/>
      <c r="K2" s="706" t="s">
        <v>470</v>
      </c>
      <c r="L2" s="690"/>
    </row>
    <row r="3" spans="1:12" x14ac:dyDescent="0.25">
      <c r="A3" s="693"/>
      <c r="B3" s="680" t="s">
        <v>464</v>
      </c>
      <c r="C3" s="681">
        <v>1000000</v>
      </c>
      <c r="D3" s="699">
        <f>+C2-C3</f>
        <v>9611753</v>
      </c>
      <c r="E3" s="697"/>
      <c r="F3" s="680" t="s">
        <v>464</v>
      </c>
      <c r="G3" s="681">
        <v>8000000</v>
      </c>
      <c r="H3" s="681"/>
      <c r="I3" s="682"/>
      <c r="J3" s="697"/>
      <c r="K3" s="707">
        <v>45762</v>
      </c>
      <c r="L3" s="690"/>
    </row>
    <row r="4" spans="1:12" x14ac:dyDescent="0.25">
      <c r="A4" s="693"/>
      <c r="B4" s="700" t="str">
        <f>+B3</f>
        <v>abono</v>
      </c>
      <c r="C4" s="683">
        <v>7000000</v>
      </c>
      <c r="D4" s="701">
        <f>+D3-C4</f>
        <v>2611753</v>
      </c>
      <c r="E4" s="697"/>
      <c r="F4" s="700"/>
      <c r="G4" s="684">
        <f>+G2-G3</f>
        <v>2611753</v>
      </c>
      <c r="H4" s="681"/>
      <c r="I4" s="682"/>
      <c r="J4" s="697"/>
      <c r="K4" s="708">
        <v>0.65625</v>
      </c>
      <c r="L4" s="690"/>
    </row>
    <row r="5" spans="1:12" x14ac:dyDescent="0.25">
      <c r="A5" s="693"/>
      <c r="B5" s="680" t="s">
        <v>462</v>
      </c>
      <c r="C5" s="681">
        <f>+C6-C4</f>
        <v>2671195</v>
      </c>
      <c r="D5" s="699">
        <f>+C5-D4</f>
        <v>59442</v>
      </c>
      <c r="E5" s="697"/>
      <c r="F5" s="680" t="s">
        <v>462</v>
      </c>
      <c r="G5" s="681"/>
      <c r="H5" s="681"/>
      <c r="I5" s="682"/>
      <c r="J5" s="697"/>
      <c r="K5" s="709" t="s">
        <v>471</v>
      </c>
      <c r="L5" s="690"/>
    </row>
    <row r="6" spans="1:12" ht="15.75" thickBot="1" x14ac:dyDescent="0.3">
      <c r="A6" s="693"/>
      <c r="B6" s="680" t="s">
        <v>463</v>
      </c>
      <c r="C6" s="681">
        <v>9671195</v>
      </c>
      <c r="D6" s="699"/>
      <c r="E6" s="697"/>
      <c r="F6" s="680" t="s">
        <v>463</v>
      </c>
      <c r="G6" s="681">
        <v>2716495</v>
      </c>
      <c r="H6" s="681"/>
      <c r="I6" s="682"/>
      <c r="J6" s="697"/>
      <c r="K6" s="710" t="s">
        <v>472</v>
      </c>
      <c r="L6" s="690"/>
    </row>
    <row r="7" spans="1:12" x14ac:dyDescent="0.25">
      <c r="A7" s="693"/>
      <c r="B7" s="680" t="s">
        <v>466</v>
      </c>
      <c r="C7" s="681">
        <f>+C6-C4</f>
        <v>2671195</v>
      </c>
      <c r="D7" s="702">
        <f>+C7-D4-4700</f>
        <v>54742</v>
      </c>
      <c r="E7" s="697"/>
      <c r="F7" s="680" t="s">
        <v>466</v>
      </c>
      <c r="G7" s="681">
        <f>+G6-G4</f>
        <v>104742</v>
      </c>
      <c r="H7" s="681">
        <v>50000</v>
      </c>
      <c r="I7" s="682" t="s">
        <v>467</v>
      </c>
      <c r="J7" s="697"/>
      <c r="K7" s="697">
        <v>10789529</v>
      </c>
      <c r="L7" s="690"/>
    </row>
    <row r="8" spans="1:12" x14ac:dyDescent="0.25">
      <c r="A8" s="693"/>
      <c r="B8" s="680"/>
      <c r="C8" s="47"/>
      <c r="D8" s="682"/>
      <c r="E8" s="697"/>
      <c r="F8" s="680"/>
      <c r="G8" s="685"/>
      <c r="H8" s="681">
        <v>54742</v>
      </c>
      <c r="I8" s="682" t="s">
        <v>462</v>
      </c>
      <c r="J8" s="697"/>
      <c r="K8" s="711">
        <f>+K7-G2</f>
        <v>177776</v>
      </c>
      <c r="L8" s="690"/>
    </row>
    <row r="9" spans="1:12" x14ac:dyDescent="0.25">
      <c r="A9" s="693"/>
      <c r="B9" s="680"/>
      <c r="C9" s="47"/>
      <c r="D9" s="682"/>
      <c r="E9" s="697"/>
      <c r="F9" s="680"/>
      <c r="G9" s="685"/>
      <c r="H9" s="681">
        <f>+DIRECTOR!D4</f>
        <v>49400</v>
      </c>
      <c r="I9" s="682" t="s">
        <v>468</v>
      </c>
      <c r="J9" s="697"/>
      <c r="K9" s="697" t="s">
        <v>473</v>
      </c>
      <c r="L9" s="690"/>
    </row>
    <row r="10" spans="1:12" ht="15.75" thickBot="1" x14ac:dyDescent="0.3">
      <c r="A10" s="693"/>
      <c r="B10" s="686"/>
      <c r="C10" s="687"/>
      <c r="D10" s="688"/>
      <c r="E10" s="697"/>
      <c r="F10" s="686" t="s">
        <v>469</v>
      </c>
      <c r="G10" s="703">
        <f>+H10-G7</f>
        <v>49400</v>
      </c>
      <c r="H10" s="704">
        <f>SUM(H7:H9)</f>
        <v>154142</v>
      </c>
      <c r="I10" s="705" t="s">
        <v>465</v>
      </c>
      <c r="J10" s="697"/>
      <c r="K10" s="697"/>
      <c r="L10" s="690"/>
    </row>
    <row r="11" spans="1:12" ht="15.75" thickBot="1" x14ac:dyDescent="0.3">
      <c r="A11" s="694"/>
      <c r="B11" s="696"/>
      <c r="C11" s="696"/>
      <c r="D11" s="696"/>
      <c r="E11" s="696"/>
      <c r="F11" s="696"/>
      <c r="G11" s="696"/>
      <c r="H11" s="696"/>
      <c r="I11" s="696"/>
      <c r="J11" s="696"/>
      <c r="K11" s="696"/>
      <c r="L11" s="691"/>
    </row>
  </sheetData>
  <pageMargins left="0.7" right="0.7" top="0.75" bottom="0.75" header="0.3" footer="0.3"/>
  <pageSetup paperSize="13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1"/>
  <dimension ref="A1:Y27"/>
  <sheetViews>
    <sheetView showGridLines="0" zoomScale="95" zoomScaleNormal="95" workbookViewId="0"/>
  </sheetViews>
  <sheetFormatPr baseColWidth="10" defaultRowHeight="15" x14ac:dyDescent="0.25"/>
  <cols>
    <col min="1" max="1" width="21.85546875" style="894" bestFit="1" customWidth="1"/>
    <col min="2" max="8" width="8.28515625" style="882" bestFit="1" customWidth="1"/>
    <col min="9" max="9" width="13.42578125" style="882" bestFit="1" customWidth="1"/>
    <col min="10" max="10" width="2.7109375" style="882" customWidth="1"/>
    <col min="11" max="11" width="4.7109375" style="883" bestFit="1" customWidth="1"/>
    <col min="12" max="12" width="5" style="883" bestFit="1" customWidth="1"/>
    <col min="13" max="15" width="4.7109375" style="883" bestFit="1" customWidth="1"/>
    <col min="16" max="16" width="5.140625" style="883" bestFit="1" customWidth="1"/>
    <col min="17" max="17" width="4.7109375" style="883" bestFit="1" customWidth="1"/>
    <col min="18" max="18" width="2.7109375" style="882" customWidth="1"/>
    <col min="19" max="19" width="6.140625" style="883" bestFit="1" customWidth="1"/>
    <col min="20" max="20" width="13.42578125" style="882" bestFit="1" customWidth="1"/>
    <col min="21" max="21" width="11.5703125" style="894" bestFit="1" customWidth="1"/>
    <col min="22" max="22" width="2.7109375" style="882" customWidth="1"/>
    <col min="23" max="25" width="5.85546875" style="882" bestFit="1" customWidth="1"/>
    <col min="26" max="16384" width="11.42578125" style="882"/>
  </cols>
  <sheetData>
    <row r="1" spans="1:25" ht="15.75" thickBot="1" x14ac:dyDescent="0.3">
      <c r="A1" s="879"/>
      <c r="B1" s="880">
        <v>45748</v>
      </c>
      <c r="C1" s="880">
        <v>45778</v>
      </c>
      <c r="D1" s="880">
        <v>45809</v>
      </c>
      <c r="E1" s="880">
        <v>45839</v>
      </c>
      <c r="F1" s="880">
        <v>45870</v>
      </c>
      <c r="G1" s="880">
        <v>45901</v>
      </c>
      <c r="H1" s="880">
        <v>45931</v>
      </c>
      <c r="I1" s="881" t="s">
        <v>103</v>
      </c>
      <c r="K1" s="913">
        <f>+B1</f>
        <v>45748</v>
      </c>
      <c r="L1" s="913">
        <f t="shared" ref="L1:Q1" si="0">+C1</f>
        <v>45778</v>
      </c>
      <c r="M1" s="913">
        <f t="shared" si="0"/>
        <v>45809</v>
      </c>
      <c r="N1" s="913">
        <f t="shared" si="0"/>
        <v>45839</v>
      </c>
      <c r="O1" s="913">
        <f t="shared" si="0"/>
        <v>45870</v>
      </c>
      <c r="P1" s="913">
        <f t="shared" si="0"/>
        <v>45901</v>
      </c>
      <c r="Q1" s="913">
        <f t="shared" si="0"/>
        <v>45931</v>
      </c>
      <c r="S1" s="895" t="str">
        <f>+I1</f>
        <v>Total</v>
      </c>
      <c r="T1" s="918" t="s">
        <v>544</v>
      </c>
      <c r="U1" s="918" t="s">
        <v>485</v>
      </c>
      <c r="W1" s="910">
        <v>500</v>
      </c>
      <c r="X1" s="911">
        <v>700</v>
      </c>
      <c r="Y1" s="912">
        <v>730</v>
      </c>
    </row>
    <row r="2" spans="1:25" x14ac:dyDescent="0.25">
      <c r="A2" s="884" t="s">
        <v>55</v>
      </c>
      <c r="B2" s="905">
        <v>17500</v>
      </c>
      <c r="C2" s="905">
        <v>16500</v>
      </c>
      <c r="D2" s="905">
        <v>15500</v>
      </c>
      <c r="E2" s="905">
        <v>15000</v>
      </c>
      <c r="F2" s="906">
        <v>22630</v>
      </c>
      <c r="G2" s="906">
        <v>22630</v>
      </c>
      <c r="H2" s="906">
        <v>22630</v>
      </c>
      <c r="I2" s="896">
        <f t="shared" ref="I2:I9" si="1">SUM(B2:H2)</f>
        <v>132390</v>
      </c>
      <c r="K2" s="907">
        <f>+B2/$W$1</f>
        <v>35</v>
      </c>
      <c r="L2" s="907">
        <f>+C2/$W$1</f>
        <v>33</v>
      </c>
      <c r="M2" s="907">
        <f>+D2/$W$1</f>
        <v>31</v>
      </c>
      <c r="N2" s="907">
        <f>+E2/$W$1</f>
        <v>30</v>
      </c>
      <c r="O2" s="908">
        <f t="shared" ref="O2:Q7" si="2">+F2/$X$1</f>
        <v>32.328571428571429</v>
      </c>
      <c r="P2" s="908">
        <f t="shared" si="2"/>
        <v>32.328571428571429</v>
      </c>
      <c r="Q2" s="908">
        <f t="shared" si="2"/>
        <v>32.328571428571429</v>
      </c>
      <c r="S2" s="885">
        <f>SUM(K2:Q2)/7</f>
        <v>32.28367346938775</v>
      </c>
      <c r="T2" s="919">
        <f>+S2*7*$Y$1</f>
        <v>164969.57142857142</v>
      </c>
      <c r="U2" s="920">
        <f>+T2-I2</f>
        <v>32579.57142857142</v>
      </c>
      <c r="W2" s="889"/>
      <c r="X2" s="889"/>
      <c r="Y2" s="889"/>
    </row>
    <row r="3" spans="1:25" x14ac:dyDescent="0.25">
      <c r="A3" s="886" t="s">
        <v>356</v>
      </c>
      <c r="B3" s="917">
        <v>58800</v>
      </c>
      <c r="C3" s="917">
        <v>56700</v>
      </c>
      <c r="D3" s="917">
        <v>56180</v>
      </c>
      <c r="E3" s="917">
        <v>55480</v>
      </c>
      <c r="F3" s="917">
        <v>54750</v>
      </c>
      <c r="G3" s="917">
        <v>54020</v>
      </c>
      <c r="H3" s="917">
        <v>57670</v>
      </c>
      <c r="I3" s="898">
        <f t="shared" si="1"/>
        <v>393600</v>
      </c>
      <c r="K3" s="908">
        <f t="shared" ref="K3:N7" si="3">+B3/$X$1</f>
        <v>84</v>
      </c>
      <c r="L3" s="908">
        <f t="shared" si="3"/>
        <v>81</v>
      </c>
      <c r="M3" s="908">
        <f t="shared" si="3"/>
        <v>80.257142857142853</v>
      </c>
      <c r="N3" s="908">
        <f t="shared" si="3"/>
        <v>79.257142857142853</v>
      </c>
      <c r="O3" s="908">
        <f t="shared" si="2"/>
        <v>78.214285714285708</v>
      </c>
      <c r="P3" s="908">
        <f t="shared" si="2"/>
        <v>77.171428571428578</v>
      </c>
      <c r="Q3" s="908">
        <f t="shared" si="2"/>
        <v>82.385714285714286</v>
      </c>
      <c r="S3" s="885">
        <f t="shared" ref="S3:S9" si="4">SUM(K3:Q3)/7</f>
        <v>80.326530612244909</v>
      </c>
      <c r="T3" s="919">
        <f t="shared" ref="T3:T9" si="5">+S3*7*$Y$1</f>
        <v>410468.57142857148</v>
      </c>
      <c r="U3" s="920">
        <f t="shared" ref="U3:U9" si="6">+T3-I3</f>
        <v>16868.571428571478</v>
      </c>
      <c r="W3" s="889"/>
      <c r="X3" s="889"/>
      <c r="Y3" s="889"/>
    </row>
    <row r="4" spans="1:25" x14ac:dyDescent="0.25">
      <c r="A4" s="886" t="s">
        <v>357</v>
      </c>
      <c r="B4" s="897">
        <v>139300</v>
      </c>
      <c r="C4" s="897">
        <v>142350</v>
      </c>
      <c r="D4" s="897">
        <v>139430</v>
      </c>
      <c r="E4" s="897">
        <v>139430</v>
      </c>
      <c r="F4" s="897">
        <v>139430</v>
      </c>
      <c r="G4" s="897">
        <v>135050</v>
      </c>
      <c r="H4" s="897">
        <v>146000</v>
      </c>
      <c r="I4" s="898">
        <f t="shared" si="1"/>
        <v>980990</v>
      </c>
      <c r="K4" s="904">
        <f t="shared" si="3"/>
        <v>199</v>
      </c>
      <c r="L4" s="904">
        <f t="shared" si="3"/>
        <v>203.35714285714286</v>
      </c>
      <c r="M4" s="904">
        <f t="shared" si="3"/>
        <v>199.18571428571428</v>
      </c>
      <c r="N4" s="904">
        <f t="shared" si="3"/>
        <v>199.18571428571428</v>
      </c>
      <c r="O4" s="904">
        <f t="shared" si="2"/>
        <v>199.18571428571428</v>
      </c>
      <c r="P4" s="904">
        <f t="shared" si="2"/>
        <v>192.92857142857142</v>
      </c>
      <c r="Q4" s="904">
        <f t="shared" si="2"/>
        <v>208.57142857142858</v>
      </c>
      <c r="S4" s="885">
        <f t="shared" si="4"/>
        <v>200.20204081632656</v>
      </c>
      <c r="T4" s="919">
        <f t="shared" si="5"/>
        <v>1023032.4285714286</v>
      </c>
      <c r="U4" s="920">
        <f t="shared" si="6"/>
        <v>42042.428571428638</v>
      </c>
      <c r="W4" s="889"/>
      <c r="X4" s="889"/>
      <c r="Y4" s="889"/>
    </row>
    <row r="5" spans="1:25" x14ac:dyDescent="0.25">
      <c r="A5" s="886" t="s">
        <v>358</v>
      </c>
      <c r="B5" s="897">
        <v>97465</v>
      </c>
      <c r="C5" s="897">
        <v>97465</v>
      </c>
      <c r="D5" s="897">
        <v>98700</v>
      </c>
      <c r="E5" s="897">
        <v>107800</v>
      </c>
      <c r="F5" s="897">
        <v>109440</v>
      </c>
      <c r="G5" s="897">
        <v>104460</v>
      </c>
      <c r="H5" s="897">
        <v>113150</v>
      </c>
      <c r="I5" s="898">
        <f t="shared" si="1"/>
        <v>728480</v>
      </c>
      <c r="K5" s="904">
        <f t="shared" si="3"/>
        <v>139.23571428571429</v>
      </c>
      <c r="L5" s="904">
        <f t="shared" si="3"/>
        <v>139.23571428571429</v>
      </c>
      <c r="M5" s="904">
        <f t="shared" si="3"/>
        <v>141</v>
      </c>
      <c r="N5" s="904">
        <f t="shared" si="3"/>
        <v>154</v>
      </c>
      <c r="O5" s="904">
        <f t="shared" si="2"/>
        <v>156.34285714285716</v>
      </c>
      <c r="P5" s="904">
        <f t="shared" si="2"/>
        <v>149.22857142857143</v>
      </c>
      <c r="Q5" s="904">
        <f t="shared" si="2"/>
        <v>161.64285714285714</v>
      </c>
      <c r="S5" s="885">
        <f t="shared" si="4"/>
        <v>148.66938775510204</v>
      </c>
      <c r="T5" s="919">
        <f t="shared" si="5"/>
        <v>759700.57142857148</v>
      </c>
      <c r="U5" s="920">
        <f t="shared" si="6"/>
        <v>31220.571428571478</v>
      </c>
      <c r="W5" s="889"/>
      <c r="X5" s="889"/>
      <c r="Y5" s="889"/>
    </row>
    <row r="6" spans="1:25" x14ac:dyDescent="0.25">
      <c r="A6" s="886" t="s">
        <v>359</v>
      </c>
      <c r="B6" s="917">
        <v>48300</v>
      </c>
      <c r="C6" s="917">
        <v>46200</v>
      </c>
      <c r="D6" s="917">
        <v>44100</v>
      </c>
      <c r="E6" s="917">
        <v>46200</v>
      </c>
      <c r="F6" s="917">
        <v>44100</v>
      </c>
      <c r="G6" s="917">
        <v>45500</v>
      </c>
      <c r="H6" s="917">
        <v>46900</v>
      </c>
      <c r="I6" s="898">
        <f t="shared" si="1"/>
        <v>321300</v>
      </c>
      <c r="K6" s="908">
        <f t="shared" si="3"/>
        <v>69</v>
      </c>
      <c r="L6" s="908">
        <f t="shared" si="3"/>
        <v>66</v>
      </c>
      <c r="M6" s="908">
        <f t="shared" si="3"/>
        <v>63</v>
      </c>
      <c r="N6" s="908">
        <f t="shared" si="3"/>
        <v>66</v>
      </c>
      <c r="O6" s="908">
        <f t="shared" si="2"/>
        <v>63</v>
      </c>
      <c r="P6" s="908">
        <f t="shared" si="2"/>
        <v>65</v>
      </c>
      <c r="Q6" s="908">
        <f t="shared" si="2"/>
        <v>67</v>
      </c>
      <c r="S6" s="885">
        <f t="shared" si="4"/>
        <v>65.571428571428569</v>
      </c>
      <c r="T6" s="919">
        <f t="shared" si="5"/>
        <v>335070</v>
      </c>
      <c r="U6" s="920">
        <f t="shared" si="6"/>
        <v>13770</v>
      </c>
      <c r="W6" s="889"/>
      <c r="X6" s="889"/>
      <c r="Y6" s="889"/>
    </row>
    <row r="7" spans="1:25" x14ac:dyDescent="0.25">
      <c r="A7" s="886" t="s">
        <v>360</v>
      </c>
      <c r="B7" s="897">
        <v>155490</v>
      </c>
      <c r="C7" s="897">
        <v>0</v>
      </c>
      <c r="D7" s="897">
        <v>138700</v>
      </c>
      <c r="E7" s="897">
        <v>141620</v>
      </c>
      <c r="F7" s="897">
        <v>143080</v>
      </c>
      <c r="G7" s="897">
        <v>144500</v>
      </c>
      <c r="H7" s="897">
        <v>147460</v>
      </c>
      <c r="I7" s="898">
        <f t="shared" si="1"/>
        <v>870850</v>
      </c>
      <c r="K7" s="904">
        <f t="shared" si="3"/>
        <v>222.12857142857143</v>
      </c>
      <c r="L7" s="904">
        <f t="shared" si="3"/>
        <v>0</v>
      </c>
      <c r="M7" s="904">
        <f t="shared" si="3"/>
        <v>198.14285714285714</v>
      </c>
      <c r="N7" s="904">
        <f t="shared" si="3"/>
        <v>202.31428571428572</v>
      </c>
      <c r="O7" s="904">
        <f t="shared" si="2"/>
        <v>204.4</v>
      </c>
      <c r="P7" s="904">
        <f t="shared" si="2"/>
        <v>206.42857142857142</v>
      </c>
      <c r="Q7" s="904">
        <f t="shared" si="2"/>
        <v>210.65714285714284</v>
      </c>
      <c r="S7" s="885">
        <f t="shared" si="4"/>
        <v>177.72448979591834</v>
      </c>
      <c r="T7" s="919">
        <f t="shared" si="5"/>
        <v>908172.14285714272</v>
      </c>
      <c r="U7" s="920">
        <f t="shared" si="6"/>
        <v>37322.142857142724</v>
      </c>
      <c r="W7" s="889"/>
      <c r="X7" s="889"/>
      <c r="Y7" s="889"/>
    </row>
    <row r="8" spans="1:25" x14ac:dyDescent="0.25">
      <c r="A8" s="887" t="s">
        <v>361</v>
      </c>
      <c r="B8" s="921">
        <v>105700</v>
      </c>
      <c r="C8" s="921">
        <v>108770</v>
      </c>
      <c r="D8" s="921">
        <v>104390</v>
      </c>
      <c r="E8" s="921">
        <v>103660</v>
      </c>
      <c r="F8" s="921">
        <v>102930</v>
      </c>
      <c r="G8" s="921">
        <v>101470</v>
      </c>
      <c r="H8" s="921">
        <v>99280</v>
      </c>
      <c r="I8" s="922">
        <f t="shared" si="1"/>
        <v>726200</v>
      </c>
      <c r="J8" s="923"/>
      <c r="K8" s="924">
        <f t="shared" ref="K8:Q8" si="7">+B8/$Y$1</f>
        <v>144.79452054794521</v>
      </c>
      <c r="L8" s="924">
        <f t="shared" si="7"/>
        <v>149</v>
      </c>
      <c r="M8" s="924">
        <f t="shared" si="7"/>
        <v>143</v>
      </c>
      <c r="N8" s="924">
        <f t="shared" si="7"/>
        <v>142</v>
      </c>
      <c r="O8" s="924">
        <f t="shared" si="7"/>
        <v>141</v>
      </c>
      <c r="P8" s="924">
        <f t="shared" si="7"/>
        <v>139</v>
      </c>
      <c r="Q8" s="924">
        <f t="shared" si="7"/>
        <v>136</v>
      </c>
      <c r="S8" s="909">
        <f t="shared" si="4"/>
        <v>142.11350293542074</v>
      </c>
      <c r="T8" s="919">
        <f t="shared" si="5"/>
        <v>726200</v>
      </c>
      <c r="U8" s="925">
        <f t="shared" si="6"/>
        <v>0</v>
      </c>
      <c r="W8" s="889"/>
      <c r="X8" s="889"/>
      <c r="Y8" s="889"/>
    </row>
    <row r="9" spans="1:25" x14ac:dyDescent="0.25">
      <c r="A9" s="888" t="s">
        <v>362</v>
      </c>
      <c r="B9" s="899">
        <v>69076</v>
      </c>
      <c r="C9" s="899">
        <v>0</v>
      </c>
      <c r="D9" s="899">
        <v>0</v>
      </c>
      <c r="E9" s="899">
        <v>0</v>
      </c>
      <c r="F9" s="899">
        <v>277190</v>
      </c>
      <c r="G9" s="899">
        <v>73500</v>
      </c>
      <c r="H9" s="899">
        <v>102565</v>
      </c>
      <c r="I9" s="900">
        <f t="shared" si="1"/>
        <v>522331</v>
      </c>
      <c r="K9" s="904">
        <f t="shared" ref="K9:Q9" si="8">+B9/$X$1</f>
        <v>98.68</v>
      </c>
      <c r="L9" s="904">
        <f t="shared" si="8"/>
        <v>0</v>
      </c>
      <c r="M9" s="904">
        <f t="shared" si="8"/>
        <v>0</v>
      </c>
      <c r="N9" s="904">
        <f t="shared" si="8"/>
        <v>0</v>
      </c>
      <c r="O9" s="904">
        <f t="shared" si="8"/>
        <v>395.98571428571427</v>
      </c>
      <c r="P9" s="904">
        <f t="shared" si="8"/>
        <v>105</v>
      </c>
      <c r="Q9" s="904">
        <f t="shared" si="8"/>
        <v>146.52142857142857</v>
      </c>
      <c r="S9" s="885">
        <f t="shared" si="4"/>
        <v>106.59816326530613</v>
      </c>
      <c r="T9" s="919">
        <f t="shared" si="5"/>
        <v>544716.61428571434</v>
      </c>
      <c r="U9" s="920">
        <f t="shared" si="6"/>
        <v>22385.614285714342</v>
      </c>
      <c r="W9" s="889"/>
      <c r="X9" s="889"/>
      <c r="Y9" s="889"/>
    </row>
    <row r="10" spans="1:25" x14ac:dyDescent="0.25">
      <c r="S10" s="916">
        <f>SUM(S2:S9)</f>
        <v>953.48921722113505</v>
      </c>
      <c r="T10" s="926">
        <f>SUM(T2:T9)</f>
        <v>4872329.8999999994</v>
      </c>
      <c r="U10" s="927">
        <f>SUM(U2:U9)</f>
        <v>196188.90000000008</v>
      </c>
      <c r="W10" s="889"/>
      <c r="X10" s="889"/>
      <c r="Y10" s="889"/>
    </row>
    <row r="11" spans="1:25" x14ac:dyDescent="0.25">
      <c r="A11" s="884" t="str">
        <f>+A2</f>
        <v>1 IQUIQUE</v>
      </c>
      <c r="B11" s="914">
        <f t="shared" ref="B11:H12" si="9">+K2*$Y$1</f>
        <v>25550</v>
      </c>
      <c r="C11" s="914">
        <f t="shared" si="9"/>
        <v>24090</v>
      </c>
      <c r="D11" s="914">
        <f t="shared" si="9"/>
        <v>22630</v>
      </c>
      <c r="E11" s="914">
        <f t="shared" si="9"/>
        <v>21900</v>
      </c>
      <c r="F11" s="914">
        <f t="shared" si="9"/>
        <v>23599.857142857145</v>
      </c>
      <c r="G11" s="914">
        <f t="shared" si="9"/>
        <v>23599.857142857145</v>
      </c>
      <c r="H11" s="914">
        <f t="shared" si="9"/>
        <v>23599.857142857145</v>
      </c>
      <c r="I11" s="915">
        <f t="shared" ref="I11:I18" si="10">SUM(B11:H11)</f>
        <v>164969.57142857142</v>
      </c>
      <c r="K11" s="889"/>
      <c r="L11" s="889"/>
      <c r="M11" s="889"/>
      <c r="N11" s="889"/>
      <c r="O11" s="889"/>
      <c r="P11" s="889"/>
      <c r="Q11" s="889"/>
      <c r="S11" s="890"/>
      <c r="W11" s="889"/>
      <c r="X11" s="889"/>
      <c r="Y11" s="889"/>
    </row>
    <row r="12" spans="1:25" x14ac:dyDescent="0.25">
      <c r="A12" s="886" t="str">
        <f t="shared" ref="A12:A18" si="11">+A3</f>
        <v>4 PLAZA NORTE</v>
      </c>
      <c r="B12" s="902">
        <f t="shared" si="9"/>
        <v>61320</v>
      </c>
      <c r="C12" s="902">
        <f t="shared" si="9"/>
        <v>59130</v>
      </c>
      <c r="D12" s="902">
        <f t="shared" si="9"/>
        <v>58587.714285714283</v>
      </c>
      <c r="E12" s="902">
        <f t="shared" si="9"/>
        <v>57857.714285714283</v>
      </c>
      <c r="F12" s="902">
        <f t="shared" si="9"/>
        <v>57096.428571428565</v>
      </c>
      <c r="G12" s="902">
        <f t="shared" si="9"/>
        <v>56335.142857142862</v>
      </c>
      <c r="H12" s="902">
        <f t="shared" si="9"/>
        <v>60141.571428571428</v>
      </c>
      <c r="I12" s="898">
        <f t="shared" si="10"/>
        <v>410468.57142857142</v>
      </c>
      <c r="K12" s="889"/>
      <c r="L12" s="889"/>
      <c r="M12" s="889"/>
      <c r="N12" s="889"/>
      <c r="O12" s="889"/>
      <c r="P12" s="889"/>
      <c r="Q12" s="889"/>
      <c r="S12" s="889"/>
      <c r="T12" s="889"/>
      <c r="U12" s="889"/>
      <c r="W12" s="889"/>
      <c r="X12" s="889"/>
      <c r="Y12" s="889"/>
    </row>
    <row r="13" spans="1:25" x14ac:dyDescent="0.25">
      <c r="A13" s="886" t="str">
        <f t="shared" si="11"/>
        <v>5 COSTANERA</v>
      </c>
      <c r="B13" s="902">
        <f t="shared" ref="B13:B18" si="12">+K4*$X$1</f>
        <v>139300</v>
      </c>
      <c r="C13" s="902">
        <f t="shared" ref="C13:C18" si="13">+L4*$X$1</f>
        <v>142350</v>
      </c>
      <c r="D13" s="902">
        <f t="shared" ref="D13:D18" si="14">+M4*$X$1</f>
        <v>139430</v>
      </c>
      <c r="E13" s="902">
        <f t="shared" ref="E13:E18" si="15">+N4*$X$1</f>
        <v>139430</v>
      </c>
      <c r="F13" s="902">
        <f t="shared" ref="F13:F18" si="16">+O4*$X$1</f>
        <v>139430</v>
      </c>
      <c r="G13" s="902">
        <f t="shared" ref="G13:G18" si="17">+P4*$X$1</f>
        <v>135050</v>
      </c>
      <c r="H13" s="902">
        <f t="shared" ref="H13:H18" si="18">+Q4*$X$1</f>
        <v>146000</v>
      </c>
      <c r="I13" s="898">
        <f t="shared" si="10"/>
        <v>980990</v>
      </c>
      <c r="K13" s="889"/>
      <c r="L13" s="889"/>
      <c r="M13" s="889"/>
      <c r="N13" s="889"/>
      <c r="O13" s="889"/>
      <c r="P13" s="889"/>
      <c r="Q13" s="889"/>
      <c r="S13" s="889"/>
      <c r="T13" s="889"/>
      <c r="U13" s="889"/>
      <c r="W13" s="889"/>
      <c r="X13" s="889"/>
      <c r="Y13" s="889"/>
    </row>
    <row r="14" spans="1:25" x14ac:dyDescent="0.25">
      <c r="A14" s="886" t="str">
        <f t="shared" si="11"/>
        <v>6 RANCAGUA</v>
      </c>
      <c r="B14" s="902">
        <f t="shared" si="12"/>
        <v>97465</v>
      </c>
      <c r="C14" s="902">
        <f t="shared" si="13"/>
        <v>97465</v>
      </c>
      <c r="D14" s="902">
        <f t="shared" si="14"/>
        <v>98700</v>
      </c>
      <c r="E14" s="902">
        <f t="shared" si="15"/>
        <v>107800</v>
      </c>
      <c r="F14" s="902">
        <f t="shared" si="16"/>
        <v>109440.00000000001</v>
      </c>
      <c r="G14" s="902">
        <f t="shared" si="17"/>
        <v>104460</v>
      </c>
      <c r="H14" s="902">
        <f t="shared" si="18"/>
        <v>113150</v>
      </c>
      <c r="I14" s="898">
        <f t="shared" si="10"/>
        <v>728480</v>
      </c>
      <c r="K14" s="889"/>
      <c r="L14" s="889"/>
      <c r="M14" s="889"/>
      <c r="N14" s="889"/>
      <c r="O14" s="889"/>
      <c r="P14" s="889"/>
      <c r="Q14" s="889"/>
      <c r="S14" s="889"/>
      <c r="T14" s="889"/>
      <c r="U14" s="889"/>
      <c r="W14" s="889"/>
      <c r="X14" s="889"/>
      <c r="Y14" s="889"/>
    </row>
    <row r="15" spans="1:25" x14ac:dyDescent="0.25">
      <c r="A15" s="886" t="str">
        <f t="shared" si="11"/>
        <v>7 CURICO</v>
      </c>
      <c r="B15" s="902">
        <f t="shared" si="12"/>
        <v>48300</v>
      </c>
      <c r="C15" s="902">
        <f t="shared" si="13"/>
        <v>46200</v>
      </c>
      <c r="D15" s="902">
        <f t="shared" si="14"/>
        <v>44100</v>
      </c>
      <c r="E15" s="902">
        <f t="shared" si="15"/>
        <v>46200</v>
      </c>
      <c r="F15" s="902">
        <f t="shared" si="16"/>
        <v>44100</v>
      </c>
      <c r="G15" s="902">
        <f t="shared" si="17"/>
        <v>45500</v>
      </c>
      <c r="H15" s="902">
        <f t="shared" si="18"/>
        <v>46900</v>
      </c>
      <c r="I15" s="898">
        <f t="shared" si="10"/>
        <v>321300</v>
      </c>
      <c r="K15" s="889"/>
      <c r="L15" s="889"/>
      <c r="M15" s="889"/>
      <c r="N15" s="889"/>
      <c r="O15" s="889"/>
      <c r="P15" s="889"/>
      <c r="Q15" s="889"/>
      <c r="S15" s="889"/>
      <c r="T15" s="889"/>
      <c r="U15" s="889"/>
      <c r="W15" s="889"/>
      <c r="X15" s="889"/>
      <c r="Y15" s="889"/>
    </row>
    <row r="16" spans="1:25" x14ac:dyDescent="0.25">
      <c r="A16" s="886" t="str">
        <f t="shared" si="11"/>
        <v xml:space="preserve">8 TREBOL </v>
      </c>
      <c r="B16" s="902">
        <f t="shared" si="12"/>
        <v>155490</v>
      </c>
      <c r="C16" s="902">
        <f t="shared" si="13"/>
        <v>0</v>
      </c>
      <c r="D16" s="902">
        <f t="shared" si="14"/>
        <v>138700</v>
      </c>
      <c r="E16" s="902">
        <f t="shared" si="15"/>
        <v>141620</v>
      </c>
      <c r="F16" s="902">
        <f t="shared" si="16"/>
        <v>143080</v>
      </c>
      <c r="G16" s="902">
        <f t="shared" si="17"/>
        <v>144500</v>
      </c>
      <c r="H16" s="902">
        <f t="shared" si="18"/>
        <v>147460</v>
      </c>
      <c r="I16" s="898">
        <f t="shared" si="10"/>
        <v>870850</v>
      </c>
      <c r="K16" s="889"/>
      <c r="L16" s="889"/>
      <c r="M16" s="889"/>
      <c r="N16" s="889"/>
      <c r="O16" s="889"/>
      <c r="P16" s="889"/>
      <c r="Q16" s="889"/>
      <c r="S16" s="889"/>
      <c r="T16" s="889"/>
      <c r="U16" s="889"/>
      <c r="W16" s="889"/>
      <c r="X16" s="889"/>
      <c r="Y16" s="889"/>
    </row>
    <row r="17" spans="1:25" x14ac:dyDescent="0.25">
      <c r="A17" s="887" t="str">
        <f t="shared" si="11"/>
        <v>9 CONCEPCION</v>
      </c>
      <c r="B17" s="928">
        <f t="shared" ref="B17:H17" si="19">+K8*$Y$1</f>
        <v>105700</v>
      </c>
      <c r="C17" s="928">
        <f t="shared" si="19"/>
        <v>108770</v>
      </c>
      <c r="D17" s="928">
        <f t="shared" si="19"/>
        <v>104390</v>
      </c>
      <c r="E17" s="928">
        <f t="shared" si="19"/>
        <v>103660</v>
      </c>
      <c r="F17" s="928">
        <f t="shared" si="19"/>
        <v>102930</v>
      </c>
      <c r="G17" s="928">
        <f t="shared" si="19"/>
        <v>101470</v>
      </c>
      <c r="H17" s="928">
        <f t="shared" si="19"/>
        <v>99280</v>
      </c>
      <c r="I17" s="929">
        <f t="shared" si="10"/>
        <v>726200</v>
      </c>
      <c r="K17" s="889"/>
      <c r="L17" s="889"/>
      <c r="M17" s="889"/>
      <c r="N17" s="889"/>
      <c r="O17" s="889"/>
      <c r="P17" s="889"/>
      <c r="Q17" s="889"/>
      <c r="S17" s="889"/>
      <c r="T17" s="889"/>
      <c r="U17" s="889"/>
      <c r="W17" s="889"/>
      <c r="X17" s="889"/>
      <c r="Y17" s="889"/>
    </row>
    <row r="18" spans="1:25" x14ac:dyDescent="0.25">
      <c r="A18" s="888" t="str">
        <f t="shared" si="11"/>
        <v>10 PUERTO MONTT</v>
      </c>
      <c r="B18" s="903">
        <f t="shared" si="12"/>
        <v>69076</v>
      </c>
      <c r="C18" s="903">
        <f t="shared" si="13"/>
        <v>0</v>
      </c>
      <c r="D18" s="903">
        <f t="shared" si="14"/>
        <v>0</v>
      </c>
      <c r="E18" s="903">
        <f t="shared" si="15"/>
        <v>0</v>
      </c>
      <c r="F18" s="903">
        <f t="shared" si="16"/>
        <v>277190</v>
      </c>
      <c r="G18" s="903">
        <f t="shared" si="17"/>
        <v>73500</v>
      </c>
      <c r="H18" s="903">
        <f t="shared" si="18"/>
        <v>102565</v>
      </c>
      <c r="I18" s="900">
        <f t="shared" si="10"/>
        <v>522331</v>
      </c>
      <c r="K18" s="889"/>
      <c r="L18" s="889"/>
      <c r="M18" s="889"/>
      <c r="N18" s="889"/>
      <c r="O18" s="889"/>
      <c r="P18" s="889"/>
      <c r="Q18" s="889"/>
      <c r="S18" s="889"/>
      <c r="T18" s="889"/>
      <c r="U18" s="889"/>
      <c r="W18" s="889"/>
      <c r="X18" s="889"/>
      <c r="Y18" s="889"/>
    </row>
    <row r="19" spans="1:25" x14ac:dyDescent="0.25">
      <c r="K19" s="889"/>
      <c r="L19" s="889"/>
      <c r="M19" s="889"/>
      <c r="N19" s="889"/>
      <c r="O19" s="889"/>
      <c r="P19" s="889"/>
      <c r="Q19" s="889"/>
      <c r="S19" s="889"/>
      <c r="T19" s="889"/>
      <c r="U19" s="889"/>
      <c r="W19" s="889"/>
      <c r="X19" s="889"/>
      <c r="Y19" s="889"/>
    </row>
    <row r="20" spans="1:25" x14ac:dyDescent="0.25">
      <c r="A20" s="891" t="str">
        <f t="shared" ref="A20:A27" si="20">+A2</f>
        <v>1 IQUIQUE</v>
      </c>
      <c r="B20" s="901">
        <f>+B11-B2</f>
        <v>8050</v>
      </c>
      <c r="C20" s="901">
        <f t="shared" ref="C20:I20" si="21">+C11-C2</f>
        <v>7590</v>
      </c>
      <c r="D20" s="901">
        <f t="shared" si="21"/>
        <v>7130</v>
      </c>
      <c r="E20" s="901">
        <f t="shared" si="21"/>
        <v>6900</v>
      </c>
      <c r="F20" s="901">
        <f t="shared" si="21"/>
        <v>969.85714285714494</v>
      </c>
      <c r="G20" s="901">
        <f t="shared" si="21"/>
        <v>969.85714285714494</v>
      </c>
      <c r="H20" s="901">
        <f t="shared" si="21"/>
        <v>969.85714285714494</v>
      </c>
      <c r="I20" s="896">
        <f t="shared" si="21"/>
        <v>32579.57142857142</v>
      </c>
      <c r="K20" s="889"/>
      <c r="L20" s="889"/>
      <c r="M20" s="889"/>
      <c r="N20" s="889"/>
      <c r="O20" s="889"/>
      <c r="P20" s="889"/>
      <c r="Q20" s="889"/>
      <c r="S20" s="889"/>
      <c r="T20" s="889"/>
      <c r="U20" s="889"/>
      <c r="W20" s="889"/>
      <c r="X20" s="889"/>
      <c r="Y20" s="889"/>
    </row>
    <row r="21" spans="1:25" x14ac:dyDescent="0.25">
      <c r="A21" s="892" t="str">
        <f t="shared" si="20"/>
        <v>4 PLAZA NORTE</v>
      </c>
      <c r="B21" s="902">
        <f t="shared" ref="B21:I21" si="22">+B12-B3</f>
        <v>2520</v>
      </c>
      <c r="C21" s="902">
        <f t="shared" si="22"/>
        <v>2430</v>
      </c>
      <c r="D21" s="902">
        <f t="shared" si="22"/>
        <v>2407.7142857142826</v>
      </c>
      <c r="E21" s="902">
        <f t="shared" si="22"/>
        <v>2377.7142857142826</v>
      </c>
      <c r="F21" s="902">
        <f t="shared" si="22"/>
        <v>2346.4285714285652</v>
      </c>
      <c r="G21" s="902">
        <f t="shared" si="22"/>
        <v>2315.1428571428623</v>
      </c>
      <c r="H21" s="902">
        <f t="shared" si="22"/>
        <v>2471.5714285714275</v>
      </c>
      <c r="I21" s="898">
        <f t="shared" si="22"/>
        <v>16868.57142857142</v>
      </c>
      <c r="K21" s="889"/>
      <c r="L21" s="889"/>
      <c r="M21" s="889"/>
      <c r="N21" s="889"/>
      <c r="O21" s="889"/>
      <c r="P21" s="889"/>
      <c r="Q21" s="889"/>
      <c r="S21" s="889"/>
      <c r="T21" s="889"/>
      <c r="U21" s="889"/>
      <c r="W21" s="889"/>
      <c r="X21" s="889"/>
      <c r="Y21" s="889"/>
    </row>
    <row r="22" spans="1:25" x14ac:dyDescent="0.25">
      <c r="A22" s="892" t="str">
        <f t="shared" si="20"/>
        <v>5 COSTANERA</v>
      </c>
      <c r="B22" s="902">
        <f t="shared" ref="B22:I22" si="23">+B13-B4</f>
        <v>0</v>
      </c>
      <c r="C22" s="902">
        <f t="shared" si="23"/>
        <v>0</v>
      </c>
      <c r="D22" s="902">
        <f t="shared" si="23"/>
        <v>0</v>
      </c>
      <c r="E22" s="902">
        <f t="shared" si="23"/>
        <v>0</v>
      </c>
      <c r="F22" s="902">
        <f t="shared" si="23"/>
        <v>0</v>
      </c>
      <c r="G22" s="902">
        <f t="shared" si="23"/>
        <v>0</v>
      </c>
      <c r="H22" s="902">
        <f t="shared" si="23"/>
        <v>0</v>
      </c>
      <c r="I22" s="898">
        <f t="shared" si="23"/>
        <v>0</v>
      </c>
      <c r="K22" s="889"/>
      <c r="L22" s="889"/>
      <c r="M22" s="889"/>
      <c r="N22" s="889"/>
      <c r="O22" s="889"/>
      <c r="P22" s="889"/>
      <c r="Q22" s="889"/>
      <c r="S22" s="889"/>
      <c r="T22" s="889"/>
      <c r="U22" s="889"/>
      <c r="W22" s="889"/>
      <c r="X22" s="889"/>
      <c r="Y22" s="889"/>
    </row>
    <row r="23" spans="1:25" x14ac:dyDescent="0.25">
      <c r="A23" s="892" t="str">
        <f t="shared" si="20"/>
        <v>6 RANCAGUA</v>
      </c>
      <c r="B23" s="902">
        <f t="shared" ref="B23:I23" si="24">+B14-B5</f>
        <v>0</v>
      </c>
      <c r="C23" s="902">
        <f t="shared" si="24"/>
        <v>0</v>
      </c>
      <c r="D23" s="902">
        <f t="shared" si="24"/>
        <v>0</v>
      </c>
      <c r="E23" s="902">
        <f t="shared" si="24"/>
        <v>0</v>
      </c>
      <c r="F23" s="902">
        <f t="shared" si="24"/>
        <v>0</v>
      </c>
      <c r="G23" s="902">
        <f t="shared" si="24"/>
        <v>0</v>
      </c>
      <c r="H23" s="902">
        <f t="shared" si="24"/>
        <v>0</v>
      </c>
      <c r="I23" s="898">
        <f t="shared" si="24"/>
        <v>0</v>
      </c>
      <c r="K23" s="889"/>
      <c r="L23" s="889"/>
      <c r="M23" s="889"/>
      <c r="N23" s="889"/>
      <c r="O23" s="889"/>
      <c r="P23" s="889"/>
      <c r="Q23" s="889"/>
      <c r="S23" s="889"/>
      <c r="T23" s="889"/>
      <c r="U23" s="889"/>
      <c r="W23" s="889"/>
      <c r="X23" s="889"/>
      <c r="Y23" s="889"/>
    </row>
    <row r="24" spans="1:25" x14ac:dyDescent="0.25">
      <c r="A24" s="892" t="str">
        <f t="shared" si="20"/>
        <v>7 CURICO</v>
      </c>
      <c r="B24" s="902">
        <f t="shared" ref="B24:I24" si="25">+B15-B6</f>
        <v>0</v>
      </c>
      <c r="C24" s="902">
        <f t="shared" si="25"/>
        <v>0</v>
      </c>
      <c r="D24" s="902">
        <f t="shared" si="25"/>
        <v>0</v>
      </c>
      <c r="E24" s="902">
        <f t="shared" si="25"/>
        <v>0</v>
      </c>
      <c r="F24" s="902">
        <f t="shared" si="25"/>
        <v>0</v>
      </c>
      <c r="G24" s="902">
        <f t="shared" si="25"/>
        <v>0</v>
      </c>
      <c r="H24" s="902">
        <f t="shared" si="25"/>
        <v>0</v>
      </c>
      <c r="I24" s="898">
        <f t="shared" si="25"/>
        <v>0</v>
      </c>
      <c r="K24" s="889"/>
      <c r="L24" s="889"/>
      <c r="M24" s="889"/>
      <c r="N24" s="889"/>
      <c r="O24" s="889"/>
      <c r="P24" s="889"/>
      <c r="Q24" s="889"/>
      <c r="S24" s="889"/>
      <c r="T24" s="889"/>
      <c r="U24" s="889"/>
      <c r="W24" s="889"/>
      <c r="X24" s="889"/>
      <c r="Y24" s="889"/>
    </row>
    <row r="25" spans="1:25" x14ac:dyDescent="0.25">
      <c r="A25" s="892" t="str">
        <f t="shared" si="20"/>
        <v xml:space="preserve">8 TREBOL </v>
      </c>
      <c r="B25" s="902">
        <f t="shared" ref="B25:I25" si="26">+B16-B7</f>
        <v>0</v>
      </c>
      <c r="C25" s="902">
        <f t="shared" si="26"/>
        <v>0</v>
      </c>
      <c r="D25" s="902">
        <f t="shared" si="26"/>
        <v>0</v>
      </c>
      <c r="E25" s="902">
        <f t="shared" si="26"/>
        <v>0</v>
      </c>
      <c r="F25" s="902">
        <f t="shared" si="26"/>
        <v>0</v>
      </c>
      <c r="G25" s="902">
        <f t="shared" si="26"/>
        <v>0</v>
      </c>
      <c r="H25" s="902">
        <f t="shared" si="26"/>
        <v>0</v>
      </c>
      <c r="I25" s="898">
        <f t="shared" si="26"/>
        <v>0</v>
      </c>
      <c r="K25" s="889"/>
      <c r="L25" s="889"/>
      <c r="M25" s="889"/>
      <c r="N25" s="889"/>
      <c r="O25" s="889"/>
      <c r="P25" s="889"/>
      <c r="Q25" s="889"/>
      <c r="S25" s="889"/>
      <c r="T25" s="889"/>
      <c r="U25" s="889"/>
      <c r="W25" s="889"/>
      <c r="X25" s="889"/>
      <c r="Y25" s="889"/>
    </row>
    <row r="26" spans="1:25" x14ac:dyDescent="0.25">
      <c r="A26" s="892" t="str">
        <f t="shared" si="20"/>
        <v>9 CONCEPCION</v>
      </c>
      <c r="B26" s="902">
        <f t="shared" ref="B26:I26" si="27">+B17-B8</f>
        <v>0</v>
      </c>
      <c r="C26" s="902">
        <f t="shared" si="27"/>
        <v>0</v>
      </c>
      <c r="D26" s="902">
        <f t="shared" si="27"/>
        <v>0</v>
      </c>
      <c r="E26" s="902">
        <f t="shared" si="27"/>
        <v>0</v>
      </c>
      <c r="F26" s="902">
        <f t="shared" si="27"/>
        <v>0</v>
      </c>
      <c r="G26" s="902">
        <f t="shared" si="27"/>
        <v>0</v>
      </c>
      <c r="H26" s="902">
        <f t="shared" si="27"/>
        <v>0</v>
      </c>
      <c r="I26" s="898">
        <f t="shared" si="27"/>
        <v>0</v>
      </c>
      <c r="K26" s="889"/>
      <c r="L26" s="889"/>
      <c r="M26" s="889"/>
      <c r="N26" s="889"/>
      <c r="O26" s="889"/>
      <c r="P26" s="889"/>
      <c r="Q26" s="889"/>
      <c r="S26" s="889"/>
      <c r="T26" s="889"/>
      <c r="U26" s="889"/>
      <c r="W26" s="889"/>
      <c r="X26" s="889"/>
      <c r="Y26" s="889"/>
    </row>
    <row r="27" spans="1:25" x14ac:dyDescent="0.25">
      <c r="A27" s="893" t="str">
        <f t="shared" si="20"/>
        <v>10 PUERTO MONTT</v>
      </c>
      <c r="B27" s="903">
        <f t="shared" ref="B27:I27" si="28">+B18-B9</f>
        <v>0</v>
      </c>
      <c r="C27" s="903">
        <f t="shared" si="28"/>
        <v>0</v>
      </c>
      <c r="D27" s="903">
        <f t="shared" si="28"/>
        <v>0</v>
      </c>
      <c r="E27" s="903">
        <f t="shared" si="28"/>
        <v>0</v>
      </c>
      <c r="F27" s="903">
        <f t="shared" si="28"/>
        <v>0</v>
      </c>
      <c r="G27" s="903">
        <f t="shared" si="28"/>
        <v>0</v>
      </c>
      <c r="H27" s="903">
        <f t="shared" si="28"/>
        <v>0</v>
      </c>
      <c r="I27" s="900">
        <f t="shared" si="28"/>
        <v>0</v>
      </c>
      <c r="K27" s="889"/>
      <c r="L27" s="889"/>
      <c r="M27" s="889"/>
      <c r="N27" s="889"/>
      <c r="O27" s="889"/>
      <c r="P27" s="889"/>
      <c r="Q27" s="889"/>
      <c r="S27" s="889"/>
      <c r="T27" s="889"/>
      <c r="U27" s="889"/>
    </row>
  </sheetData>
  <pageMargins left="0.7" right="0.7" top="0.75" bottom="0.75" header="0.3" footer="0.3"/>
  <ignoredErrors>
    <ignoredError sqref="K8:Q8 B17:H17"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7</vt:i4>
      </vt:variant>
    </vt:vector>
  </HeadingPairs>
  <TitlesOfParts>
    <vt:vector size="30" baseType="lpstr">
      <vt:lpstr>Registros</vt:lpstr>
      <vt:lpstr>MOSTRAR</vt:lpstr>
      <vt:lpstr>multas falabella</vt:lpstr>
      <vt:lpstr>CCF</vt:lpstr>
      <vt:lpstr>PLAN</vt:lpstr>
      <vt:lpstr>RUTA</vt:lpstr>
      <vt:lpstr>CARTOLA</vt:lpstr>
      <vt:lpstr>iquique</vt:lpstr>
      <vt:lpstr>DIRECTOR</vt:lpstr>
      <vt:lpstr>Data</vt:lpstr>
      <vt:lpstr>Pago abr 25</vt:lpstr>
      <vt:lpstr>REUNION</vt:lpstr>
      <vt:lpstr>Plenaria Concepcion</vt:lpstr>
      <vt:lpstr>VIATICOS</vt:lpstr>
      <vt:lpstr>GASTODIR</vt:lpstr>
      <vt:lpstr>RENDICION</vt:lpstr>
      <vt:lpstr>APORTE</vt:lpstr>
      <vt:lpstr>PLENARIA</vt:lpstr>
      <vt:lpstr>SOCIOS</vt:lpstr>
      <vt:lpstr>CHEQUE</vt:lpstr>
      <vt:lpstr>BOLETAS</vt:lpstr>
      <vt:lpstr>depositos</vt:lpstr>
      <vt:lpstr>DEUDAS</vt:lpstr>
      <vt:lpstr>CARTOLA!Área_de_impresión</vt:lpstr>
      <vt:lpstr>CHEQUE!Área_de_impresión</vt:lpstr>
      <vt:lpstr>DIRECTOR!Área_de_impresión</vt:lpstr>
      <vt:lpstr>GASTODIR!Área_de_impresión</vt:lpstr>
      <vt:lpstr>PLAN!Área_de_impresión</vt:lpstr>
      <vt:lpstr>REUNION!Área_de_impresión</vt:lpstr>
      <vt:lpstr>RUTA!Área_de_impresión</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gabriel torres fuentes</dc:creator>
  <cp:lastModifiedBy>christian torres fuentes</cp:lastModifiedBy>
  <cp:lastPrinted>2025-02-20T22:05:50Z</cp:lastPrinted>
  <dcterms:created xsi:type="dcterms:W3CDTF">2023-03-17T00:55:44Z</dcterms:created>
  <dcterms:modified xsi:type="dcterms:W3CDTF">2025-11-28T16:17:06Z</dcterms:modified>
</cp:coreProperties>
</file>