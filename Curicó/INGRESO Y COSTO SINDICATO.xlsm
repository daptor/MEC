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OneDrive\Escritorio\SINTRAFACUR 2023\2 Tesorera\"/>
    </mc:Choice>
  </mc:AlternateContent>
  <xr:revisionPtr revIDLastSave="0" documentId="13_ncr:1_{07535245-0690-4CBC-8623-2F7227F254BF}" xr6:coauthVersionLast="47" xr6:coauthVersionMax="47" xr10:uidLastSave="{00000000-0000-0000-0000-000000000000}"/>
  <bookViews>
    <workbookView xWindow="-120" yWindow="-120" windowWidth="20730" windowHeight="11310" tabRatio="853" xr2:uid="{00000000-000D-0000-FFFF-FFFF00000000}"/>
  </bookViews>
  <sheets>
    <sheet name="Registro" sheetId="1" r:id="rId1"/>
    <sheet name="Ingreso24" sheetId="20" state="hidden" r:id="rId2"/>
    <sheet name="Ingreso23" sheetId="3" state="hidden" r:id="rId3"/>
    <sheet name="Director24" sheetId="21" state="hidden" r:id="rId4"/>
    <sheet name="Director23" sheetId="4" state="hidden" r:id="rId5"/>
    <sheet name="Gasto24" sheetId="22" state="hidden" r:id="rId6"/>
    <sheet name="Gasto23" sheetId="5" state="hidden" r:id="rId7"/>
    <sheet name="2017" sheetId="6" state="hidden" r:id="rId8"/>
    <sheet name="2018" sheetId="7" state="hidden" r:id="rId9"/>
    <sheet name="2019" sheetId="8" state="hidden" r:id="rId10"/>
    <sheet name="2020" sheetId="9" state="hidden" r:id="rId11"/>
    <sheet name="2021" sheetId="10" state="hidden" r:id="rId12"/>
    <sheet name="2022" sheetId="11" state="hidden" r:id="rId13"/>
    <sheet name="2023" sheetId="16" state="hidden" r:id="rId14"/>
    <sheet name="2024" sheetId="19" state="hidden" r:id="rId15"/>
    <sheet name="Ingreso25" sheetId="23" r:id="rId16"/>
    <sheet name="Director25" sheetId="24" r:id="rId17"/>
    <sheet name="Gasto25" sheetId="25" r:id="rId18"/>
    <sheet name="2025" sheetId="26" r:id="rId19"/>
    <sheet name="CONTEO" sheetId="12" r:id="rId20"/>
    <sheet name="ARQUEO" sheetId="13" r:id="rId21"/>
    <sheet name="RESUMEN" sheetId="14" r:id="rId22"/>
    <sheet name="Cuota" sheetId="18" state="hidden" r:id="rId23"/>
    <sheet name="Gasto Plenaria" sheetId="15" state="hidden" r:id="rId24"/>
  </sheets>
  <definedNames>
    <definedName name="_xlnm.Print_Area" localSheetId="7">'2017'!$A$1:$O$32</definedName>
    <definedName name="_xlnm.Print_Area" localSheetId="9">'2019'!$A$1:$O$32</definedName>
    <definedName name="_xlnm.Print_Area" localSheetId="10">'2020'!$A$1:$O$32</definedName>
    <definedName name="_xlnm.Print_Area" localSheetId="11">'2021'!$A$1:$O$32</definedName>
    <definedName name="_xlnm.Print_Area" localSheetId="12">'2022'!$A$1:$O$33</definedName>
    <definedName name="_xlnm.Print_Area" localSheetId="13">'2023'!$A$1:$O$33</definedName>
    <definedName name="_xlnm.Print_Area" localSheetId="14">'2024'!$A$1:$O$33</definedName>
    <definedName name="_xlnm.Print_Area" localSheetId="18">'2025'!$A$1:$O$33</definedName>
    <definedName name="_xlnm.Print_Area" localSheetId="20">ARQUEO!$A$1:$K$47</definedName>
    <definedName name="_xlnm.Print_Area" localSheetId="4">Director23!$B$1:$H$16</definedName>
    <definedName name="_xlnm.Print_Area" localSheetId="3">Director24!$B$1:$H$16</definedName>
    <definedName name="_xlnm.Print_Area" localSheetId="16">Director25!$B$1:$H$5</definedName>
    <definedName name="_xlnm.Print_Area" localSheetId="2">Ingreso23!$B$1:$G$16</definedName>
    <definedName name="_xlnm.Print_Area" localSheetId="1">Ingreso24!$B$1:$G$16</definedName>
    <definedName name="_xlnm.Print_Area" localSheetId="15">Ingreso25!$B$1:$G$5</definedName>
    <definedName name="_xlnm.Print_Area" localSheetId="0">Registro!$B$1:$R$18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1" l="1"/>
  <c r="J15" i="1"/>
  <c r="D18" i="1"/>
  <c r="D17" i="1"/>
  <c r="D16" i="1"/>
  <c r="D15" i="1"/>
  <c r="I28" i="26"/>
  <c r="H28" i="26"/>
  <c r="G28" i="26"/>
  <c r="F28" i="26"/>
  <c r="E28" i="26"/>
  <c r="D28" i="26"/>
  <c r="C28" i="26"/>
  <c r="B28" i="26"/>
  <c r="B14" i="26"/>
  <c r="N14" i="26" s="1"/>
  <c r="C21" i="26"/>
  <c r="D21" i="26"/>
  <c r="E21" i="26"/>
  <c r="F21" i="26"/>
  <c r="G21" i="26"/>
  <c r="H21" i="26"/>
  <c r="I21" i="26"/>
  <c r="J21" i="26"/>
  <c r="K21" i="26"/>
  <c r="L21" i="26"/>
  <c r="M21" i="26"/>
  <c r="B21" i="26"/>
  <c r="O28" i="26"/>
  <c r="M14" i="19"/>
  <c r="J4" i="14"/>
  <c r="J2" i="12"/>
  <c r="M13" i="26"/>
  <c r="C13" i="26"/>
  <c r="D13" i="26"/>
  <c r="E13" i="26"/>
  <c r="F13" i="26"/>
  <c r="G13" i="26"/>
  <c r="H13" i="26"/>
  <c r="I13" i="26"/>
  <c r="J13" i="26"/>
  <c r="K13" i="26"/>
  <c r="L13" i="26"/>
  <c r="C7" i="26"/>
  <c r="D7" i="26"/>
  <c r="E7" i="26"/>
  <c r="F7" i="26"/>
  <c r="G7" i="26"/>
  <c r="H7" i="26"/>
  <c r="I7" i="26"/>
  <c r="J7" i="26"/>
  <c r="K7" i="26"/>
  <c r="L7" i="26"/>
  <c r="M7" i="26"/>
  <c r="B13" i="26"/>
  <c r="B7" i="26"/>
  <c r="C5" i="26"/>
  <c r="D5" i="26"/>
  <c r="E5" i="26"/>
  <c r="F5" i="26"/>
  <c r="G5" i="26"/>
  <c r="H5" i="26"/>
  <c r="I5" i="26"/>
  <c r="J5" i="26"/>
  <c r="K5" i="26"/>
  <c r="L5" i="26"/>
  <c r="M5" i="26"/>
  <c r="S37" i="26"/>
  <c r="S30" i="26"/>
  <c r="M30" i="26"/>
  <c r="L30" i="26"/>
  <c r="K30" i="26"/>
  <c r="J30" i="26"/>
  <c r="I30" i="26"/>
  <c r="S29" i="26"/>
  <c r="S28" i="26"/>
  <c r="M28" i="26"/>
  <c r="L28" i="26"/>
  <c r="K28" i="26"/>
  <c r="J28" i="26"/>
  <c r="S27" i="26"/>
  <c r="S26" i="26"/>
  <c r="S25" i="26"/>
  <c r="M25" i="26"/>
  <c r="M27" i="26" s="1"/>
  <c r="L25" i="26"/>
  <c r="K25" i="26"/>
  <c r="J25" i="26"/>
  <c r="I25" i="26"/>
  <c r="H25" i="26"/>
  <c r="G25" i="26"/>
  <c r="F25" i="26"/>
  <c r="E25" i="26"/>
  <c r="D25" i="26"/>
  <c r="C25" i="26"/>
  <c r="B25" i="26"/>
  <c r="S24" i="26"/>
  <c r="N24" i="26"/>
  <c r="S23" i="26"/>
  <c r="N23" i="26"/>
  <c r="S22" i="26"/>
  <c r="N22" i="26"/>
  <c r="O25" i="26" s="1"/>
  <c r="M19" i="26"/>
  <c r="M26" i="26" s="1"/>
  <c r="K19" i="26"/>
  <c r="I19" i="26"/>
  <c r="E19" i="26"/>
  <c r="C19" i="26"/>
  <c r="N18" i="26"/>
  <c r="N17" i="26"/>
  <c r="N16" i="26"/>
  <c r="N15" i="26"/>
  <c r="L19" i="26"/>
  <c r="J19" i="26"/>
  <c r="H19" i="26"/>
  <c r="G19" i="26"/>
  <c r="F19" i="26"/>
  <c r="D19" i="26"/>
  <c r="M11" i="26"/>
  <c r="L11" i="26"/>
  <c r="K11" i="26"/>
  <c r="J11" i="26"/>
  <c r="I11" i="26"/>
  <c r="H11" i="26"/>
  <c r="G11" i="26"/>
  <c r="F11" i="26"/>
  <c r="E11" i="26"/>
  <c r="D11" i="26"/>
  <c r="C11" i="26"/>
  <c r="B11" i="26"/>
  <c r="N10" i="26"/>
  <c r="N9" i="26"/>
  <c r="N8" i="26"/>
  <c r="B5" i="26"/>
  <c r="N4" i="26"/>
  <c r="N3" i="26"/>
  <c r="N2" i="26"/>
  <c r="I6" i="25"/>
  <c r="H6" i="25"/>
  <c r="G6" i="25"/>
  <c r="F6" i="25"/>
  <c r="E6" i="25"/>
  <c r="D6" i="25"/>
  <c r="H5" i="24"/>
  <c r="G5" i="24"/>
  <c r="F5" i="24"/>
  <c r="E5" i="24"/>
  <c r="D5" i="24"/>
  <c r="C5" i="24"/>
  <c r="G5" i="23"/>
  <c r="F5" i="23"/>
  <c r="E5" i="23"/>
  <c r="D5" i="23"/>
  <c r="C5" i="23"/>
  <c r="S37" i="19"/>
  <c r="S30" i="19"/>
  <c r="S29" i="19"/>
  <c r="S28" i="19"/>
  <c r="S27" i="19"/>
  <c r="S26" i="19"/>
  <c r="S25" i="19"/>
  <c r="S24" i="19"/>
  <c r="S23" i="19"/>
  <c r="S22" i="19"/>
  <c r="L16" i="19"/>
  <c r="L14" i="19"/>
  <c r="N19" i="26" l="1"/>
  <c r="N5" i="26"/>
  <c r="O5" i="26"/>
  <c r="J2" i="14" s="1"/>
  <c r="H1" i="25"/>
  <c r="D1" i="24"/>
  <c r="G1" i="24"/>
  <c r="F1" i="23"/>
  <c r="S31" i="26"/>
  <c r="R39" i="26" s="1"/>
  <c r="D26" i="26"/>
  <c r="H26" i="26"/>
  <c r="L26" i="26"/>
  <c r="I26" i="26"/>
  <c r="I27" i="26" s="1"/>
  <c r="N11" i="26"/>
  <c r="O11" i="26"/>
  <c r="J3" i="14" s="1"/>
  <c r="K26" i="26"/>
  <c r="K27" i="26" s="1"/>
  <c r="F26" i="26"/>
  <c r="F27" i="26" s="1"/>
  <c r="J26" i="26"/>
  <c r="J27" i="26" s="1"/>
  <c r="C26" i="26"/>
  <c r="C27" i="26" s="1"/>
  <c r="G26" i="26"/>
  <c r="G27" i="26" s="1"/>
  <c r="E26" i="26"/>
  <c r="E27" i="26" s="1"/>
  <c r="D27" i="26"/>
  <c r="H27" i="26"/>
  <c r="L27" i="26"/>
  <c r="B19" i="26"/>
  <c r="N25" i="26"/>
  <c r="J5" i="14" s="1"/>
  <c r="S31" i="19"/>
  <c r="R39" i="19" s="1"/>
  <c r="K83" i="13"/>
  <c r="G83" i="13"/>
  <c r="O100" i="13"/>
  <c r="O99" i="13"/>
  <c r="O98" i="13"/>
  <c r="O97" i="13"/>
  <c r="K25" i="19"/>
  <c r="K14" i="19"/>
  <c r="M28" i="19"/>
  <c r="L28" i="19"/>
  <c r="K28" i="19"/>
  <c r="J28" i="19"/>
  <c r="J14" i="19"/>
  <c r="D7" i="1"/>
  <c r="O31" i="26" l="1"/>
  <c r="J8" i="14" s="1"/>
  <c r="B26" i="26"/>
  <c r="O19" i="26"/>
  <c r="O26" i="26" s="1"/>
  <c r="J3" i="12" s="1"/>
  <c r="J4" i="12" s="1"/>
  <c r="O101" i="13"/>
  <c r="I14" i="19"/>
  <c r="N26" i="26" l="1"/>
  <c r="J6" i="14" s="1"/>
  <c r="J7" i="14" s="1"/>
  <c r="B27" i="26"/>
  <c r="H14" i="19"/>
  <c r="N27" i="26" l="1"/>
  <c r="O27" i="26"/>
  <c r="O29" i="26" s="1"/>
  <c r="O30" i="26" s="1"/>
  <c r="G14" i="19"/>
  <c r="F14" i="19" l="1"/>
  <c r="E14" i="19" l="1"/>
  <c r="H30" i="19" l="1"/>
  <c r="I30" i="19"/>
  <c r="J30" i="19"/>
  <c r="K30" i="19"/>
  <c r="L30" i="19"/>
  <c r="M30" i="19"/>
  <c r="D14" i="19" l="1"/>
  <c r="I5" i="21"/>
  <c r="I47" i="22" l="1"/>
  <c r="H47" i="22"/>
  <c r="G47" i="22"/>
  <c r="F47" i="22"/>
  <c r="E47" i="22"/>
  <c r="D47" i="22"/>
  <c r="H16" i="21"/>
  <c r="G16" i="21"/>
  <c r="F16" i="21"/>
  <c r="E16" i="21"/>
  <c r="D16" i="21"/>
  <c r="C16" i="21"/>
  <c r="I4" i="21"/>
  <c r="G16" i="20"/>
  <c r="F16" i="20"/>
  <c r="E16" i="20"/>
  <c r="D16" i="20"/>
  <c r="C16" i="20"/>
  <c r="I4" i="14"/>
  <c r="C14" i="19"/>
  <c r="B14" i="19"/>
  <c r="B19" i="19" s="1"/>
  <c r="E18" i="1"/>
  <c r="I28" i="19"/>
  <c r="H28" i="19"/>
  <c r="G28" i="19"/>
  <c r="G30" i="19" s="1"/>
  <c r="F28" i="19"/>
  <c r="F30" i="19" s="1"/>
  <c r="E28" i="19"/>
  <c r="E30" i="19" s="1"/>
  <c r="D28" i="19"/>
  <c r="D30" i="19" s="1"/>
  <c r="C28" i="19"/>
  <c r="C30" i="19" s="1"/>
  <c r="B28" i="19"/>
  <c r="B30" i="19" s="1"/>
  <c r="M25" i="19"/>
  <c r="L25" i="19"/>
  <c r="J25" i="19"/>
  <c r="I25" i="19"/>
  <c r="H25" i="19"/>
  <c r="G25" i="19"/>
  <c r="F25" i="19"/>
  <c r="E25" i="19"/>
  <c r="D25" i="19"/>
  <c r="C25" i="19"/>
  <c r="B25" i="19"/>
  <c r="N24" i="19"/>
  <c r="N23" i="19"/>
  <c r="N22" i="19"/>
  <c r="M19" i="19"/>
  <c r="K19" i="19"/>
  <c r="I19" i="19"/>
  <c r="G19" i="19"/>
  <c r="F19" i="19"/>
  <c r="E19" i="19"/>
  <c r="D19" i="19"/>
  <c r="N18" i="19"/>
  <c r="N17" i="19"/>
  <c r="N16" i="19"/>
  <c r="N15" i="19"/>
  <c r="L19" i="19"/>
  <c r="J19" i="19"/>
  <c r="H19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N10" i="19"/>
  <c r="N9" i="19"/>
  <c r="N8" i="19"/>
  <c r="M5" i="19"/>
  <c r="L5" i="19"/>
  <c r="K5" i="19"/>
  <c r="J5" i="19"/>
  <c r="I5" i="19"/>
  <c r="H5" i="19"/>
  <c r="G5" i="19"/>
  <c r="F5" i="19"/>
  <c r="E5" i="19"/>
  <c r="B5" i="19"/>
  <c r="N4" i="19"/>
  <c r="N3" i="19"/>
  <c r="D5" i="19"/>
  <c r="C5" i="19"/>
  <c r="W130" i="13"/>
  <c r="S130" i="13"/>
  <c r="O130" i="13"/>
  <c r="K130" i="13"/>
  <c r="G130" i="13"/>
  <c r="C130" i="13"/>
  <c r="W129" i="13"/>
  <c r="S129" i="13"/>
  <c r="O129" i="13"/>
  <c r="K129" i="13"/>
  <c r="G129" i="13"/>
  <c r="C129" i="13"/>
  <c r="W128" i="13"/>
  <c r="S128" i="13"/>
  <c r="O128" i="13"/>
  <c r="K128" i="13"/>
  <c r="G128" i="13"/>
  <c r="C128" i="13"/>
  <c r="W127" i="13"/>
  <c r="S127" i="13"/>
  <c r="O127" i="13"/>
  <c r="K127" i="13"/>
  <c r="G127" i="13"/>
  <c r="C127" i="13"/>
  <c r="W126" i="13"/>
  <c r="S126" i="13"/>
  <c r="O126" i="13"/>
  <c r="K126" i="13"/>
  <c r="G126" i="13"/>
  <c r="C126" i="13"/>
  <c r="W125" i="13"/>
  <c r="S125" i="13"/>
  <c r="O125" i="13"/>
  <c r="K125" i="13"/>
  <c r="G125" i="13"/>
  <c r="C125" i="13"/>
  <c r="W124" i="13"/>
  <c r="S124" i="13"/>
  <c r="O124" i="13"/>
  <c r="K124" i="13"/>
  <c r="G124" i="13"/>
  <c r="C124" i="13"/>
  <c r="W123" i="13"/>
  <c r="S123" i="13"/>
  <c r="O123" i="13"/>
  <c r="K123" i="13"/>
  <c r="G123" i="13"/>
  <c r="C123" i="13"/>
  <c r="W122" i="13"/>
  <c r="W131" i="13" s="1"/>
  <c r="S122" i="13"/>
  <c r="O122" i="13"/>
  <c r="K122" i="13"/>
  <c r="K131" i="13" s="1"/>
  <c r="G122" i="13"/>
  <c r="G131" i="13" s="1"/>
  <c r="C122" i="13"/>
  <c r="W112" i="13"/>
  <c r="S112" i="13"/>
  <c r="O112" i="13"/>
  <c r="K112" i="13"/>
  <c r="G112" i="13"/>
  <c r="C112" i="13"/>
  <c r="W111" i="13"/>
  <c r="S111" i="13"/>
  <c r="O111" i="13"/>
  <c r="K111" i="13"/>
  <c r="G111" i="13"/>
  <c r="C111" i="13"/>
  <c r="W110" i="13"/>
  <c r="S110" i="13"/>
  <c r="O110" i="13"/>
  <c r="K110" i="13"/>
  <c r="G110" i="13"/>
  <c r="C110" i="13"/>
  <c r="W109" i="13"/>
  <c r="S109" i="13"/>
  <c r="O109" i="13"/>
  <c r="K109" i="13"/>
  <c r="G109" i="13"/>
  <c r="C109" i="13"/>
  <c r="W108" i="13"/>
  <c r="S108" i="13"/>
  <c r="O108" i="13"/>
  <c r="K108" i="13"/>
  <c r="G108" i="13"/>
  <c r="C108" i="13"/>
  <c r="W107" i="13"/>
  <c r="S107" i="13"/>
  <c r="O107" i="13"/>
  <c r="K107" i="13"/>
  <c r="G107" i="13"/>
  <c r="C107" i="13"/>
  <c r="W106" i="13"/>
  <c r="S106" i="13"/>
  <c r="O106" i="13"/>
  <c r="K106" i="13"/>
  <c r="G106" i="13"/>
  <c r="C106" i="13"/>
  <c r="W105" i="13"/>
  <c r="S105" i="13"/>
  <c r="O105" i="13"/>
  <c r="K105" i="13"/>
  <c r="G105" i="13"/>
  <c r="C105" i="13"/>
  <c r="W104" i="13"/>
  <c r="S104" i="13"/>
  <c r="S113" i="13" s="1"/>
  <c r="O104" i="13"/>
  <c r="O113" i="13" s="1"/>
  <c r="K104" i="13"/>
  <c r="G104" i="13"/>
  <c r="C104" i="13"/>
  <c r="C113" i="13" s="1"/>
  <c r="L14" i="16"/>
  <c r="L16" i="16"/>
  <c r="I11" i="4"/>
  <c r="S37" i="16"/>
  <c r="K14" i="16"/>
  <c r="J14" i="16"/>
  <c r="I3" i="4"/>
  <c r="I4" i="4"/>
  <c r="I5" i="4"/>
  <c r="I6" i="4"/>
  <c r="I7" i="4"/>
  <c r="I8" i="4"/>
  <c r="I9" i="4"/>
  <c r="I10" i="4"/>
  <c r="I14" i="16"/>
  <c r="E5" i="16"/>
  <c r="F5" i="16"/>
  <c r="G5" i="16"/>
  <c r="H5" i="16"/>
  <c r="I5" i="16"/>
  <c r="J5" i="16"/>
  <c r="K5" i="16"/>
  <c r="L5" i="16"/>
  <c r="M5" i="16"/>
  <c r="H14" i="16"/>
  <c r="D34" i="5"/>
  <c r="E14" i="16"/>
  <c r="E25" i="16"/>
  <c r="H1" i="22" l="1"/>
  <c r="G113" i="13"/>
  <c r="W113" i="13"/>
  <c r="O131" i="13"/>
  <c r="N14" i="19"/>
  <c r="N19" i="19" s="1"/>
  <c r="K113" i="13"/>
  <c r="C131" i="13"/>
  <c r="S131" i="13"/>
  <c r="O25" i="19"/>
  <c r="I2" i="12" s="1"/>
  <c r="F1" i="20"/>
  <c r="G1" i="21"/>
  <c r="D1" i="21"/>
  <c r="O5" i="19"/>
  <c r="I2" i="14" s="1"/>
  <c r="I26" i="19"/>
  <c r="I27" i="19" s="1"/>
  <c r="M26" i="19"/>
  <c r="M27" i="19" s="1"/>
  <c r="N11" i="19"/>
  <c r="O11" i="19"/>
  <c r="I3" i="14" s="1"/>
  <c r="F26" i="19"/>
  <c r="F27" i="19" s="1"/>
  <c r="H26" i="19"/>
  <c r="H27" i="19" s="1"/>
  <c r="J26" i="19"/>
  <c r="J27" i="19" s="1"/>
  <c r="L26" i="19"/>
  <c r="L27" i="19" s="1"/>
  <c r="E26" i="19"/>
  <c r="E27" i="19" s="1"/>
  <c r="G26" i="19"/>
  <c r="G27" i="19" s="1"/>
  <c r="K26" i="19"/>
  <c r="K27" i="19" s="1"/>
  <c r="D26" i="19"/>
  <c r="D27" i="19" s="1"/>
  <c r="N2" i="19"/>
  <c r="N5" i="19" s="1"/>
  <c r="C19" i="19"/>
  <c r="B26" i="19"/>
  <c r="N25" i="19"/>
  <c r="I5" i="14" s="1"/>
  <c r="D2" i="16"/>
  <c r="D5" i="16" s="1"/>
  <c r="L4" i="12" l="1"/>
  <c r="O31" i="19"/>
  <c r="C26" i="19"/>
  <c r="C27" i="19" s="1"/>
  <c r="O19" i="19"/>
  <c r="O26" i="19" s="1"/>
  <c r="I3" i="12" s="1"/>
  <c r="I4" i="12" s="1"/>
  <c r="B27" i="19"/>
  <c r="O10" i="18"/>
  <c r="O11" i="18"/>
  <c r="O12" i="18"/>
  <c r="C13" i="18"/>
  <c r="C15" i="18" s="1"/>
  <c r="D13" i="18"/>
  <c r="D15" i="18" s="1"/>
  <c r="E13" i="18"/>
  <c r="E15" i="18" s="1"/>
  <c r="F13" i="18"/>
  <c r="F15" i="18" s="1"/>
  <c r="G13" i="18"/>
  <c r="G15" i="18" s="1"/>
  <c r="H13" i="18"/>
  <c r="I13" i="18"/>
  <c r="J13" i="18"/>
  <c r="J15" i="18" s="1"/>
  <c r="K13" i="18"/>
  <c r="K15" i="18" s="1"/>
  <c r="L13" i="18"/>
  <c r="L15" i="18" s="1"/>
  <c r="M13" i="18"/>
  <c r="M15" i="18" s="1"/>
  <c r="N13" i="18"/>
  <c r="N15" i="18" s="1"/>
  <c r="O14" i="18"/>
  <c r="H15" i="18"/>
  <c r="I15" i="18"/>
  <c r="I8" i="14" l="1"/>
  <c r="N26" i="19"/>
  <c r="I6" i="14" s="1"/>
  <c r="I7" i="14" s="1"/>
  <c r="O13" i="18"/>
  <c r="P15" i="18" s="1"/>
  <c r="C14" i="16"/>
  <c r="C2" i="16"/>
  <c r="C5" i="16" s="1"/>
  <c r="N27" i="19" l="1"/>
  <c r="O27" i="19"/>
  <c r="O15" i="18"/>
  <c r="C28" i="16" l="1"/>
  <c r="D28" i="16"/>
  <c r="E28" i="16"/>
  <c r="F28" i="16"/>
  <c r="G28" i="16"/>
  <c r="H28" i="16"/>
  <c r="I28" i="16"/>
  <c r="J28" i="16"/>
  <c r="K28" i="16"/>
  <c r="L28" i="16"/>
  <c r="M28" i="16"/>
  <c r="B28" i="16"/>
  <c r="G3" i="18"/>
  <c r="G4" i="18"/>
  <c r="G5" i="18"/>
  <c r="G6" i="18"/>
  <c r="B16" i="18"/>
  <c r="N16" i="18"/>
  <c r="M16" i="18"/>
  <c r="L16" i="18"/>
  <c r="K16" i="18"/>
  <c r="J16" i="18"/>
  <c r="I16" i="18"/>
  <c r="H16" i="18"/>
  <c r="G16" i="18"/>
  <c r="B6" i="18"/>
  <c r="B5" i="18"/>
  <c r="B4" i="18"/>
  <c r="C5" i="18"/>
  <c r="C4" i="18"/>
  <c r="N17" i="18" l="1"/>
  <c r="F16" i="18"/>
  <c r="F17" i="18" s="1"/>
  <c r="E16" i="18"/>
  <c r="E17" i="18" s="1"/>
  <c r="C16" i="18"/>
  <c r="C17" i="18" s="1"/>
  <c r="D16" i="18"/>
  <c r="D17" i="18" s="1"/>
  <c r="P17" i="18"/>
  <c r="C6" i="18"/>
  <c r="G17" i="18"/>
  <c r="M17" i="18"/>
  <c r="J17" i="18"/>
  <c r="K17" i="18"/>
  <c r="H17" i="18"/>
  <c r="L17" i="18"/>
  <c r="I17" i="18"/>
  <c r="B25" i="16"/>
  <c r="H4" i="14"/>
  <c r="M14" i="11"/>
  <c r="S30" i="16"/>
  <c r="S29" i="16"/>
  <c r="S28" i="16"/>
  <c r="S27" i="16"/>
  <c r="S26" i="16"/>
  <c r="S25" i="16"/>
  <c r="S24" i="16"/>
  <c r="S23" i="16"/>
  <c r="S22" i="16"/>
  <c r="M25" i="16"/>
  <c r="L25" i="16"/>
  <c r="K25" i="16"/>
  <c r="J25" i="16"/>
  <c r="I25" i="16"/>
  <c r="H25" i="16"/>
  <c r="G25" i="16"/>
  <c r="F25" i="16"/>
  <c r="D25" i="16"/>
  <c r="C25" i="16"/>
  <c r="N24" i="16"/>
  <c r="N23" i="16"/>
  <c r="N22" i="16"/>
  <c r="M19" i="16"/>
  <c r="M26" i="16" s="1"/>
  <c r="L19" i="16"/>
  <c r="K19" i="16"/>
  <c r="H19" i="16"/>
  <c r="G19" i="16"/>
  <c r="D19" i="16"/>
  <c r="C19" i="16"/>
  <c r="B19" i="16"/>
  <c r="N18" i="16"/>
  <c r="N17" i="16"/>
  <c r="N16" i="16"/>
  <c r="N15" i="16"/>
  <c r="J19" i="16"/>
  <c r="I19" i="16"/>
  <c r="F19" i="16"/>
  <c r="E19" i="16"/>
  <c r="M11" i="16"/>
  <c r="L11" i="16"/>
  <c r="L26" i="16" s="1"/>
  <c r="K11" i="16"/>
  <c r="J11" i="16"/>
  <c r="I11" i="16"/>
  <c r="G11" i="16"/>
  <c r="F11" i="16"/>
  <c r="E11" i="16"/>
  <c r="D11" i="16"/>
  <c r="C11" i="16"/>
  <c r="B11" i="16"/>
  <c r="N10" i="16"/>
  <c r="N9" i="16"/>
  <c r="N8" i="16"/>
  <c r="B5" i="16"/>
  <c r="N4" i="16"/>
  <c r="N3" i="16"/>
  <c r="N2" i="16"/>
  <c r="L27" i="16" l="1"/>
  <c r="M27" i="16"/>
  <c r="B17" i="18"/>
  <c r="R10" i="18" s="1"/>
  <c r="R15" i="18" s="1"/>
  <c r="N5" i="16"/>
  <c r="S31" i="16"/>
  <c r="R39" i="16" s="1"/>
  <c r="N25" i="16"/>
  <c r="H5" i="14" s="1"/>
  <c r="O25" i="16"/>
  <c r="H2" i="12" s="1"/>
  <c r="D26" i="16"/>
  <c r="D27" i="16" s="1"/>
  <c r="G26" i="16"/>
  <c r="G27" i="16" s="1"/>
  <c r="N11" i="16"/>
  <c r="E26" i="16"/>
  <c r="E27" i="16" s="1"/>
  <c r="I26" i="16"/>
  <c r="I27" i="16" s="1"/>
  <c r="O5" i="16"/>
  <c r="H2" i="14" s="1"/>
  <c r="B26" i="16"/>
  <c r="B27" i="16" s="1"/>
  <c r="F26" i="16"/>
  <c r="F27" i="16" s="1"/>
  <c r="J26" i="16"/>
  <c r="J27" i="16" s="1"/>
  <c r="C26" i="16"/>
  <c r="C27" i="16" s="1"/>
  <c r="K26" i="16"/>
  <c r="K27" i="16" s="1"/>
  <c r="N14" i="16"/>
  <c r="N19" i="16" s="1"/>
  <c r="O19" i="16"/>
  <c r="H11" i="16"/>
  <c r="H26" i="16" s="1"/>
  <c r="H27" i="16" s="1"/>
  <c r="C8" i="14"/>
  <c r="R11" i="18" l="1"/>
  <c r="O31" i="16"/>
  <c r="O11" i="16"/>
  <c r="H3" i="14" s="1"/>
  <c r="N26" i="16"/>
  <c r="H6" i="14" s="1"/>
  <c r="H7" i="14" s="1"/>
  <c r="H8" i="14" l="1"/>
  <c r="R17" i="18"/>
  <c r="O26" i="16"/>
  <c r="H3" i="12" s="1"/>
  <c r="H4" i="12" s="1"/>
  <c r="N27" i="16"/>
  <c r="O27" i="16"/>
  <c r="L16" i="11"/>
  <c r="L14" i="11"/>
  <c r="S17" i="18" l="1"/>
  <c r="R18" i="18"/>
  <c r="R19" i="18" s="1"/>
  <c r="P10" i="1"/>
  <c r="I58" i="5"/>
  <c r="G16" i="3"/>
  <c r="I30" i="15"/>
  <c r="I31" i="15" s="1"/>
  <c r="I32" i="15" s="1"/>
  <c r="D14" i="15"/>
  <c r="C14" i="15"/>
  <c r="E13" i="15"/>
  <c r="E12" i="15"/>
  <c r="E11" i="15"/>
  <c r="E10" i="15"/>
  <c r="B9" i="15"/>
  <c r="B14" i="15" s="1"/>
  <c r="E8" i="15"/>
  <c r="E7" i="15"/>
  <c r="E6" i="15"/>
  <c r="E5" i="15"/>
  <c r="E4" i="15"/>
  <c r="E3" i="15"/>
  <c r="E2" i="15"/>
  <c r="G4" i="14"/>
  <c r="D4" i="14"/>
  <c r="C4" i="14"/>
  <c r="W94" i="13"/>
  <c r="W93" i="13"/>
  <c r="W92" i="13"/>
  <c r="W91" i="13"/>
  <c r="W90" i="13"/>
  <c r="W89" i="13"/>
  <c r="W88" i="13"/>
  <c r="W87" i="13"/>
  <c r="W86" i="13"/>
  <c r="K11" i="13"/>
  <c r="G10" i="13"/>
  <c r="C10" i="13"/>
  <c r="G9" i="13"/>
  <c r="C9" i="13"/>
  <c r="G8" i="13"/>
  <c r="C8" i="13"/>
  <c r="G7" i="13"/>
  <c r="C7" i="13"/>
  <c r="G6" i="13"/>
  <c r="C6" i="13"/>
  <c r="G5" i="13"/>
  <c r="C5" i="13"/>
  <c r="G4" i="13"/>
  <c r="C4" i="13"/>
  <c r="G3" i="13"/>
  <c r="C3" i="13"/>
  <c r="G2" i="13"/>
  <c r="C2" i="13"/>
  <c r="S40" i="11"/>
  <c r="S39" i="11"/>
  <c r="S38" i="11"/>
  <c r="S37" i="11"/>
  <c r="S36" i="11"/>
  <c r="S35" i="11"/>
  <c r="S34" i="11"/>
  <c r="S33" i="11"/>
  <c r="S32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N24" i="11"/>
  <c r="N23" i="11"/>
  <c r="N22" i="11"/>
  <c r="M19" i="11"/>
  <c r="L19" i="11"/>
  <c r="B19" i="11"/>
  <c r="G18" i="11"/>
  <c r="N18" i="11" s="1"/>
  <c r="N17" i="11"/>
  <c r="N16" i="11"/>
  <c r="N15" i="11"/>
  <c r="K14" i="11"/>
  <c r="K19" i="11" s="1"/>
  <c r="J14" i="11"/>
  <c r="J19" i="11" s="1"/>
  <c r="I14" i="11"/>
  <c r="I19" i="11" s="1"/>
  <c r="H14" i="11"/>
  <c r="H19" i="11" s="1"/>
  <c r="G14" i="11"/>
  <c r="G19" i="11" s="1"/>
  <c r="F14" i="11"/>
  <c r="F19" i="11" s="1"/>
  <c r="E14" i="11"/>
  <c r="E19" i="11" s="1"/>
  <c r="D14" i="11"/>
  <c r="D19" i="11" s="1"/>
  <c r="C14" i="11"/>
  <c r="C19" i="11" s="1"/>
  <c r="M11" i="11"/>
  <c r="L11" i="11"/>
  <c r="K11" i="11"/>
  <c r="J11" i="11"/>
  <c r="I11" i="11"/>
  <c r="G11" i="11"/>
  <c r="F11" i="11"/>
  <c r="E11" i="11"/>
  <c r="D11" i="11"/>
  <c r="C11" i="11"/>
  <c r="B11" i="11"/>
  <c r="H10" i="11"/>
  <c r="N10" i="11" s="1"/>
  <c r="N9" i="11"/>
  <c r="H8" i="11"/>
  <c r="M5" i="11"/>
  <c r="L5" i="11"/>
  <c r="K5" i="11"/>
  <c r="J5" i="11"/>
  <c r="I5" i="11"/>
  <c r="H5" i="11"/>
  <c r="G5" i="11"/>
  <c r="F5" i="11"/>
  <c r="E5" i="11"/>
  <c r="D5" i="11"/>
  <c r="C5" i="11"/>
  <c r="B5" i="11"/>
  <c r="N4" i="11"/>
  <c r="N3" i="11"/>
  <c r="N2" i="11"/>
  <c r="S39" i="10"/>
  <c r="S38" i="10"/>
  <c r="S37" i="10"/>
  <c r="S36" i="10"/>
  <c r="S35" i="10"/>
  <c r="S34" i="10"/>
  <c r="S33" i="10"/>
  <c r="S32" i="10"/>
  <c r="S31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N23" i="10"/>
  <c r="N22" i="10"/>
  <c r="N21" i="10"/>
  <c r="M18" i="10"/>
  <c r="G18" i="10"/>
  <c r="E18" i="10"/>
  <c r="C18" i="10"/>
  <c r="B18" i="10"/>
  <c r="N17" i="10"/>
  <c r="N16" i="10"/>
  <c r="N15" i="10"/>
  <c r="L14" i="10"/>
  <c r="L18" i="10" s="1"/>
  <c r="K14" i="10"/>
  <c r="K18" i="10" s="1"/>
  <c r="J14" i="10"/>
  <c r="J18" i="10" s="1"/>
  <c r="I14" i="10"/>
  <c r="I18" i="10" s="1"/>
  <c r="H14" i="10"/>
  <c r="H18" i="10" s="1"/>
  <c r="F14" i="10"/>
  <c r="F18" i="10" s="1"/>
  <c r="D14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N10" i="10"/>
  <c r="N9" i="10"/>
  <c r="N8" i="10"/>
  <c r="M5" i="10"/>
  <c r="L5" i="10"/>
  <c r="K5" i="10"/>
  <c r="J5" i="10"/>
  <c r="I5" i="10"/>
  <c r="H5" i="10"/>
  <c r="G5" i="10"/>
  <c r="F5" i="10"/>
  <c r="E5" i="10"/>
  <c r="D5" i="10"/>
  <c r="C5" i="10"/>
  <c r="B5" i="10"/>
  <c r="N4" i="10"/>
  <c r="N3" i="10"/>
  <c r="N2" i="10"/>
  <c r="S39" i="9"/>
  <c r="S38" i="9"/>
  <c r="S37" i="9"/>
  <c r="S36" i="9"/>
  <c r="S35" i="9"/>
  <c r="S34" i="9"/>
  <c r="S33" i="9"/>
  <c r="S32" i="9"/>
  <c r="S31" i="9"/>
  <c r="M24" i="9"/>
  <c r="L24" i="9"/>
  <c r="K24" i="9"/>
  <c r="J24" i="9"/>
  <c r="I24" i="9"/>
  <c r="H24" i="9"/>
  <c r="G24" i="9"/>
  <c r="F24" i="9"/>
  <c r="E24" i="9"/>
  <c r="D24" i="9"/>
  <c r="C24" i="9"/>
  <c r="B24" i="9"/>
  <c r="N23" i="9"/>
  <c r="N22" i="9"/>
  <c r="N21" i="9"/>
  <c r="H18" i="9"/>
  <c r="F18" i="9"/>
  <c r="F25" i="9" s="1"/>
  <c r="F26" i="9" s="1"/>
  <c r="E18" i="9"/>
  <c r="C18" i="9"/>
  <c r="B18" i="9"/>
  <c r="N17" i="9"/>
  <c r="N16" i="9"/>
  <c r="N15" i="9"/>
  <c r="M14" i="9"/>
  <c r="M18" i="9" s="1"/>
  <c r="L14" i="9"/>
  <c r="L18" i="9" s="1"/>
  <c r="K14" i="9"/>
  <c r="K18" i="9" s="1"/>
  <c r="J14" i="9"/>
  <c r="J18" i="9" s="1"/>
  <c r="I14" i="9"/>
  <c r="I18" i="9" s="1"/>
  <c r="G14" i="9"/>
  <c r="G18" i="9" s="1"/>
  <c r="F14" i="9"/>
  <c r="D14" i="9"/>
  <c r="D18" i="9" s="1"/>
  <c r="M11" i="9"/>
  <c r="L11" i="9"/>
  <c r="K11" i="9"/>
  <c r="J11" i="9"/>
  <c r="I11" i="9"/>
  <c r="H11" i="9"/>
  <c r="G11" i="9"/>
  <c r="F11" i="9"/>
  <c r="E11" i="9"/>
  <c r="D11" i="9"/>
  <c r="C11" i="9"/>
  <c r="B11" i="9"/>
  <c r="N10" i="9"/>
  <c r="N9" i="9"/>
  <c r="N8" i="9"/>
  <c r="M5" i="9"/>
  <c r="L5" i="9"/>
  <c r="K5" i="9"/>
  <c r="J5" i="9"/>
  <c r="I5" i="9"/>
  <c r="H5" i="9"/>
  <c r="G5" i="9"/>
  <c r="F5" i="9"/>
  <c r="E5" i="9"/>
  <c r="D5" i="9"/>
  <c r="C5" i="9"/>
  <c r="B5" i="9"/>
  <c r="N4" i="9"/>
  <c r="N3" i="9"/>
  <c r="N2" i="9"/>
  <c r="S39" i="8"/>
  <c r="S38" i="8"/>
  <c r="S37" i="8"/>
  <c r="S36" i="8"/>
  <c r="S35" i="8"/>
  <c r="S34" i="8"/>
  <c r="S33" i="8"/>
  <c r="S32" i="8"/>
  <c r="S31" i="8"/>
  <c r="M24" i="8"/>
  <c r="L24" i="8"/>
  <c r="J24" i="8"/>
  <c r="B24" i="8"/>
  <c r="N23" i="8"/>
  <c r="F22" i="8"/>
  <c r="N22" i="8" s="1"/>
  <c r="K21" i="8"/>
  <c r="K24" i="8" s="1"/>
  <c r="J21" i="8"/>
  <c r="I21" i="8"/>
  <c r="I24" i="8" s="1"/>
  <c r="H21" i="8"/>
  <c r="H24" i="8" s="1"/>
  <c r="G21" i="8"/>
  <c r="G24" i="8" s="1"/>
  <c r="F21" i="8"/>
  <c r="E21" i="8"/>
  <c r="E24" i="8" s="1"/>
  <c r="D21" i="8"/>
  <c r="D24" i="8" s="1"/>
  <c r="C21" i="8"/>
  <c r="C24" i="8" s="1"/>
  <c r="K18" i="8"/>
  <c r="J18" i="8"/>
  <c r="H18" i="8"/>
  <c r="D18" i="8"/>
  <c r="C18" i="8"/>
  <c r="N17" i="8"/>
  <c r="N16" i="8"/>
  <c r="N15" i="8"/>
  <c r="M14" i="8"/>
  <c r="M18" i="8" s="1"/>
  <c r="L14" i="8"/>
  <c r="L18" i="8" s="1"/>
  <c r="I14" i="8"/>
  <c r="I18" i="8" s="1"/>
  <c r="G14" i="8"/>
  <c r="G18" i="8" s="1"/>
  <c r="F14" i="8"/>
  <c r="F18" i="8" s="1"/>
  <c r="E14" i="8"/>
  <c r="E18" i="8" s="1"/>
  <c r="B14" i="8"/>
  <c r="B18" i="8" s="1"/>
  <c r="M11" i="8"/>
  <c r="L11" i="8"/>
  <c r="K11" i="8"/>
  <c r="J11" i="8"/>
  <c r="I11" i="8"/>
  <c r="H11" i="8"/>
  <c r="G11" i="8"/>
  <c r="F11" i="8"/>
  <c r="E11" i="8"/>
  <c r="D11" i="8"/>
  <c r="C11" i="8"/>
  <c r="B11" i="8"/>
  <c r="N10" i="8"/>
  <c r="N9" i="8"/>
  <c r="N8" i="8"/>
  <c r="M5" i="8"/>
  <c r="L5" i="8"/>
  <c r="K5" i="8"/>
  <c r="J5" i="8"/>
  <c r="I5" i="8"/>
  <c r="H5" i="8"/>
  <c r="G5" i="8"/>
  <c r="F5" i="8"/>
  <c r="E5" i="8"/>
  <c r="D5" i="8"/>
  <c r="C5" i="8"/>
  <c r="B5" i="8"/>
  <c r="N4" i="8"/>
  <c r="N3" i="8"/>
  <c r="N2" i="8"/>
  <c r="M24" i="7"/>
  <c r="L24" i="7"/>
  <c r="K24" i="7"/>
  <c r="J24" i="7"/>
  <c r="I24" i="7"/>
  <c r="H24" i="7"/>
  <c r="G24" i="7"/>
  <c r="F24" i="7"/>
  <c r="E24" i="7"/>
  <c r="D24" i="7"/>
  <c r="C24" i="7"/>
  <c r="B24" i="7"/>
  <c r="N23" i="7"/>
  <c r="N22" i="7"/>
  <c r="N21" i="7"/>
  <c r="O24" i="7" s="1"/>
  <c r="C2" i="12" s="1"/>
  <c r="M18" i="7"/>
  <c r="J18" i="7"/>
  <c r="D18" i="7"/>
  <c r="C18" i="7"/>
  <c r="B18" i="7"/>
  <c r="N17" i="7"/>
  <c r="N16" i="7"/>
  <c r="N15" i="7"/>
  <c r="L14" i="7"/>
  <c r="L18" i="7" s="1"/>
  <c r="K14" i="7"/>
  <c r="K18" i="7" s="1"/>
  <c r="I14" i="7"/>
  <c r="I18" i="7" s="1"/>
  <c r="H14" i="7"/>
  <c r="H18" i="7" s="1"/>
  <c r="G14" i="7"/>
  <c r="G18" i="7" s="1"/>
  <c r="F14" i="7"/>
  <c r="F18" i="7" s="1"/>
  <c r="E14" i="7"/>
  <c r="E18" i="7" s="1"/>
  <c r="M11" i="7"/>
  <c r="L11" i="7"/>
  <c r="K11" i="7"/>
  <c r="J11" i="7"/>
  <c r="I11" i="7"/>
  <c r="H11" i="7"/>
  <c r="G11" i="7"/>
  <c r="F11" i="7"/>
  <c r="E11" i="7"/>
  <c r="D11" i="7"/>
  <c r="C11" i="7"/>
  <c r="B11" i="7"/>
  <c r="N10" i="7"/>
  <c r="N9" i="7"/>
  <c r="N8" i="7"/>
  <c r="M5" i="7"/>
  <c r="L5" i="7"/>
  <c r="K5" i="7"/>
  <c r="J5" i="7"/>
  <c r="I5" i="7"/>
  <c r="H5" i="7"/>
  <c r="G5" i="7"/>
  <c r="F5" i="7"/>
  <c r="E5" i="7"/>
  <c r="D5" i="7"/>
  <c r="C5" i="7"/>
  <c r="B5" i="7"/>
  <c r="N4" i="7"/>
  <c r="N3" i="7"/>
  <c r="N2" i="7"/>
  <c r="O27" i="6"/>
  <c r="A4" i="12" s="1"/>
  <c r="L24" i="6"/>
  <c r="K24" i="6"/>
  <c r="J24" i="6"/>
  <c r="I24" i="6"/>
  <c r="H24" i="6"/>
  <c r="G24" i="6"/>
  <c r="F24" i="6"/>
  <c r="E24" i="6"/>
  <c r="D24" i="6"/>
  <c r="C24" i="6"/>
  <c r="B24" i="6"/>
  <c r="M23" i="6"/>
  <c r="B4" i="14" s="1"/>
  <c r="N22" i="6"/>
  <c r="N21" i="6"/>
  <c r="M18" i="6"/>
  <c r="L18" i="6"/>
  <c r="K18" i="6"/>
  <c r="J18" i="6"/>
  <c r="I18" i="6"/>
  <c r="G18" i="6"/>
  <c r="F18" i="6"/>
  <c r="E18" i="6"/>
  <c r="D18" i="6"/>
  <c r="C18" i="6"/>
  <c r="B18" i="6"/>
  <c r="N17" i="6"/>
  <c r="N16" i="6"/>
  <c r="N15" i="6"/>
  <c r="H14" i="6"/>
  <c r="N14" i="6" s="1"/>
  <c r="M11" i="6"/>
  <c r="L11" i="6"/>
  <c r="K11" i="6"/>
  <c r="J11" i="6"/>
  <c r="I11" i="6"/>
  <c r="H11" i="6"/>
  <c r="G11" i="6"/>
  <c r="F11" i="6"/>
  <c r="E11" i="6"/>
  <c r="D11" i="6"/>
  <c r="C11" i="6"/>
  <c r="B11" i="6"/>
  <c r="N10" i="6"/>
  <c r="N9" i="6"/>
  <c r="N8" i="6"/>
  <c r="M5" i="6"/>
  <c r="L5" i="6"/>
  <c r="K5" i="6"/>
  <c r="J5" i="6"/>
  <c r="I5" i="6"/>
  <c r="H5" i="6"/>
  <c r="G5" i="6"/>
  <c r="F5" i="6"/>
  <c r="E5" i="6"/>
  <c r="D5" i="6"/>
  <c r="C5" i="6"/>
  <c r="B5" i="6"/>
  <c r="N4" i="6"/>
  <c r="N3" i="6"/>
  <c r="N2" i="6"/>
  <c r="G25" i="10" l="1"/>
  <c r="E26" i="11"/>
  <c r="E27" i="11" s="1"/>
  <c r="C25" i="7"/>
  <c r="C26" i="7" s="1"/>
  <c r="F25" i="8"/>
  <c r="C25" i="8"/>
  <c r="F24" i="8"/>
  <c r="N11" i="10"/>
  <c r="H25" i="8"/>
  <c r="H26" i="8" s="1"/>
  <c r="I25" i="9"/>
  <c r="I26" i="9" s="1"/>
  <c r="B25" i="9"/>
  <c r="B26" i="9" s="1"/>
  <c r="G26" i="10"/>
  <c r="G25" i="8"/>
  <c r="G26" i="8" s="1"/>
  <c r="H18" i="6"/>
  <c r="I25" i="7"/>
  <c r="I26" i="7" s="1"/>
  <c r="L25" i="7"/>
  <c r="L26" i="7" s="1"/>
  <c r="E25" i="8"/>
  <c r="E26" i="8" s="1"/>
  <c r="G11" i="13"/>
  <c r="E9" i="15"/>
  <c r="E14" i="15" s="1"/>
  <c r="F26" i="11"/>
  <c r="F27" i="11" s="1"/>
  <c r="J25" i="8"/>
  <c r="I25" i="8"/>
  <c r="N5" i="7"/>
  <c r="G25" i="7"/>
  <c r="G26" i="7" s="1"/>
  <c r="B25" i="10"/>
  <c r="B26" i="11"/>
  <c r="H25" i="7"/>
  <c r="H26" i="7" s="1"/>
  <c r="I26" i="11"/>
  <c r="I27" i="11" s="1"/>
  <c r="D25" i="8"/>
  <c r="D26" i="8" s="1"/>
  <c r="J26" i="11"/>
  <c r="J27" i="11" s="1"/>
  <c r="D25" i="6"/>
  <c r="D26" i="6" s="1"/>
  <c r="L25" i="6"/>
  <c r="L26" i="6" s="1"/>
  <c r="C26" i="8"/>
  <c r="D25" i="9"/>
  <c r="D26" i="9" s="1"/>
  <c r="N14" i="9"/>
  <c r="N18" i="9" s="1"/>
  <c r="H25" i="9"/>
  <c r="H26" i="9" s="1"/>
  <c r="O11" i="10"/>
  <c r="F3" i="14" s="1"/>
  <c r="J25" i="10"/>
  <c r="J26" i="10" s="1"/>
  <c r="M26" i="11"/>
  <c r="M27" i="11" s="1"/>
  <c r="N5" i="6"/>
  <c r="O11" i="6"/>
  <c r="B3" i="14" s="1"/>
  <c r="B25" i="6"/>
  <c r="F25" i="6"/>
  <c r="F26" i="6" s="1"/>
  <c r="J25" i="6"/>
  <c r="J26" i="6" s="1"/>
  <c r="O5" i="7"/>
  <c r="C2" i="14" s="1"/>
  <c r="B25" i="7"/>
  <c r="B26" i="7" s="1"/>
  <c r="J25" i="7"/>
  <c r="J26" i="7" s="1"/>
  <c r="E25" i="7"/>
  <c r="E26" i="7" s="1"/>
  <c r="D25" i="7"/>
  <c r="D26" i="7" s="1"/>
  <c r="N11" i="8"/>
  <c r="O11" i="8"/>
  <c r="D3" i="14" s="1"/>
  <c r="L25" i="8"/>
  <c r="L26" i="8" s="1"/>
  <c r="N11" i="9"/>
  <c r="O11" i="9"/>
  <c r="E3" i="14" s="1"/>
  <c r="K25" i="9"/>
  <c r="K26" i="9" s="1"/>
  <c r="O24" i="9"/>
  <c r="E2" i="12" s="1"/>
  <c r="C25" i="10"/>
  <c r="C26" i="10" s="1"/>
  <c r="N14" i="10"/>
  <c r="N18" i="10" s="1"/>
  <c r="D18" i="10"/>
  <c r="D25" i="10" s="1"/>
  <c r="D26" i="10" s="1"/>
  <c r="M25" i="10"/>
  <c r="M26" i="10" s="1"/>
  <c r="H11" i="11"/>
  <c r="O11" i="11" s="1"/>
  <c r="G3" i="14" s="1"/>
  <c r="G26" i="11"/>
  <c r="G27" i="11" s="1"/>
  <c r="K26" i="11"/>
  <c r="K27" i="11" s="1"/>
  <c r="N25" i="11"/>
  <c r="G5" i="14" s="1"/>
  <c r="C11" i="13"/>
  <c r="W95" i="13"/>
  <c r="H25" i="6"/>
  <c r="H26" i="6" s="1"/>
  <c r="N14" i="8"/>
  <c r="N18" i="8" s="1"/>
  <c r="M25" i="9"/>
  <c r="M26" i="9" s="1"/>
  <c r="H25" i="10"/>
  <c r="H26" i="10" s="1"/>
  <c r="L25" i="10"/>
  <c r="L26" i="10" s="1"/>
  <c r="N11" i="6"/>
  <c r="E25" i="6"/>
  <c r="E26" i="6" s="1"/>
  <c r="I25" i="6"/>
  <c r="I26" i="6" s="1"/>
  <c r="M25" i="6"/>
  <c r="M26" i="6" s="1"/>
  <c r="N23" i="6"/>
  <c r="O24" i="6" s="1"/>
  <c r="B2" i="12" s="1"/>
  <c r="M24" i="6"/>
  <c r="N24" i="6" s="1"/>
  <c r="B5" i="14" s="1"/>
  <c r="M25" i="7"/>
  <c r="M26" i="7" s="1"/>
  <c r="J26" i="8"/>
  <c r="J25" i="9"/>
  <c r="J26" i="9" s="1"/>
  <c r="N24" i="9"/>
  <c r="I25" i="10"/>
  <c r="I26" i="10" s="1"/>
  <c r="L26" i="11"/>
  <c r="L27" i="11" s="1"/>
  <c r="O5" i="6"/>
  <c r="B2" i="14" s="1"/>
  <c r="O18" i="6"/>
  <c r="N18" i="6"/>
  <c r="G25" i="6"/>
  <c r="G26" i="6" s="1"/>
  <c r="K25" i="6"/>
  <c r="K26" i="6" s="1"/>
  <c r="N11" i="7"/>
  <c r="F25" i="7"/>
  <c r="F26" i="7" s="1"/>
  <c r="K25" i="7"/>
  <c r="K26" i="7" s="1"/>
  <c r="N24" i="7"/>
  <c r="C5" i="14" s="1"/>
  <c r="N5" i="8"/>
  <c r="M25" i="8"/>
  <c r="M26" i="8" s="1"/>
  <c r="K25" i="8"/>
  <c r="K26" i="8" s="1"/>
  <c r="S40" i="8"/>
  <c r="O30" i="8" s="1"/>
  <c r="N5" i="9"/>
  <c r="O5" i="9"/>
  <c r="E2" i="14" s="1"/>
  <c r="G25" i="9"/>
  <c r="G26" i="9" s="1"/>
  <c r="L25" i="9"/>
  <c r="L26" i="9" s="1"/>
  <c r="E25" i="9"/>
  <c r="E26" i="9" s="1"/>
  <c r="S40" i="9"/>
  <c r="N5" i="10"/>
  <c r="O5" i="10"/>
  <c r="F2" i="14" s="1"/>
  <c r="F25" i="10"/>
  <c r="F26" i="10" s="1"/>
  <c r="K25" i="10"/>
  <c r="K26" i="10" s="1"/>
  <c r="E25" i="10"/>
  <c r="E26" i="10" s="1"/>
  <c r="O24" i="10"/>
  <c r="F2" i="12" s="1"/>
  <c r="N24" i="10"/>
  <c r="S40" i="10"/>
  <c r="O30" i="10" s="1"/>
  <c r="N5" i="11"/>
  <c r="O5" i="11"/>
  <c r="G2" i="14" s="1"/>
  <c r="N8" i="11"/>
  <c r="N11" i="11" s="1"/>
  <c r="D26" i="11"/>
  <c r="D27" i="11" s="1"/>
  <c r="O25" i="11"/>
  <c r="G2" i="12" s="1"/>
  <c r="S41" i="11"/>
  <c r="O31" i="11" s="1"/>
  <c r="A7" i="14"/>
  <c r="B26" i="6"/>
  <c r="E5" i="14"/>
  <c r="O18" i="9"/>
  <c r="B26" i="10"/>
  <c r="C26" i="11"/>
  <c r="C27" i="11" s="1"/>
  <c r="O19" i="11"/>
  <c r="O18" i="8"/>
  <c r="B25" i="8"/>
  <c r="I26" i="8"/>
  <c r="N24" i="8"/>
  <c r="H26" i="11"/>
  <c r="H27" i="11" s="1"/>
  <c r="O18" i="7"/>
  <c r="B27" i="11"/>
  <c r="O11" i="7"/>
  <c r="C3" i="14" s="1"/>
  <c r="O18" i="10"/>
  <c r="O25" i="10" s="1"/>
  <c r="F3" i="12" s="1"/>
  <c r="F4" i="12" s="1"/>
  <c r="C25" i="6"/>
  <c r="C26" i="6" s="1"/>
  <c r="O5" i="8"/>
  <c r="D2" i="14" s="1"/>
  <c r="N14" i="7"/>
  <c r="N18" i="7" s="1"/>
  <c r="C25" i="9"/>
  <c r="N21" i="8"/>
  <c r="O24" i="8" s="1"/>
  <c r="D2" i="12" s="1"/>
  <c r="N14" i="11"/>
  <c r="N19" i="11" s="1"/>
  <c r="D16" i="4"/>
  <c r="E16" i="4"/>
  <c r="F16" i="4"/>
  <c r="G16" i="4"/>
  <c r="H16" i="4"/>
  <c r="C16" i="4"/>
  <c r="O25" i="9" l="1"/>
  <c r="E3" i="12" s="1"/>
  <c r="E4" i="12" s="1"/>
  <c r="F26" i="8"/>
  <c r="O28" i="11"/>
  <c r="F8" i="14"/>
  <c r="O25" i="6"/>
  <c r="B3" i="12" s="1"/>
  <c r="B4" i="12" s="1"/>
  <c r="O28" i="16"/>
  <c r="G8" i="14"/>
  <c r="O26" i="11"/>
  <c r="G3" i="12" s="1"/>
  <c r="G4" i="12" s="1"/>
  <c r="F5" i="14"/>
  <c r="N25" i="7"/>
  <c r="O26" i="7" s="1"/>
  <c r="O25" i="7"/>
  <c r="C3" i="12" s="1"/>
  <c r="C4" i="12" s="1"/>
  <c r="N25" i="10"/>
  <c r="O26" i="10" s="1"/>
  <c r="D5" i="14"/>
  <c r="C26" i="9"/>
  <c r="N25" i="9"/>
  <c r="N25" i="8"/>
  <c r="B26" i="8"/>
  <c r="N25" i="6"/>
  <c r="N26" i="11"/>
  <c r="N27" i="11" s="1"/>
  <c r="O25" i="8"/>
  <c r="D3" i="12" s="1"/>
  <c r="D4" i="12" s="1"/>
  <c r="G1" i="4"/>
  <c r="D1" i="4"/>
  <c r="F16" i="3"/>
  <c r="E16" i="3"/>
  <c r="D16" i="3"/>
  <c r="C16" i="3"/>
  <c r="N26" i="10" l="1"/>
  <c r="K4" i="12"/>
  <c r="M4" i="12" s="1"/>
  <c r="M5" i="12" s="1"/>
  <c r="F1" i="3"/>
  <c r="O29" i="16"/>
  <c r="N26" i="7"/>
  <c r="C6" i="14"/>
  <c r="C7" i="14" s="1"/>
  <c r="F6" i="14"/>
  <c r="F7" i="14" s="1"/>
  <c r="D6" i="14"/>
  <c r="N26" i="8"/>
  <c r="N26" i="6"/>
  <c r="B6" i="14"/>
  <c r="B7" i="14" s="1"/>
  <c r="O26" i="6"/>
  <c r="O28" i="6" s="1"/>
  <c r="G6" i="14"/>
  <c r="G7" i="14" s="1"/>
  <c r="O27" i="11"/>
  <c r="O29" i="11" s="1"/>
  <c r="O30" i="11" s="1"/>
  <c r="E6" i="14"/>
  <c r="E7" i="14" s="1"/>
  <c r="N26" i="9"/>
  <c r="O26" i="9"/>
  <c r="D7" i="14"/>
  <c r="O26" i="8"/>
  <c r="H58" i="5"/>
  <c r="D58" i="5"/>
  <c r="F58" i="5"/>
  <c r="G58" i="5"/>
  <c r="E58" i="5"/>
  <c r="H1" i="5" l="1"/>
  <c r="O30" i="16"/>
  <c r="O28" i="19"/>
  <c r="O27" i="7"/>
  <c r="O28" i="7" s="1"/>
  <c r="O31" i="7" s="1"/>
  <c r="B8" i="14"/>
  <c r="N4" i="12"/>
  <c r="L15" i="1"/>
  <c r="O27" i="8" l="1"/>
  <c r="O28" i="8" s="1"/>
  <c r="O29" i="19"/>
  <c r="O30" i="19" s="1"/>
  <c r="O27" i="9"/>
  <c r="O28" i="9" s="1"/>
  <c r="D8" i="14"/>
  <c r="J16" i="1"/>
  <c r="E15" i="1" l="1"/>
  <c r="E16" i="1"/>
  <c r="P15" i="1"/>
  <c r="P18" i="1" s="1"/>
  <c r="Q18" i="1" s="1"/>
  <c r="O27" i="10"/>
  <c r="E8" i="14"/>
  <c r="L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Sindicato</author>
  </authors>
  <commentList>
    <comment ref="J14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Sindicato:</t>
        </r>
        <r>
          <rPr>
            <sz val="9"/>
            <color indexed="81"/>
            <rFont val="Tahoma"/>
            <family val="2"/>
          </rPr>
          <t xml:space="preserve">
correccion $550 colectivo
</t>
        </r>
      </text>
    </comment>
    <comment ref="H17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Sindicato:</t>
        </r>
        <r>
          <rPr>
            <sz val="9"/>
            <color indexed="81"/>
            <rFont val="Tahoma"/>
            <family val="2"/>
          </rPr>
          <t xml:space="preserve">
devolucion a rosita vargas por doble cotizacion meses abril y mayo</t>
        </r>
      </text>
    </comment>
    <comment ref="G18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Sindicato:</t>
        </r>
        <r>
          <rPr>
            <sz val="9"/>
            <color indexed="81"/>
            <rFont val="Tahoma"/>
            <family val="2"/>
          </rPr>
          <t xml:space="preserve">
pago a guillermo faundez y andrea silva</t>
        </r>
      </text>
    </comment>
  </commentList>
</comments>
</file>

<file path=xl/sharedStrings.xml><?xml version="1.0" encoding="utf-8"?>
<sst xmlns="http://schemas.openxmlformats.org/spreadsheetml/2006/main" count="787" uniqueCount="215">
  <si>
    <t>FECHA</t>
  </si>
  <si>
    <t>Presidente</t>
  </si>
  <si>
    <t>CELULAR</t>
  </si>
  <si>
    <t>Tesorera</t>
  </si>
  <si>
    <t>Secretario</t>
  </si>
  <si>
    <t>INGRESOS</t>
  </si>
  <si>
    <t>DIA SINDICAL</t>
  </si>
  <si>
    <t>Devoluciones</t>
  </si>
  <si>
    <t>Vocales</t>
  </si>
  <si>
    <t>Presidente2</t>
  </si>
  <si>
    <t>Subtotal</t>
  </si>
  <si>
    <t>Boleta</t>
  </si>
  <si>
    <t>Monto</t>
  </si>
  <si>
    <t>Tesorera2</t>
  </si>
  <si>
    <t>Secretario2</t>
  </si>
  <si>
    <t>SUBTOTAL</t>
  </si>
  <si>
    <t>DIRECTOR</t>
  </si>
  <si>
    <t>SINDICATO</t>
  </si>
  <si>
    <t>Motivo</t>
  </si>
  <si>
    <t>INGRESO SINDICAL</t>
  </si>
  <si>
    <t xml:space="preserve">GASTO SINDICATO </t>
  </si>
  <si>
    <t>Utilidad</t>
  </si>
  <si>
    <t xml:space="preserve">celular </t>
  </si>
  <si>
    <t>subtotal</t>
  </si>
  <si>
    <t>total</t>
  </si>
  <si>
    <t>dia sind.</t>
  </si>
  <si>
    <t>varios</t>
  </si>
  <si>
    <t>gastos</t>
  </si>
  <si>
    <t>plenarias</t>
  </si>
  <si>
    <t>gifcard</t>
  </si>
  <si>
    <t>vocal</t>
  </si>
  <si>
    <t>planilla</t>
  </si>
  <si>
    <t>otros</t>
  </si>
  <si>
    <t>capual</t>
  </si>
  <si>
    <t>INGRESO</t>
  </si>
  <si>
    <t>GASTO</t>
  </si>
  <si>
    <t>%</t>
  </si>
  <si>
    <t>CAJA</t>
  </si>
  <si>
    <t>TOTAL</t>
  </si>
  <si>
    <t>FISICO</t>
  </si>
  <si>
    <t>CONTROL</t>
  </si>
  <si>
    <t>Saldo 2018</t>
  </si>
  <si>
    <t>Saldo 2019</t>
  </si>
  <si>
    <t>devolucion</t>
  </si>
  <si>
    <t>vocales</t>
  </si>
  <si>
    <t xml:space="preserve"> </t>
  </si>
  <si>
    <t>Diferencia</t>
  </si>
  <si>
    <t>CAPUAL</t>
  </si>
  <si>
    <t>GASTOS</t>
  </si>
  <si>
    <t>Frutillar 25-07-22</t>
  </si>
  <si>
    <t>Luis</t>
  </si>
  <si>
    <t xml:space="preserve">Christian </t>
  </si>
  <si>
    <t>Rosita</t>
  </si>
  <si>
    <t>Total</t>
  </si>
  <si>
    <t>fecha</t>
  </si>
  <si>
    <t>boletas</t>
  </si>
  <si>
    <t>valor</t>
  </si>
  <si>
    <t>Pasajes ida</t>
  </si>
  <si>
    <t>Pasajes vuelta</t>
  </si>
  <si>
    <t>pas. P. montt</t>
  </si>
  <si>
    <t>colectivo</t>
  </si>
  <si>
    <t>Estadia</t>
  </si>
  <si>
    <t>taxi</t>
  </si>
  <si>
    <t>4283385-8</t>
  </si>
  <si>
    <t>supermercado</t>
  </si>
  <si>
    <t>4283385-5</t>
  </si>
  <si>
    <t>colacion</t>
  </si>
  <si>
    <t>4283385-6</t>
  </si>
  <si>
    <t>desayuno</t>
  </si>
  <si>
    <t>custodia</t>
  </si>
  <si>
    <t>902312-4</t>
  </si>
  <si>
    <t>almuerzo</t>
  </si>
  <si>
    <t>902312-5</t>
  </si>
  <si>
    <t>7975145-535</t>
  </si>
  <si>
    <t>por persona</t>
  </si>
  <si>
    <t>7975144-809</t>
  </si>
  <si>
    <t>7978589-951</t>
  </si>
  <si>
    <t>vuelto</t>
  </si>
  <si>
    <t>Las cruces nov-22</t>
  </si>
  <si>
    <t>Gift Card</t>
  </si>
  <si>
    <t>N° Socios</t>
  </si>
  <si>
    <t>SOCIOS</t>
  </si>
  <si>
    <t>PLANILLA</t>
  </si>
  <si>
    <t>EMPRESA</t>
  </si>
  <si>
    <t>APORTES</t>
  </si>
  <si>
    <t>Fecha</t>
  </si>
  <si>
    <t>Planilla</t>
  </si>
  <si>
    <t>Capual</t>
  </si>
  <si>
    <t>Empresa</t>
  </si>
  <si>
    <t>Aportes</t>
  </si>
  <si>
    <t>Tesorero</t>
  </si>
  <si>
    <t>Dia Sindical - Plenaria</t>
  </si>
  <si>
    <t>Celular</t>
  </si>
  <si>
    <t>Devolución</t>
  </si>
  <si>
    <t>SALDO 2017</t>
  </si>
  <si>
    <t>Saldo 2022</t>
  </si>
  <si>
    <t>OTROS</t>
  </si>
  <si>
    <t>Saldo</t>
  </si>
  <si>
    <t>Saldo 2023</t>
  </si>
  <si>
    <t xml:space="preserve">Celular </t>
  </si>
  <si>
    <t>Dia sind.</t>
  </si>
  <si>
    <t>Varios</t>
  </si>
  <si>
    <t>Otros</t>
  </si>
  <si>
    <t>C apual</t>
  </si>
  <si>
    <t>aumento anual</t>
  </si>
  <si>
    <t>% inc.</t>
  </si>
  <si>
    <t>años</t>
  </si>
  <si>
    <t>paga costo anual pero perdemos acumulado</t>
  </si>
  <si>
    <t>paga costo anual mantenemos acumulado</t>
  </si>
  <si>
    <t>Incrementa acumulado</t>
  </si>
  <si>
    <t>Sind</t>
  </si>
  <si>
    <t>Fed</t>
  </si>
  <si>
    <t>Saldo 2021</t>
  </si>
  <si>
    <t>Saldo 2020</t>
  </si>
  <si>
    <t>bebida- galleta</t>
  </si>
  <si>
    <t>consumo oficina</t>
  </si>
  <si>
    <t>panaderia</t>
  </si>
  <si>
    <t>bebida</t>
  </si>
  <si>
    <t>Abarrotes Reunion</t>
  </si>
  <si>
    <t>jamon y queso(prop $200)</t>
  </si>
  <si>
    <t>coca cola</t>
  </si>
  <si>
    <t>pan (reunion)</t>
  </si>
  <si>
    <t>Toner Impresora</t>
  </si>
  <si>
    <t>Vasos-Platos-Cucharas (reunion)</t>
  </si>
  <si>
    <t>Dulces 1/2 hora (oficina)</t>
  </si>
  <si>
    <t>Dia de la Madre</t>
  </si>
  <si>
    <t>Pasteles (Maña)</t>
  </si>
  <si>
    <t>almuerzo directores</t>
  </si>
  <si>
    <t>refresco</t>
  </si>
  <si>
    <t>Merienda reunion</t>
  </si>
  <si>
    <t>Almuerzo Director</t>
  </si>
  <si>
    <t>Regalo Dia del Padre</t>
  </si>
  <si>
    <t>Vino Dia del Padre</t>
  </si>
  <si>
    <t>Refresco y Dobladitas</t>
  </si>
  <si>
    <t>Merienda Directores</t>
  </si>
  <si>
    <t>Insumos Reunion</t>
  </si>
  <si>
    <t>Vinos Dia del Padre</t>
  </si>
  <si>
    <t>cartulina y lapiz dia del padre</t>
  </si>
  <si>
    <t>Vinos dia del Padre</t>
  </si>
  <si>
    <t>pegamento dia del padre</t>
  </si>
  <si>
    <t>desayuno reunion</t>
  </si>
  <si>
    <t>almuerzo reunion</t>
  </si>
  <si>
    <t>vale n° 05</t>
  </si>
  <si>
    <t>almuerzo neg col</t>
  </si>
  <si>
    <t>refresco reunion</t>
  </si>
  <si>
    <t>colacion Neg Col.</t>
  </si>
  <si>
    <t>pasteles reunion</t>
  </si>
  <si>
    <t>Pasteles reunion</t>
  </si>
  <si>
    <t>almuerzo Neg. Col.</t>
  </si>
  <si>
    <t>Refresco Reunion</t>
  </si>
  <si>
    <t>Almuerzo Neg. Col.</t>
  </si>
  <si>
    <t>Almuerzo Neg.Col.</t>
  </si>
  <si>
    <t>Galletas Reunion</t>
  </si>
  <si>
    <t>Almuerzo Neg Col</t>
  </si>
  <si>
    <t>Galletas reunion</t>
  </si>
  <si>
    <t>Vasos Reunion</t>
  </si>
  <si>
    <t>ARQUEO</t>
  </si>
  <si>
    <t>% Gasto</t>
  </si>
  <si>
    <t>Almuerzo Directores</t>
  </si>
  <si>
    <t xml:space="preserve">insumos oficina </t>
  </si>
  <si>
    <t>insumos comestibles</t>
  </si>
  <si>
    <t>pendiente</t>
  </si>
  <si>
    <t>azucar y te</t>
  </si>
  <si>
    <t>Monto Plazo</t>
  </si>
  <si>
    <t>Interes</t>
  </si>
  <si>
    <t>Plazo</t>
  </si>
  <si>
    <t>Deposito</t>
  </si>
  <si>
    <t>Retiro</t>
  </si>
  <si>
    <t>Deposito Plazo</t>
  </si>
  <si>
    <t>Saldo Final</t>
  </si>
  <si>
    <t>Diferencia Caja</t>
  </si>
  <si>
    <t>Saldo Contable</t>
  </si>
  <si>
    <t>Aporte N.C.</t>
  </si>
  <si>
    <t>Ingreso Sindical</t>
  </si>
  <si>
    <t>Interés Plazo</t>
  </si>
  <si>
    <t>Gasto Sindical</t>
  </si>
  <si>
    <t>vasos plasticos</t>
  </si>
  <si>
    <t>calculadora y pilas</t>
  </si>
  <si>
    <t>Compra de Gifcard Navidad</t>
  </si>
  <si>
    <t>heladeria</t>
  </si>
  <si>
    <t>azucar, te, oficina</t>
  </si>
  <si>
    <t>Saldo 2024</t>
  </si>
  <si>
    <t>ALMUERZO PEND1</t>
  </si>
  <si>
    <t>ALMUERZO PEND</t>
  </si>
  <si>
    <t>ALMUERZO PEND.2</t>
  </si>
  <si>
    <t>DESODORANTE AMB.</t>
  </si>
  <si>
    <t>2 KG DE MILO OFICINA</t>
  </si>
  <si>
    <t>TONER IMPRESORA</t>
  </si>
  <si>
    <t>ALMUERZO</t>
  </si>
  <si>
    <t>PASTELES</t>
  </si>
  <si>
    <t>DIF GIFCARD NAVIDAD</t>
  </si>
  <si>
    <t>Actual</t>
  </si>
  <si>
    <t>Licencia</t>
  </si>
  <si>
    <t>chocolate dia madre</t>
  </si>
  <si>
    <t>almuerzo Dia madre</t>
  </si>
  <si>
    <t>vasos oficina</t>
  </si>
  <si>
    <t>impleme. Dia madre</t>
  </si>
  <si>
    <t>cinta dia madre</t>
  </si>
  <si>
    <t>insumo oficina</t>
  </si>
  <si>
    <t>linterna dia del padre</t>
  </si>
  <si>
    <t>"Vicio" dia del padre</t>
  </si>
  <si>
    <t>bolsa dia del padre</t>
  </si>
  <si>
    <t xml:space="preserve">Pasteles </t>
  </si>
  <si>
    <t>insumos reunion</t>
  </si>
  <si>
    <t>insumo reunion</t>
  </si>
  <si>
    <t>Insumos Super sindicato</t>
  </si>
  <si>
    <t>almuerzo viaje linares</t>
  </si>
  <si>
    <t>Desodorante Oficina</t>
  </si>
  <si>
    <t>Desayuno Linares</t>
  </si>
  <si>
    <t>snack oficina</t>
  </si>
  <si>
    <t>insumos oficina</t>
  </si>
  <si>
    <t>Panaderia</t>
  </si>
  <si>
    <t>galletas</t>
  </si>
  <si>
    <t>toner impresora</t>
  </si>
  <si>
    <t>Saldo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</si>
</sst>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;[Red]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\ * #,##0_-;\-&quot;$&quot;\ * #,##0_-;_-&quot;$&quot;\ * &quot;-&quot;??_-;_-@_-"/>
    <numFmt numFmtId="167" formatCode="&quot;$&quot;\ #,##0;[Red]\-&quot;$&quot;\ #,##0"/>
    <numFmt numFmtId="168" formatCode="_ * #,##0.00_ ;_ * \-#,##0.00_ ;_ * &quot;-&quot;_ ;_ @_ "/>
    <numFmt numFmtId="169" formatCode="0.0%"/>
    <numFmt numFmtId="170" formatCode="0.000%"/>
    <numFmt numFmtId="171" formatCode="&quot;$&quot;#,##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1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/>
    <xf numFmtId="42" fontId="0" fillId="0" borderId="0" xfId="1" applyFont="1"/>
    <xf numFmtId="14" fontId="0" fillId="0" borderId="0" xfId="0" applyNumberFormat="1" applyAlignment="1">
      <alignment horizontal="left"/>
    </xf>
    <xf numFmtId="42" fontId="0" fillId="0" borderId="0" xfId="1" applyNumberFormat="1" applyFont="1" applyAlignment="1">
      <alignment horizontal="left"/>
    </xf>
    <xf numFmtId="0" fontId="2" fillId="0" borderId="0" xfId="0" applyFont="1" applyFill="1" applyProtection="1">
      <protection hidden="1"/>
    </xf>
    <xf numFmtId="0" fontId="2" fillId="0" borderId="0" xfId="0" applyFont="1" applyFill="1" applyBorder="1" applyProtection="1">
      <protection hidden="1"/>
    </xf>
    <xf numFmtId="0" fontId="2" fillId="4" borderId="0" xfId="0" applyFont="1" applyFill="1" applyBorder="1" applyProtection="1">
      <protection hidden="1"/>
    </xf>
    <xf numFmtId="0" fontId="6" fillId="0" borderId="0" xfId="0" applyFont="1" applyBorder="1" applyAlignment="1">
      <alignment horizontal="left"/>
    </xf>
    <xf numFmtId="17" fontId="6" fillId="0" borderId="9" xfId="0" applyNumberFormat="1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0" xfId="0" applyBorder="1"/>
    <xf numFmtId="0" fontId="0" fillId="0" borderId="0" xfId="0" applyFont="1" applyBorder="1" applyAlignment="1">
      <alignment horizontal="left"/>
    </xf>
    <xf numFmtId="164" fontId="0" fillId="0" borderId="9" xfId="0" applyNumberFormat="1" applyFont="1" applyBorder="1" applyAlignment="1">
      <alignment horizontal="center"/>
    </xf>
    <xf numFmtId="164" fontId="0" fillId="0" borderId="9" xfId="4" applyNumberFormat="1" applyFont="1" applyBorder="1"/>
    <xf numFmtId="164" fontId="0" fillId="5" borderId="9" xfId="4" applyNumberFormat="1" applyFont="1" applyFill="1" applyBorder="1"/>
    <xf numFmtId="164" fontId="0" fillId="0" borderId="0" xfId="0" applyNumberFormat="1" applyBorder="1"/>
    <xf numFmtId="0" fontId="0" fillId="0" borderId="0" xfId="0" applyFont="1" applyBorder="1"/>
    <xf numFmtId="164" fontId="0" fillId="6" borderId="9" xfId="4" applyNumberFormat="1" applyFont="1" applyFill="1" applyBorder="1"/>
    <xf numFmtId="0" fontId="6" fillId="0" borderId="0" xfId="0" applyFont="1" applyFill="1" applyBorder="1" applyAlignment="1">
      <alignment horizontal="left"/>
    </xf>
    <xf numFmtId="0" fontId="0" fillId="0" borderId="0" xfId="0" applyFill="1" applyBorder="1"/>
    <xf numFmtId="164" fontId="7" fillId="0" borderId="9" xfId="4" applyNumberFormat="1" applyFont="1" applyBorder="1"/>
    <xf numFmtId="0" fontId="6" fillId="5" borderId="0" xfId="0" applyFont="1" applyFill="1" applyBorder="1" applyAlignment="1">
      <alignment horizontal="left"/>
    </xf>
    <xf numFmtId="164" fontId="7" fillId="4" borderId="9" xfId="4" applyNumberFormat="1" applyFont="1" applyFill="1" applyBorder="1"/>
    <xf numFmtId="164" fontId="7" fillId="5" borderId="9" xfId="4" applyNumberFormat="1" applyFont="1" applyFill="1" applyBorder="1"/>
    <xf numFmtId="0" fontId="6" fillId="7" borderId="0" xfId="0" applyFont="1" applyFill="1" applyBorder="1" applyAlignment="1">
      <alignment horizontal="left"/>
    </xf>
    <xf numFmtId="164" fontId="7" fillId="7" borderId="9" xfId="4" applyNumberFormat="1" applyFont="1" applyFill="1" applyBorder="1"/>
    <xf numFmtId="166" fontId="0" fillId="0" borderId="0" xfId="0" applyNumberFormat="1" applyBorder="1"/>
    <xf numFmtId="9" fontId="0" fillId="0" borderId="0" xfId="2" applyFont="1" applyBorder="1" applyAlignment="1">
      <alignment horizontal="center"/>
    </xf>
    <xf numFmtId="9" fontId="6" fillId="8" borderId="0" xfId="2" applyFont="1" applyFill="1" applyBorder="1" applyAlignment="1">
      <alignment horizontal="center"/>
    </xf>
    <xf numFmtId="167" fontId="8" fillId="0" borderId="0" xfId="4" applyNumberFormat="1" applyFont="1" applyBorder="1"/>
    <xf numFmtId="0" fontId="0" fillId="0" borderId="0" xfId="0" applyBorder="1" applyAlignment="1">
      <alignment horizontal="center"/>
    </xf>
    <xf numFmtId="166" fontId="0" fillId="0" borderId="0" xfId="4" applyNumberFormat="1" applyFont="1" applyBorder="1"/>
    <xf numFmtId="0" fontId="0" fillId="0" borderId="0" xfId="0" applyBorder="1" applyAlignment="1">
      <alignment horizontal="left"/>
    </xf>
    <xf numFmtId="14" fontId="0" fillId="0" borderId="0" xfId="0" applyNumberFormat="1" applyBorder="1"/>
    <xf numFmtId="0" fontId="8" fillId="2" borderId="0" xfId="0" applyFont="1" applyFill="1" applyBorder="1" applyAlignment="1">
      <alignment horizontal="center"/>
    </xf>
    <xf numFmtId="166" fontId="8" fillId="2" borderId="0" xfId="0" applyNumberFormat="1" applyFont="1" applyFill="1" applyBorder="1"/>
    <xf numFmtId="164" fontId="7" fillId="0" borderId="9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6" fontId="0" fillId="2" borderId="0" xfId="0" applyNumberFormat="1" applyFill="1" applyBorder="1"/>
    <xf numFmtId="166" fontId="6" fillId="0" borderId="0" xfId="4" applyNumberFormat="1" applyFont="1" applyBorder="1"/>
    <xf numFmtId="0" fontId="8" fillId="0" borderId="0" xfId="0" applyFont="1" applyBorder="1"/>
    <xf numFmtId="0" fontId="8" fillId="0" borderId="0" xfId="0" applyFont="1" applyBorder="1" applyAlignment="1">
      <alignment horizontal="left"/>
    </xf>
    <xf numFmtId="0" fontId="9" fillId="0" borderId="0" xfId="0" applyFont="1" applyBorder="1"/>
    <xf numFmtId="166" fontId="9" fillId="0" borderId="0" xfId="0" applyNumberFormat="1" applyFont="1" applyBorder="1"/>
    <xf numFmtId="164" fontId="7" fillId="0" borderId="9" xfId="4" applyNumberFormat="1" applyFont="1" applyFill="1" applyBorder="1"/>
    <xf numFmtId="164" fontId="10" fillId="0" borderId="9" xfId="4" applyNumberFormat="1" applyFont="1" applyBorder="1"/>
    <xf numFmtId="166" fontId="5" fillId="0" borderId="0" xfId="0" applyNumberFormat="1" applyFont="1" applyBorder="1"/>
    <xf numFmtId="0" fontId="6" fillId="9" borderId="0" xfId="0" applyFont="1" applyFill="1" applyBorder="1" applyAlignment="1">
      <alignment horizontal="left"/>
    </xf>
    <xf numFmtId="166" fontId="6" fillId="9" borderId="0" xfId="4" applyNumberFormat="1" applyFont="1" applyFill="1" applyBorder="1"/>
    <xf numFmtId="14" fontId="8" fillId="0" borderId="0" xfId="0" applyNumberFormat="1" applyFont="1" applyBorder="1"/>
    <xf numFmtId="166" fontId="10" fillId="0" borderId="0" xfId="0" applyNumberFormat="1" applyFont="1" applyBorder="1" applyAlignment="1">
      <alignment horizontal="center"/>
    </xf>
    <xf numFmtId="166" fontId="0" fillId="6" borderId="13" xfId="4" applyNumberFormat="1" applyFont="1" applyFill="1" applyBorder="1"/>
    <xf numFmtId="0" fontId="0" fillId="6" borderId="13" xfId="0" applyFill="1" applyBorder="1" applyAlignment="1">
      <alignment horizontal="center"/>
    </xf>
    <xf numFmtId="167" fontId="8" fillId="0" borderId="0" xfId="4" applyNumberFormat="1" applyFont="1" applyBorder="1" applyAlignment="1">
      <alignment horizontal="center"/>
    </xf>
    <xf numFmtId="166" fontId="0" fillId="6" borderId="9" xfId="4" applyNumberFormat="1" applyFont="1" applyFill="1" applyBorder="1"/>
    <xf numFmtId="0" fontId="0" fillId="6" borderId="9" xfId="0" applyFill="1" applyBorder="1" applyAlignment="1">
      <alignment horizontal="center"/>
    </xf>
    <xf numFmtId="167" fontId="0" fillId="0" borderId="0" xfId="0" applyNumberFormat="1" applyBorder="1"/>
    <xf numFmtId="166" fontId="8" fillId="6" borderId="9" xfId="4" applyNumberFormat="1" applyFont="1" applyFill="1" applyBorder="1"/>
    <xf numFmtId="164" fontId="5" fillId="0" borderId="9" xfId="0" applyNumberFormat="1" applyFont="1" applyBorder="1" applyAlignment="1">
      <alignment horizontal="center"/>
    </xf>
    <xf numFmtId="164" fontId="0" fillId="0" borderId="9" xfId="0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0" xfId="4" applyNumberFormat="1" applyFont="1" applyFill="1" applyBorder="1"/>
    <xf numFmtId="166" fontId="0" fillId="0" borderId="0" xfId="0" applyNumberFormat="1" applyFill="1" applyBorder="1"/>
    <xf numFmtId="0" fontId="6" fillId="0" borderId="3" xfId="0" applyFont="1" applyBorder="1"/>
    <xf numFmtId="164" fontId="0" fillId="0" borderId="14" xfId="0" applyNumberFormat="1" applyBorder="1"/>
    <xf numFmtId="0" fontId="6" fillId="0" borderId="7" xfId="0" applyFont="1" applyBorder="1"/>
    <xf numFmtId="164" fontId="0" fillId="0" borderId="13" xfId="0" applyNumberFormat="1" applyBorder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164" fontId="10" fillId="0" borderId="0" xfId="0" applyNumberFormat="1" applyFont="1"/>
    <xf numFmtId="42" fontId="0" fillId="0" borderId="0" xfId="0" applyNumberFormat="1"/>
    <xf numFmtId="164" fontId="0" fillId="0" borderId="0" xfId="0" applyNumberFormat="1"/>
    <xf numFmtId="0" fontId="6" fillId="0" borderId="0" xfId="0" applyFont="1" applyAlignment="1">
      <alignment horizontal="center"/>
    </xf>
    <xf numFmtId="0" fontId="14" fillId="0" borderId="0" xfId="0" applyFont="1"/>
    <xf numFmtId="166" fontId="14" fillId="11" borderId="13" xfId="4" applyNumberFormat="1" applyFont="1" applyFill="1" applyBorder="1"/>
    <xf numFmtId="0" fontId="14" fillId="11" borderId="13" xfId="0" applyFont="1" applyFill="1" applyBorder="1" applyAlignment="1">
      <alignment horizontal="center"/>
    </xf>
    <xf numFmtId="166" fontId="14" fillId="11" borderId="9" xfId="4" applyNumberFormat="1" applyFont="1" applyFill="1" applyBorder="1"/>
    <xf numFmtId="0" fontId="14" fillId="11" borderId="9" xfId="0" applyFont="1" applyFill="1" applyBorder="1" applyAlignment="1">
      <alignment horizontal="center"/>
    </xf>
    <xf numFmtId="166" fontId="15" fillId="11" borderId="9" xfId="4" applyNumberFormat="1" applyFont="1" applyFill="1" applyBorder="1"/>
    <xf numFmtId="166" fontId="14" fillId="0" borderId="13" xfId="4" applyNumberFormat="1" applyFont="1" applyBorder="1"/>
    <xf numFmtId="0" fontId="14" fillId="0" borderId="13" xfId="0" applyFont="1" applyBorder="1" applyAlignment="1">
      <alignment horizontal="center"/>
    </xf>
    <xf numFmtId="166" fontId="14" fillId="0" borderId="9" xfId="4" applyNumberFormat="1" applyFont="1" applyBorder="1"/>
    <xf numFmtId="0" fontId="14" fillId="0" borderId="9" xfId="0" applyFont="1" applyBorder="1" applyAlignment="1">
      <alignment horizontal="center"/>
    </xf>
    <xf numFmtId="166" fontId="14" fillId="0" borderId="9" xfId="4" applyNumberFormat="1" applyFont="1" applyFill="1" applyBorder="1"/>
    <xf numFmtId="166" fontId="15" fillId="0" borderId="9" xfId="4" applyNumberFormat="1" applyFont="1" applyBorder="1"/>
    <xf numFmtId="0" fontId="6" fillId="0" borderId="0" xfId="0" applyFont="1"/>
    <xf numFmtId="0" fontId="0" fillId="0" borderId="9" xfId="0" applyBorder="1"/>
    <xf numFmtId="42" fontId="0" fillId="0" borderId="9" xfId="1" applyFont="1" applyBorder="1"/>
    <xf numFmtId="16" fontId="0" fillId="0" borderId="9" xfId="0" applyNumberFormat="1" applyBorder="1" applyAlignment="1">
      <alignment horizontal="center"/>
    </xf>
    <xf numFmtId="0" fontId="0" fillId="0" borderId="9" xfId="3" applyNumberFormat="1" applyFont="1" applyBorder="1" applyAlignment="1">
      <alignment horizontal="right"/>
    </xf>
    <xf numFmtId="42" fontId="0" fillId="0" borderId="9" xfId="1" applyFont="1" applyBorder="1" applyAlignment="1">
      <alignment horizontal="center"/>
    </xf>
    <xf numFmtId="16" fontId="0" fillId="0" borderId="9" xfId="0" applyNumberFormat="1" applyFill="1" applyBorder="1" applyAlignment="1">
      <alignment horizontal="center"/>
    </xf>
    <xf numFmtId="0" fontId="0" fillId="0" borderId="9" xfId="3" applyNumberFormat="1" applyFont="1" applyFill="1" applyBorder="1" applyAlignment="1">
      <alignment horizontal="right"/>
    </xf>
    <xf numFmtId="42" fontId="0" fillId="0" borderId="9" xfId="1" applyFont="1" applyFill="1" applyBorder="1" applyAlignment="1">
      <alignment horizontal="center"/>
    </xf>
    <xf numFmtId="42" fontId="6" fillId="0" borderId="0" xfId="1" applyFont="1"/>
    <xf numFmtId="0" fontId="5" fillId="0" borderId="0" xfId="0" applyFont="1"/>
    <xf numFmtId="42" fontId="5" fillId="0" borderId="0" xfId="1" applyFont="1"/>
    <xf numFmtId="0" fontId="0" fillId="0" borderId="9" xfId="0" applyBorder="1" applyAlignment="1">
      <alignment horizontal="center"/>
    </xf>
    <xf numFmtId="42" fontId="0" fillId="0" borderId="0" xfId="1" applyFont="1" applyBorder="1" applyAlignment="1">
      <alignment horizontal="center"/>
    </xf>
    <xf numFmtId="42" fontId="0" fillId="0" borderId="0" xfId="0" applyNumberFormat="1" applyAlignment="1">
      <alignment horizontal="center"/>
    </xf>
    <xf numFmtId="14" fontId="3" fillId="0" borderId="9" xfId="0" applyNumberFormat="1" applyFont="1" applyFill="1" applyBorder="1" applyAlignment="1" applyProtection="1">
      <alignment horizontal="right" vertical="center"/>
      <protection locked="0"/>
    </xf>
    <xf numFmtId="42" fontId="3" fillId="0" borderId="9" xfId="1" applyFont="1" applyFill="1" applyBorder="1" applyAlignment="1" applyProtection="1">
      <alignment horizontal="right" vertical="center"/>
      <protection locked="0"/>
    </xf>
    <xf numFmtId="168" fontId="3" fillId="0" borderId="9" xfId="3" applyNumberFormat="1" applyFont="1" applyFill="1" applyBorder="1" applyAlignment="1" applyProtection="1">
      <alignment horizontal="right" vertical="center"/>
      <protection hidden="1"/>
    </xf>
    <xf numFmtId="0" fontId="3" fillId="4" borderId="5" xfId="0" applyFont="1" applyFill="1" applyBorder="1" applyProtection="1">
      <protection hidden="1"/>
    </xf>
    <xf numFmtId="0" fontId="2" fillId="4" borderId="6" xfId="0" applyFont="1" applyFill="1" applyBorder="1" applyProtection="1">
      <protection hidden="1"/>
    </xf>
    <xf numFmtId="0" fontId="2" fillId="4" borderId="7" xfId="0" applyFont="1" applyFill="1" applyBorder="1" applyProtection="1">
      <protection hidden="1"/>
    </xf>
    <xf numFmtId="0" fontId="2" fillId="4" borderId="15" xfId="0" applyFont="1" applyFill="1" applyBorder="1" applyProtection="1">
      <protection hidden="1"/>
    </xf>
    <xf numFmtId="0" fontId="2" fillId="4" borderId="8" xfId="0" applyFont="1" applyFill="1" applyBorder="1" applyProtection="1">
      <protection hidden="1"/>
    </xf>
    <xf numFmtId="42" fontId="3" fillId="0" borderId="14" xfId="1" applyNumberFormat="1" applyFont="1" applyFill="1" applyBorder="1" applyAlignment="1" applyProtection="1">
      <alignment vertical="center"/>
      <protection locked="0"/>
    </xf>
    <xf numFmtId="42" fontId="3" fillId="0" borderId="17" xfId="1" applyNumberFormat="1" applyFont="1" applyFill="1" applyBorder="1" applyAlignment="1" applyProtection="1">
      <alignment vertical="center"/>
      <protection locked="0"/>
    </xf>
    <xf numFmtId="42" fontId="3" fillId="0" borderId="13" xfId="1" applyNumberFormat="1" applyFont="1" applyFill="1" applyBorder="1" applyAlignment="1" applyProtection="1">
      <alignment vertical="center"/>
      <protection locked="0"/>
    </xf>
    <xf numFmtId="42" fontId="3" fillId="0" borderId="14" xfId="0" applyNumberFormat="1" applyFont="1" applyFill="1" applyBorder="1" applyAlignment="1" applyProtection="1">
      <alignment vertical="center"/>
      <protection locked="0"/>
    </xf>
    <xf numFmtId="42" fontId="3" fillId="0" borderId="17" xfId="0" applyNumberFormat="1" applyFont="1" applyFill="1" applyBorder="1" applyAlignment="1" applyProtection="1">
      <alignment vertical="center"/>
      <protection locked="0"/>
    </xf>
    <xf numFmtId="42" fontId="3" fillId="0" borderId="13" xfId="0" applyNumberFormat="1" applyFont="1" applyFill="1" applyBorder="1" applyAlignment="1" applyProtection="1">
      <alignment vertical="center"/>
      <protection locked="0"/>
    </xf>
    <xf numFmtId="0" fontId="3" fillId="4" borderId="0" xfId="0" applyFont="1" applyFill="1" applyBorder="1" applyAlignment="1" applyProtection="1">
      <alignment vertical="center"/>
      <protection hidden="1"/>
    </xf>
    <xf numFmtId="42" fontId="3" fillId="0" borderId="17" xfId="0" applyNumberFormat="1" applyFont="1" applyFill="1" applyBorder="1" applyAlignment="1" applyProtection="1">
      <alignment horizontal="left" vertical="center"/>
      <protection locked="0"/>
    </xf>
    <xf numFmtId="0" fontId="3" fillId="0" borderId="13" xfId="0" applyNumberFormat="1" applyFont="1" applyFill="1" applyBorder="1" applyAlignment="1" applyProtection="1">
      <alignment vertical="center" wrapText="1"/>
      <protection locked="0"/>
    </xf>
    <xf numFmtId="42" fontId="3" fillId="0" borderId="17" xfId="0" applyNumberFormat="1" applyFont="1" applyFill="1" applyBorder="1" applyAlignment="1" applyProtection="1">
      <alignment vertical="center"/>
      <protection hidden="1"/>
    </xf>
    <xf numFmtId="0" fontId="3" fillId="4" borderId="0" xfId="0" applyFont="1" applyFill="1" applyBorder="1" applyAlignment="1" applyProtection="1">
      <alignment horizontal="left" vertical="center"/>
      <protection hidden="1"/>
    </xf>
    <xf numFmtId="0" fontId="2" fillId="8" borderId="5" xfId="0" applyFont="1" applyFill="1" applyBorder="1" applyProtection="1">
      <protection hidden="1"/>
    </xf>
    <xf numFmtId="0" fontId="3" fillId="8" borderId="0" xfId="0" applyFont="1" applyFill="1" applyBorder="1" applyAlignment="1" applyProtection="1">
      <alignment horizontal="left" vertical="center"/>
      <protection hidden="1"/>
    </xf>
    <xf numFmtId="0" fontId="3" fillId="8" borderId="0" xfId="0" applyFont="1" applyFill="1" applyBorder="1" applyProtection="1">
      <protection hidden="1"/>
    </xf>
    <xf numFmtId="0" fontId="3" fillId="8" borderId="6" xfId="0" applyFont="1" applyFill="1" applyBorder="1" applyProtection="1">
      <protection hidden="1"/>
    </xf>
    <xf numFmtId="0" fontId="2" fillId="8" borderId="0" xfId="0" applyFont="1" applyFill="1" applyBorder="1" applyProtection="1">
      <protection hidden="1"/>
    </xf>
    <xf numFmtId="14" fontId="2" fillId="8" borderId="0" xfId="0" applyNumberFormat="1" applyFont="1" applyFill="1" applyBorder="1" applyProtection="1">
      <protection hidden="1"/>
    </xf>
    <xf numFmtId="0" fontId="2" fillId="8" borderId="7" xfId="0" applyFont="1" applyFill="1" applyBorder="1" applyProtection="1">
      <protection hidden="1"/>
    </xf>
    <xf numFmtId="0" fontId="2" fillId="8" borderId="15" xfId="0" applyFont="1" applyFill="1" applyBorder="1" applyProtection="1">
      <protection hidden="1"/>
    </xf>
    <xf numFmtId="0" fontId="2" fillId="8" borderId="8" xfId="0" applyFont="1" applyFill="1" applyBorder="1" applyProtection="1">
      <protection hidden="1"/>
    </xf>
    <xf numFmtId="42" fontId="16" fillId="8" borderId="16" xfId="1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Protection="1">
      <protection hidden="1"/>
    </xf>
    <xf numFmtId="42" fontId="16" fillId="8" borderId="15" xfId="1" applyFont="1" applyFill="1" applyBorder="1" applyAlignment="1" applyProtection="1">
      <alignment horizontal="center" vertical="center"/>
      <protection hidden="1"/>
    </xf>
    <xf numFmtId="42" fontId="16" fillId="12" borderId="16" xfId="1" applyFont="1" applyFill="1" applyBorder="1" applyAlignment="1" applyProtection="1">
      <alignment horizontal="center" vertical="center"/>
      <protection hidden="1"/>
    </xf>
    <xf numFmtId="0" fontId="16" fillId="12" borderId="16" xfId="0" applyFont="1" applyFill="1" applyBorder="1" applyAlignment="1" applyProtection="1">
      <alignment horizontal="center" vertical="center"/>
      <protection hidden="1"/>
    </xf>
    <xf numFmtId="9" fontId="16" fillId="12" borderId="4" xfId="2" applyFont="1" applyFill="1" applyBorder="1" applyAlignment="1" applyProtection="1">
      <alignment horizontal="center" vertical="center"/>
      <protection hidden="1"/>
    </xf>
    <xf numFmtId="9" fontId="2" fillId="0" borderId="0" xfId="0" applyNumberFormat="1" applyFont="1" applyFill="1" applyAlignment="1" applyProtection="1">
      <alignment horizontal="center"/>
      <protection hidden="1"/>
    </xf>
    <xf numFmtId="0" fontId="4" fillId="0" borderId="0" xfId="0" applyFont="1" applyFill="1" applyProtection="1">
      <protection hidden="1"/>
    </xf>
    <xf numFmtId="0" fontId="3" fillId="12" borderId="5" xfId="0" applyFont="1" applyFill="1" applyBorder="1" applyProtection="1">
      <protection hidden="1"/>
    </xf>
    <xf numFmtId="0" fontId="3" fillId="12" borderId="0" xfId="0" applyFont="1" applyFill="1" applyBorder="1" applyAlignment="1" applyProtection="1">
      <alignment horizontal="left" vertical="center"/>
      <protection hidden="1"/>
    </xf>
    <xf numFmtId="0" fontId="3" fillId="12" borderId="0" xfId="0" applyFont="1" applyFill="1" applyBorder="1" applyProtection="1">
      <protection hidden="1"/>
    </xf>
    <xf numFmtId="0" fontId="3" fillId="12" borderId="6" xfId="0" applyFont="1" applyFill="1" applyBorder="1" applyProtection="1">
      <protection hidden="1"/>
    </xf>
    <xf numFmtId="0" fontId="3" fillId="12" borderId="0" xfId="0" applyFont="1" applyFill="1" applyBorder="1" applyAlignment="1" applyProtection="1">
      <protection hidden="1"/>
    </xf>
    <xf numFmtId="0" fontId="3" fillId="12" borderId="0" xfId="0" applyFont="1" applyFill="1" applyBorder="1" applyAlignment="1" applyProtection="1">
      <alignment horizontal="center"/>
      <protection hidden="1"/>
    </xf>
    <xf numFmtId="0" fontId="2" fillId="12" borderId="0" xfId="0" applyFont="1" applyFill="1" applyProtection="1">
      <protection hidden="1"/>
    </xf>
    <xf numFmtId="0" fontId="2" fillId="12" borderId="7" xfId="0" applyFont="1" applyFill="1" applyBorder="1" applyProtection="1">
      <protection hidden="1"/>
    </xf>
    <xf numFmtId="0" fontId="2" fillId="12" borderId="15" xfId="0" applyFont="1" applyFill="1" applyBorder="1" applyProtection="1">
      <protection hidden="1"/>
    </xf>
    <xf numFmtId="0" fontId="2" fillId="12" borderId="8" xfId="0" applyFont="1" applyFill="1" applyBorder="1" applyProtection="1">
      <protection hidden="1"/>
    </xf>
    <xf numFmtId="42" fontId="16" fillId="12" borderId="15" xfId="1" applyFont="1" applyFill="1" applyBorder="1" applyAlignment="1" applyProtection="1">
      <alignment horizontal="center" vertical="center"/>
      <protection hidden="1"/>
    </xf>
    <xf numFmtId="0" fontId="16" fillId="12" borderId="15" xfId="0" applyFont="1" applyFill="1" applyBorder="1" applyAlignment="1" applyProtection="1">
      <alignment horizontal="center" vertical="center"/>
      <protection hidden="1"/>
    </xf>
    <xf numFmtId="9" fontId="16" fillId="12" borderId="8" xfId="2" applyFont="1" applyFill="1" applyBorder="1" applyAlignment="1" applyProtection="1">
      <alignment horizontal="center" vertical="center"/>
      <protection hidden="1"/>
    </xf>
    <xf numFmtId="42" fontId="3" fillId="0" borderId="14" xfId="1" applyFont="1" applyFill="1" applyBorder="1" applyAlignment="1" applyProtection="1">
      <alignment horizontal="right" vertical="center"/>
      <protection locked="0"/>
    </xf>
    <xf numFmtId="42" fontId="3" fillId="0" borderId="13" xfId="1" applyFont="1" applyFill="1" applyBorder="1" applyAlignment="1" applyProtection="1">
      <alignment horizontal="right" vertical="center"/>
      <protection locked="0"/>
    </xf>
    <xf numFmtId="0" fontId="6" fillId="0" borderId="0" xfId="0" applyFont="1" applyBorder="1" applyAlignment="1" applyProtection="1">
      <alignment horizontal="left"/>
      <protection hidden="1"/>
    </xf>
    <xf numFmtId="17" fontId="6" fillId="0" borderId="9" xfId="0" applyNumberFormat="1" applyFont="1" applyBorder="1" applyAlignment="1" applyProtection="1">
      <alignment horizontal="center"/>
      <protection hidden="1"/>
    </xf>
    <xf numFmtId="0" fontId="6" fillId="0" borderId="9" xfId="0" applyFont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164" fontId="0" fillId="0" borderId="9" xfId="0" applyNumberFormat="1" applyFont="1" applyBorder="1" applyAlignment="1" applyProtection="1">
      <alignment horizontal="center"/>
      <protection hidden="1"/>
    </xf>
    <xf numFmtId="164" fontId="0" fillId="0" borderId="9" xfId="4" applyNumberFormat="1" applyFont="1" applyBorder="1" applyProtection="1">
      <protection hidden="1"/>
    </xf>
    <xf numFmtId="164" fontId="0" fillId="5" borderId="9" xfId="4" applyNumberFormat="1" applyFont="1" applyFill="1" applyBorder="1" applyProtection="1">
      <protection hidden="1"/>
    </xf>
    <xf numFmtId="166" fontId="0" fillId="0" borderId="0" xfId="0" applyNumberFormat="1" applyBorder="1" applyProtection="1">
      <protection hidden="1"/>
    </xf>
    <xf numFmtId="0" fontId="0" fillId="0" borderId="0" xfId="0" applyFont="1" applyBorder="1" applyProtection="1">
      <protection hidden="1"/>
    </xf>
    <xf numFmtId="164" fontId="0" fillId="6" borderId="9" xfId="4" applyNumberFormat="1" applyFont="1" applyFill="1" applyBorder="1" applyProtection="1">
      <protection hidden="1"/>
    </xf>
    <xf numFmtId="164" fontId="0" fillId="0" borderId="9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left"/>
      <protection hidden="1"/>
    </xf>
    <xf numFmtId="0" fontId="0" fillId="0" borderId="0" xfId="0" applyFill="1" applyBorder="1" applyProtection="1">
      <protection hidden="1"/>
    </xf>
    <xf numFmtId="164" fontId="7" fillId="0" borderId="9" xfId="4" applyNumberFormat="1" applyFont="1" applyBorder="1" applyProtection="1">
      <protection hidden="1"/>
    </xf>
    <xf numFmtId="0" fontId="6" fillId="5" borderId="0" xfId="0" applyFont="1" applyFill="1" applyBorder="1" applyAlignment="1" applyProtection="1">
      <alignment horizontal="left"/>
      <protection hidden="1"/>
    </xf>
    <xf numFmtId="164" fontId="7" fillId="5" borderId="9" xfId="4" applyNumberFormat="1" applyFont="1" applyFill="1" applyBorder="1" applyProtection="1">
      <protection hidden="1"/>
    </xf>
    <xf numFmtId="164" fontId="0" fillId="0" borderId="0" xfId="0" applyNumberFormat="1" applyBorder="1" applyProtection="1">
      <protection hidden="1"/>
    </xf>
    <xf numFmtId="0" fontId="6" fillId="7" borderId="0" xfId="0" applyFont="1" applyFill="1" applyBorder="1" applyAlignment="1" applyProtection="1">
      <alignment horizontal="left"/>
      <protection hidden="1"/>
    </xf>
    <xf numFmtId="164" fontId="7" fillId="7" borderId="9" xfId="4" applyNumberFormat="1" applyFont="1" applyFill="1" applyBorder="1" applyProtection="1">
      <protection hidden="1"/>
    </xf>
    <xf numFmtId="9" fontId="0" fillId="0" borderId="0" xfId="2" applyFont="1" applyBorder="1" applyAlignment="1" applyProtection="1">
      <alignment horizontal="center"/>
      <protection hidden="1"/>
    </xf>
    <xf numFmtId="9" fontId="6" fillId="8" borderId="0" xfId="2" applyFont="1" applyFill="1" applyBorder="1" applyAlignment="1" applyProtection="1">
      <alignment horizontal="center"/>
      <protection hidden="1"/>
    </xf>
    <xf numFmtId="166" fontId="5" fillId="0" borderId="0" xfId="0" applyNumberFormat="1" applyFont="1" applyBorder="1" applyProtection="1">
      <protection hidden="1"/>
    </xf>
    <xf numFmtId="164" fontId="0" fillId="0" borderId="0" xfId="0" applyNumberFormat="1" applyBorder="1" applyAlignment="1" applyProtection="1">
      <alignment horizontal="center"/>
      <protection hidden="1"/>
    </xf>
    <xf numFmtId="1" fontId="0" fillId="0" borderId="0" xfId="0" applyNumberFormat="1" applyBorder="1" applyAlignment="1" applyProtection="1">
      <alignment horizontal="center"/>
      <protection hidden="1"/>
    </xf>
    <xf numFmtId="166" fontId="4" fillId="10" borderId="0" xfId="4" applyNumberFormat="1" applyFont="1" applyFill="1" applyBorder="1" applyProtection="1">
      <protection hidden="1"/>
    </xf>
    <xf numFmtId="0" fontId="0" fillId="2" borderId="0" xfId="0" applyFill="1" applyBorder="1" applyAlignment="1" applyProtection="1">
      <alignment horizontal="center"/>
      <protection hidden="1"/>
    </xf>
    <xf numFmtId="166" fontId="0" fillId="2" borderId="0" xfId="0" applyNumberFormat="1" applyFill="1" applyBorder="1" applyProtection="1">
      <protection hidden="1"/>
    </xf>
    <xf numFmtId="0" fontId="0" fillId="0" borderId="0" xfId="0" applyBorder="1" applyAlignment="1" applyProtection="1">
      <alignment horizontal="left"/>
      <protection hidden="1"/>
    </xf>
    <xf numFmtId="166" fontId="6" fillId="0" borderId="0" xfId="4" applyNumberFormat="1" applyFont="1" applyBorder="1" applyProtection="1">
      <protection hidden="1"/>
    </xf>
    <xf numFmtId="14" fontId="8" fillId="0" borderId="0" xfId="0" applyNumberFormat="1" applyFont="1" applyBorder="1" applyProtection="1">
      <protection hidden="1"/>
    </xf>
    <xf numFmtId="0" fontId="8" fillId="0" borderId="0" xfId="0" applyFont="1" applyBorder="1" applyProtection="1">
      <protection hidden="1"/>
    </xf>
    <xf numFmtId="166" fontId="10" fillId="0" borderId="0" xfId="0" applyNumberFormat="1" applyFont="1" applyBorder="1" applyAlignment="1" applyProtection="1">
      <alignment horizontal="center"/>
      <protection hidden="1"/>
    </xf>
    <xf numFmtId="166" fontId="0" fillId="6" borderId="13" xfId="4" applyNumberFormat="1" applyFont="1" applyFill="1" applyBorder="1" applyProtection="1">
      <protection hidden="1"/>
    </xf>
    <xf numFmtId="167" fontId="8" fillId="0" borderId="0" xfId="4" applyNumberFormat="1" applyFont="1" applyBorder="1" applyAlignment="1" applyProtection="1">
      <alignment horizontal="center"/>
      <protection hidden="1"/>
    </xf>
    <xf numFmtId="166" fontId="0" fillId="6" borderId="9" xfId="4" applyNumberFormat="1" applyFont="1" applyFill="1" applyBorder="1" applyProtection="1">
      <protection hidden="1"/>
    </xf>
    <xf numFmtId="167" fontId="0" fillId="0" borderId="0" xfId="0" applyNumberFormat="1" applyBorder="1" applyProtection="1">
      <protection hidden="1"/>
    </xf>
    <xf numFmtId="166" fontId="8" fillId="6" borderId="9" xfId="4" applyNumberFormat="1" applyFont="1" applyFill="1" applyBorder="1" applyProtection="1">
      <protection hidden="1"/>
    </xf>
    <xf numFmtId="164" fontId="0" fillId="0" borderId="9" xfId="0" applyNumberFormat="1" applyFont="1" applyBorder="1" applyAlignment="1" applyProtection="1">
      <alignment horizontal="center"/>
      <protection locked="0"/>
    </xf>
    <xf numFmtId="0" fontId="0" fillId="6" borderId="9" xfId="0" applyFill="1" applyBorder="1" applyAlignment="1" applyProtection="1">
      <alignment horizontal="center"/>
      <protection locked="0"/>
    </xf>
    <xf numFmtId="0" fontId="4" fillId="15" borderId="0" xfId="0" applyFont="1" applyFill="1"/>
    <xf numFmtId="0" fontId="4" fillId="15" borderId="0" xfId="0" applyFont="1" applyFill="1" applyAlignment="1"/>
    <xf numFmtId="14" fontId="3" fillId="0" borderId="9" xfId="0" applyNumberFormat="1" applyFont="1" applyFill="1" applyBorder="1" applyAlignment="1" applyProtection="1">
      <alignment horizontal="center" vertical="center"/>
      <protection locked="0"/>
    </xf>
    <xf numFmtId="0" fontId="2" fillId="8" borderId="0" xfId="0" applyFont="1" applyFill="1" applyBorder="1" applyAlignment="1" applyProtection="1">
      <alignment horizontal="right"/>
      <protection hidden="1"/>
    </xf>
    <xf numFmtId="0" fontId="3" fillId="0" borderId="14" xfId="3" applyNumberFormat="1" applyFont="1" applyFill="1" applyBorder="1" applyAlignment="1" applyProtection="1">
      <alignment horizontal="right" vertical="center"/>
      <protection locked="0"/>
    </xf>
    <xf numFmtId="0" fontId="0" fillId="0" borderId="0" xfId="3" applyNumberFormat="1" applyFont="1"/>
    <xf numFmtId="0" fontId="0" fillId="0" borderId="0" xfId="0" applyNumberFormat="1"/>
    <xf numFmtId="0" fontId="0" fillId="0" borderId="0" xfId="0" applyAlignment="1">
      <alignment horizontal="center"/>
    </xf>
    <xf numFmtId="169" fontId="6" fillId="0" borderId="0" xfId="2" applyNumberFormat="1" applyFont="1" applyBorder="1" applyAlignment="1" applyProtection="1">
      <alignment horizontal="center"/>
      <protection hidden="1"/>
    </xf>
    <xf numFmtId="1" fontId="0" fillId="0" borderId="0" xfId="0" applyNumberFormat="1"/>
    <xf numFmtId="17" fontId="0" fillId="0" borderId="9" xfId="0" applyNumberFormat="1" applyBorder="1" applyAlignment="1">
      <alignment horizontal="center"/>
    </xf>
    <xf numFmtId="0" fontId="0" fillId="0" borderId="18" xfId="0" applyBorder="1" applyProtection="1">
      <protection hidden="1"/>
    </xf>
    <xf numFmtId="2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166" fontId="0" fillId="0" borderId="0" xfId="0" applyNumberFormat="1"/>
    <xf numFmtId="17" fontId="6" fillId="0" borderId="9" xfId="0" applyNumberFormat="1" applyFont="1" applyFill="1" applyBorder="1" applyAlignment="1" applyProtection="1">
      <alignment horizontal="center"/>
      <protection hidden="1"/>
    </xf>
    <xf numFmtId="0" fontId="6" fillId="0" borderId="9" xfId="0" applyFont="1" applyFill="1" applyBorder="1" applyAlignment="1" applyProtection="1">
      <alignment horizontal="center"/>
      <protection hidden="1"/>
    </xf>
    <xf numFmtId="164" fontId="0" fillId="0" borderId="9" xfId="0" applyNumberFormat="1" applyFont="1" applyFill="1" applyBorder="1" applyAlignment="1" applyProtection="1">
      <alignment horizontal="center"/>
      <protection locked="0"/>
    </xf>
    <xf numFmtId="164" fontId="7" fillId="0" borderId="9" xfId="4" applyNumberFormat="1" applyFont="1" applyFill="1" applyBorder="1" applyProtection="1">
      <protection hidden="1"/>
    </xf>
    <xf numFmtId="164" fontId="2" fillId="0" borderId="9" xfId="4" applyNumberFormat="1" applyFont="1" applyFill="1" applyBorder="1" applyProtection="1">
      <protection hidden="1"/>
    </xf>
    <xf numFmtId="42" fontId="10" fillId="0" borderId="0" xfId="1" applyFont="1" applyFill="1" applyBorder="1" applyAlignment="1" applyProtection="1">
      <alignment horizontal="left"/>
      <protection hidden="1"/>
    </xf>
    <xf numFmtId="42" fontId="0" fillId="0" borderId="0" xfId="0" applyNumberFormat="1" applyFill="1" applyBorder="1" applyAlignment="1" applyProtection="1">
      <alignment horizontal="left"/>
      <protection hidden="1"/>
    </xf>
    <xf numFmtId="164" fontId="0" fillId="0" borderId="0" xfId="0" applyNumberFormat="1" applyFont="1" applyFill="1" applyBorder="1" applyAlignment="1" applyProtection="1">
      <alignment horizontal="left"/>
      <protection hidden="1"/>
    </xf>
    <xf numFmtId="169" fontId="0" fillId="0" borderId="0" xfId="2" applyNumberFormat="1" applyFont="1" applyFill="1" applyBorder="1" applyAlignment="1" applyProtection="1">
      <alignment horizontal="center"/>
      <protection hidden="1"/>
    </xf>
    <xf numFmtId="42" fontId="0" fillId="0" borderId="0" xfId="0" applyNumberForma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1" fontId="0" fillId="0" borderId="0" xfId="0" applyNumberFormat="1" applyFill="1" applyBorder="1" applyAlignment="1" applyProtection="1">
      <alignment horizontal="center"/>
      <protection hidden="1"/>
    </xf>
    <xf numFmtId="0" fontId="0" fillId="0" borderId="0" xfId="0" applyFill="1"/>
    <xf numFmtId="166" fontId="5" fillId="0" borderId="0" xfId="0" applyNumberFormat="1" applyFont="1" applyFill="1" applyBorder="1" applyProtection="1">
      <protection hidden="1"/>
    </xf>
    <xf numFmtId="166" fontId="4" fillId="0" borderId="0" xfId="4" applyNumberFormat="1" applyFont="1" applyFill="1" applyBorder="1" applyProtection="1">
      <protection hidden="1"/>
    </xf>
    <xf numFmtId="166" fontId="0" fillId="0" borderId="0" xfId="0" applyNumberFormat="1" applyFill="1" applyBorder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166" fontId="0" fillId="0" borderId="0" xfId="0" applyNumberFormat="1" applyFill="1"/>
    <xf numFmtId="166" fontId="0" fillId="0" borderId="19" xfId="0" applyNumberFormat="1" applyBorder="1" applyAlignment="1" applyProtection="1">
      <alignment horizontal="center"/>
      <protection hidden="1"/>
    </xf>
    <xf numFmtId="9" fontId="0" fillId="0" borderId="0" xfId="0" applyNumberFormat="1"/>
    <xf numFmtId="169" fontId="0" fillId="0" borderId="0" xfId="2" applyNumberFormat="1" applyFont="1"/>
    <xf numFmtId="42" fontId="18" fillId="10" borderId="0" xfId="1" applyFont="1" applyFill="1" applyAlignment="1">
      <alignment horizontal="right"/>
    </xf>
    <xf numFmtId="42" fontId="19" fillId="2" borderId="0" xfId="1" applyFont="1" applyFill="1" applyAlignment="1">
      <alignment horizontal="right"/>
    </xf>
    <xf numFmtId="42" fontId="19" fillId="16" borderId="0" xfId="1" applyFont="1" applyFill="1" applyAlignment="1">
      <alignment horizontal="right"/>
    </xf>
    <xf numFmtId="0" fontId="19" fillId="0" borderId="0" xfId="0" applyFont="1" applyFill="1"/>
    <xf numFmtId="0" fontId="20" fillId="0" borderId="0" xfId="0" applyFont="1"/>
    <xf numFmtId="0" fontId="19" fillId="5" borderId="0" xfId="0" applyFont="1" applyFill="1" applyAlignment="1">
      <alignment horizontal="center"/>
    </xf>
    <xf numFmtId="0" fontId="19" fillId="12" borderId="0" xfId="0" applyFont="1" applyFill="1" applyAlignment="1">
      <alignment horizontal="center"/>
    </xf>
    <xf numFmtId="0" fontId="19" fillId="13" borderId="0" xfId="0" applyFont="1" applyFill="1" applyAlignment="1">
      <alignment horizontal="center"/>
    </xf>
    <xf numFmtId="0" fontId="19" fillId="3" borderId="0" xfId="0" applyFont="1" applyFill="1" applyAlignment="1">
      <alignment horizontal="center"/>
    </xf>
    <xf numFmtId="0" fontId="19" fillId="4" borderId="0" xfId="0" applyFont="1" applyFill="1" applyAlignment="1">
      <alignment horizontal="center"/>
    </xf>
    <xf numFmtId="0" fontId="19" fillId="14" borderId="0" xfId="0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42" fontId="20" fillId="5" borderId="0" xfId="1" applyFont="1" applyFill="1" applyAlignment="1">
      <alignment horizontal="center"/>
    </xf>
    <xf numFmtId="42" fontId="20" fillId="12" borderId="0" xfId="1" applyFont="1" applyFill="1" applyAlignment="1">
      <alignment horizontal="center"/>
    </xf>
    <xf numFmtId="42" fontId="20" fillId="13" borderId="0" xfId="1" applyFont="1" applyFill="1" applyAlignment="1">
      <alignment horizontal="center"/>
    </xf>
    <xf numFmtId="42" fontId="20" fillId="3" borderId="0" xfId="1" applyFont="1" applyFill="1" applyAlignment="1">
      <alignment horizontal="center"/>
    </xf>
    <xf numFmtId="42" fontId="20" fillId="4" borderId="0" xfId="1" applyFont="1" applyFill="1" applyAlignment="1">
      <alignment horizontal="center"/>
    </xf>
    <xf numFmtId="42" fontId="19" fillId="14" borderId="0" xfId="1" applyFont="1" applyFill="1" applyAlignment="1">
      <alignment horizontal="center"/>
    </xf>
    <xf numFmtId="42" fontId="19" fillId="2" borderId="0" xfId="1" applyFont="1" applyFill="1" applyAlignment="1">
      <alignment horizontal="center"/>
    </xf>
    <xf numFmtId="6" fontId="22" fillId="0" borderId="0" xfId="1" applyNumberFormat="1" applyFont="1" applyAlignment="1">
      <alignment horizontal="center"/>
    </xf>
    <xf numFmtId="42" fontId="20" fillId="0" borderId="0" xfId="0" applyNumberFormat="1" applyFont="1" applyAlignment="1">
      <alignment horizontal="center"/>
    </xf>
    <xf numFmtId="0" fontId="16" fillId="0" borderId="0" xfId="0" applyFont="1" applyFill="1"/>
    <xf numFmtId="0" fontId="7" fillId="0" borderId="0" xfId="0" applyFont="1" applyFill="1"/>
    <xf numFmtId="164" fontId="7" fillId="5" borderId="9" xfId="0" applyNumberFormat="1" applyFont="1" applyFill="1" applyBorder="1" applyAlignment="1" applyProtection="1">
      <alignment horizontal="center"/>
      <protection hidden="1"/>
    </xf>
    <xf numFmtId="164" fontId="0" fillId="5" borderId="9" xfId="0" applyNumberFormat="1" applyFont="1" applyFill="1" applyBorder="1" applyAlignment="1" applyProtection="1">
      <alignment horizontal="center"/>
      <protection hidden="1"/>
    </xf>
    <xf numFmtId="9" fontId="23" fillId="0" borderId="0" xfId="2" applyFont="1" applyFill="1" applyBorder="1" applyAlignment="1" applyProtection="1">
      <alignment horizontal="center"/>
      <protection hidden="1"/>
    </xf>
    <xf numFmtId="0" fontId="4" fillId="17" borderId="0" xfId="0" applyFont="1" applyFill="1" applyBorder="1" applyAlignment="1" applyProtection="1">
      <alignment horizontal="center"/>
      <protection hidden="1"/>
    </xf>
    <xf numFmtId="166" fontId="4" fillId="17" borderId="0" xfId="4" applyNumberFormat="1" applyFont="1" applyFill="1" applyBorder="1" applyProtection="1">
      <protection hidden="1"/>
    </xf>
    <xf numFmtId="0" fontId="24" fillId="17" borderId="0" xfId="0" applyFont="1" applyFill="1" applyBorder="1" applyAlignment="1" applyProtection="1">
      <alignment horizontal="center"/>
      <protection hidden="1"/>
    </xf>
    <xf numFmtId="166" fontId="24" fillId="17" borderId="0" xfId="0" applyNumberFormat="1" applyFont="1" applyFill="1" applyBorder="1" applyProtection="1">
      <protection hidden="1"/>
    </xf>
    <xf numFmtId="9" fontId="0" fillId="0" borderId="0" xfId="2" applyNumberFormat="1" applyFont="1" applyBorder="1" applyProtection="1"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0" fillId="18" borderId="9" xfId="0" applyFill="1" applyBorder="1" applyAlignment="1">
      <alignment horizontal="center"/>
    </xf>
    <xf numFmtId="42" fontId="19" fillId="18" borderId="0" xfId="1" applyFont="1" applyFill="1" applyAlignment="1">
      <alignment horizontal="right"/>
    </xf>
    <xf numFmtId="0" fontId="5" fillId="0" borderId="0" xfId="0" applyFont="1" applyAlignment="1">
      <alignment horizontal="center"/>
    </xf>
    <xf numFmtId="0" fontId="6" fillId="0" borderId="10" xfId="0" applyFont="1" applyBorder="1" applyAlignment="1" applyProtection="1">
      <alignment horizontal="left"/>
      <protection hidden="1"/>
    </xf>
    <xf numFmtId="166" fontId="6" fillId="0" borderId="12" xfId="4" applyNumberFormat="1" applyFont="1" applyBorder="1" applyProtection="1">
      <protection hidden="1"/>
    </xf>
    <xf numFmtId="166" fontId="14" fillId="0" borderId="0" xfId="0" applyNumberFormat="1" applyFont="1"/>
    <xf numFmtId="166" fontId="0" fillId="6" borderId="20" xfId="4" applyNumberFormat="1" applyFont="1" applyFill="1" applyBorder="1" applyProtection="1">
      <protection hidden="1"/>
    </xf>
    <xf numFmtId="166" fontId="0" fillId="6" borderId="21" xfId="4" applyNumberFormat="1" applyFont="1" applyFill="1" applyBorder="1" applyProtection="1">
      <protection hidden="1"/>
    </xf>
    <xf numFmtId="166" fontId="0" fillId="6" borderId="22" xfId="4" applyNumberFormat="1" applyFont="1" applyFill="1" applyBorder="1" applyProtection="1">
      <protection hidden="1"/>
    </xf>
    <xf numFmtId="166" fontId="8" fillId="6" borderId="25" xfId="4" applyNumberFormat="1" applyFont="1" applyFill="1" applyBorder="1" applyProtection="1">
      <protection hidden="1"/>
    </xf>
    <xf numFmtId="0" fontId="6" fillId="2" borderId="0" xfId="0" applyFont="1" applyFill="1" applyAlignment="1">
      <alignment horizontal="center"/>
    </xf>
    <xf numFmtId="0" fontId="6" fillId="16" borderId="0" xfId="0" applyFont="1" applyFill="1" applyAlignment="1">
      <alignment horizontal="center"/>
    </xf>
    <xf numFmtId="170" fontId="10" fillId="0" borderId="0" xfId="2" applyNumberFormat="1" applyFont="1"/>
    <xf numFmtId="6" fontId="0" fillId="16" borderId="0" xfId="0" applyNumberFormat="1" applyFill="1" applyAlignment="1">
      <alignment horizontal="center"/>
    </xf>
    <xf numFmtId="6" fontId="0" fillId="11" borderId="9" xfId="0" applyNumberFormat="1" applyFill="1" applyBorder="1" applyAlignment="1">
      <alignment horizontal="center"/>
    </xf>
    <xf numFmtId="6" fontId="5" fillId="11" borderId="13" xfId="1" applyNumberFormat="1" applyFont="1" applyFill="1" applyBorder="1" applyAlignment="1">
      <alignment horizontal="center"/>
    </xf>
    <xf numFmtId="6" fontId="0" fillId="11" borderId="13" xfId="0" applyNumberFormat="1" applyFill="1" applyBorder="1" applyAlignment="1">
      <alignment horizontal="center"/>
    </xf>
    <xf numFmtId="6" fontId="5" fillId="11" borderId="13" xfId="0" applyNumberFormat="1" applyFont="1" applyFill="1" applyBorder="1" applyAlignment="1">
      <alignment horizontal="center"/>
    </xf>
    <xf numFmtId="6" fontId="0" fillId="2" borderId="0" xfId="0" applyNumberFormat="1" applyFill="1" applyAlignment="1">
      <alignment horizontal="center"/>
    </xf>
    <xf numFmtId="0" fontId="6" fillId="14" borderId="0" xfId="0" applyFont="1" applyFill="1" applyBorder="1" applyAlignment="1" applyProtection="1">
      <alignment horizontal="left"/>
      <protection hidden="1"/>
    </xf>
    <xf numFmtId="164" fontId="7" fillId="14" borderId="9" xfId="4" applyNumberFormat="1" applyFont="1" applyFill="1" applyBorder="1" applyProtection="1">
      <protection hidden="1"/>
    </xf>
    <xf numFmtId="164" fontId="0" fillId="7" borderId="0" xfId="0" applyNumberFormat="1" applyFill="1" applyBorder="1" applyProtection="1">
      <protection hidden="1"/>
    </xf>
    <xf numFmtId="164" fontId="0" fillId="14" borderId="0" xfId="0" applyNumberFormat="1" applyFill="1" applyBorder="1" applyProtection="1">
      <protection hidden="1"/>
    </xf>
    <xf numFmtId="166" fontId="0" fillId="6" borderId="0" xfId="0" applyNumberFormat="1" applyFill="1" applyBorder="1" applyProtection="1">
      <protection hidden="1"/>
    </xf>
    <xf numFmtId="171" fontId="0" fillId="0" borderId="9" xfId="0" applyNumberFormat="1" applyFont="1" applyBorder="1" applyAlignment="1" applyProtection="1">
      <alignment horizontal="center"/>
      <protection hidden="1"/>
    </xf>
    <xf numFmtId="171" fontId="0" fillId="0" borderId="9" xfId="0" applyNumberFormat="1" applyFont="1" applyFill="1" applyBorder="1" applyAlignment="1" applyProtection="1">
      <alignment horizontal="center"/>
      <protection hidden="1"/>
    </xf>
    <xf numFmtId="171" fontId="0" fillId="0" borderId="9" xfId="0" applyNumberFormat="1" applyFont="1" applyBorder="1" applyAlignment="1" applyProtection="1">
      <alignment horizontal="center"/>
      <protection locked="0"/>
    </xf>
    <xf numFmtId="166" fontId="4" fillId="19" borderId="0" xfId="4" applyNumberFormat="1" applyFont="1" applyFill="1" applyBorder="1" applyProtection="1">
      <protection hidden="1"/>
    </xf>
    <xf numFmtId="0" fontId="25" fillId="19" borderId="0" xfId="0" applyFont="1" applyFill="1" applyBorder="1" applyAlignment="1" applyProtection="1">
      <alignment horizontal="center"/>
      <protection hidden="1"/>
    </xf>
    <xf numFmtId="9" fontId="2" fillId="18" borderId="0" xfId="2" applyFont="1" applyFill="1" applyBorder="1" applyAlignment="1" applyProtection="1">
      <alignment horizontal="center"/>
      <protection hidden="1"/>
    </xf>
    <xf numFmtId="166" fontId="7" fillId="18" borderId="0" xfId="0" applyNumberFormat="1" applyFont="1" applyFill="1" applyBorder="1" applyProtection="1">
      <protection hidden="1"/>
    </xf>
    <xf numFmtId="42" fontId="0" fillId="0" borderId="0" xfId="1" applyFont="1" applyBorder="1" applyProtection="1">
      <protection hidden="1"/>
    </xf>
    <xf numFmtId="14" fontId="0" fillId="0" borderId="0" xfId="0" applyNumberFormat="1" applyBorder="1" applyProtection="1">
      <protection hidden="1"/>
    </xf>
    <xf numFmtId="0" fontId="6" fillId="0" borderId="10" xfId="0" applyFont="1" applyBorder="1" applyProtection="1">
      <protection hidden="1"/>
    </xf>
    <xf numFmtId="0" fontId="6" fillId="0" borderId="11" xfId="0" applyFont="1" applyBorder="1" applyAlignment="1" applyProtection="1">
      <alignment horizontal="center"/>
      <protection hidden="1"/>
    </xf>
    <xf numFmtId="42" fontId="6" fillId="0" borderId="12" xfId="0" applyNumberFormat="1" applyFont="1" applyBorder="1" applyProtection="1">
      <protection hidden="1"/>
    </xf>
    <xf numFmtId="0" fontId="14" fillId="0" borderId="0" xfId="0" applyFont="1" applyFill="1"/>
    <xf numFmtId="166" fontId="13" fillId="0" borderId="0" xfId="0" applyNumberFormat="1" applyFont="1" applyFill="1" applyBorder="1" applyAlignment="1">
      <alignment horizontal="left"/>
    </xf>
    <xf numFmtId="166" fontId="13" fillId="0" borderId="0" xfId="4" applyNumberFormat="1" applyFont="1" applyFill="1" applyBorder="1"/>
    <xf numFmtId="166" fontId="14" fillId="0" borderId="0" xfId="0" applyNumberFormat="1" applyFont="1" applyFill="1" applyBorder="1" applyAlignment="1">
      <alignment horizontal="left"/>
    </xf>
    <xf numFmtId="166" fontId="14" fillId="0" borderId="0" xfId="4" applyNumberFormat="1" applyFont="1" applyFill="1" applyBorder="1"/>
    <xf numFmtId="166" fontId="13" fillId="0" borderId="10" xfId="0" applyNumberFormat="1" applyFont="1" applyFill="1" applyBorder="1" applyAlignment="1">
      <alignment horizontal="left"/>
    </xf>
    <xf numFmtId="166" fontId="13" fillId="0" borderId="11" xfId="0" applyNumberFormat="1" applyFont="1" applyFill="1" applyBorder="1" applyAlignment="1">
      <alignment horizontal="left"/>
    </xf>
    <xf numFmtId="166" fontId="13" fillId="0" borderId="12" xfId="4" applyNumberFormat="1" applyFont="1" applyFill="1" applyBorder="1"/>
    <xf numFmtId="14" fontId="14" fillId="0" borderId="0" xfId="4" applyNumberFormat="1" applyFont="1" applyFill="1" applyBorder="1"/>
    <xf numFmtId="166" fontId="13" fillId="11" borderId="0" xfId="0" applyNumberFormat="1" applyFont="1" applyFill="1" applyBorder="1" applyAlignment="1">
      <alignment horizontal="left"/>
    </xf>
    <xf numFmtId="166" fontId="13" fillId="11" borderId="0" xfId="4" applyNumberFormat="1" applyFont="1" applyFill="1" applyBorder="1"/>
    <xf numFmtId="166" fontId="14" fillId="11" borderId="0" xfId="0" applyNumberFormat="1" applyFont="1" applyFill="1" applyBorder="1" applyAlignment="1">
      <alignment horizontal="left"/>
    </xf>
    <xf numFmtId="166" fontId="14" fillId="11" borderId="0" xfId="4" applyNumberFormat="1" applyFont="1" applyFill="1" applyBorder="1"/>
    <xf numFmtId="14" fontId="14" fillId="11" borderId="0" xfId="4" applyNumberFormat="1" applyFont="1" applyFill="1" applyBorder="1"/>
    <xf numFmtId="166" fontId="13" fillId="11" borderId="10" xfId="0" applyNumberFormat="1" applyFont="1" applyFill="1" applyBorder="1" applyAlignment="1">
      <alignment horizontal="left"/>
    </xf>
    <xf numFmtId="166" fontId="13" fillId="11" borderId="11" xfId="0" applyNumberFormat="1" applyFont="1" applyFill="1" applyBorder="1" applyAlignment="1">
      <alignment horizontal="left"/>
    </xf>
    <xf numFmtId="166" fontId="13" fillId="11" borderId="12" xfId="4" applyNumberFormat="1" applyFont="1" applyFill="1" applyBorder="1"/>
    <xf numFmtId="0" fontId="4" fillId="10" borderId="10" xfId="0" applyFont="1" applyFill="1" applyBorder="1" applyProtection="1">
      <protection hidden="1"/>
    </xf>
    <xf numFmtId="42" fontId="16" fillId="2" borderId="16" xfId="1" applyFont="1" applyFill="1" applyBorder="1" applyAlignment="1" applyProtection="1">
      <alignment horizontal="center" vertical="center"/>
      <protection hidden="1"/>
    </xf>
    <xf numFmtId="42" fontId="16" fillId="2" borderId="15" xfId="1" applyFont="1" applyFill="1" applyBorder="1" applyAlignment="1" applyProtection="1">
      <alignment horizontal="center" vertical="center"/>
      <protection hidden="1"/>
    </xf>
    <xf numFmtId="1" fontId="0" fillId="0" borderId="0" xfId="1" applyNumberFormat="1" applyFont="1"/>
    <xf numFmtId="1" fontId="4" fillId="15" borderId="0" xfId="0" applyNumberFormat="1" applyFont="1" applyFill="1"/>
    <xf numFmtId="171" fontId="0" fillId="0" borderId="9" xfId="0" applyNumberFormat="1" applyFont="1" applyBorder="1" applyAlignment="1" applyProtection="1">
      <alignment horizontal="center"/>
      <protection locked="0" hidden="1"/>
    </xf>
    <xf numFmtId="42" fontId="21" fillId="0" borderId="0" xfId="1" applyFont="1" applyAlignment="1">
      <alignment horizontal="left"/>
    </xf>
    <xf numFmtId="0" fontId="19" fillId="20" borderId="0" xfId="0" applyFont="1" applyFill="1" applyAlignment="1">
      <alignment horizontal="center"/>
    </xf>
    <xf numFmtId="42" fontId="19" fillId="20" borderId="0" xfId="1" applyFont="1" applyFill="1" applyAlignment="1">
      <alignment horizontal="center"/>
    </xf>
    <xf numFmtId="0" fontId="0" fillId="9" borderId="0" xfId="0" applyFont="1" applyFill="1" applyBorder="1" applyAlignment="1" applyProtection="1">
      <alignment horizontal="left"/>
      <protection hidden="1"/>
    </xf>
    <xf numFmtId="0" fontId="0" fillId="9" borderId="0" xfId="0" applyFill="1" applyBorder="1" applyAlignment="1" applyProtection="1">
      <alignment horizontal="center"/>
      <protection hidden="1"/>
    </xf>
    <xf numFmtId="0" fontId="19" fillId="21" borderId="0" xfId="0" applyFont="1" applyFill="1" applyAlignment="1">
      <alignment horizontal="center"/>
    </xf>
    <xf numFmtId="42" fontId="19" fillId="21" borderId="0" xfId="1" applyFont="1" applyFill="1" applyAlignment="1">
      <alignment horizontal="center"/>
    </xf>
    <xf numFmtId="1" fontId="0" fillId="0" borderId="0" xfId="3" applyNumberFormat="1" applyFont="1" applyBorder="1" applyAlignment="1" applyProtection="1">
      <alignment horizontal="center"/>
      <protection hidden="1"/>
    </xf>
    <xf numFmtId="0" fontId="16" fillId="2" borderId="7" xfId="0" applyFont="1" applyFill="1" applyBorder="1" applyAlignment="1" applyProtection="1">
      <alignment horizontal="left" vertical="center"/>
      <protection hidden="1"/>
    </xf>
    <xf numFmtId="0" fontId="16" fillId="2" borderId="15" xfId="0" applyFont="1" applyFill="1" applyBorder="1" applyAlignment="1">
      <alignment horizontal="left"/>
    </xf>
    <xf numFmtId="0" fontId="16" fillId="2" borderId="3" xfId="0" applyFont="1" applyFill="1" applyBorder="1" applyAlignment="1" applyProtection="1">
      <alignment horizontal="left" vertical="center"/>
      <protection hidden="1"/>
    </xf>
    <xf numFmtId="0" fontId="16" fillId="2" borderId="16" xfId="0" applyFont="1" applyFill="1" applyBorder="1" applyAlignment="1">
      <alignment horizontal="left"/>
    </xf>
    <xf numFmtId="9" fontId="16" fillId="2" borderId="16" xfId="2" applyFont="1" applyFill="1" applyBorder="1" applyAlignment="1" applyProtection="1">
      <alignment horizontal="center" vertical="center"/>
      <protection hidden="1"/>
    </xf>
    <xf numFmtId="9" fontId="16" fillId="2" borderId="4" xfId="2" applyFont="1" applyFill="1" applyBorder="1" applyAlignment="1" applyProtection="1">
      <alignment horizontal="center" vertical="center"/>
      <protection hidden="1"/>
    </xf>
    <xf numFmtId="170" fontId="16" fillId="2" borderId="15" xfId="2" applyNumberFormat="1" applyFont="1" applyFill="1" applyBorder="1" applyAlignment="1" applyProtection="1">
      <alignment horizontal="center" vertical="center"/>
      <protection hidden="1"/>
    </xf>
    <xf numFmtId="170" fontId="16" fillId="2" borderId="8" xfId="2" applyNumberFormat="1" applyFont="1" applyFill="1" applyBorder="1" applyAlignment="1" applyProtection="1">
      <alignment horizontal="center" vertical="center"/>
      <protection hidden="1"/>
    </xf>
    <xf numFmtId="0" fontId="16" fillId="8" borderId="3" xfId="0" applyFont="1" applyFill="1" applyBorder="1" applyAlignment="1" applyProtection="1">
      <alignment horizontal="left" vertical="center"/>
      <protection hidden="1"/>
    </xf>
    <xf numFmtId="0" fontId="16" fillId="8" borderId="16" xfId="0" applyFont="1" applyFill="1" applyBorder="1" applyAlignment="1">
      <alignment horizontal="left"/>
    </xf>
    <xf numFmtId="9" fontId="16" fillId="8" borderId="16" xfId="2" applyFont="1" applyFill="1" applyBorder="1" applyAlignment="1" applyProtection="1">
      <alignment horizontal="center" vertical="center"/>
      <protection hidden="1"/>
    </xf>
    <xf numFmtId="9" fontId="16" fillId="8" borderId="4" xfId="2" applyFont="1" applyFill="1" applyBorder="1" applyAlignment="1" applyProtection="1">
      <alignment horizontal="center" vertical="center"/>
      <protection hidden="1"/>
    </xf>
    <xf numFmtId="0" fontId="16" fillId="8" borderId="7" xfId="0" applyFont="1" applyFill="1" applyBorder="1" applyAlignment="1" applyProtection="1">
      <alignment horizontal="left" vertical="center"/>
      <protection hidden="1"/>
    </xf>
    <xf numFmtId="0" fontId="16" fillId="8" borderId="15" xfId="0" applyFont="1" applyFill="1" applyBorder="1" applyAlignment="1">
      <alignment horizontal="left"/>
    </xf>
    <xf numFmtId="10" fontId="16" fillId="8" borderId="15" xfId="2" applyNumberFormat="1" applyFont="1" applyFill="1" applyBorder="1" applyAlignment="1" applyProtection="1">
      <alignment horizontal="center" vertical="center"/>
      <protection hidden="1"/>
    </xf>
    <xf numFmtId="10" fontId="16" fillId="8" borderId="8" xfId="2" applyNumberFormat="1" applyFont="1" applyFill="1" applyBorder="1" applyAlignment="1" applyProtection="1">
      <alignment horizontal="center" vertical="center"/>
      <protection hidden="1"/>
    </xf>
    <xf numFmtId="0" fontId="17" fillId="4" borderId="3" xfId="0" applyFont="1" applyFill="1" applyBorder="1" applyAlignment="1" applyProtection="1">
      <alignment horizontal="center" vertical="center"/>
      <protection hidden="1"/>
    </xf>
    <xf numFmtId="0" fontId="17" fillId="4" borderId="16" xfId="0" applyFont="1" applyFill="1" applyBorder="1" applyAlignment="1" applyProtection="1">
      <alignment horizontal="center" vertical="center"/>
      <protection hidden="1"/>
    </xf>
    <xf numFmtId="0" fontId="17" fillId="4" borderId="4" xfId="0" applyFont="1" applyFill="1" applyBorder="1" applyAlignment="1" applyProtection="1">
      <alignment horizontal="center" vertical="center"/>
      <protection hidden="1"/>
    </xf>
    <xf numFmtId="0" fontId="17" fillId="4" borderId="5" xfId="0" applyFont="1" applyFill="1" applyBorder="1" applyAlignment="1" applyProtection="1">
      <alignment horizontal="center" vertical="center"/>
      <protection hidden="1"/>
    </xf>
    <xf numFmtId="0" fontId="17" fillId="4" borderId="0" xfId="0" applyFont="1" applyFill="1" applyBorder="1" applyAlignment="1" applyProtection="1">
      <alignment horizontal="center" vertical="center"/>
      <protection hidden="1"/>
    </xf>
    <xf numFmtId="0" fontId="17" fillId="4" borderId="6" xfId="0" applyFont="1" applyFill="1" applyBorder="1" applyAlignment="1" applyProtection="1">
      <alignment horizontal="center" vertical="center"/>
      <protection hidden="1"/>
    </xf>
    <xf numFmtId="0" fontId="17" fillId="8" borderId="3" xfId="0" applyFont="1" applyFill="1" applyBorder="1" applyAlignment="1" applyProtection="1">
      <alignment horizontal="center" vertical="center"/>
      <protection hidden="1"/>
    </xf>
    <xf numFmtId="0" fontId="17" fillId="8" borderId="16" xfId="0" applyFont="1" applyFill="1" applyBorder="1" applyAlignment="1" applyProtection="1">
      <alignment horizontal="center" vertical="center"/>
      <protection hidden="1"/>
    </xf>
    <xf numFmtId="0" fontId="17" fillId="8" borderId="4" xfId="0" applyFont="1" applyFill="1" applyBorder="1" applyAlignment="1" applyProtection="1">
      <alignment horizontal="center" vertical="center"/>
      <protection hidden="1"/>
    </xf>
    <xf numFmtId="0" fontId="17" fillId="8" borderId="5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17" fillId="8" borderId="6" xfId="0" applyFont="1" applyFill="1" applyBorder="1" applyAlignment="1" applyProtection="1">
      <alignment horizontal="center" vertical="center"/>
      <protection hidden="1"/>
    </xf>
    <xf numFmtId="0" fontId="17" fillId="12" borderId="3" xfId="0" applyFont="1" applyFill="1" applyBorder="1" applyAlignment="1" applyProtection="1">
      <alignment horizontal="center" vertical="center"/>
      <protection hidden="1"/>
    </xf>
    <xf numFmtId="0" fontId="17" fillId="12" borderId="16" xfId="0" applyFont="1" applyFill="1" applyBorder="1" applyAlignment="1" applyProtection="1">
      <alignment horizontal="center" vertical="center"/>
      <protection hidden="1"/>
    </xf>
    <xf numFmtId="0" fontId="17" fillId="12" borderId="4" xfId="0" applyFont="1" applyFill="1" applyBorder="1" applyAlignment="1" applyProtection="1">
      <alignment horizontal="center" vertical="center"/>
      <protection hidden="1"/>
    </xf>
    <xf numFmtId="0" fontId="17" fillId="12" borderId="5" xfId="0" applyFont="1" applyFill="1" applyBorder="1" applyAlignment="1" applyProtection="1">
      <alignment horizontal="center" vertical="center"/>
      <protection hidden="1"/>
    </xf>
    <xf numFmtId="0" fontId="17" fillId="12" borderId="0" xfId="0" applyFont="1" applyFill="1" applyBorder="1" applyAlignment="1" applyProtection="1">
      <alignment horizontal="center" vertical="center"/>
      <protection hidden="1"/>
    </xf>
    <xf numFmtId="0" fontId="17" fillId="12" borderId="6" xfId="0" applyFont="1" applyFill="1" applyBorder="1" applyAlignment="1" applyProtection="1">
      <alignment horizontal="center" vertical="center"/>
      <protection hidden="1"/>
    </xf>
    <xf numFmtId="42" fontId="16" fillId="4" borderId="16" xfId="2" applyNumberFormat="1" applyFont="1" applyFill="1" applyBorder="1" applyAlignment="1" applyProtection="1">
      <alignment horizontal="center" vertical="center"/>
      <protection hidden="1"/>
    </xf>
    <xf numFmtId="9" fontId="16" fillId="4" borderId="4" xfId="2" applyFont="1" applyFill="1" applyBorder="1" applyAlignment="1" applyProtection="1">
      <alignment horizontal="center" vertical="center"/>
      <protection hidden="1"/>
    </xf>
    <xf numFmtId="9" fontId="16" fillId="4" borderId="15" xfId="2" applyFont="1" applyFill="1" applyBorder="1" applyAlignment="1" applyProtection="1">
      <alignment horizontal="center" vertical="center"/>
      <protection hidden="1"/>
    </xf>
    <xf numFmtId="9" fontId="16" fillId="4" borderId="8" xfId="2" applyFont="1" applyFill="1" applyBorder="1" applyAlignment="1" applyProtection="1">
      <alignment horizontal="center" vertical="center"/>
      <protection hidden="1"/>
    </xf>
    <xf numFmtId="42" fontId="16" fillId="4" borderId="16" xfId="1" applyFont="1" applyFill="1" applyBorder="1" applyAlignment="1" applyProtection="1">
      <alignment horizontal="center" vertical="center"/>
      <protection hidden="1"/>
    </xf>
    <xf numFmtId="42" fontId="16" fillId="4" borderId="15" xfId="1" applyFont="1" applyFill="1" applyBorder="1" applyAlignment="1" applyProtection="1">
      <alignment horizontal="center" vertical="center"/>
      <protection hidden="1"/>
    </xf>
    <xf numFmtId="0" fontId="16" fillId="4" borderId="3" xfId="0" applyFont="1" applyFill="1" applyBorder="1" applyAlignment="1" applyProtection="1">
      <alignment horizontal="center" vertical="center"/>
      <protection hidden="1"/>
    </xf>
    <xf numFmtId="0" fontId="16" fillId="4" borderId="16" xfId="0" applyFont="1" applyFill="1" applyBorder="1" applyAlignment="1" applyProtection="1">
      <alignment horizontal="center" vertical="center"/>
      <protection hidden="1"/>
    </xf>
    <xf numFmtId="0" fontId="16" fillId="4" borderId="7" xfId="0" applyFont="1" applyFill="1" applyBorder="1" applyAlignment="1" applyProtection="1">
      <alignment horizontal="center" vertical="center"/>
      <protection hidden="1"/>
    </xf>
    <xf numFmtId="0" fontId="16" fillId="4" borderId="15" xfId="0" applyFont="1" applyFill="1" applyBorder="1" applyAlignment="1" applyProtection="1">
      <alignment horizontal="center" vertical="center"/>
      <protection hidden="1"/>
    </xf>
    <xf numFmtId="0" fontId="16" fillId="12" borderId="7" xfId="0" applyFont="1" applyFill="1" applyBorder="1" applyAlignment="1" applyProtection="1">
      <alignment horizontal="left" vertical="center"/>
      <protection hidden="1"/>
    </xf>
    <xf numFmtId="0" fontId="16" fillId="12" borderId="15" xfId="0" applyFont="1" applyFill="1" applyBorder="1" applyAlignment="1" applyProtection="1">
      <alignment horizontal="left" vertical="center"/>
      <protection hidden="1"/>
    </xf>
    <xf numFmtId="9" fontId="16" fillId="8" borderId="15" xfId="2" applyFont="1" applyFill="1" applyBorder="1" applyAlignment="1" applyProtection="1">
      <alignment horizontal="center" vertical="center"/>
      <protection hidden="1"/>
    </xf>
    <xf numFmtId="9" fontId="16" fillId="8" borderId="8" xfId="2" applyFont="1" applyFill="1" applyBorder="1" applyAlignment="1" applyProtection="1">
      <alignment horizontal="center" vertical="center"/>
      <protection hidden="1"/>
    </xf>
    <xf numFmtId="0" fontId="16" fillId="12" borderId="3" xfId="0" applyFont="1" applyFill="1" applyBorder="1" applyAlignment="1" applyProtection="1">
      <alignment horizontal="left" vertical="center"/>
      <protection hidden="1"/>
    </xf>
    <xf numFmtId="0" fontId="16" fillId="12" borderId="16" xfId="0" applyFont="1" applyFill="1" applyBorder="1" applyAlignment="1">
      <alignment horizontal="left"/>
    </xf>
    <xf numFmtId="0" fontId="4" fillId="15" borderId="0" xfId="0" applyFont="1" applyFill="1" applyAlignment="1">
      <alignment horizontal="left"/>
    </xf>
    <xf numFmtId="42" fontId="18" fillId="15" borderId="0" xfId="1" applyFont="1" applyFill="1" applyAlignment="1">
      <alignment horizontal="right"/>
    </xf>
    <xf numFmtId="42" fontId="18" fillId="15" borderId="0" xfId="1" applyFont="1" applyFill="1" applyAlignment="1">
      <alignment horizontal="center"/>
    </xf>
    <xf numFmtId="14" fontId="6" fillId="6" borderId="10" xfId="0" applyNumberFormat="1" applyFont="1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166" fontId="8" fillId="6" borderId="1" xfId="0" applyNumberFormat="1" applyFont="1" applyFill="1" applyBorder="1" applyAlignment="1">
      <alignment horizontal="left"/>
    </xf>
    <xf numFmtId="166" fontId="8" fillId="6" borderId="2" xfId="0" applyNumberFormat="1" applyFont="1" applyFill="1" applyBorder="1" applyAlignment="1">
      <alignment horizontal="left"/>
    </xf>
    <xf numFmtId="14" fontId="6" fillId="6" borderId="10" xfId="0" applyNumberFormat="1" applyFont="1" applyFill="1" applyBorder="1" applyAlignment="1" applyProtection="1">
      <alignment horizontal="center"/>
      <protection locked="0"/>
    </xf>
    <xf numFmtId="0" fontId="6" fillId="6" borderId="11" xfId="0" applyFont="1" applyFill="1" applyBorder="1" applyAlignment="1" applyProtection="1">
      <alignment horizontal="center"/>
      <protection locked="0"/>
    </xf>
    <xf numFmtId="0" fontId="6" fillId="6" borderId="12" xfId="0" applyFont="1" applyFill="1" applyBorder="1" applyAlignment="1" applyProtection="1">
      <alignment horizontal="center"/>
      <protection locked="0"/>
    </xf>
    <xf numFmtId="166" fontId="8" fillId="6" borderId="1" xfId="0" applyNumberFormat="1" applyFont="1" applyFill="1" applyBorder="1" applyAlignment="1" applyProtection="1">
      <alignment horizontal="left"/>
      <protection hidden="1"/>
    </xf>
    <xf numFmtId="166" fontId="8" fillId="6" borderId="2" xfId="0" applyNumberFormat="1" applyFont="1" applyFill="1" applyBorder="1" applyAlignment="1" applyProtection="1">
      <alignment horizontal="left"/>
      <protection hidden="1"/>
    </xf>
    <xf numFmtId="166" fontId="8" fillId="6" borderId="23" xfId="0" applyNumberFormat="1" applyFont="1" applyFill="1" applyBorder="1" applyAlignment="1" applyProtection="1">
      <alignment horizontal="left"/>
      <protection hidden="1"/>
    </xf>
    <xf numFmtId="166" fontId="8" fillId="6" borderId="24" xfId="0" applyNumberFormat="1" applyFont="1" applyFill="1" applyBorder="1" applyAlignment="1" applyProtection="1">
      <alignment horizontal="left"/>
      <protection hidden="1"/>
    </xf>
    <xf numFmtId="14" fontId="6" fillId="6" borderId="11" xfId="0" applyNumberFormat="1" applyFont="1" applyFill="1" applyBorder="1" applyAlignment="1" applyProtection="1">
      <alignment horizontal="center"/>
      <protection locked="0"/>
    </xf>
    <xf numFmtId="14" fontId="6" fillId="6" borderId="12" xfId="0" applyNumberFormat="1" applyFont="1" applyFill="1" applyBorder="1" applyAlignment="1" applyProtection="1">
      <alignment horizontal="center"/>
      <protection locked="0"/>
    </xf>
    <xf numFmtId="42" fontId="18" fillId="10" borderId="11" xfId="0" applyNumberFormat="1" applyFont="1" applyFill="1" applyBorder="1" applyAlignment="1" applyProtection="1">
      <alignment horizontal="center"/>
      <protection hidden="1"/>
    </xf>
    <xf numFmtId="42" fontId="18" fillId="10" borderId="12" xfId="0" applyNumberFormat="1" applyFont="1" applyFill="1" applyBorder="1" applyAlignment="1" applyProtection="1">
      <alignment horizontal="center"/>
      <protection hidden="1"/>
    </xf>
    <xf numFmtId="14" fontId="13" fillId="0" borderId="10" xfId="0" applyNumberFormat="1" applyFont="1" applyFill="1" applyBorder="1" applyAlignment="1">
      <alignment horizontal="center"/>
    </xf>
    <xf numFmtId="0" fontId="13" fillId="0" borderId="11" xfId="0" applyFont="1" applyFill="1" applyBorder="1" applyAlignment="1">
      <alignment horizontal="center"/>
    </xf>
    <xf numFmtId="0" fontId="13" fillId="0" borderId="12" xfId="0" applyFont="1" applyFill="1" applyBorder="1" applyAlignment="1">
      <alignment horizontal="center"/>
    </xf>
    <xf numFmtId="166" fontId="15" fillId="0" borderId="1" xfId="0" applyNumberFormat="1" applyFont="1" applyBorder="1" applyAlignment="1">
      <alignment horizontal="left"/>
    </xf>
    <xf numFmtId="166" fontId="15" fillId="0" borderId="2" xfId="0" applyNumberFormat="1" applyFont="1" applyBorder="1" applyAlignment="1">
      <alignment horizontal="left"/>
    </xf>
    <xf numFmtId="14" fontId="13" fillId="0" borderId="11" xfId="0" applyNumberFormat="1" applyFont="1" applyFill="1" applyBorder="1" applyAlignment="1">
      <alignment horizontal="center"/>
    </xf>
    <xf numFmtId="14" fontId="13" fillId="0" borderId="12" xfId="0" applyNumberFormat="1" applyFont="1" applyFill="1" applyBorder="1" applyAlignment="1">
      <alignment horizontal="center"/>
    </xf>
    <xf numFmtId="14" fontId="13" fillId="2" borderId="10" xfId="0" applyNumberFormat="1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166" fontId="15" fillId="11" borderId="1" xfId="0" applyNumberFormat="1" applyFont="1" applyFill="1" applyBorder="1" applyAlignment="1">
      <alignment horizontal="left"/>
    </xf>
    <xf numFmtId="166" fontId="15" fillId="11" borderId="2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</cellXfs>
  <cellStyles count="5">
    <cellStyle name="Millares [0]" xfId="3" builtinId="6"/>
    <cellStyle name="Moneda [0]" xfId="1" builtinId="7"/>
    <cellStyle name="Moneda 2" xfId="4" xr:uid="{00000000-0005-0000-0000-000002000000}"/>
    <cellStyle name="Normal" xfId="0" builtinId="0"/>
    <cellStyle name="Porcentaje" xfId="2" builtinId="5"/>
  </cellStyles>
  <dxfs count="36">
    <dxf>
      <numFmt numFmtId="1" formatCode="0"/>
    </dxf>
    <dxf>
      <numFmt numFmtId="0" formatCode="General"/>
    </dxf>
    <dxf>
      <numFmt numFmtId="19" formatCode="dd/mm/yyyy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9" formatCode="dd/mm/yyyy"/>
    </dxf>
    <dxf>
      <alignment horizontal="left" vertical="bottom" textRotation="0" wrapText="0" indent="0" justifyLastLine="0" shrinkToFit="0" readingOrder="0"/>
    </dxf>
    <dxf>
      <numFmt numFmtId="19" formatCode="dd/mm/yyyy"/>
    </dxf>
    <dxf>
      <numFmt numFmtId="1" formatCode="0"/>
    </dxf>
    <dxf>
      <numFmt numFmtId="0" formatCode="General"/>
    </dxf>
    <dxf>
      <numFmt numFmtId="19" formatCode="dd/mm/yyyy"/>
    </dxf>
    <dxf>
      <numFmt numFmtId="1" formatCode="0"/>
    </dxf>
    <dxf>
      <numFmt numFmtId="0" formatCode="General"/>
    </dxf>
    <dxf>
      <numFmt numFmtId="19" formatCode="dd/mm/yyyy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9" formatCode="dd/mm/yyyy"/>
    </dxf>
    <dxf>
      <alignment horizontal="left" vertical="bottom" textRotation="0" wrapText="0" indent="0" justifyLastLine="0" shrinkToFit="0" readingOrder="0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9" formatCode="dd/mm/yyyy"/>
    </dxf>
    <dxf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ANALISIS PERIODO 2017 - 2023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RESUMEN!$B$1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RESUMEN!$B$2:$B$6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650000</c:v>
                </c:pt>
                <c:pt idx="2">
                  <c:v>180500</c:v>
                </c:pt>
                <c:pt idx="3">
                  <c:v>2339013</c:v>
                </c:pt>
                <c:pt idx="4">
                  <c:v>2362264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1-4576-BD94-B971DAAAAD31}"/>
            </c:ext>
          </c:extLst>
        </c:ser>
        <c:ser>
          <c:idx val="1"/>
          <c:order val="1"/>
          <c:tx>
            <c:strRef>
              <c:f>RESUMEN!$C$1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RESUMEN!$C$2:$C$6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250000</c:v>
                </c:pt>
                <c:pt idx="2">
                  <c:v>113020</c:v>
                </c:pt>
                <c:pt idx="3">
                  <c:v>2092850</c:v>
                </c:pt>
                <c:pt idx="4">
                  <c:v>2047736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41-4576-BD94-B971DAAAAD31}"/>
            </c:ext>
          </c:extLst>
        </c:ser>
        <c:ser>
          <c:idx val="2"/>
          <c:order val="2"/>
          <c:tx>
            <c:strRef>
              <c:f>RESUMEN!$D$1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RESUMEN!$D$2:$D$6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205000</c:v>
                </c:pt>
                <c:pt idx="2">
                  <c:v>52649</c:v>
                </c:pt>
                <c:pt idx="3">
                  <c:v>2352705</c:v>
                </c:pt>
                <c:pt idx="4">
                  <c:v>2007895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41-4576-BD94-B971DAAAAD31}"/>
            </c:ext>
          </c:extLst>
        </c:ser>
        <c:ser>
          <c:idx val="3"/>
          <c:order val="3"/>
          <c:tx>
            <c:strRef>
              <c:f>RESUMEN!$E$1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RESUMEN!$E$2:$E$6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140000</c:v>
                </c:pt>
                <c:pt idx="2">
                  <c:v>0</c:v>
                </c:pt>
                <c:pt idx="3">
                  <c:v>2687424</c:v>
                </c:pt>
                <c:pt idx="4">
                  <c:v>1828727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41-4576-BD94-B971DAAAAD31}"/>
            </c:ext>
          </c:extLst>
        </c:ser>
        <c:ser>
          <c:idx val="4"/>
          <c:order val="4"/>
          <c:tx>
            <c:strRef>
              <c:f>RESUMEN!$F$1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RESUMEN!$F$2:$F$6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60000</c:v>
                </c:pt>
                <c:pt idx="2">
                  <c:v>0</c:v>
                </c:pt>
                <c:pt idx="3">
                  <c:v>2184714</c:v>
                </c:pt>
                <c:pt idx="4">
                  <c:v>2194195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41-4576-BD94-B971DAAAAD31}"/>
            </c:ext>
          </c:extLst>
        </c:ser>
        <c:ser>
          <c:idx val="5"/>
          <c:order val="5"/>
          <c:tx>
            <c:strRef>
              <c:f>RESUMEN!$G$1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ash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RESUMEN!$G$2:$G$6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265000</c:v>
                </c:pt>
                <c:pt idx="2">
                  <c:v>275500</c:v>
                </c:pt>
                <c:pt idx="3">
                  <c:v>2253563</c:v>
                </c:pt>
                <c:pt idx="4">
                  <c:v>2512682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E41-4576-BD94-B971DAAAAD31}"/>
            </c:ext>
          </c:extLst>
        </c:ser>
        <c:ser>
          <c:idx val="6"/>
          <c:order val="6"/>
          <c:tx>
            <c:strRef>
              <c:f>RESUMEN!$H$1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31750" cap="rnd" cmpd="sng">
                <a:solidFill>
                  <a:srgbClr val="C00000"/>
                </a:solidFill>
                <a:prstDash val="sysDash"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trendlineType val="movingAvg"/>
            <c:period val="2"/>
            <c:forward val="0.5"/>
            <c:dispRSqr val="0"/>
            <c:dispEq val="0"/>
          </c:trendline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RESUMEN!$H$2:$H$6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225000</c:v>
                </c:pt>
                <c:pt idx="2">
                  <c:v>0</c:v>
                </c:pt>
                <c:pt idx="3">
                  <c:v>2025000</c:v>
                </c:pt>
                <c:pt idx="4">
                  <c:v>2612661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E41-4576-BD94-B971DAAAAD31}"/>
            </c:ext>
          </c:extLst>
        </c:ser>
        <c:ser>
          <c:idx val="7"/>
          <c:order val="7"/>
          <c:tx>
            <c:strRef>
              <c:f>RESUMEN!$I$1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34925" cap="rnd">
                <a:solidFill>
                  <a:schemeClr val="accent2">
                    <a:lumMod val="60000"/>
                  </a:schemeClr>
                </a:solidFill>
                <a:prstDash val="sysDash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RESUMEN!$I$2:$I$6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140000</c:v>
                </c:pt>
                <c:pt idx="2">
                  <c:v>0</c:v>
                </c:pt>
                <c:pt idx="3">
                  <c:v>2309900</c:v>
                </c:pt>
                <c:pt idx="4">
                  <c:v>2442648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13-434D-909C-C37158BFA8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11939360"/>
        <c:axId val="211938272"/>
      </c:barChart>
      <c:catAx>
        <c:axId val="21193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11938272"/>
        <c:crosses val="autoZero"/>
        <c:auto val="1"/>
        <c:lblAlgn val="ctr"/>
        <c:lblOffset val="100"/>
        <c:noMultiLvlLbl val="0"/>
      </c:catAx>
      <c:valAx>
        <c:axId val="211938272"/>
        <c:scaling>
          <c:orientation val="minMax"/>
        </c:scaling>
        <c:delete val="1"/>
        <c:axPos val="l"/>
        <c:numFmt formatCode="_(&quot;$&quot;* #,##0_);_(&quot;$&quot;* \(#,##0\);_(&quot;$&quot;* &quot;-&quot;_);_(@_)" sourceLinked="1"/>
        <c:majorTickMark val="none"/>
        <c:minorTickMark val="none"/>
        <c:tickLblPos val="nextTo"/>
        <c:crossAx val="21193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190499</xdr:colOff>
      <xdr:row>2</xdr:row>
      <xdr:rowOff>0</xdr:rowOff>
    </xdr:from>
    <xdr:to>
      <xdr:col>5</xdr:col>
      <xdr:colOff>904874</xdr:colOff>
      <xdr:row>3</xdr:row>
      <xdr:rowOff>19050</xdr:rowOff>
    </xdr:to>
    <xdr:sp macro="[0]!fecha1" textlink="">
      <xdr:nvSpPr>
        <xdr:cNvPr id="7" name="Bise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943224" y="857250"/>
          <a:ext cx="962025" cy="30480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HOY</a:t>
          </a:r>
        </a:p>
      </xdr:txBody>
    </xdr:sp>
    <xdr:clientData fLocksWithSheet="0"/>
  </xdr:twoCellAnchor>
  <xdr:twoCellAnchor>
    <xdr:from>
      <xdr:col>4</xdr:col>
      <xdr:colOff>190499</xdr:colOff>
      <xdr:row>10</xdr:row>
      <xdr:rowOff>85725</xdr:rowOff>
    </xdr:from>
    <xdr:to>
      <xdr:col>5</xdr:col>
      <xdr:colOff>904874</xdr:colOff>
      <xdr:row>12</xdr:row>
      <xdr:rowOff>0</xdr:rowOff>
    </xdr:to>
    <xdr:sp macro="[0]!graba1" textlink="">
      <xdr:nvSpPr>
        <xdr:cNvPr id="8" name="Bisel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943224" y="3228975"/>
          <a:ext cx="962025" cy="485775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GUARDAR</a:t>
          </a:r>
        </a:p>
      </xdr:txBody>
    </xdr:sp>
    <xdr:clientData fLocksWithSheet="0"/>
  </xdr:twoCellAnchor>
  <xdr:twoCellAnchor>
    <xdr:from>
      <xdr:col>4</xdr:col>
      <xdr:colOff>190499</xdr:colOff>
      <xdr:row>7</xdr:row>
      <xdr:rowOff>247650</xdr:rowOff>
    </xdr:from>
    <xdr:to>
      <xdr:col>5</xdr:col>
      <xdr:colOff>904874</xdr:colOff>
      <xdr:row>9</xdr:row>
      <xdr:rowOff>190500</xdr:rowOff>
    </xdr:to>
    <xdr:sp macro="[0]!borra1" textlink="">
      <xdr:nvSpPr>
        <xdr:cNvPr id="9" name="Bise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943224" y="2247900"/>
          <a:ext cx="962025" cy="51435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BORRAR</a:t>
          </a:r>
        </a:p>
      </xdr:txBody>
    </xdr:sp>
    <xdr:clientData fLocksWithSheet="0"/>
  </xdr:twoCellAnchor>
  <xdr:twoCellAnchor>
    <xdr:from>
      <xdr:col>10</xdr:col>
      <xdr:colOff>200024</xdr:colOff>
      <xdr:row>10</xdr:row>
      <xdr:rowOff>66675</xdr:rowOff>
    </xdr:from>
    <xdr:to>
      <xdr:col>11</xdr:col>
      <xdr:colOff>914399</xdr:colOff>
      <xdr:row>11</xdr:row>
      <xdr:rowOff>266700</xdr:rowOff>
    </xdr:to>
    <xdr:sp macro="[0]!graba2" textlink="">
      <xdr:nvSpPr>
        <xdr:cNvPr id="17" name="Bise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019924" y="3209925"/>
          <a:ext cx="962025" cy="485775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GUARDAR</a:t>
          </a:r>
        </a:p>
      </xdr:txBody>
    </xdr:sp>
    <xdr:clientData fLocksWithSheet="0"/>
  </xdr:twoCellAnchor>
  <xdr:twoCellAnchor>
    <xdr:from>
      <xdr:col>10</xdr:col>
      <xdr:colOff>200024</xdr:colOff>
      <xdr:row>7</xdr:row>
      <xdr:rowOff>228600</xdr:rowOff>
    </xdr:from>
    <xdr:to>
      <xdr:col>11</xdr:col>
      <xdr:colOff>914399</xdr:colOff>
      <xdr:row>9</xdr:row>
      <xdr:rowOff>171450</xdr:rowOff>
    </xdr:to>
    <xdr:sp macro="[0]!borra2" textlink="">
      <xdr:nvSpPr>
        <xdr:cNvPr id="18" name="Bise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105649" y="2228850"/>
          <a:ext cx="962025" cy="51435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BORRAR</a:t>
          </a:r>
        </a:p>
      </xdr:txBody>
    </xdr:sp>
    <xdr:clientData fLocksWithSheet="0"/>
  </xdr:twoCellAnchor>
  <xdr:twoCellAnchor>
    <xdr:from>
      <xdr:col>16</xdr:col>
      <xdr:colOff>161924</xdr:colOff>
      <xdr:row>9</xdr:row>
      <xdr:rowOff>228599</xdr:rowOff>
    </xdr:from>
    <xdr:to>
      <xdr:col>17</xdr:col>
      <xdr:colOff>876299</xdr:colOff>
      <xdr:row>12</xdr:row>
      <xdr:rowOff>9525</xdr:rowOff>
    </xdr:to>
    <xdr:sp macro="[0]!graba3" textlink="">
      <xdr:nvSpPr>
        <xdr:cNvPr id="11" name="Bisel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287124" y="2647949"/>
          <a:ext cx="962025" cy="638176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GUARDAR OTROS</a:t>
          </a:r>
        </a:p>
      </xdr:txBody>
    </xdr:sp>
    <xdr:clientData fLocksWithSheet="0"/>
  </xdr:twoCellAnchor>
  <xdr:twoCellAnchor>
    <xdr:from>
      <xdr:col>16</xdr:col>
      <xdr:colOff>161924</xdr:colOff>
      <xdr:row>7</xdr:row>
      <xdr:rowOff>200025</xdr:rowOff>
    </xdr:from>
    <xdr:to>
      <xdr:col>17</xdr:col>
      <xdr:colOff>876299</xdr:colOff>
      <xdr:row>9</xdr:row>
      <xdr:rowOff>142875</xdr:rowOff>
    </xdr:to>
    <xdr:sp macro="[0]!borra3" textlink="">
      <xdr:nvSpPr>
        <xdr:cNvPr id="12" name="Bisel 17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287124" y="2200275"/>
          <a:ext cx="962025" cy="51435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BORRAR</a:t>
          </a:r>
        </a:p>
      </xdr:txBody>
    </xdr:sp>
    <xdr:clientData fLocksWithSheet="0"/>
  </xdr:twoCellAnchor>
  <xdr:twoCellAnchor>
    <xdr:from>
      <xdr:col>10</xdr:col>
      <xdr:colOff>180974</xdr:colOff>
      <xdr:row>2</xdr:row>
      <xdr:rowOff>0</xdr:rowOff>
    </xdr:from>
    <xdr:to>
      <xdr:col>11</xdr:col>
      <xdr:colOff>895349</xdr:colOff>
      <xdr:row>3</xdr:row>
      <xdr:rowOff>9525</xdr:rowOff>
    </xdr:to>
    <xdr:sp macro="[0]!fecha2" textlink="">
      <xdr:nvSpPr>
        <xdr:cNvPr id="13" name="Bisel 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000874" y="857250"/>
          <a:ext cx="962025" cy="295275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HOY</a:t>
          </a:r>
        </a:p>
      </xdr:txBody>
    </xdr:sp>
    <xdr:clientData fLocksWithSheet="0"/>
  </xdr:twoCellAnchor>
  <xdr:twoCellAnchor>
    <xdr:from>
      <xdr:col>16</xdr:col>
      <xdr:colOff>152399</xdr:colOff>
      <xdr:row>2</xdr:row>
      <xdr:rowOff>0</xdr:rowOff>
    </xdr:from>
    <xdr:to>
      <xdr:col>17</xdr:col>
      <xdr:colOff>866774</xdr:colOff>
      <xdr:row>3</xdr:row>
      <xdr:rowOff>19050</xdr:rowOff>
    </xdr:to>
    <xdr:sp macro="[0]!fecha3" textlink="">
      <xdr:nvSpPr>
        <xdr:cNvPr id="14" name="Bisel 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1277599" y="571500"/>
          <a:ext cx="962025" cy="30480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HOY</a:t>
          </a:r>
        </a:p>
      </xdr:txBody>
    </xdr:sp>
    <xdr:clientData fLocksWithSheet="0"/>
  </xdr:twoCellAnchor>
  <xdr:twoCellAnchor>
    <xdr:from>
      <xdr:col>16</xdr:col>
      <xdr:colOff>161924</xdr:colOff>
      <xdr:row>3</xdr:row>
      <xdr:rowOff>257174</xdr:rowOff>
    </xdr:from>
    <xdr:to>
      <xdr:col>17</xdr:col>
      <xdr:colOff>876299</xdr:colOff>
      <xdr:row>6</xdr:row>
      <xdr:rowOff>266700</xdr:rowOff>
    </xdr:to>
    <xdr:sp macro="[0]!BOLETA" textlink="">
      <xdr:nvSpPr>
        <xdr:cNvPr id="15" name="Bisel 17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287124" y="1114424"/>
          <a:ext cx="962025" cy="866776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INGRESOBOLETAS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168275</xdr:colOff>
      <xdr:row>12</xdr:row>
      <xdr:rowOff>44450</xdr:rowOff>
    </xdr:from>
    <xdr:to>
      <xdr:col>12</xdr:col>
      <xdr:colOff>571500</xdr:colOff>
      <xdr:row>34</xdr:row>
      <xdr:rowOff>57150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24" displayName="Tabla24" ref="B2:G15" totalsRowShown="0">
  <autoFilter ref="B2:G15" xr:uid="{00000000-0009-0000-0100-000003000000}"/>
  <tableColumns count="6">
    <tableColumn id="1" xr3:uid="{00000000-0010-0000-0000-000001000000}" name="FECHA" dataDxfId="35"/>
    <tableColumn id="2" xr3:uid="{00000000-0010-0000-0000-000002000000}" name="PLANILLA" dataCellStyle="Moneda [0]"/>
    <tableColumn id="3" xr3:uid="{00000000-0010-0000-0000-000003000000}" name="SOCIOS" dataCellStyle="Moneda [0]"/>
    <tableColumn id="4" xr3:uid="{00000000-0010-0000-0000-000004000000}" name="CAPUAL" dataCellStyle="Moneda [0]"/>
    <tableColumn id="5" xr3:uid="{00000000-0010-0000-0000-000005000000}" name="EMPRESA" dataCellStyle="Moneda [0]"/>
    <tableColumn id="6" xr3:uid="{00000000-0010-0000-0000-000006000000}" name="APORTES" dataCellStyle="Moneda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B2:G15" totalsRowShown="0">
  <autoFilter ref="B2:G15" xr:uid="{00000000-0009-0000-0100-000002000000}"/>
  <tableColumns count="6">
    <tableColumn id="1" xr3:uid="{00000000-0010-0000-0100-000001000000}" name="FECHA" dataDxfId="34"/>
    <tableColumn id="2" xr3:uid="{00000000-0010-0000-0100-000002000000}" name="PLANILLA" dataCellStyle="Moneda [0]"/>
    <tableColumn id="3" xr3:uid="{00000000-0010-0000-0100-000003000000}" name="SOCIOS" dataCellStyle="Moneda [0]"/>
    <tableColumn id="4" xr3:uid="{00000000-0010-0000-0100-000004000000}" name="CAPUAL" dataCellStyle="Moneda [0]"/>
    <tableColumn id="5" xr3:uid="{00000000-0010-0000-0100-000005000000}" name="EMPRESA" dataCellStyle="Moneda [0]"/>
    <tableColumn id="6" xr3:uid="{00000000-0010-0000-0100-000006000000}" name="APORTES" dataCellStyle="Moneda [0]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16" displayName="Tabla16" ref="B2:H15" totalsRowShown="0" headerRowDxfId="33">
  <autoFilter ref="B2:H15" xr:uid="{00000000-0009-0000-0100-000005000000}"/>
  <tableColumns count="7">
    <tableColumn id="1" xr3:uid="{00000000-0010-0000-0200-000001000000}" name="FECHA" dataDxfId="32"/>
    <tableColumn id="2" xr3:uid="{00000000-0010-0000-0200-000002000000}" name="Presidente" dataDxfId="31" dataCellStyle="Moneda [0]"/>
    <tableColumn id="3" xr3:uid="{00000000-0010-0000-0200-000003000000}" name="Tesorera" dataDxfId="30" dataCellStyle="Moneda [0]"/>
    <tableColumn id="4" xr3:uid="{00000000-0010-0000-0200-000004000000}" name="Secretario" dataDxfId="29" dataCellStyle="Moneda [0]"/>
    <tableColumn id="5" xr3:uid="{00000000-0010-0000-0200-000005000000}" name="Presidente2" dataDxfId="28" dataCellStyle="Moneda [0]"/>
    <tableColumn id="6" xr3:uid="{00000000-0010-0000-0200-000006000000}" name="Tesorera2" dataDxfId="27" dataCellStyle="Moneda [0]"/>
    <tableColumn id="7" xr3:uid="{00000000-0010-0000-0200-000007000000}" name="Secretario2" dataDxfId="26" dataCellStyle="Moneda [0]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a1" displayName="Tabla1" ref="B2:H15" totalsRowShown="0" headerRowDxfId="25">
  <autoFilter ref="B2:H15" xr:uid="{00000000-0009-0000-0100-000001000000}"/>
  <tableColumns count="7">
    <tableColumn id="1" xr3:uid="{00000000-0010-0000-0300-000001000000}" name="FECHA" dataDxfId="24"/>
    <tableColumn id="2" xr3:uid="{00000000-0010-0000-0300-000002000000}" name="Presidente" dataDxfId="23" dataCellStyle="Moneda [0]"/>
    <tableColumn id="3" xr3:uid="{00000000-0010-0000-0300-000003000000}" name="Tesorera" dataDxfId="22" dataCellStyle="Moneda [0]"/>
    <tableColumn id="4" xr3:uid="{00000000-0010-0000-0300-000004000000}" name="Secretario" dataDxfId="21" dataCellStyle="Moneda [0]"/>
    <tableColumn id="5" xr3:uid="{00000000-0010-0000-0300-000005000000}" name="Presidente2" dataDxfId="20" dataCellStyle="Moneda [0]"/>
    <tableColumn id="6" xr3:uid="{00000000-0010-0000-0300-000006000000}" name="Tesorera2" dataDxfId="19" dataCellStyle="Moneda [0]"/>
    <tableColumn id="7" xr3:uid="{00000000-0010-0000-0300-000007000000}" name="Secretario2" dataDxfId="18" dataCellStyle="Moneda [0]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la47" displayName="Tabla47" ref="B2:I46" totalsRowShown="0">
  <autoFilter ref="B2:I46" xr:uid="{00000000-0009-0000-0100-000006000000}"/>
  <tableColumns count="8">
    <tableColumn id="1" xr3:uid="{00000000-0010-0000-0400-000001000000}" name="FECHA" dataDxfId="17"/>
    <tableColumn id="2" xr3:uid="{00000000-0010-0000-0400-000002000000}" name="Boleta" dataDxfId="16" dataCellStyle="Millares [0]"/>
    <tableColumn id="3" xr3:uid="{00000000-0010-0000-0400-000003000000}" name="Monto" dataCellStyle="Moneda [0]"/>
    <tableColumn id="4" xr3:uid="{00000000-0010-0000-0400-000004000000}" name="Motivo" dataCellStyle="Moneda [0]"/>
    <tableColumn id="5" xr3:uid="{00000000-0010-0000-0400-000005000000}" name="N° Socios" dataDxfId="15" dataCellStyle="Moneda [0]"/>
    <tableColumn id="6" xr3:uid="{00000000-0010-0000-0400-000006000000}" name="Gift Card" dataCellStyle="Moneda [0]"/>
    <tableColumn id="7" xr3:uid="{00000000-0010-0000-0400-000007000000}" name="Devoluciones" dataCellStyle="Moneda [0]"/>
    <tableColumn id="8" xr3:uid="{00000000-0010-0000-0400-000008000000}" name="Vocales" dataCellStyle="Moneda [0]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B2:I57" totalsRowShown="0">
  <autoFilter ref="B2:I57" xr:uid="{00000000-0009-0000-0100-000004000000}"/>
  <tableColumns count="8">
    <tableColumn id="1" xr3:uid="{00000000-0010-0000-0500-000001000000}" name="FECHA" dataDxfId="14"/>
    <tableColumn id="2" xr3:uid="{00000000-0010-0000-0500-000002000000}" name="Boleta" dataDxfId="13" dataCellStyle="Millares [0]"/>
    <tableColumn id="3" xr3:uid="{00000000-0010-0000-0500-000003000000}" name="Monto" dataCellStyle="Moneda [0]"/>
    <tableColumn id="4" xr3:uid="{00000000-0010-0000-0500-000004000000}" name="Motivo" dataCellStyle="Moneda [0]"/>
    <tableColumn id="5" xr3:uid="{00000000-0010-0000-0500-000005000000}" name="N° Socios" dataDxfId="12" dataCellStyle="Moneda [0]"/>
    <tableColumn id="6" xr3:uid="{00000000-0010-0000-0500-000006000000}" name="Gift Card" dataCellStyle="Moneda [0]"/>
    <tableColumn id="7" xr3:uid="{00000000-0010-0000-0500-000007000000}" name="Devoluciones" dataCellStyle="Moneda [0]"/>
    <tableColumn id="8" xr3:uid="{00000000-0010-0000-0500-000008000000}" name="Vocales" dataCellStyle="Moneda [0]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4EFF9-8543-4830-B092-F7047B357505}" name="Tabla248" displayName="Tabla248" ref="B2:G4" totalsRowShown="0">
  <autoFilter ref="B2:G4" xr:uid="{00000000-0009-0000-0100-000003000000}"/>
  <tableColumns count="6">
    <tableColumn id="1" xr3:uid="{2D172E9E-F1E4-4D93-8F09-6F89B5738171}" name="FECHA" dataDxfId="11"/>
    <tableColumn id="2" xr3:uid="{40A7EE80-F393-4866-8B99-163136718F4F}" name="PLANILLA" dataCellStyle="Moneda [0]"/>
    <tableColumn id="3" xr3:uid="{876DD204-9BB8-4433-A193-15751A55F963}" name="SOCIOS" dataCellStyle="Moneda [0]"/>
    <tableColumn id="4" xr3:uid="{C95E48A0-89A2-4F2C-A536-F26CFDDB161E}" name="CAPUAL" dataCellStyle="Moneda [0]"/>
    <tableColumn id="5" xr3:uid="{48DAF6DC-BB41-4211-BB0E-5FFB72AECA65}" name="EMPRESA" dataCellStyle="Moneda [0]"/>
    <tableColumn id="6" xr3:uid="{BEEAB9D0-0126-40FB-96B6-A54D90070582}" name="APORTES" dataCellStyle="Moneda [0]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6334C8-4CDC-43BD-A01F-C78F30F0CEB3}" name="Tabla169" displayName="Tabla169" ref="B2:H4" totalsRowShown="0" headerRowDxfId="10">
  <autoFilter ref="B2:H4" xr:uid="{00000000-0009-0000-0100-000005000000}"/>
  <tableColumns count="7">
    <tableColumn id="1" xr3:uid="{881622B3-25BF-4D49-8232-004F4F9EFFA8}" name="FECHA" dataDxfId="9"/>
    <tableColumn id="2" xr3:uid="{86D17279-068E-4D3C-8DA0-EA4EFC77C968}" name="Presidente" dataDxfId="8" dataCellStyle="Moneda [0]"/>
    <tableColumn id="3" xr3:uid="{976B03A2-AF9A-45C8-8EBE-65BD9CF7EEE1}" name="Tesorera" dataDxfId="7" dataCellStyle="Moneda [0]"/>
    <tableColumn id="4" xr3:uid="{8EA9790C-9550-48E9-83E3-012245485932}" name="Secretario" dataDxfId="6" dataCellStyle="Moneda [0]"/>
    <tableColumn id="5" xr3:uid="{30D1C4DA-34D8-4A91-9D3C-FFFCF892BFB6}" name="Presidente2" dataDxfId="5" dataCellStyle="Moneda [0]"/>
    <tableColumn id="6" xr3:uid="{05B2EB07-BFDC-43F2-BB2C-8C0273D1A77F}" name="Tesorera2" dataDxfId="4" dataCellStyle="Moneda [0]"/>
    <tableColumn id="7" xr3:uid="{789AF9C1-CE32-409A-B4BE-348AD6C1E667}" name="Secretario2" dataDxfId="3" dataCellStyle="Moneda [0]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A476BB7-A554-4E94-BF63-09B9FE429E44}" name="Tabla4710" displayName="Tabla4710" ref="B2:I5" totalsRowShown="0">
  <autoFilter ref="B2:I5" xr:uid="{00000000-0009-0000-0100-000006000000}"/>
  <tableColumns count="8">
    <tableColumn id="1" xr3:uid="{C3D23F3A-ECF3-443E-97C3-8DC5A2128128}" name="FECHA" dataDxfId="2"/>
    <tableColumn id="2" xr3:uid="{92117A39-621A-45A2-9CCD-4149A590BF79}" name="Boleta" dataDxfId="1" dataCellStyle="Millares [0]"/>
    <tableColumn id="3" xr3:uid="{E51DEBFB-2CBA-416C-ADA1-579BEAEA55AA}" name="Monto" dataCellStyle="Moneda [0]"/>
    <tableColumn id="4" xr3:uid="{7432D73E-C3D5-4379-AC57-E98FACA18261}" name="Motivo" dataCellStyle="Moneda [0]"/>
    <tableColumn id="5" xr3:uid="{A1FCA1CE-807F-42DE-BD07-0797B56B7259}" name="N° Socios" dataDxfId="0" dataCellStyle="Moneda [0]"/>
    <tableColumn id="6" xr3:uid="{9B79A0AD-85F5-4508-86C4-658E4E7CFD88}" name="Gift Card" dataCellStyle="Moneda [0]"/>
    <tableColumn id="7" xr3:uid="{398694B2-8ABE-4E2A-90D8-30FE2E66E0E7}" name="Devoluciones" dataCellStyle="Moneda [0]"/>
    <tableColumn id="8" xr3:uid="{2B9CC4FE-18B0-426E-B1F9-74DDFE88E46B}" name="Vocales" dataCellStyle="Moneda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R18"/>
  <sheetViews>
    <sheetView showGridLines="0" tabSelected="1" zoomScale="90" zoomScaleNormal="90" workbookViewId="0">
      <pane xSplit="22" ySplit="24" topLeftCell="W25" activePane="bottomRight" state="frozen"/>
      <selection pane="topRight" activeCell="W1" sqref="W1"/>
      <selection pane="bottomLeft" activeCell="A25" sqref="A25"/>
      <selection pane="bottomRight" activeCell="P18" sqref="P18"/>
    </sheetView>
  </sheetViews>
  <sheetFormatPr baseColWidth="10" defaultRowHeight="15" x14ac:dyDescent="0.25"/>
  <cols>
    <col min="1" max="1" width="5.7109375" style="6" customWidth="1"/>
    <col min="2" max="2" width="2.7109375" style="6" customWidth="1"/>
    <col min="3" max="3" width="15.7109375" style="6" customWidth="1"/>
    <col min="4" max="4" width="23.7109375" style="6" customWidth="1"/>
    <col min="5" max="5" width="3.7109375" style="6" customWidth="1"/>
    <col min="6" max="6" width="15.7109375" style="6" customWidth="1"/>
    <col min="7" max="7" width="5.7109375" style="6" customWidth="1"/>
    <col min="8" max="8" width="2.7109375" style="6" customWidth="1"/>
    <col min="9" max="9" width="15.7109375" style="6" customWidth="1"/>
    <col min="10" max="10" width="23.7109375" style="6" customWidth="1"/>
    <col min="11" max="11" width="3.7109375" style="6" customWidth="1"/>
    <col min="12" max="12" width="15.7109375" style="6" customWidth="1"/>
    <col min="13" max="13" width="5.7109375" style="6" customWidth="1"/>
    <col min="14" max="14" width="2.7109375" style="6" customWidth="1"/>
    <col min="15" max="15" width="15.7109375" style="6" customWidth="1"/>
    <col min="16" max="16" width="23.7109375" style="6" customWidth="1"/>
    <col min="17" max="17" width="3.7109375" style="6" customWidth="1"/>
    <col min="18" max="18" width="15.7109375" style="6" customWidth="1"/>
    <col min="19" max="16384" width="11.42578125" style="6"/>
  </cols>
  <sheetData>
    <row r="1" spans="2:18" ht="15" customHeight="1" x14ac:dyDescent="0.25">
      <c r="B1" s="353" t="s">
        <v>19</v>
      </c>
      <c r="C1" s="354"/>
      <c r="D1" s="354"/>
      <c r="E1" s="354"/>
      <c r="F1" s="355"/>
      <c r="G1" s="139"/>
      <c r="H1" s="359" t="s">
        <v>16</v>
      </c>
      <c r="I1" s="360"/>
      <c r="J1" s="360"/>
      <c r="K1" s="360"/>
      <c r="L1" s="361"/>
      <c r="M1" s="139"/>
      <c r="N1" s="347" t="s">
        <v>20</v>
      </c>
      <c r="O1" s="348"/>
      <c r="P1" s="348"/>
      <c r="Q1" s="348"/>
      <c r="R1" s="349"/>
    </row>
    <row r="2" spans="2:18" ht="15" customHeight="1" x14ac:dyDescent="0.25">
      <c r="B2" s="356"/>
      <c r="C2" s="357"/>
      <c r="D2" s="357"/>
      <c r="E2" s="357"/>
      <c r="F2" s="358"/>
      <c r="G2" s="139"/>
      <c r="H2" s="362"/>
      <c r="I2" s="363"/>
      <c r="J2" s="363"/>
      <c r="K2" s="363"/>
      <c r="L2" s="364"/>
      <c r="M2" s="139"/>
      <c r="N2" s="350"/>
      <c r="O2" s="351"/>
      <c r="P2" s="351"/>
      <c r="Q2" s="351"/>
      <c r="R2" s="352"/>
    </row>
    <row r="3" spans="2:18" ht="23.1" customHeight="1" x14ac:dyDescent="0.25">
      <c r="B3" s="123"/>
      <c r="C3" s="124" t="s">
        <v>85</v>
      </c>
      <c r="D3" s="198"/>
      <c r="E3" s="125"/>
      <c r="F3" s="126"/>
      <c r="H3" s="140"/>
      <c r="I3" s="141" t="s">
        <v>85</v>
      </c>
      <c r="J3" s="104"/>
      <c r="K3" s="142"/>
      <c r="L3" s="143"/>
      <c r="N3" s="107"/>
      <c r="O3" s="118" t="s">
        <v>85</v>
      </c>
      <c r="P3" s="104"/>
      <c r="Q3" s="8"/>
      <c r="R3" s="108"/>
    </row>
    <row r="4" spans="2:18" ht="20.100000000000001" customHeight="1" x14ac:dyDescent="0.25">
      <c r="B4" s="123"/>
      <c r="C4" s="127"/>
      <c r="D4" s="128"/>
      <c r="E4" s="125"/>
      <c r="F4" s="126"/>
      <c r="H4" s="140"/>
      <c r="I4" s="144"/>
      <c r="J4" s="145" t="s">
        <v>92</v>
      </c>
      <c r="K4" s="142"/>
      <c r="L4" s="143"/>
      <c r="N4" s="107"/>
      <c r="O4" s="8"/>
      <c r="P4" s="8"/>
      <c r="Q4" s="8"/>
      <c r="R4" s="108"/>
    </row>
    <row r="5" spans="2:18" ht="23.1" customHeight="1" x14ac:dyDescent="0.25">
      <c r="B5" s="123"/>
      <c r="C5" s="124" t="s">
        <v>86</v>
      </c>
      <c r="D5" s="105"/>
      <c r="E5" s="125"/>
      <c r="F5" s="126"/>
      <c r="H5" s="140"/>
      <c r="I5" s="141" t="s">
        <v>1</v>
      </c>
      <c r="J5" s="112"/>
      <c r="K5" s="142"/>
      <c r="L5" s="143"/>
      <c r="N5" s="107"/>
      <c r="O5" s="122" t="s">
        <v>11</v>
      </c>
      <c r="P5" s="200"/>
      <c r="Q5" s="8"/>
      <c r="R5" s="108"/>
    </row>
    <row r="6" spans="2:18" ht="23.1" customHeight="1" x14ac:dyDescent="0.25">
      <c r="B6" s="123"/>
      <c r="C6" s="127"/>
      <c r="D6" s="199"/>
      <c r="E6" s="125"/>
      <c r="F6" s="126"/>
      <c r="H6" s="140"/>
      <c r="I6" s="141" t="s">
        <v>90</v>
      </c>
      <c r="J6" s="113"/>
      <c r="K6" s="142"/>
      <c r="L6" s="143"/>
      <c r="N6" s="107"/>
      <c r="O6" s="122" t="s">
        <v>12</v>
      </c>
      <c r="P6" s="119"/>
      <c r="Q6" s="8"/>
      <c r="R6" s="108"/>
    </row>
    <row r="7" spans="2:18" ht="23.1" customHeight="1" x14ac:dyDescent="0.25">
      <c r="B7" s="123"/>
      <c r="C7" s="124" t="s">
        <v>80</v>
      </c>
      <c r="D7" s="106">
        <f>+D5/3300</f>
        <v>0</v>
      </c>
      <c r="E7" s="125"/>
      <c r="F7" s="126"/>
      <c r="H7" s="140"/>
      <c r="I7" s="141" t="s">
        <v>4</v>
      </c>
      <c r="J7" s="114"/>
      <c r="K7" s="142"/>
      <c r="L7" s="143"/>
      <c r="N7" s="107"/>
      <c r="O7" s="118" t="s">
        <v>18</v>
      </c>
      <c r="P7" s="120"/>
      <c r="Q7" s="8"/>
      <c r="R7" s="108"/>
    </row>
    <row r="8" spans="2:18" ht="20.100000000000001" customHeight="1" x14ac:dyDescent="0.25">
      <c r="B8" s="123"/>
      <c r="C8" s="127"/>
      <c r="D8" s="199"/>
      <c r="E8" s="125"/>
      <c r="F8" s="126"/>
      <c r="H8" s="140"/>
      <c r="I8" s="144"/>
      <c r="J8" s="144"/>
      <c r="K8" s="142"/>
      <c r="L8" s="143"/>
      <c r="N8" s="107"/>
      <c r="O8" s="8"/>
      <c r="P8" s="8" t="s">
        <v>96</v>
      </c>
      <c r="Q8" s="8"/>
      <c r="R8" s="108"/>
    </row>
    <row r="9" spans="2:18" ht="23.1" customHeight="1" x14ac:dyDescent="0.25">
      <c r="B9" s="123"/>
      <c r="C9" s="124" t="s">
        <v>87</v>
      </c>
      <c r="D9" s="105"/>
      <c r="E9" s="125"/>
      <c r="F9" s="126"/>
      <c r="H9" s="140"/>
      <c r="I9" s="146"/>
      <c r="J9" s="145" t="s">
        <v>91</v>
      </c>
      <c r="K9" s="142"/>
      <c r="L9" s="143"/>
      <c r="N9" s="107"/>
      <c r="O9" s="118" t="s">
        <v>80</v>
      </c>
      <c r="P9" s="115"/>
      <c r="Q9" s="8"/>
      <c r="R9" s="108"/>
    </row>
    <row r="10" spans="2:18" ht="23.1" customHeight="1" x14ac:dyDescent="0.25">
      <c r="B10" s="123"/>
      <c r="C10" s="127"/>
      <c r="D10" s="199"/>
      <c r="E10" s="125"/>
      <c r="F10" s="126"/>
      <c r="H10" s="140"/>
      <c r="I10" s="141" t="s">
        <v>1</v>
      </c>
      <c r="J10" s="115"/>
      <c r="K10" s="142"/>
      <c r="L10" s="143"/>
      <c r="N10" s="107"/>
      <c r="O10" s="118" t="s">
        <v>79</v>
      </c>
      <c r="P10" s="121">
        <f>20000*P9</f>
        <v>0</v>
      </c>
      <c r="Q10" s="8"/>
      <c r="R10" s="108"/>
    </row>
    <row r="11" spans="2:18" ht="23.1" customHeight="1" x14ac:dyDescent="0.25">
      <c r="B11" s="123"/>
      <c r="C11" s="124" t="s">
        <v>88</v>
      </c>
      <c r="D11" s="153"/>
      <c r="E11" s="125"/>
      <c r="F11" s="126"/>
      <c r="H11" s="140"/>
      <c r="I11" s="141" t="s">
        <v>90</v>
      </c>
      <c r="J11" s="116"/>
      <c r="K11" s="142"/>
      <c r="L11" s="143"/>
      <c r="N11" s="107"/>
      <c r="O11" s="118" t="s">
        <v>93</v>
      </c>
      <c r="P11" s="116"/>
      <c r="Q11" s="8"/>
      <c r="R11" s="108"/>
    </row>
    <row r="12" spans="2:18" ht="23.1" customHeight="1" x14ac:dyDescent="0.25">
      <c r="B12" s="123"/>
      <c r="C12" s="124" t="s">
        <v>89</v>
      </c>
      <c r="D12" s="154"/>
      <c r="E12" s="125"/>
      <c r="F12" s="126"/>
      <c r="H12" s="140"/>
      <c r="I12" s="141" t="s">
        <v>4</v>
      </c>
      <c r="J12" s="117"/>
      <c r="K12" s="142"/>
      <c r="L12" s="143"/>
      <c r="N12" s="107"/>
      <c r="O12" s="122" t="s">
        <v>8</v>
      </c>
      <c r="P12" s="117"/>
      <c r="Q12" s="8"/>
      <c r="R12" s="108"/>
    </row>
    <row r="13" spans="2:18" ht="20.100000000000001" customHeight="1" x14ac:dyDescent="0.25">
      <c r="B13" s="129"/>
      <c r="C13" s="130"/>
      <c r="D13" s="130"/>
      <c r="E13" s="130"/>
      <c r="F13" s="131"/>
      <c r="H13" s="147"/>
      <c r="I13" s="148"/>
      <c r="J13" s="148"/>
      <c r="K13" s="148"/>
      <c r="L13" s="149"/>
      <c r="N13" s="109"/>
      <c r="O13" s="110"/>
      <c r="P13" s="110"/>
      <c r="Q13" s="110"/>
      <c r="R13" s="111"/>
    </row>
    <row r="14" spans="2:18" x14ac:dyDescent="0.25">
      <c r="B14" s="7"/>
      <c r="C14" s="7"/>
      <c r="D14" s="7"/>
      <c r="E14" s="7"/>
      <c r="F14" s="7"/>
      <c r="H14" s="7"/>
      <c r="I14" s="7"/>
      <c r="J14" s="7"/>
      <c r="K14" s="7"/>
      <c r="L14" s="7"/>
      <c r="N14" s="7"/>
      <c r="Q14" s="7"/>
      <c r="R14" s="7"/>
    </row>
    <row r="15" spans="2:18" ht="18.75" x14ac:dyDescent="0.3">
      <c r="B15" s="339" t="s">
        <v>173</v>
      </c>
      <c r="C15" s="340"/>
      <c r="D15" s="132">
        <f>+Ingreso25!F1</f>
        <v>221176</v>
      </c>
      <c r="E15" s="341">
        <f>+D15/(D16+D15)</f>
        <v>0.20730773448608442</v>
      </c>
      <c r="F15" s="342"/>
      <c r="G15" s="133"/>
      <c r="H15" s="379" t="s">
        <v>175</v>
      </c>
      <c r="I15" s="380"/>
      <c r="J15" s="135">
        <f>+Gasto25!H1+Director25!D1++Director25!G1</f>
        <v>34190</v>
      </c>
      <c r="K15" s="136"/>
      <c r="L15" s="137">
        <f>+J15/D15</f>
        <v>0.15458277570803342</v>
      </c>
      <c r="M15" s="133"/>
      <c r="N15" s="371" t="s">
        <v>214</v>
      </c>
      <c r="O15" s="372"/>
      <c r="P15" s="369">
        <f>+D15+D16-J15+D17+D18</f>
        <v>2163249</v>
      </c>
      <c r="Q15" s="365"/>
      <c r="R15" s="366"/>
    </row>
    <row r="16" spans="2:18" ht="18.75" x14ac:dyDescent="0.3">
      <c r="B16" s="343" t="s">
        <v>181</v>
      </c>
      <c r="C16" s="344"/>
      <c r="D16" s="134">
        <f>+'2025'!O28</f>
        <v>845721</v>
      </c>
      <c r="E16" s="377">
        <f>+D16/(D16+D15)</f>
        <v>0.79269226551391558</v>
      </c>
      <c r="F16" s="378"/>
      <c r="G16" s="133"/>
      <c r="H16" s="375" t="s">
        <v>21</v>
      </c>
      <c r="I16" s="376"/>
      <c r="J16" s="150">
        <f>+Registro!D15-Registro!J15</f>
        <v>186986</v>
      </c>
      <c r="K16" s="151"/>
      <c r="L16" s="152">
        <f>+J16/D15</f>
        <v>0.84541722429196653</v>
      </c>
      <c r="M16" s="133"/>
      <c r="N16" s="373"/>
      <c r="O16" s="374"/>
      <c r="P16" s="370"/>
      <c r="Q16" s="367"/>
      <c r="R16" s="368"/>
    </row>
    <row r="17" spans="2:18" ht="18.75" x14ac:dyDescent="0.3">
      <c r="B17" s="339" t="s">
        <v>172</v>
      </c>
      <c r="C17" s="340"/>
      <c r="D17" s="132">
        <f>+'2025'!S33</f>
        <v>1125421</v>
      </c>
      <c r="E17" s="341"/>
      <c r="F17" s="342"/>
      <c r="L17" s="138"/>
      <c r="N17" s="333" t="s">
        <v>171</v>
      </c>
      <c r="O17" s="334"/>
      <c r="P17" s="318">
        <f>+'2025'!O31+'2025'!S33+'2025'!S37</f>
        <v>2076232</v>
      </c>
      <c r="Q17" s="335"/>
      <c r="R17" s="336"/>
    </row>
    <row r="18" spans="2:18" ht="18.75" x14ac:dyDescent="0.3">
      <c r="B18" s="343" t="s">
        <v>174</v>
      </c>
      <c r="C18" s="344"/>
      <c r="D18" s="134">
        <f>+'2025'!S37</f>
        <v>5121</v>
      </c>
      <c r="E18" s="345">
        <f>+D18/D17</f>
        <v>4.5502971776783981E-3</v>
      </c>
      <c r="F18" s="346"/>
      <c r="N18" s="331" t="s">
        <v>170</v>
      </c>
      <c r="O18" s="332"/>
      <c r="P18" s="319">
        <f>+P17-P15</f>
        <v>-87017</v>
      </c>
      <c r="Q18" s="337">
        <f>+P18/P17</f>
        <v>-4.191101957777358E-2</v>
      </c>
      <c r="R18" s="338"/>
    </row>
  </sheetData>
  <sheetProtection selectLockedCells="1"/>
  <mergeCells count="20">
    <mergeCell ref="B16:C16"/>
    <mergeCell ref="N1:R2"/>
    <mergeCell ref="B15:C15"/>
    <mergeCell ref="B1:F2"/>
    <mergeCell ref="H1:L2"/>
    <mergeCell ref="Q15:R16"/>
    <mergeCell ref="P15:P16"/>
    <mergeCell ref="N15:O16"/>
    <mergeCell ref="H16:I16"/>
    <mergeCell ref="E16:F16"/>
    <mergeCell ref="H15:I15"/>
    <mergeCell ref="E15:F15"/>
    <mergeCell ref="N18:O18"/>
    <mergeCell ref="N17:O17"/>
    <mergeCell ref="Q17:R17"/>
    <mergeCell ref="Q18:R18"/>
    <mergeCell ref="B17:C17"/>
    <mergeCell ref="E17:F17"/>
    <mergeCell ref="B18:C18"/>
    <mergeCell ref="E18:F18"/>
  </mergeCells>
  <pageMargins left="0.70866141732283472" right="0.70866141732283472" top="0.74803149606299213" bottom="0.74803149606299213" header="0.31496062992125984" footer="0.31496062992125984"/>
  <pageSetup scale="6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8">
    <tabColor theme="9" tint="0.39997558519241921"/>
  </sheetPr>
  <dimension ref="B1:G16"/>
  <sheetViews>
    <sheetView showGridLines="0" workbookViewId="0">
      <selection activeCell="D20" sqref="D20"/>
    </sheetView>
  </sheetViews>
  <sheetFormatPr baseColWidth="10" defaultRowHeight="15" x14ac:dyDescent="0.25"/>
  <cols>
    <col min="1" max="1" width="4.7109375" customWidth="1"/>
  </cols>
  <sheetData>
    <row r="1" spans="2:7" ht="18.75" x14ac:dyDescent="0.3">
      <c r="B1" s="381" t="s">
        <v>5</v>
      </c>
      <c r="C1" s="381"/>
      <c r="D1" s="196"/>
      <c r="E1" s="196"/>
      <c r="F1" s="382">
        <f>SUM(C16:G16)-D16</f>
        <v>2309900</v>
      </c>
      <c r="G1" s="382"/>
    </row>
    <row r="2" spans="2:7" x14ac:dyDescent="0.25">
      <c r="B2" t="s">
        <v>0</v>
      </c>
      <c r="C2" t="s">
        <v>82</v>
      </c>
      <c r="D2" t="s">
        <v>81</v>
      </c>
      <c r="E2" t="s">
        <v>47</v>
      </c>
      <c r="F2" t="s">
        <v>83</v>
      </c>
      <c r="G2" t="s">
        <v>84</v>
      </c>
    </row>
    <row r="3" spans="2:7" x14ac:dyDescent="0.25">
      <c r="B3" s="2"/>
      <c r="C3" s="3"/>
      <c r="D3" s="3"/>
      <c r="E3" s="3"/>
      <c r="F3" s="3"/>
      <c r="G3" s="3"/>
    </row>
    <row r="4" spans="2:7" x14ac:dyDescent="0.25">
      <c r="B4" s="2">
        <v>45727</v>
      </c>
      <c r="C4" s="3">
        <v>244400</v>
      </c>
      <c r="D4" s="3">
        <v>74.060606060606062</v>
      </c>
      <c r="E4" s="3">
        <v>0</v>
      </c>
      <c r="F4" s="3">
        <v>0</v>
      </c>
      <c r="G4" s="3">
        <v>0</v>
      </c>
    </row>
    <row r="5" spans="2:7" x14ac:dyDescent="0.25">
      <c r="B5" s="2">
        <v>45636</v>
      </c>
      <c r="C5" s="3">
        <v>224400</v>
      </c>
      <c r="D5" s="3">
        <v>68</v>
      </c>
      <c r="E5" s="3">
        <v>0</v>
      </c>
      <c r="F5" s="3">
        <v>0</v>
      </c>
      <c r="G5" s="3">
        <v>0</v>
      </c>
    </row>
    <row r="6" spans="2:7" x14ac:dyDescent="0.25">
      <c r="B6" s="2">
        <v>45604</v>
      </c>
      <c r="C6" s="3">
        <v>224400</v>
      </c>
      <c r="D6" s="3">
        <v>68</v>
      </c>
      <c r="E6" s="3"/>
      <c r="F6" s="3"/>
      <c r="G6" s="3"/>
    </row>
    <row r="7" spans="2:7" x14ac:dyDescent="0.25">
      <c r="B7" s="2">
        <v>45578</v>
      </c>
      <c r="C7" s="3">
        <v>244200</v>
      </c>
      <c r="D7" s="3">
        <v>74</v>
      </c>
      <c r="E7" s="3"/>
      <c r="F7" s="3"/>
      <c r="G7" s="3"/>
    </row>
    <row r="8" spans="2:7" x14ac:dyDescent="0.25">
      <c r="B8" s="2">
        <v>45546</v>
      </c>
      <c r="C8" s="3">
        <v>167500</v>
      </c>
      <c r="D8" s="3">
        <v>67</v>
      </c>
      <c r="E8" s="3">
        <v>0</v>
      </c>
      <c r="F8" s="3">
        <v>0</v>
      </c>
      <c r="G8" s="3">
        <v>0</v>
      </c>
    </row>
    <row r="9" spans="2:7" x14ac:dyDescent="0.25">
      <c r="B9" s="2">
        <v>45517</v>
      </c>
      <c r="C9" s="3">
        <v>167500</v>
      </c>
      <c r="D9" s="3">
        <v>67</v>
      </c>
      <c r="E9" s="3">
        <v>0</v>
      </c>
      <c r="F9" s="3">
        <v>0</v>
      </c>
      <c r="G9" s="3">
        <v>0</v>
      </c>
    </row>
    <row r="10" spans="2:7" x14ac:dyDescent="0.25">
      <c r="B10" s="2">
        <v>45482</v>
      </c>
      <c r="C10" s="3">
        <v>170000</v>
      </c>
      <c r="D10" s="3">
        <v>68</v>
      </c>
      <c r="E10" s="3">
        <v>0</v>
      </c>
      <c r="F10" s="3">
        <v>0</v>
      </c>
      <c r="G10" s="3">
        <v>0</v>
      </c>
    </row>
    <row r="11" spans="2:7" x14ac:dyDescent="0.25">
      <c r="B11" s="2">
        <v>45475</v>
      </c>
      <c r="C11" s="3">
        <v>172500</v>
      </c>
      <c r="D11" s="3">
        <v>69</v>
      </c>
      <c r="E11" s="3">
        <v>0</v>
      </c>
      <c r="F11" s="3">
        <v>0</v>
      </c>
      <c r="G11" s="3">
        <v>0</v>
      </c>
    </row>
    <row r="12" spans="2:7" x14ac:dyDescent="0.25">
      <c r="B12" s="2">
        <v>45441</v>
      </c>
      <c r="C12" s="3">
        <v>180000</v>
      </c>
      <c r="D12" s="3">
        <v>72</v>
      </c>
      <c r="E12" s="3">
        <v>0</v>
      </c>
      <c r="F12" s="3">
        <v>0</v>
      </c>
      <c r="G12" s="3">
        <v>0</v>
      </c>
    </row>
    <row r="13" spans="2:7" x14ac:dyDescent="0.25">
      <c r="B13" s="2">
        <v>45392</v>
      </c>
      <c r="C13" s="3">
        <v>170000</v>
      </c>
      <c r="D13" s="3">
        <v>68</v>
      </c>
      <c r="E13" s="3">
        <v>0</v>
      </c>
      <c r="F13" s="3">
        <v>0</v>
      </c>
      <c r="G13" s="3">
        <v>0</v>
      </c>
    </row>
    <row r="14" spans="2:7" x14ac:dyDescent="0.25">
      <c r="B14" s="2">
        <v>45364</v>
      </c>
      <c r="C14" s="3">
        <v>170000</v>
      </c>
      <c r="D14" s="3">
        <v>68</v>
      </c>
      <c r="E14" s="3">
        <v>0</v>
      </c>
      <c r="F14" s="3">
        <v>0</v>
      </c>
      <c r="G14" s="3">
        <v>0</v>
      </c>
    </row>
    <row r="15" spans="2:7" x14ac:dyDescent="0.25">
      <c r="B15" s="2">
        <v>45330</v>
      </c>
      <c r="C15" s="3">
        <v>175000</v>
      </c>
      <c r="D15" s="3">
        <v>70</v>
      </c>
      <c r="E15" s="3">
        <v>0</v>
      </c>
      <c r="F15" s="3">
        <v>0</v>
      </c>
      <c r="G15" s="3">
        <v>0</v>
      </c>
    </row>
    <row r="16" spans="2:7" x14ac:dyDescent="0.25">
      <c r="B16" s="89" t="s">
        <v>10</v>
      </c>
      <c r="C16" s="98">
        <f>+SUBTOTAL(9,Tabla24[PLANILLA])</f>
        <v>2309900</v>
      </c>
      <c r="D16" s="98">
        <f>+SUBTOTAL(9,Tabla24[SOCIOS])</f>
        <v>833.06060606060601</v>
      </c>
      <c r="E16" s="98">
        <f>+SUBTOTAL(9,Tabla24[CAPUAL])</f>
        <v>0</v>
      </c>
      <c r="F16" s="98">
        <f>+SUBTOTAL(9,Tabla24[EMPRESA])</f>
        <v>0</v>
      </c>
      <c r="G16" s="98">
        <f>+SUBTOTAL(9,Tabla24[APORTES])</f>
        <v>0</v>
      </c>
    </row>
  </sheetData>
  <mergeCells count="2">
    <mergeCell ref="B1:C1"/>
    <mergeCell ref="F1:G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9" tint="0.39997558519241921"/>
  </sheetPr>
  <dimension ref="B1:G16"/>
  <sheetViews>
    <sheetView showGridLines="0" workbookViewId="0">
      <selection activeCell="B3" sqref="B3"/>
    </sheetView>
  </sheetViews>
  <sheetFormatPr baseColWidth="10" defaultRowHeight="15" x14ac:dyDescent="0.25"/>
  <cols>
    <col min="1" max="1" width="4.7109375" customWidth="1"/>
  </cols>
  <sheetData>
    <row r="1" spans="2:7" ht="18.75" x14ac:dyDescent="0.3">
      <c r="B1" s="381" t="s">
        <v>5</v>
      </c>
      <c r="C1" s="381"/>
      <c r="D1" s="196"/>
      <c r="E1" s="196"/>
      <c r="F1" s="382">
        <f>SUM(C16:G16)-D16</f>
        <v>2025000</v>
      </c>
      <c r="G1" s="382"/>
    </row>
    <row r="2" spans="2:7" x14ac:dyDescent="0.25">
      <c r="B2" t="s">
        <v>0</v>
      </c>
      <c r="C2" t="s">
        <v>82</v>
      </c>
      <c r="D2" t="s">
        <v>81</v>
      </c>
      <c r="E2" t="s">
        <v>47</v>
      </c>
      <c r="F2" t="s">
        <v>83</v>
      </c>
      <c r="G2" t="s">
        <v>84</v>
      </c>
    </row>
    <row r="3" spans="2:7" x14ac:dyDescent="0.25">
      <c r="B3" s="2"/>
      <c r="C3" s="3"/>
      <c r="D3" s="3"/>
      <c r="E3" s="3"/>
      <c r="F3" s="3"/>
      <c r="G3" s="3"/>
    </row>
    <row r="4" spans="2:7" x14ac:dyDescent="0.25">
      <c r="B4" s="2">
        <v>45299</v>
      </c>
      <c r="C4" s="3">
        <v>185000</v>
      </c>
      <c r="D4" s="3">
        <v>74</v>
      </c>
      <c r="E4" s="3">
        <v>0</v>
      </c>
      <c r="F4" s="3">
        <v>0</v>
      </c>
      <c r="G4" s="3">
        <v>0</v>
      </c>
    </row>
    <row r="5" spans="2:7" x14ac:dyDescent="0.25">
      <c r="B5" s="2">
        <v>45272</v>
      </c>
      <c r="C5" s="3">
        <v>165000</v>
      </c>
      <c r="D5" s="3">
        <v>66</v>
      </c>
      <c r="E5" s="3">
        <v>0</v>
      </c>
      <c r="F5" s="3">
        <v>0</v>
      </c>
      <c r="G5" s="3">
        <v>0</v>
      </c>
    </row>
    <row r="6" spans="2:7" x14ac:dyDescent="0.25">
      <c r="B6" s="2">
        <v>45239</v>
      </c>
      <c r="C6" s="3">
        <v>180000</v>
      </c>
      <c r="D6" s="3">
        <v>72</v>
      </c>
      <c r="E6" s="3">
        <v>0</v>
      </c>
      <c r="F6" s="3">
        <v>0</v>
      </c>
      <c r="G6" s="3">
        <v>0</v>
      </c>
    </row>
    <row r="7" spans="2:7" x14ac:dyDescent="0.25">
      <c r="B7" s="2">
        <v>45215</v>
      </c>
      <c r="C7" s="3">
        <v>180000</v>
      </c>
      <c r="D7" s="3">
        <v>72</v>
      </c>
      <c r="E7" s="3">
        <v>0</v>
      </c>
      <c r="F7" s="3">
        <v>0</v>
      </c>
      <c r="G7" s="3">
        <v>0</v>
      </c>
    </row>
    <row r="8" spans="2:7" x14ac:dyDescent="0.25">
      <c r="B8" s="2">
        <v>45177</v>
      </c>
      <c r="C8" s="3">
        <v>170000</v>
      </c>
      <c r="D8" s="3">
        <v>68</v>
      </c>
      <c r="E8" s="3">
        <v>0</v>
      </c>
      <c r="F8" s="3">
        <v>0</v>
      </c>
      <c r="G8" s="3">
        <v>0</v>
      </c>
    </row>
    <row r="9" spans="2:7" x14ac:dyDescent="0.25">
      <c r="B9" s="2">
        <v>45146</v>
      </c>
      <c r="C9" s="3">
        <v>175000</v>
      </c>
      <c r="D9" s="3">
        <v>70</v>
      </c>
      <c r="E9" s="3">
        <v>0</v>
      </c>
      <c r="F9" s="3">
        <v>0</v>
      </c>
      <c r="G9" s="3">
        <v>0</v>
      </c>
    </row>
    <row r="10" spans="2:7" x14ac:dyDescent="0.25">
      <c r="B10" s="2">
        <v>45124</v>
      </c>
      <c r="C10" s="3">
        <v>167500</v>
      </c>
      <c r="D10" s="3">
        <v>67</v>
      </c>
      <c r="E10" s="3">
        <v>0</v>
      </c>
      <c r="F10" s="3">
        <v>0</v>
      </c>
      <c r="G10" s="3">
        <v>0</v>
      </c>
    </row>
    <row r="11" spans="2:7" x14ac:dyDescent="0.25">
      <c r="B11" s="2">
        <v>45100</v>
      </c>
      <c r="C11" s="3">
        <v>170000</v>
      </c>
      <c r="D11" s="3">
        <v>68</v>
      </c>
      <c r="E11" s="3">
        <v>0</v>
      </c>
      <c r="F11" s="3">
        <v>0</v>
      </c>
      <c r="G11" s="3">
        <v>0</v>
      </c>
    </row>
    <row r="12" spans="2:7" x14ac:dyDescent="0.25">
      <c r="B12" s="2">
        <v>45056</v>
      </c>
      <c r="C12" s="3">
        <v>167500</v>
      </c>
      <c r="D12" s="3">
        <v>67</v>
      </c>
      <c r="E12" s="3">
        <v>0</v>
      </c>
      <c r="F12" s="3">
        <v>0</v>
      </c>
      <c r="G12" s="3">
        <v>0</v>
      </c>
    </row>
    <row r="13" spans="2:7" x14ac:dyDescent="0.25">
      <c r="B13" s="2">
        <v>45028</v>
      </c>
      <c r="C13" s="3">
        <v>160000</v>
      </c>
      <c r="D13" s="3">
        <v>64</v>
      </c>
      <c r="E13" s="3">
        <v>0</v>
      </c>
      <c r="F13" s="3">
        <v>0</v>
      </c>
      <c r="G13" s="3">
        <v>0</v>
      </c>
    </row>
    <row r="14" spans="2:7" x14ac:dyDescent="0.25">
      <c r="B14" s="2">
        <v>44999</v>
      </c>
      <c r="C14" s="3">
        <v>157500</v>
      </c>
      <c r="D14" s="3">
        <v>63</v>
      </c>
      <c r="E14" s="3">
        <v>0</v>
      </c>
      <c r="F14" s="3">
        <v>0</v>
      </c>
      <c r="G14" s="3">
        <v>0</v>
      </c>
    </row>
    <row r="15" spans="2:7" x14ac:dyDescent="0.25">
      <c r="B15" s="2">
        <v>44986</v>
      </c>
      <c r="C15" s="3">
        <v>147500</v>
      </c>
      <c r="D15" s="3">
        <v>59</v>
      </c>
      <c r="E15" s="3">
        <v>0</v>
      </c>
      <c r="F15" s="3">
        <v>0</v>
      </c>
      <c r="G15" s="3">
        <v>0</v>
      </c>
    </row>
    <row r="16" spans="2:7" x14ac:dyDescent="0.25">
      <c r="B16" s="89" t="s">
        <v>10</v>
      </c>
      <c r="C16" s="98">
        <f>+SUBTOTAL(9,Tabla2[PLANILLA])</f>
        <v>2025000</v>
      </c>
      <c r="D16" s="98">
        <f>+SUBTOTAL(9,Tabla2[SOCIOS])</f>
        <v>810</v>
      </c>
      <c r="E16" s="98">
        <f>+SUBTOTAL(9,Tabla2[CAPUAL])</f>
        <v>0</v>
      </c>
      <c r="F16" s="98">
        <f>+SUBTOTAL(9,Tabla2[EMPRESA])</f>
        <v>0</v>
      </c>
      <c r="G16" s="98">
        <f>+SUBTOTAL(9,Tabla2[APORTES])</f>
        <v>0</v>
      </c>
    </row>
  </sheetData>
  <mergeCells count="2">
    <mergeCell ref="B1:C1"/>
    <mergeCell ref="F1:G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9">
    <tabColor theme="5" tint="0.39997558519241921"/>
    <pageSetUpPr fitToPage="1"/>
  </sheetPr>
  <dimension ref="B1:I16"/>
  <sheetViews>
    <sheetView showGridLines="0" workbookViewId="0">
      <selection activeCell="D20" sqref="D20"/>
    </sheetView>
  </sheetViews>
  <sheetFormatPr baseColWidth="10" defaultColWidth="12.28515625" defaultRowHeight="15" x14ac:dyDescent="0.25"/>
  <cols>
    <col min="1" max="1" width="4.7109375" customWidth="1"/>
    <col min="3" max="3" width="12.85546875" customWidth="1"/>
    <col min="6" max="6" width="13.85546875" customWidth="1"/>
    <col min="8" max="8" width="13.140625" customWidth="1"/>
  </cols>
  <sheetData>
    <row r="1" spans="2:9" ht="18.75" x14ac:dyDescent="0.3">
      <c r="B1" s="197" t="s">
        <v>16</v>
      </c>
      <c r="C1" s="197" t="s">
        <v>2</v>
      </c>
      <c r="D1" s="383">
        <f>SUM(C16:E16)</f>
        <v>360000</v>
      </c>
      <c r="E1" s="383"/>
      <c r="F1" s="197" t="s">
        <v>6</v>
      </c>
      <c r="G1" s="383">
        <f>SUM(F16:H16)</f>
        <v>140000</v>
      </c>
      <c r="H1" s="383"/>
    </row>
    <row r="2" spans="2:9" s="1" customFormat="1" x14ac:dyDescent="0.25">
      <c r="B2" s="1" t="s">
        <v>0</v>
      </c>
      <c r="C2" s="1" t="s">
        <v>1</v>
      </c>
      <c r="D2" s="1" t="s">
        <v>3</v>
      </c>
      <c r="E2" s="1" t="s">
        <v>4</v>
      </c>
      <c r="F2" s="1" t="s">
        <v>9</v>
      </c>
      <c r="G2" s="1" t="s">
        <v>13</v>
      </c>
      <c r="H2" s="1" t="s">
        <v>14</v>
      </c>
    </row>
    <row r="3" spans="2:9" x14ac:dyDescent="0.25">
      <c r="B3" s="4"/>
      <c r="C3" s="5"/>
      <c r="D3" s="5"/>
      <c r="E3" s="5"/>
      <c r="F3" s="5"/>
      <c r="G3" s="5"/>
      <c r="H3" s="5"/>
    </row>
    <row r="4" spans="2:9" x14ac:dyDescent="0.25">
      <c r="B4" s="4">
        <v>45727</v>
      </c>
      <c r="C4" s="5">
        <v>10000</v>
      </c>
      <c r="D4" s="5">
        <v>10000</v>
      </c>
      <c r="E4" s="5">
        <v>10000</v>
      </c>
      <c r="F4" s="5">
        <v>5000</v>
      </c>
      <c r="G4" s="5">
        <v>0</v>
      </c>
      <c r="H4" s="5">
        <v>5000</v>
      </c>
      <c r="I4">
        <f>SUM(Tabla16[[#This Row],[Presidente]:[Secretario2]])</f>
        <v>40000</v>
      </c>
    </row>
    <row r="5" spans="2:9" x14ac:dyDescent="0.25">
      <c r="B5" s="4">
        <v>45636</v>
      </c>
      <c r="C5" s="5">
        <v>10000</v>
      </c>
      <c r="D5" s="5">
        <v>10000</v>
      </c>
      <c r="E5" s="5">
        <v>10000</v>
      </c>
      <c r="F5" s="5">
        <v>0</v>
      </c>
      <c r="G5" s="5">
        <v>0</v>
      </c>
      <c r="H5" s="5">
        <v>0</v>
      </c>
      <c r="I5">
        <f>SUM(Tabla16[[#This Row],[Presidente]:[Secretario2]])</f>
        <v>30000</v>
      </c>
    </row>
    <row r="6" spans="2:9" x14ac:dyDescent="0.25">
      <c r="B6" s="4">
        <v>45604</v>
      </c>
      <c r="C6" s="5">
        <v>10000</v>
      </c>
      <c r="D6" s="5">
        <v>10000</v>
      </c>
      <c r="E6" s="5">
        <v>10000</v>
      </c>
      <c r="F6" s="5">
        <v>5000</v>
      </c>
      <c r="G6" s="5"/>
      <c r="H6" s="5"/>
    </row>
    <row r="7" spans="2:9" x14ac:dyDescent="0.25">
      <c r="B7" s="4">
        <v>45578</v>
      </c>
      <c r="C7" s="5">
        <v>10000</v>
      </c>
      <c r="D7" s="5">
        <v>10000</v>
      </c>
      <c r="E7" s="5">
        <v>10000</v>
      </c>
      <c r="F7" s="5">
        <v>20000</v>
      </c>
      <c r="G7" s="5">
        <v>0</v>
      </c>
      <c r="H7" s="5">
        <v>20000</v>
      </c>
    </row>
    <row r="8" spans="2:9" x14ac:dyDescent="0.25">
      <c r="B8" s="4">
        <v>45546</v>
      </c>
      <c r="C8" s="5">
        <v>10000</v>
      </c>
      <c r="D8" s="5">
        <v>10000</v>
      </c>
      <c r="E8" s="5">
        <v>10000</v>
      </c>
      <c r="F8" s="5">
        <v>0</v>
      </c>
      <c r="G8" s="5">
        <v>0</v>
      </c>
      <c r="H8" s="5">
        <v>0</v>
      </c>
    </row>
    <row r="9" spans="2:9" x14ac:dyDescent="0.25">
      <c r="B9" s="4">
        <v>45517</v>
      </c>
      <c r="C9" s="5">
        <v>10000</v>
      </c>
      <c r="D9" s="5">
        <v>10000</v>
      </c>
      <c r="E9" s="5">
        <v>10000</v>
      </c>
      <c r="F9" s="5">
        <v>10000</v>
      </c>
      <c r="G9" s="5">
        <v>5000</v>
      </c>
      <c r="H9" s="5">
        <v>0</v>
      </c>
    </row>
    <row r="10" spans="2:9" x14ac:dyDescent="0.25">
      <c r="B10" s="4">
        <v>45482</v>
      </c>
      <c r="C10" s="5">
        <v>10000</v>
      </c>
      <c r="D10" s="5">
        <v>10000</v>
      </c>
      <c r="E10" s="5">
        <v>10000</v>
      </c>
      <c r="F10" s="5"/>
      <c r="G10" s="5"/>
      <c r="H10" s="5"/>
    </row>
    <row r="11" spans="2:9" x14ac:dyDescent="0.25">
      <c r="B11" s="4">
        <v>45475</v>
      </c>
      <c r="C11" s="5">
        <v>10000</v>
      </c>
      <c r="D11" s="5">
        <v>10000</v>
      </c>
      <c r="E11" s="5">
        <v>10000</v>
      </c>
      <c r="F11" s="5">
        <v>5000</v>
      </c>
      <c r="G11" s="5">
        <v>5000</v>
      </c>
      <c r="H11" s="5">
        <v>0</v>
      </c>
    </row>
    <row r="12" spans="2:9" x14ac:dyDescent="0.25">
      <c r="B12" s="4">
        <v>45441</v>
      </c>
      <c r="C12" s="5">
        <v>10000</v>
      </c>
      <c r="D12" s="5">
        <v>10000</v>
      </c>
      <c r="E12" s="5">
        <v>10000</v>
      </c>
      <c r="F12" s="5">
        <v>10000</v>
      </c>
      <c r="G12" s="5">
        <v>10000</v>
      </c>
      <c r="H12" s="5">
        <v>0</v>
      </c>
    </row>
    <row r="13" spans="2:9" x14ac:dyDescent="0.25">
      <c r="B13" s="4">
        <v>45392</v>
      </c>
      <c r="C13" s="5">
        <v>10000</v>
      </c>
      <c r="D13" s="5">
        <v>10000</v>
      </c>
      <c r="E13" s="5">
        <v>10000</v>
      </c>
      <c r="F13" s="5">
        <v>20000</v>
      </c>
      <c r="G13" s="5">
        <v>0</v>
      </c>
      <c r="H13" s="5">
        <v>20000</v>
      </c>
    </row>
    <row r="14" spans="2:9" x14ac:dyDescent="0.25">
      <c r="B14" s="4">
        <v>45364</v>
      </c>
      <c r="C14" s="5">
        <v>10000</v>
      </c>
      <c r="D14" s="5">
        <v>10000</v>
      </c>
      <c r="E14" s="5">
        <v>10000</v>
      </c>
      <c r="F14" s="5">
        <v>0</v>
      </c>
      <c r="G14" s="5">
        <v>0</v>
      </c>
      <c r="H14" s="5">
        <v>0</v>
      </c>
    </row>
    <row r="15" spans="2:9" x14ac:dyDescent="0.25">
      <c r="B15" s="4">
        <v>45330</v>
      </c>
      <c r="C15" s="5">
        <v>10000</v>
      </c>
      <c r="D15" s="5">
        <v>10000</v>
      </c>
      <c r="E15" s="5">
        <v>10000</v>
      </c>
      <c r="F15" s="5">
        <v>0</v>
      </c>
      <c r="G15" s="5">
        <v>0</v>
      </c>
      <c r="H15" s="5">
        <v>0</v>
      </c>
    </row>
    <row r="16" spans="2:9" x14ac:dyDescent="0.25">
      <c r="B16" t="s">
        <v>10</v>
      </c>
      <c r="C16" s="3">
        <f>+SUBTOTAL(9,Tabla16[Presidente])</f>
        <v>120000</v>
      </c>
      <c r="D16" s="3">
        <f>+SUBTOTAL(9,Tabla16[Tesorera])</f>
        <v>120000</v>
      </c>
      <c r="E16" s="3">
        <f>+SUBTOTAL(9,Tabla16[Secretario])</f>
        <v>120000</v>
      </c>
      <c r="F16" s="3">
        <f>+SUBTOTAL(9,Tabla16[Presidente2])</f>
        <v>75000</v>
      </c>
      <c r="G16" s="3">
        <f>+SUBTOTAL(9,Tabla16[Tesorera2])</f>
        <v>20000</v>
      </c>
      <c r="H16" s="3">
        <f>+SUBTOTAL(9,Tabla16[Secretario2])</f>
        <v>45000</v>
      </c>
    </row>
  </sheetData>
  <mergeCells count="2">
    <mergeCell ref="D1:E1"/>
    <mergeCell ref="G1:H1"/>
  </mergeCells>
  <pageMargins left="0.70866141732283472" right="0.70866141732283472" top="0.74803149606299213" bottom="0.74803149606299213" header="0.31496062992125984" footer="0.31496062992125984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tabColor theme="5" tint="0.39997558519241921"/>
    <pageSetUpPr fitToPage="1"/>
  </sheetPr>
  <dimension ref="B1:I16"/>
  <sheetViews>
    <sheetView showGridLines="0" workbookViewId="0">
      <selection activeCell="B3" sqref="B3"/>
    </sheetView>
  </sheetViews>
  <sheetFormatPr baseColWidth="10" defaultColWidth="12.28515625" defaultRowHeight="15" x14ac:dyDescent="0.25"/>
  <cols>
    <col min="1" max="1" width="4.7109375" customWidth="1"/>
    <col min="3" max="3" width="12.85546875" customWidth="1"/>
    <col min="6" max="6" width="13.85546875" customWidth="1"/>
    <col min="8" max="8" width="13.140625" customWidth="1"/>
  </cols>
  <sheetData>
    <row r="1" spans="2:9" ht="18.75" x14ac:dyDescent="0.3">
      <c r="B1" s="197" t="s">
        <v>16</v>
      </c>
      <c r="C1" s="197" t="s">
        <v>2</v>
      </c>
      <c r="D1" s="383">
        <f>SUM(C16:E16)</f>
        <v>360000</v>
      </c>
      <c r="E1" s="383"/>
      <c r="F1" s="197" t="s">
        <v>6</v>
      </c>
      <c r="G1" s="383">
        <f>SUM(F16:H16)</f>
        <v>225000</v>
      </c>
      <c r="H1" s="383"/>
    </row>
    <row r="2" spans="2:9" s="1" customFormat="1" x14ac:dyDescent="0.25">
      <c r="B2" s="1" t="s">
        <v>0</v>
      </c>
      <c r="C2" s="1" t="s">
        <v>1</v>
      </c>
      <c r="D2" s="1" t="s">
        <v>3</v>
      </c>
      <c r="E2" s="1" t="s">
        <v>4</v>
      </c>
      <c r="F2" s="1" t="s">
        <v>9</v>
      </c>
      <c r="G2" s="1" t="s">
        <v>13</v>
      </c>
      <c r="H2" s="1" t="s">
        <v>14</v>
      </c>
    </row>
    <row r="3" spans="2:9" x14ac:dyDescent="0.25">
      <c r="B3" s="4"/>
      <c r="C3" s="5"/>
      <c r="D3" s="5"/>
      <c r="E3" s="5"/>
      <c r="F3" s="5"/>
      <c r="G3" s="5"/>
      <c r="H3" s="5"/>
      <c r="I3">
        <f>SUM(Tabla1[[#This Row],[Presidente]:[Secretario2]])</f>
        <v>0</v>
      </c>
    </row>
    <row r="4" spans="2:9" x14ac:dyDescent="0.25">
      <c r="B4" s="4">
        <v>45299</v>
      </c>
      <c r="C4" s="5">
        <v>10000</v>
      </c>
      <c r="D4" s="5">
        <v>10000</v>
      </c>
      <c r="E4" s="5">
        <v>10000</v>
      </c>
      <c r="F4" s="5">
        <v>0</v>
      </c>
      <c r="G4" s="5">
        <v>0</v>
      </c>
      <c r="H4" s="5">
        <v>0</v>
      </c>
      <c r="I4">
        <f>SUM(Tabla1[[#This Row],[Presidente]:[Secretario2]])</f>
        <v>30000</v>
      </c>
    </row>
    <row r="5" spans="2:9" x14ac:dyDescent="0.25">
      <c r="B5" s="4">
        <v>45272</v>
      </c>
      <c r="C5" s="5">
        <v>10000</v>
      </c>
      <c r="D5" s="5">
        <v>10000</v>
      </c>
      <c r="E5" s="5">
        <v>10000</v>
      </c>
      <c r="F5" s="5">
        <v>0</v>
      </c>
      <c r="G5" s="5">
        <v>0</v>
      </c>
      <c r="H5" s="5">
        <v>0</v>
      </c>
      <c r="I5">
        <f>SUM(Tabla1[[#This Row],[Presidente]:[Secretario2]])</f>
        <v>30000</v>
      </c>
    </row>
    <row r="6" spans="2:9" x14ac:dyDescent="0.25">
      <c r="B6" s="4">
        <v>45239</v>
      </c>
      <c r="C6" s="5">
        <v>10000</v>
      </c>
      <c r="D6" s="5">
        <v>10000</v>
      </c>
      <c r="E6" s="5">
        <v>10000</v>
      </c>
      <c r="F6" s="5">
        <v>25000</v>
      </c>
      <c r="G6" s="5">
        <v>0</v>
      </c>
      <c r="H6" s="5">
        <v>25000</v>
      </c>
      <c r="I6">
        <f>SUM(Tabla1[[#This Row],[Presidente]:[Secretario2]])</f>
        <v>80000</v>
      </c>
    </row>
    <row r="7" spans="2:9" x14ac:dyDescent="0.25">
      <c r="B7" s="4">
        <v>45215</v>
      </c>
      <c r="C7" s="5">
        <v>10000</v>
      </c>
      <c r="D7" s="5">
        <v>10000</v>
      </c>
      <c r="E7" s="5">
        <v>10000</v>
      </c>
      <c r="F7" s="5">
        <v>5000</v>
      </c>
      <c r="G7" s="5">
        <v>5000</v>
      </c>
      <c r="H7" s="5">
        <v>5000</v>
      </c>
      <c r="I7">
        <f>SUM(Tabla1[[#This Row],[Presidente]:[Secretario2]])</f>
        <v>45000</v>
      </c>
    </row>
    <row r="8" spans="2:9" x14ac:dyDescent="0.25">
      <c r="B8" s="4">
        <v>45177</v>
      </c>
      <c r="C8" s="5">
        <v>10000</v>
      </c>
      <c r="D8" s="5">
        <v>10000</v>
      </c>
      <c r="E8" s="5">
        <v>10000</v>
      </c>
      <c r="F8" s="5">
        <v>15000</v>
      </c>
      <c r="G8" s="5">
        <v>15000</v>
      </c>
      <c r="H8" s="5">
        <v>15000</v>
      </c>
      <c r="I8">
        <f>SUM(Tabla1[[#This Row],[Presidente]:[Secretario2]])</f>
        <v>75000</v>
      </c>
    </row>
    <row r="9" spans="2:9" x14ac:dyDescent="0.25">
      <c r="B9" s="4">
        <v>45146</v>
      </c>
      <c r="C9" s="5">
        <v>10000</v>
      </c>
      <c r="D9" s="5">
        <v>10000</v>
      </c>
      <c r="E9" s="5">
        <v>10000</v>
      </c>
      <c r="F9" s="5">
        <v>20000</v>
      </c>
      <c r="G9" s="5">
        <v>0</v>
      </c>
      <c r="H9" s="5">
        <v>20000</v>
      </c>
      <c r="I9">
        <f>SUM(Tabla1[[#This Row],[Presidente]:[Secretario2]])</f>
        <v>70000</v>
      </c>
    </row>
    <row r="10" spans="2:9" x14ac:dyDescent="0.25">
      <c r="B10" s="4">
        <v>45124</v>
      </c>
      <c r="C10" s="5">
        <v>10000</v>
      </c>
      <c r="D10" s="5">
        <v>10000</v>
      </c>
      <c r="E10" s="5">
        <v>10000</v>
      </c>
      <c r="F10" s="5">
        <v>5000</v>
      </c>
      <c r="G10" s="5">
        <v>5000</v>
      </c>
      <c r="H10" s="5">
        <v>5000</v>
      </c>
      <c r="I10">
        <f>SUM(Tabla1[[#This Row],[Presidente]:[Secretario2]])</f>
        <v>45000</v>
      </c>
    </row>
    <row r="11" spans="2:9" x14ac:dyDescent="0.25">
      <c r="B11" s="4">
        <v>45100</v>
      </c>
      <c r="C11" s="5">
        <v>10000</v>
      </c>
      <c r="D11" s="5">
        <v>10000</v>
      </c>
      <c r="E11" s="5">
        <v>10000</v>
      </c>
      <c r="F11" s="5">
        <v>0</v>
      </c>
      <c r="G11" s="5">
        <v>0</v>
      </c>
      <c r="H11" s="5">
        <v>0</v>
      </c>
      <c r="I11">
        <f>SUM(Tabla1[[#This Row],[Presidente]:[Secretario2]])</f>
        <v>30000</v>
      </c>
    </row>
    <row r="12" spans="2:9" x14ac:dyDescent="0.25">
      <c r="B12" s="4">
        <v>45056</v>
      </c>
      <c r="C12" s="5">
        <v>10000</v>
      </c>
      <c r="D12" s="5">
        <v>10000</v>
      </c>
      <c r="E12" s="5">
        <v>10000</v>
      </c>
      <c r="F12" s="5">
        <v>0</v>
      </c>
      <c r="G12" s="5">
        <v>0</v>
      </c>
      <c r="H12" s="5">
        <v>0</v>
      </c>
    </row>
    <row r="13" spans="2:9" x14ac:dyDescent="0.25">
      <c r="B13" s="4">
        <v>45028</v>
      </c>
      <c r="C13" s="5">
        <v>10000</v>
      </c>
      <c r="D13" s="5">
        <v>10000</v>
      </c>
      <c r="E13" s="5">
        <v>10000</v>
      </c>
      <c r="F13" s="5">
        <v>20000</v>
      </c>
      <c r="G13" s="5">
        <v>20000</v>
      </c>
      <c r="H13" s="5">
        <v>20000</v>
      </c>
      <c r="I13" s="74"/>
    </row>
    <row r="14" spans="2:9" x14ac:dyDescent="0.25">
      <c r="B14" s="4">
        <v>44999</v>
      </c>
      <c r="C14" s="5">
        <v>10000</v>
      </c>
      <c r="D14" s="5">
        <v>10000</v>
      </c>
      <c r="E14" s="5">
        <v>10000</v>
      </c>
      <c r="F14" s="5">
        <v>0</v>
      </c>
      <c r="G14" s="5">
        <v>0</v>
      </c>
      <c r="H14" s="5">
        <v>0</v>
      </c>
    </row>
    <row r="15" spans="2:9" x14ac:dyDescent="0.25">
      <c r="B15" s="4">
        <v>44986</v>
      </c>
      <c r="C15" s="5">
        <v>10000</v>
      </c>
      <c r="D15" s="5">
        <v>10000</v>
      </c>
      <c r="E15" s="5">
        <v>10000</v>
      </c>
      <c r="F15" s="5">
        <v>0</v>
      </c>
      <c r="G15" s="5">
        <v>0</v>
      </c>
      <c r="H15" s="5">
        <v>0</v>
      </c>
    </row>
    <row r="16" spans="2:9" x14ac:dyDescent="0.25">
      <c r="B16" t="s">
        <v>10</v>
      </c>
      <c r="C16" s="3">
        <f>+SUBTOTAL(9,Tabla1[Presidente])</f>
        <v>120000</v>
      </c>
      <c r="D16" s="3">
        <f>+SUBTOTAL(9,Tabla1[Tesorera])</f>
        <v>120000</v>
      </c>
      <c r="E16" s="3">
        <f>+SUBTOTAL(9,Tabla1[Secretario])</f>
        <v>120000</v>
      </c>
      <c r="F16" s="3">
        <f>+SUBTOTAL(9,Tabla1[Presidente2])</f>
        <v>90000</v>
      </c>
      <c r="G16" s="3">
        <f>+SUBTOTAL(9,Tabla1[Tesorera2])</f>
        <v>45000</v>
      </c>
      <c r="H16" s="3">
        <f>+SUBTOTAL(9,Tabla1[Secretario2])</f>
        <v>90000</v>
      </c>
    </row>
  </sheetData>
  <mergeCells count="2">
    <mergeCell ref="D1:E1"/>
    <mergeCell ref="G1:H1"/>
  </mergeCells>
  <phoneticPr fontId="26" type="noConversion"/>
  <pageMargins left="0.70866141732283472" right="0.70866141732283472" top="0.74803149606299213" bottom="0.74803149606299213" header="0.31496062992125984" footer="0.31496062992125984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0">
    <tabColor rgb="FF0070C0"/>
    <pageSetUpPr fitToPage="1"/>
  </sheetPr>
  <dimension ref="B1:K47"/>
  <sheetViews>
    <sheetView showGridLines="0" workbookViewId="0">
      <selection activeCell="D20" sqref="D20"/>
    </sheetView>
  </sheetViews>
  <sheetFormatPr baseColWidth="10" defaultRowHeight="15" x14ac:dyDescent="0.25"/>
  <cols>
    <col min="1" max="1" width="4.7109375" customWidth="1"/>
    <col min="3" max="3" width="13.5703125" bestFit="1" customWidth="1"/>
    <col min="5" max="5" width="31" bestFit="1" customWidth="1"/>
    <col min="6" max="6" width="11.42578125" style="205"/>
  </cols>
  <sheetData>
    <row r="1" spans="2:11" ht="18.75" x14ac:dyDescent="0.3">
      <c r="B1" s="196" t="s">
        <v>17</v>
      </c>
      <c r="C1" s="196"/>
      <c r="D1" s="196"/>
      <c r="E1" s="196"/>
      <c r="F1" s="321"/>
      <c r="G1" s="196"/>
      <c r="H1" s="383">
        <f>+D47+G47+H47+I47</f>
        <v>1942648</v>
      </c>
      <c r="I1" s="383"/>
      <c r="K1" s="74"/>
    </row>
    <row r="2" spans="2:11" ht="15" customHeight="1" x14ac:dyDescent="0.25">
      <c r="B2" t="s">
        <v>0</v>
      </c>
      <c r="C2" t="s">
        <v>11</v>
      </c>
      <c r="D2" t="s">
        <v>12</v>
      </c>
      <c r="E2" t="s">
        <v>18</v>
      </c>
      <c r="F2" s="205" t="s">
        <v>80</v>
      </c>
      <c r="G2" t="s">
        <v>79</v>
      </c>
      <c r="H2" t="s">
        <v>7</v>
      </c>
      <c r="I2" t="s">
        <v>8</v>
      </c>
    </row>
    <row r="3" spans="2:11" ht="15" customHeight="1" x14ac:dyDescent="0.25">
      <c r="B3" s="2"/>
      <c r="C3" s="201"/>
      <c r="D3" s="3"/>
      <c r="E3" s="3"/>
      <c r="F3" s="320"/>
      <c r="G3" s="3"/>
      <c r="H3" s="3"/>
      <c r="I3" s="3"/>
    </row>
    <row r="4" spans="2:11" x14ac:dyDescent="0.25">
      <c r="B4" s="2">
        <v>45727</v>
      </c>
      <c r="C4" s="201">
        <v>8582</v>
      </c>
      <c r="D4" s="3">
        <v>5990</v>
      </c>
      <c r="E4" s="3" t="s">
        <v>213</v>
      </c>
      <c r="F4" s="320"/>
      <c r="G4" s="3"/>
      <c r="H4" s="3"/>
      <c r="I4" s="3"/>
    </row>
    <row r="5" spans="2:11" x14ac:dyDescent="0.25">
      <c r="B5" s="2">
        <v>45727</v>
      </c>
      <c r="C5" s="201">
        <v>1059713418</v>
      </c>
      <c r="D5" s="3">
        <v>1950</v>
      </c>
      <c r="E5" s="3" t="s">
        <v>212</v>
      </c>
      <c r="F5" s="320"/>
      <c r="G5" s="3"/>
      <c r="H5" s="3"/>
      <c r="I5" s="3"/>
    </row>
    <row r="6" spans="2:11" x14ac:dyDescent="0.25">
      <c r="B6" s="2">
        <v>45727</v>
      </c>
      <c r="C6" s="201">
        <v>2731603</v>
      </c>
      <c r="D6" s="3">
        <v>4860</v>
      </c>
      <c r="E6" s="3" t="s">
        <v>211</v>
      </c>
      <c r="F6" s="320"/>
      <c r="G6" s="3"/>
      <c r="H6" s="3"/>
      <c r="I6" s="3"/>
    </row>
    <row r="7" spans="2:11" x14ac:dyDescent="0.25">
      <c r="B7" s="2">
        <v>45636</v>
      </c>
      <c r="C7" s="201"/>
      <c r="D7" s="3"/>
      <c r="E7" s="3"/>
      <c r="F7" s="320">
        <v>75</v>
      </c>
      <c r="G7" s="3">
        <v>1500000</v>
      </c>
      <c r="H7" s="3">
        <v>0</v>
      </c>
      <c r="I7" s="3">
        <v>0</v>
      </c>
    </row>
    <row r="8" spans="2:11" x14ac:dyDescent="0.25">
      <c r="B8" s="2">
        <v>45636</v>
      </c>
      <c r="C8" s="201">
        <v>2712023</v>
      </c>
      <c r="D8" s="3">
        <v>2380</v>
      </c>
      <c r="E8" s="3" t="s">
        <v>116</v>
      </c>
      <c r="F8" s="320"/>
      <c r="G8" s="3"/>
      <c r="H8" s="3"/>
      <c r="I8" s="3"/>
    </row>
    <row r="9" spans="2:11" x14ac:dyDescent="0.25">
      <c r="B9" s="2">
        <v>45636</v>
      </c>
      <c r="C9" s="201">
        <v>1059637798</v>
      </c>
      <c r="D9" s="3">
        <v>39380</v>
      </c>
      <c r="E9" s="3" t="s">
        <v>210</v>
      </c>
      <c r="F9" s="320"/>
      <c r="G9" s="3"/>
      <c r="H9" s="3"/>
      <c r="I9" s="3"/>
    </row>
    <row r="10" spans="2:11" x14ac:dyDescent="0.25">
      <c r="B10" s="2">
        <v>45604</v>
      </c>
      <c r="C10" s="201">
        <v>69744218</v>
      </c>
      <c r="D10" s="3">
        <v>5790</v>
      </c>
      <c r="E10" s="3" t="s">
        <v>162</v>
      </c>
      <c r="F10" s="320"/>
      <c r="G10" s="3"/>
      <c r="H10" s="3"/>
      <c r="I10" s="3"/>
    </row>
    <row r="11" spans="2:11" x14ac:dyDescent="0.25">
      <c r="B11" s="2">
        <v>45578</v>
      </c>
      <c r="C11" s="201">
        <v>1059580058</v>
      </c>
      <c r="D11" s="3">
        <v>6150</v>
      </c>
      <c r="E11" s="3" t="s">
        <v>198</v>
      </c>
      <c r="F11" s="320"/>
      <c r="G11" s="3"/>
      <c r="H11" s="3"/>
      <c r="I11" s="3"/>
    </row>
    <row r="12" spans="2:11" x14ac:dyDescent="0.25">
      <c r="B12" s="2">
        <v>45578</v>
      </c>
      <c r="C12" s="201">
        <v>69739051</v>
      </c>
      <c r="D12" s="3">
        <v>2370</v>
      </c>
      <c r="E12" s="3" t="s">
        <v>209</v>
      </c>
      <c r="F12" s="320"/>
      <c r="G12" s="3"/>
      <c r="H12" s="3"/>
      <c r="I12" s="3"/>
    </row>
    <row r="13" spans="2:11" x14ac:dyDescent="0.25">
      <c r="B13" s="2">
        <v>45546</v>
      </c>
      <c r="C13" s="201">
        <v>1884260344</v>
      </c>
      <c r="D13" s="3">
        <v>6460</v>
      </c>
      <c r="E13" s="3" t="s">
        <v>207</v>
      </c>
      <c r="F13" s="320"/>
      <c r="G13" s="3"/>
      <c r="H13" s="3"/>
      <c r="I13" s="3"/>
    </row>
    <row r="14" spans="2:11" x14ac:dyDescent="0.25">
      <c r="B14" s="2">
        <v>45517</v>
      </c>
      <c r="C14" s="201">
        <v>3281830</v>
      </c>
      <c r="D14" s="3">
        <v>10480</v>
      </c>
      <c r="E14" s="3" t="s">
        <v>206</v>
      </c>
      <c r="F14" s="320"/>
      <c r="G14" s="3"/>
      <c r="H14" s="3"/>
      <c r="I14" s="3"/>
    </row>
    <row r="15" spans="2:11" x14ac:dyDescent="0.25">
      <c r="B15" s="2">
        <v>45517</v>
      </c>
      <c r="C15" s="201">
        <v>2070399813</v>
      </c>
      <c r="D15" s="3">
        <v>24580</v>
      </c>
      <c r="E15" s="3" t="s">
        <v>205</v>
      </c>
      <c r="F15" s="320"/>
      <c r="G15" s="3"/>
      <c r="H15" s="3"/>
      <c r="I15" s="3"/>
    </row>
    <row r="16" spans="2:11" x14ac:dyDescent="0.25">
      <c r="B16" s="2">
        <v>45517</v>
      </c>
      <c r="C16" s="201">
        <v>20156721</v>
      </c>
      <c r="D16" s="3">
        <v>7100</v>
      </c>
      <c r="E16" s="3" t="s">
        <v>208</v>
      </c>
      <c r="F16" s="320"/>
      <c r="G16" s="3"/>
      <c r="H16" s="3"/>
      <c r="I16" s="3"/>
    </row>
    <row r="17" spans="2:9" x14ac:dyDescent="0.25">
      <c r="B17" s="2">
        <v>45482</v>
      </c>
      <c r="C17" s="201">
        <v>6182</v>
      </c>
      <c r="D17" s="3">
        <v>23070</v>
      </c>
      <c r="E17" s="3" t="s">
        <v>127</v>
      </c>
      <c r="F17" s="320"/>
      <c r="G17" s="3"/>
      <c r="H17" s="3"/>
      <c r="I17" s="3"/>
    </row>
    <row r="18" spans="2:9" x14ac:dyDescent="0.25">
      <c r="B18" s="2">
        <v>45482</v>
      </c>
      <c r="C18" s="201">
        <v>3142990</v>
      </c>
      <c r="D18" s="3">
        <v>9840</v>
      </c>
      <c r="E18" s="3" t="s">
        <v>204</v>
      </c>
      <c r="F18" s="320"/>
      <c r="G18" s="3"/>
      <c r="H18" s="3"/>
      <c r="I18" s="3"/>
    </row>
    <row r="19" spans="2:9" x14ac:dyDescent="0.25">
      <c r="B19" s="2">
        <v>45482</v>
      </c>
      <c r="C19" s="201">
        <v>2660130</v>
      </c>
      <c r="D19" s="3">
        <v>4240</v>
      </c>
      <c r="E19" s="3" t="s">
        <v>204</v>
      </c>
      <c r="F19" s="320"/>
      <c r="G19" s="3"/>
      <c r="H19" s="3"/>
      <c r="I19" s="3"/>
    </row>
    <row r="20" spans="2:9" x14ac:dyDescent="0.25">
      <c r="B20" s="2">
        <v>45482</v>
      </c>
      <c r="C20" s="201">
        <v>59831111</v>
      </c>
      <c r="D20" s="3">
        <v>5110</v>
      </c>
      <c r="E20" s="3" t="s">
        <v>203</v>
      </c>
      <c r="F20" s="320"/>
      <c r="G20" s="3"/>
      <c r="H20" s="3"/>
      <c r="I20" s="3"/>
    </row>
    <row r="21" spans="2:9" x14ac:dyDescent="0.25">
      <c r="B21" s="2">
        <v>45475</v>
      </c>
      <c r="C21" s="201">
        <v>1317125</v>
      </c>
      <c r="D21" s="3">
        <v>3990</v>
      </c>
      <c r="E21" s="3" t="s">
        <v>202</v>
      </c>
      <c r="F21" s="320"/>
      <c r="G21" s="3"/>
      <c r="H21" s="3"/>
      <c r="I21" s="3"/>
    </row>
    <row r="22" spans="2:9" x14ac:dyDescent="0.25">
      <c r="B22" s="2">
        <v>45475</v>
      </c>
      <c r="C22" s="201">
        <v>406120072</v>
      </c>
      <c r="D22" s="3">
        <v>2600</v>
      </c>
      <c r="E22" s="3" t="s">
        <v>201</v>
      </c>
      <c r="F22" s="320"/>
      <c r="G22" s="3"/>
      <c r="H22" s="3"/>
      <c r="I22" s="3"/>
    </row>
    <row r="23" spans="2:9" x14ac:dyDescent="0.25">
      <c r="B23" s="2">
        <v>45475</v>
      </c>
      <c r="C23" s="201">
        <v>72086</v>
      </c>
      <c r="D23" s="3">
        <v>20000</v>
      </c>
      <c r="E23" s="3" t="s">
        <v>200</v>
      </c>
      <c r="F23" s="320"/>
      <c r="G23" s="3"/>
      <c r="H23" s="3"/>
      <c r="I23" s="3"/>
    </row>
    <row r="24" spans="2:9" x14ac:dyDescent="0.25">
      <c r="B24" s="2">
        <v>45475</v>
      </c>
      <c r="C24" s="201">
        <v>77077</v>
      </c>
      <c r="D24" s="3">
        <v>39800</v>
      </c>
      <c r="E24" s="3" t="s">
        <v>199</v>
      </c>
      <c r="F24" s="320"/>
      <c r="G24" s="3"/>
      <c r="H24" s="3"/>
      <c r="I24" s="3"/>
    </row>
    <row r="25" spans="2:9" x14ac:dyDescent="0.25">
      <c r="B25" s="2">
        <v>45441</v>
      </c>
      <c r="C25" s="201">
        <v>1024319600</v>
      </c>
      <c r="D25" s="3">
        <v>23510</v>
      </c>
      <c r="E25" s="3" t="s">
        <v>198</v>
      </c>
      <c r="F25" s="320"/>
      <c r="G25" s="3"/>
      <c r="H25" s="3"/>
      <c r="I25" s="3"/>
    </row>
    <row r="26" spans="2:9" x14ac:dyDescent="0.25">
      <c r="B26" s="2">
        <v>45441</v>
      </c>
      <c r="C26" s="201">
        <v>405090256</v>
      </c>
      <c r="D26" s="3">
        <v>2400</v>
      </c>
      <c r="E26" s="3" t="s">
        <v>197</v>
      </c>
      <c r="F26" s="320"/>
      <c r="G26" s="3"/>
      <c r="H26" s="3"/>
      <c r="I26" s="3"/>
    </row>
    <row r="27" spans="2:9" x14ac:dyDescent="0.25">
      <c r="B27" s="2">
        <v>45441</v>
      </c>
      <c r="C27" s="201">
        <v>115210</v>
      </c>
      <c r="D27" s="3">
        <v>68028</v>
      </c>
      <c r="E27" s="3" t="s">
        <v>196</v>
      </c>
      <c r="F27" s="320"/>
      <c r="G27" s="3"/>
      <c r="H27" s="3"/>
      <c r="I27" s="3"/>
    </row>
    <row r="28" spans="2:9" x14ac:dyDescent="0.25">
      <c r="B28" s="2">
        <v>45441</v>
      </c>
      <c r="C28" s="201">
        <v>488703</v>
      </c>
      <c r="D28" s="3">
        <v>5960</v>
      </c>
      <c r="E28" s="3" t="s">
        <v>195</v>
      </c>
      <c r="F28" s="320"/>
      <c r="G28" s="3"/>
      <c r="H28" s="3"/>
      <c r="I28" s="3"/>
    </row>
    <row r="29" spans="2:9" x14ac:dyDescent="0.25">
      <c r="B29" s="2">
        <v>45441</v>
      </c>
      <c r="C29" s="201">
        <v>1804892451</v>
      </c>
      <c r="D29" s="3">
        <v>8140</v>
      </c>
      <c r="E29" s="3" t="s">
        <v>194</v>
      </c>
      <c r="F29" s="320"/>
      <c r="G29" s="3"/>
      <c r="H29" s="3"/>
      <c r="I29" s="3"/>
    </row>
    <row r="30" spans="2:9" x14ac:dyDescent="0.25">
      <c r="B30" s="2">
        <v>45441</v>
      </c>
      <c r="C30" s="201">
        <v>45026</v>
      </c>
      <c r="D30" s="3">
        <v>10660</v>
      </c>
      <c r="E30" s="3" t="s">
        <v>193</v>
      </c>
      <c r="F30" s="320"/>
      <c r="G30" s="3"/>
      <c r="H30" s="3"/>
      <c r="I30" s="3"/>
    </row>
    <row r="31" spans="2:9" x14ac:dyDescent="0.25">
      <c r="B31" s="2">
        <v>45392</v>
      </c>
      <c r="C31" s="201">
        <v>1009654743</v>
      </c>
      <c r="D31" s="3">
        <v>3970</v>
      </c>
      <c r="E31" s="3" t="s">
        <v>190</v>
      </c>
      <c r="F31" s="320"/>
      <c r="G31" s="3"/>
      <c r="H31" s="3"/>
      <c r="I31" s="3"/>
    </row>
    <row r="32" spans="2:9" x14ac:dyDescent="0.25">
      <c r="B32" s="2">
        <v>45392</v>
      </c>
      <c r="C32" s="201">
        <v>1291997</v>
      </c>
      <c r="D32" s="3">
        <v>4030</v>
      </c>
      <c r="E32" s="3" t="s">
        <v>189</v>
      </c>
      <c r="F32" s="320"/>
      <c r="G32" s="3"/>
      <c r="H32" s="3"/>
      <c r="I32" s="3"/>
    </row>
    <row r="33" spans="2:9" x14ac:dyDescent="0.25">
      <c r="B33" s="2">
        <v>45392</v>
      </c>
      <c r="C33" s="201">
        <v>3233473</v>
      </c>
      <c r="D33" s="3">
        <v>6180</v>
      </c>
      <c r="E33" s="3" t="s">
        <v>188</v>
      </c>
      <c r="F33" s="320"/>
      <c r="G33" s="3"/>
      <c r="H33" s="3"/>
      <c r="I33" s="3"/>
    </row>
    <row r="34" spans="2:9" x14ac:dyDescent="0.25">
      <c r="B34" s="2">
        <v>45392</v>
      </c>
      <c r="C34" s="201">
        <v>4770</v>
      </c>
      <c r="D34" s="3">
        <v>6990</v>
      </c>
      <c r="E34" s="3" t="s">
        <v>187</v>
      </c>
      <c r="F34" s="320"/>
      <c r="G34" s="3"/>
      <c r="H34" s="3"/>
      <c r="I34" s="3"/>
    </row>
    <row r="35" spans="2:9" x14ac:dyDescent="0.25">
      <c r="B35" s="2">
        <v>45392</v>
      </c>
      <c r="C35" s="201">
        <v>20189364</v>
      </c>
      <c r="D35" s="3">
        <v>13400</v>
      </c>
      <c r="E35" s="3" t="s">
        <v>186</v>
      </c>
      <c r="F35" s="320"/>
      <c r="G35" s="3"/>
      <c r="H35" s="3"/>
      <c r="I35" s="3"/>
    </row>
    <row r="36" spans="2:9" x14ac:dyDescent="0.25">
      <c r="B36" s="2">
        <v>45392</v>
      </c>
      <c r="C36" s="201">
        <v>1788584095</v>
      </c>
      <c r="D36" s="3">
        <v>7660</v>
      </c>
      <c r="E36" s="3" t="s">
        <v>185</v>
      </c>
      <c r="F36" s="320"/>
      <c r="G36" s="3"/>
      <c r="H36" s="3"/>
      <c r="I36" s="3"/>
    </row>
    <row r="37" spans="2:9" x14ac:dyDescent="0.25">
      <c r="B37" s="2">
        <v>45392</v>
      </c>
      <c r="C37" s="201">
        <v>1127765</v>
      </c>
      <c r="D37" s="3">
        <v>10900</v>
      </c>
      <c r="E37" s="3" t="s">
        <v>184</v>
      </c>
      <c r="F37" s="320"/>
      <c r="G37" s="3"/>
      <c r="H37" s="3"/>
      <c r="I37" s="3"/>
    </row>
    <row r="38" spans="2:9" x14ac:dyDescent="0.25">
      <c r="B38" s="2">
        <v>45392</v>
      </c>
      <c r="C38" s="201">
        <v>2070245090</v>
      </c>
      <c r="D38" s="3">
        <v>14380</v>
      </c>
      <c r="E38" s="3" t="s">
        <v>183</v>
      </c>
      <c r="F38" s="320"/>
      <c r="G38" s="3"/>
      <c r="H38" s="3"/>
      <c r="I38" s="3"/>
    </row>
    <row r="39" spans="2:9" x14ac:dyDescent="0.25">
      <c r="B39" s="2">
        <v>45392</v>
      </c>
      <c r="C39" s="201">
        <v>595051</v>
      </c>
      <c r="D39" s="3">
        <v>4790</v>
      </c>
      <c r="E39" s="3" t="s">
        <v>182</v>
      </c>
      <c r="F39" s="320"/>
      <c r="G39" s="3"/>
      <c r="H39" s="3"/>
      <c r="I39" s="3"/>
    </row>
    <row r="40" spans="2:9" x14ac:dyDescent="0.25">
      <c r="B40" s="2">
        <v>45364</v>
      </c>
      <c r="C40" s="201">
        <v>41010</v>
      </c>
      <c r="D40" s="3">
        <v>4100</v>
      </c>
      <c r="E40" s="3" t="s">
        <v>66</v>
      </c>
      <c r="F40" s="320"/>
      <c r="G40" s="3"/>
      <c r="H40" s="3"/>
      <c r="I40" s="3"/>
    </row>
    <row r="41" spans="2:9" x14ac:dyDescent="0.25">
      <c r="B41" s="2">
        <v>45364</v>
      </c>
      <c r="C41" s="201">
        <v>2693412488</v>
      </c>
      <c r="D41" s="3">
        <v>8840</v>
      </c>
      <c r="E41" s="3" t="s">
        <v>180</v>
      </c>
      <c r="F41" s="320"/>
      <c r="G41" s="3"/>
      <c r="H41" s="3"/>
      <c r="I41" s="3"/>
    </row>
    <row r="42" spans="2:9" x14ac:dyDescent="0.25">
      <c r="B42" s="2">
        <v>45330</v>
      </c>
      <c r="C42" s="201">
        <v>1025371</v>
      </c>
      <c r="D42" s="3">
        <v>1170</v>
      </c>
      <c r="E42" s="3" t="s">
        <v>116</v>
      </c>
      <c r="F42" s="320"/>
      <c r="G42" s="3"/>
      <c r="H42" s="3"/>
      <c r="I42" s="3"/>
    </row>
    <row r="43" spans="2:9" x14ac:dyDescent="0.25">
      <c r="B43" s="2">
        <v>45330</v>
      </c>
      <c r="C43" s="201">
        <v>1025138</v>
      </c>
      <c r="D43" s="3">
        <v>1240</v>
      </c>
      <c r="E43" s="3" t="s">
        <v>116</v>
      </c>
      <c r="F43" s="320"/>
      <c r="G43" s="3"/>
      <c r="H43" s="3"/>
      <c r="I43" s="3"/>
    </row>
    <row r="44" spans="2:9" x14ac:dyDescent="0.25">
      <c r="B44" s="2">
        <v>45330</v>
      </c>
      <c r="C44" s="201">
        <v>34567</v>
      </c>
      <c r="D44" s="3">
        <v>6000</v>
      </c>
      <c r="E44" s="3" t="s">
        <v>179</v>
      </c>
      <c r="F44" s="320"/>
      <c r="G44" s="3"/>
      <c r="H44" s="3"/>
      <c r="I44" s="3"/>
    </row>
    <row r="45" spans="2:9" x14ac:dyDescent="0.25">
      <c r="B45" s="2">
        <v>45330</v>
      </c>
      <c r="C45" s="201">
        <v>2594997</v>
      </c>
      <c r="D45" s="3">
        <v>2180</v>
      </c>
      <c r="E45" s="3" t="s">
        <v>116</v>
      </c>
      <c r="F45" s="320"/>
      <c r="G45" s="3"/>
      <c r="H45" s="3"/>
      <c r="I45" s="3"/>
    </row>
    <row r="46" spans="2:9" x14ac:dyDescent="0.25">
      <c r="B46" s="2">
        <v>45330</v>
      </c>
      <c r="C46" s="201">
        <v>2620681950</v>
      </c>
      <c r="D46" s="3">
        <v>1980</v>
      </c>
      <c r="E46" s="3" t="s">
        <v>120</v>
      </c>
      <c r="F46" s="320"/>
      <c r="G46" s="3"/>
      <c r="H46" s="3"/>
      <c r="I46" s="3"/>
    </row>
    <row r="47" spans="2:9" x14ac:dyDescent="0.25">
      <c r="B47" t="s">
        <v>15</v>
      </c>
      <c r="C47" s="202"/>
      <c r="D47" s="3">
        <f>+SUBTOTAL(9,Tabla47[Monto])</f>
        <v>442648</v>
      </c>
      <c r="E47">
        <f>+SUBTOTAL(9,Tabla47[Motivo])</f>
        <v>0</v>
      </c>
      <c r="F47" s="205">
        <f>+SUBTOTAL(9,Tabla47[N° Socios])</f>
        <v>75</v>
      </c>
      <c r="G47" s="3">
        <f>+SUBTOTAL(9,Tabla47[Gift Card])</f>
        <v>1500000</v>
      </c>
      <c r="H47" s="3">
        <f>+SUBTOTAL(9,Tabla47[Devoluciones])</f>
        <v>0</v>
      </c>
      <c r="I47" s="3">
        <f>+SUBTOTAL(9,Tabla47[Vocales])</f>
        <v>0</v>
      </c>
    </row>
  </sheetData>
  <mergeCells count="1">
    <mergeCell ref="H1:I1"/>
  </mergeCells>
  <pageMargins left="0.70866141732283472" right="0.70866141732283472" top="0.74803149606299213" bottom="0.74803149606299213" header="0.31496062992125984" footer="0.31496062992125984"/>
  <pageSetup scale="78" fitToHeight="2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rgb="FF0070C0"/>
    <pageSetUpPr fitToPage="1"/>
  </sheetPr>
  <dimension ref="B1:K58"/>
  <sheetViews>
    <sheetView showGridLines="0" workbookViewId="0">
      <selection activeCell="H1" sqref="H1:I1"/>
    </sheetView>
  </sheetViews>
  <sheetFormatPr baseColWidth="10" defaultRowHeight="15" x14ac:dyDescent="0.25"/>
  <cols>
    <col min="1" max="1" width="4.7109375" customWidth="1"/>
    <col min="3" max="3" width="13.5703125" bestFit="1" customWidth="1"/>
    <col min="5" max="5" width="31" bestFit="1" customWidth="1"/>
    <col min="6" max="6" width="11.42578125" style="205"/>
  </cols>
  <sheetData>
    <row r="1" spans="2:11" ht="18.75" x14ac:dyDescent="0.3">
      <c r="B1" s="196" t="s">
        <v>17</v>
      </c>
      <c r="C1" s="196"/>
      <c r="D1" s="196"/>
      <c r="E1" s="196"/>
      <c r="F1" s="321"/>
      <c r="G1" s="196"/>
      <c r="H1" s="383">
        <f>+D58+G58+H58+I58</f>
        <v>2027661</v>
      </c>
      <c r="I1" s="383"/>
      <c r="J1" s="74"/>
      <c r="K1" s="74"/>
    </row>
    <row r="2" spans="2:11" ht="15" customHeight="1" x14ac:dyDescent="0.25">
      <c r="B2" t="s">
        <v>0</v>
      </c>
      <c r="C2" t="s">
        <v>11</v>
      </c>
      <c r="D2" t="s">
        <v>12</v>
      </c>
      <c r="E2" t="s">
        <v>18</v>
      </c>
      <c r="F2" s="205" t="s">
        <v>80</v>
      </c>
      <c r="G2" t="s">
        <v>79</v>
      </c>
      <c r="H2" t="s">
        <v>7</v>
      </c>
      <c r="I2" t="s">
        <v>8</v>
      </c>
    </row>
    <row r="3" spans="2:11" x14ac:dyDescent="0.25">
      <c r="B3" s="2"/>
      <c r="C3" s="201"/>
      <c r="D3" s="3"/>
      <c r="E3" s="3"/>
      <c r="F3" s="320"/>
      <c r="G3" s="3"/>
      <c r="H3" s="3"/>
      <c r="I3" s="3"/>
    </row>
    <row r="4" spans="2:11" x14ac:dyDescent="0.25">
      <c r="B4" s="2">
        <v>45272</v>
      </c>
      <c r="C4" s="201">
        <v>2599269193</v>
      </c>
      <c r="D4" s="3">
        <v>1580</v>
      </c>
      <c r="E4" s="3" t="s">
        <v>117</v>
      </c>
      <c r="F4" s="320"/>
      <c r="G4" s="3"/>
      <c r="H4" s="3"/>
      <c r="I4" s="3"/>
    </row>
    <row r="5" spans="2:11" x14ac:dyDescent="0.25">
      <c r="B5" s="2">
        <v>45272</v>
      </c>
      <c r="C5" s="201">
        <v>2586857731</v>
      </c>
      <c r="D5" s="3">
        <v>1480</v>
      </c>
      <c r="E5" s="3" t="s">
        <v>117</v>
      </c>
      <c r="F5" s="320"/>
      <c r="G5" s="3"/>
      <c r="H5" s="3"/>
      <c r="I5" s="3"/>
    </row>
    <row r="6" spans="2:11" x14ac:dyDescent="0.25">
      <c r="B6" s="2">
        <v>45272</v>
      </c>
      <c r="C6" s="201"/>
      <c r="D6" s="3"/>
      <c r="E6" s="3" t="s">
        <v>178</v>
      </c>
      <c r="F6" s="320">
        <v>74</v>
      </c>
      <c r="G6" s="3">
        <v>1480000</v>
      </c>
      <c r="H6" s="3">
        <v>0</v>
      </c>
      <c r="I6" s="3">
        <v>0</v>
      </c>
    </row>
    <row r="7" spans="2:11" x14ac:dyDescent="0.25">
      <c r="B7" s="2">
        <v>45272</v>
      </c>
      <c r="C7" s="201">
        <v>51789</v>
      </c>
      <c r="D7" s="3">
        <v>2390</v>
      </c>
      <c r="E7" s="3" t="s">
        <v>177</v>
      </c>
      <c r="F7" s="320"/>
      <c r="G7" s="3"/>
      <c r="H7" s="3"/>
      <c r="I7" s="3"/>
    </row>
    <row r="8" spans="2:11" x14ac:dyDescent="0.25">
      <c r="B8" s="2">
        <v>45272</v>
      </c>
      <c r="C8" s="201">
        <v>114408</v>
      </c>
      <c r="D8" s="3">
        <v>2700</v>
      </c>
      <c r="E8" s="3" t="s">
        <v>176</v>
      </c>
      <c r="F8" s="320"/>
      <c r="G8" s="3"/>
      <c r="H8" s="3"/>
      <c r="I8" s="3"/>
    </row>
    <row r="9" spans="2:11" x14ac:dyDescent="0.25">
      <c r="B9" s="2">
        <v>45239</v>
      </c>
      <c r="C9" s="201" t="s">
        <v>161</v>
      </c>
      <c r="D9" s="3">
        <v>5000</v>
      </c>
      <c r="E9" s="3" t="s">
        <v>162</v>
      </c>
      <c r="F9" s="320"/>
      <c r="G9" s="3"/>
      <c r="H9" s="3"/>
      <c r="I9" s="3"/>
    </row>
    <row r="10" spans="2:11" x14ac:dyDescent="0.25">
      <c r="B10" s="2">
        <v>45239</v>
      </c>
      <c r="C10" s="201">
        <v>1088719</v>
      </c>
      <c r="D10" s="3">
        <v>31900</v>
      </c>
      <c r="E10" s="3" t="s">
        <v>160</v>
      </c>
      <c r="F10" s="320"/>
      <c r="G10" s="3"/>
      <c r="H10" s="3"/>
      <c r="I10" s="3"/>
    </row>
    <row r="11" spans="2:11" x14ac:dyDescent="0.25">
      <c r="B11" s="2">
        <v>45239</v>
      </c>
      <c r="C11" s="201">
        <v>2592744142</v>
      </c>
      <c r="D11" s="3">
        <v>7710</v>
      </c>
      <c r="E11" s="3" t="s">
        <v>159</v>
      </c>
      <c r="F11" s="320"/>
      <c r="G11" s="3"/>
      <c r="H11" s="3"/>
      <c r="I11" s="3"/>
    </row>
    <row r="12" spans="2:11" x14ac:dyDescent="0.25">
      <c r="B12" s="2">
        <v>45215</v>
      </c>
      <c r="C12" s="201">
        <v>807251</v>
      </c>
      <c r="D12" s="3">
        <v>15000</v>
      </c>
      <c r="E12" s="3" t="s">
        <v>158</v>
      </c>
      <c r="F12" s="320"/>
      <c r="G12" s="3"/>
      <c r="H12" s="3"/>
      <c r="I12" s="3"/>
    </row>
    <row r="13" spans="2:11" x14ac:dyDescent="0.25">
      <c r="B13" s="2">
        <v>45177</v>
      </c>
      <c r="C13" s="201">
        <v>140975</v>
      </c>
      <c r="D13" s="3">
        <v>4800</v>
      </c>
      <c r="E13" s="3" t="s">
        <v>155</v>
      </c>
      <c r="F13" s="320"/>
      <c r="G13" s="3"/>
      <c r="H13" s="3"/>
      <c r="I13" s="3"/>
    </row>
    <row r="14" spans="2:11" x14ac:dyDescent="0.25">
      <c r="B14" s="2">
        <v>45177</v>
      </c>
      <c r="C14" s="201">
        <v>130631</v>
      </c>
      <c r="D14" s="3">
        <v>8870</v>
      </c>
      <c r="E14" s="3" t="s">
        <v>154</v>
      </c>
      <c r="F14" s="320"/>
      <c r="G14" s="3"/>
      <c r="H14" s="3"/>
      <c r="I14" s="3"/>
    </row>
    <row r="15" spans="2:11" x14ac:dyDescent="0.25">
      <c r="B15" s="2">
        <v>45177</v>
      </c>
      <c r="C15" s="201">
        <v>8329</v>
      </c>
      <c r="D15" s="3">
        <v>9800</v>
      </c>
      <c r="E15" s="3" t="s">
        <v>153</v>
      </c>
      <c r="F15" s="320"/>
      <c r="G15" s="3"/>
      <c r="H15" s="3"/>
      <c r="I15" s="3"/>
    </row>
    <row r="16" spans="2:11" x14ac:dyDescent="0.25">
      <c r="B16" s="2">
        <v>45177</v>
      </c>
      <c r="C16" s="201">
        <v>48037220</v>
      </c>
      <c r="D16" s="3">
        <v>5923</v>
      </c>
      <c r="E16" s="3" t="s">
        <v>152</v>
      </c>
      <c r="F16" s="320"/>
      <c r="G16" s="3"/>
      <c r="H16" s="3"/>
      <c r="I16" s="3"/>
    </row>
    <row r="17" spans="2:9" x14ac:dyDescent="0.25">
      <c r="B17" s="2">
        <v>45177</v>
      </c>
      <c r="C17" s="201">
        <v>2836764</v>
      </c>
      <c r="D17" s="3">
        <v>10770</v>
      </c>
      <c r="E17" s="3" t="s">
        <v>151</v>
      </c>
      <c r="F17" s="320"/>
      <c r="G17" s="3"/>
      <c r="H17" s="3"/>
      <c r="I17" s="3"/>
    </row>
    <row r="18" spans="2:9" x14ac:dyDescent="0.25">
      <c r="B18" s="2">
        <v>45177</v>
      </c>
      <c r="C18" s="201">
        <v>107998</v>
      </c>
      <c r="D18" s="3">
        <v>26373</v>
      </c>
      <c r="E18" s="3" t="s">
        <v>150</v>
      </c>
      <c r="F18" s="320"/>
      <c r="G18" s="3"/>
      <c r="H18" s="3"/>
      <c r="I18" s="3"/>
    </row>
    <row r="19" spans="2:9" x14ac:dyDescent="0.25">
      <c r="B19" s="2">
        <v>45177</v>
      </c>
      <c r="C19" s="201">
        <v>2527953986</v>
      </c>
      <c r="D19" s="3">
        <v>1390</v>
      </c>
      <c r="E19" s="3" t="s">
        <v>144</v>
      </c>
      <c r="F19" s="320"/>
      <c r="G19" s="3"/>
      <c r="H19" s="3"/>
      <c r="I19" s="3"/>
    </row>
    <row r="20" spans="2:9" x14ac:dyDescent="0.25">
      <c r="B20" s="2">
        <v>45177</v>
      </c>
      <c r="C20" s="201">
        <v>2524621532</v>
      </c>
      <c r="D20" s="3">
        <v>1980</v>
      </c>
      <c r="E20" s="3" t="s">
        <v>149</v>
      </c>
      <c r="F20" s="320"/>
      <c r="G20" s="3"/>
      <c r="H20" s="3"/>
      <c r="I20" s="3"/>
    </row>
    <row r="21" spans="2:9" x14ac:dyDescent="0.25">
      <c r="B21" s="2">
        <v>45177</v>
      </c>
      <c r="C21" s="201">
        <v>2834690</v>
      </c>
      <c r="D21" s="3">
        <v>11480</v>
      </c>
      <c r="E21" s="3" t="s">
        <v>148</v>
      </c>
      <c r="F21" s="320"/>
      <c r="G21" s="3"/>
      <c r="H21" s="3"/>
      <c r="I21" s="3"/>
    </row>
    <row r="22" spans="2:9" x14ac:dyDescent="0.25">
      <c r="B22" s="2">
        <v>45177</v>
      </c>
      <c r="C22" s="201">
        <v>2537694</v>
      </c>
      <c r="D22" s="3">
        <v>3570</v>
      </c>
      <c r="E22" s="3" t="s">
        <v>147</v>
      </c>
      <c r="F22" s="320"/>
      <c r="G22" s="3"/>
      <c r="H22" s="3"/>
      <c r="I22" s="3"/>
    </row>
    <row r="23" spans="2:9" x14ac:dyDescent="0.25">
      <c r="B23" s="2">
        <v>45177</v>
      </c>
      <c r="C23" s="201">
        <v>1113904</v>
      </c>
      <c r="D23" s="3">
        <v>1950</v>
      </c>
      <c r="E23" s="3" t="s">
        <v>146</v>
      </c>
      <c r="F23" s="320"/>
      <c r="G23" s="3"/>
      <c r="H23" s="3"/>
      <c r="I23" s="3"/>
    </row>
    <row r="24" spans="2:9" x14ac:dyDescent="0.25">
      <c r="B24" s="2">
        <v>45177</v>
      </c>
      <c r="C24" s="201">
        <v>2835198</v>
      </c>
      <c r="D24" s="3">
        <v>5490</v>
      </c>
      <c r="E24" s="3" t="s">
        <v>145</v>
      </c>
      <c r="F24" s="320"/>
      <c r="G24" s="3"/>
      <c r="H24" s="3"/>
      <c r="I24" s="3"/>
    </row>
    <row r="25" spans="2:9" x14ac:dyDescent="0.25">
      <c r="B25" s="2">
        <v>45177</v>
      </c>
      <c r="C25" s="201">
        <v>2536557069</v>
      </c>
      <c r="D25" s="3">
        <v>1980</v>
      </c>
      <c r="E25" s="3" t="s">
        <v>144</v>
      </c>
      <c r="F25" s="320"/>
      <c r="G25" s="3"/>
      <c r="H25" s="3"/>
      <c r="I25" s="3"/>
    </row>
    <row r="26" spans="2:9" x14ac:dyDescent="0.25">
      <c r="B26" s="2">
        <v>45177</v>
      </c>
      <c r="C26" s="201">
        <v>9921253655</v>
      </c>
      <c r="D26" s="3">
        <v>2980</v>
      </c>
      <c r="E26" s="3" t="s">
        <v>144</v>
      </c>
      <c r="F26" s="320"/>
      <c r="G26" s="3"/>
      <c r="H26" s="3"/>
      <c r="I26" s="3"/>
    </row>
    <row r="27" spans="2:9" x14ac:dyDescent="0.25">
      <c r="B27" s="2">
        <v>45146</v>
      </c>
      <c r="C27" s="201" t="s">
        <v>142</v>
      </c>
      <c r="D27" s="3">
        <v>15000</v>
      </c>
      <c r="E27" s="3" t="s">
        <v>143</v>
      </c>
      <c r="F27" s="320"/>
      <c r="G27" s="3"/>
      <c r="H27" s="3"/>
      <c r="I27" s="3"/>
    </row>
    <row r="28" spans="2:9" x14ac:dyDescent="0.25">
      <c r="B28" s="2">
        <v>45146</v>
      </c>
      <c r="C28" s="201">
        <v>2520940663</v>
      </c>
      <c r="D28" s="3">
        <v>6380</v>
      </c>
      <c r="E28" s="3" t="s">
        <v>141</v>
      </c>
      <c r="F28" s="320"/>
      <c r="G28" s="3"/>
      <c r="H28" s="3"/>
      <c r="I28" s="3"/>
    </row>
    <row r="29" spans="2:9" x14ac:dyDescent="0.25">
      <c r="B29" s="2">
        <v>45146</v>
      </c>
      <c r="C29" s="201">
        <v>663500</v>
      </c>
      <c r="D29" s="3">
        <v>2890</v>
      </c>
      <c r="E29" s="3" t="s">
        <v>140</v>
      </c>
      <c r="F29" s="320"/>
      <c r="G29" s="3"/>
      <c r="H29" s="3"/>
      <c r="I29" s="3"/>
    </row>
    <row r="30" spans="2:9" x14ac:dyDescent="0.25">
      <c r="B30" s="2">
        <v>45124</v>
      </c>
      <c r="C30" s="201">
        <v>955151030</v>
      </c>
      <c r="D30" s="3">
        <v>5260</v>
      </c>
      <c r="E30" s="3" t="s">
        <v>115</v>
      </c>
      <c r="F30" s="320"/>
      <c r="G30" s="3"/>
      <c r="H30" s="3"/>
      <c r="I30" s="3"/>
    </row>
    <row r="31" spans="2:9" x14ac:dyDescent="0.25">
      <c r="B31" s="2">
        <v>45124</v>
      </c>
      <c r="C31" s="201">
        <v>2524958</v>
      </c>
      <c r="D31" s="3">
        <v>2770</v>
      </c>
      <c r="E31" s="3" t="s">
        <v>66</v>
      </c>
      <c r="F31" s="320"/>
      <c r="G31" s="3"/>
      <c r="H31" s="3"/>
      <c r="I31" s="3"/>
    </row>
    <row r="32" spans="2:9" x14ac:dyDescent="0.25">
      <c r="B32" s="2">
        <v>45100</v>
      </c>
      <c r="C32" s="201">
        <v>120072</v>
      </c>
      <c r="D32" s="3">
        <v>1590</v>
      </c>
      <c r="E32" s="3" t="s">
        <v>139</v>
      </c>
      <c r="F32" s="320"/>
      <c r="G32" s="3"/>
      <c r="H32" s="3"/>
      <c r="I32" s="3"/>
    </row>
    <row r="33" spans="2:9" x14ac:dyDescent="0.25">
      <c r="B33" s="2">
        <v>45100</v>
      </c>
      <c r="C33" s="201">
        <v>2482954973</v>
      </c>
      <c r="D33" s="3">
        <v>6940</v>
      </c>
      <c r="E33" s="3" t="s">
        <v>138</v>
      </c>
      <c r="F33" s="320"/>
      <c r="G33" s="3"/>
      <c r="H33" s="3"/>
      <c r="I33" s="3"/>
    </row>
    <row r="34" spans="2:9" x14ac:dyDescent="0.25">
      <c r="B34" s="2">
        <v>45100</v>
      </c>
      <c r="C34" s="201">
        <v>63823</v>
      </c>
      <c r="D34" s="3">
        <f>1800+500</f>
        <v>2300</v>
      </c>
      <c r="E34" s="3" t="s">
        <v>137</v>
      </c>
      <c r="F34" s="320"/>
      <c r="G34" s="3"/>
      <c r="H34" s="3"/>
      <c r="I34" s="3"/>
    </row>
    <row r="35" spans="2:9" x14ac:dyDescent="0.25">
      <c r="B35" s="2">
        <v>45100</v>
      </c>
      <c r="C35" s="201">
        <v>2476629299</v>
      </c>
      <c r="D35" s="3">
        <v>11952</v>
      </c>
      <c r="E35" s="3" t="s">
        <v>136</v>
      </c>
      <c r="F35" s="320"/>
      <c r="G35" s="3"/>
      <c r="H35" s="3"/>
      <c r="I35" s="3"/>
    </row>
    <row r="36" spans="2:9" x14ac:dyDescent="0.25">
      <c r="B36" s="2">
        <v>45100</v>
      </c>
      <c r="C36" s="201">
        <v>1622683667</v>
      </c>
      <c r="D36" s="3">
        <v>11990</v>
      </c>
      <c r="E36" s="3" t="s">
        <v>135</v>
      </c>
      <c r="F36" s="320"/>
      <c r="G36" s="3"/>
      <c r="H36" s="3"/>
      <c r="I36" s="3"/>
    </row>
    <row r="37" spans="2:9" x14ac:dyDescent="0.25">
      <c r="B37" s="2">
        <v>45100</v>
      </c>
      <c r="C37" s="201">
        <v>41010</v>
      </c>
      <c r="D37" s="3">
        <v>14990</v>
      </c>
      <c r="E37" s="3" t="s">
        <v>134</v>
      </c>
      <c r="F37" s="320"/>
      <c r="G37" s="3"/>
      <c r="H37" s="3"/>
      <c r="I37" s="3"/>
    </row>
    <row r="38" spans="2:9" x14ac:dyDescent="0.25">
      <c r="B38" s="2">
        <v>45100</v>
      </c>
      <c r="C38" s="201">
        <v>2468887703</v>
      </c>
      <c r="D38" s="3">
        <v>2405</v>
      </c>
      <c r="E38" s="3" t="s">
        <v>133</v>
      </c>
      <c r="F38" s="320"/>
      <c r="G38" s="3"/>
      <c r="H38" s="3"/>
      <c r="I38" s="3"/>
    </row>
    <row r="39" spans="2:9" x14ac:dyDescent="0.25">
      <c r="B39" s="2">
        <v>45100</v>
      </c>
      <c r="C39" s="201">
        <v>2482954774</v>
      </c>
      <c r="D39" s="3">
        <v>11952</v>
      </c>
      <c r="E39" s="3" t="s">
        <v>132</v>
      </c>
      <c r="F39" s="320"/>
      <c r="G39" s="3"/>
      <c r="H39" s="3"/>
      <c r="I39" s="3"/>
    </row>
    <row r="40" spans="2:9" x14ac:dyDescent="0.25">
      <c r="B40" s="2">
        <v>45100</v>
      </c>
      <c r="C40" s="201">
        <v>126556</v>
      </c>
      <c r="D40" s="3">
        <v>39800</v>
      </c>
      <c r="E40" s="3" t="s">
        <v>131</v>
      </c>
      <c r="F40" s="320"/>
      <c r="G40" s="3"/>
      <c r="H40" s="3"/>
      <c r="I40" s="3"/>
    </row>
    <row r="41" spans="2:9" x14ac:dyDescent="0.25">
      <c r="B41" s="2">
        <v>45100</v>
      </c>
      <c r="C41" s="201">
        <v>2809726</v>
      </c>
      <c r="D41" s="3">
        <v>5990</v>
      </c>
      <c r="E41" s="3" t="s">
        <v>130</v>
      </c>
      <c r="F41" s="320"/>
      <c r="G41" s="3"/>
      <c r="H41" s="3"/>
      <c r="I41" s="3"/>
    </row>
    <row r="42" spans="2:9" x14ac:dyDescent="0.25">
      <c r="B42" s="2">
        <v>45100</v>
      </c>
      <c r="C42" s="201">
        <v>69656378</v>
      </c>
      <c r="D42" s="3">
        <v>24850</v>
      </c>
      <c r="E42" s="3" t="s">
        <v>129</v>
      </c>
      <c r="F42" s="320"/>
      <c r="G42" s="3"/>
      <c r="H42" s="3"/>
      <c r="I42" s="3"/>
    </row>
    <row r="43" spans="2:9" x14ac:dyDescent="0.25">
      <c r="B43" s="2">
        <v>45100</v>
      </c>
      <c r="C43" s="201">
        <v>2465396954</v>
      </c>
      <c r="D43" s="3">
        <v>1980</v>
      </c>
      <c r="E43" s="3" t="s">
        <v>128</v>
      </c>
      <c r="F43" s="320"/>
      <c r="G43" s="3"/>
      <c r="H43" s="3"/>
      <c r="I43" s="3"/>
    </row>
    <row r="44" spans="2:9" x14ac:dyDescent="0.25">
      <c r="B44" s="2">
        <v>45056</v>
      </c>
      <c r="C44" s="201">
        <v>20041511</v>
      </c>
      <c r="D44" s="3">
        <v>17270</v>
      </c>
      <c r="E44" s="3" t="s">
        <v>127</v>
      </c>
      <c r="F44" s="320"/>
      <c r="G44" s="3"/>
      <c r="H44" s="3"/>
      <c r="I44" s="3"/>
    </row>
    <row r="45" spans="2:9" x14ac:dyDescent="0.25">
      <c r="B45" s="2">
        <v>45056</v>
      </c>
      <c r="C45" s="201">
        <v>2509356</v>
      </c>
      <c r="D45" s="3">
        <v>2380</v>
      </c>
      <c r="E45" s="3" t="s">
        <v>126</v>
      </c>
      <c r="F45" s="320"/>
      <c r="G45" s="3"/>
      <c r="H45" s="3"/>
      <c r="I45" s="3"/>
    </row>
    <row r="46" spans="2:9" x14ac:dyDescent="0.25">
      <c r="B46" s="2">
        <v>45056</v>
      </c>
      <c r="C46" s="201">
        <v>117101</v>
      </c>
      <c r="D46" s="3">
        <v>120000</v>
      </c>
      <c r="E46" s="3" t="s">
        <v>125</v>
      </c>
      <c r="F46" s="320"/>
      <c r="G46" s="3"/>
      <c r="H46" s="3"/>
      <c r="I46" s="3"/>
    </row>
    <row r="47" spans="2:9" x14ac:dyDescent="0.25">
      <c r="B47" s="2">
        <v>45056</v>
      </c>
      <c r="C47" s="201">
        <v>41213499</v>
      </c>
      <c r="D47" s="3">
        <v>2190</v>
      </c>
      <c r="E47" s="3" t="s">
        <v>124</v>
      </c>
      <c r="F47" s="320"/>
      <c r="G47" s="3"/>
      <c r="H47" s="3"/>
      <c r="I47" s="3"/>
    </row>
    <row r="48" spans="2:9" x14ac:dyDescent="0.25">
      <c r="B48" s="2">
        <v>45056</v>
      </c>
      <c r="C48" s="201">
        <v>123164</v>
      </c>
      <c r="D48" s="3">
        <v>7440</v>
      </c>
      <c r="E48" s="3" t="s">
        <v>123</v>
      </c>
      <c r="F48" s="320"/>
      <c r="G48" s="3"/>
      <c r="H48" s="3"/>
      <c r="I48" s="3"/>
    </row>
    <row r="49" spans="2:9" x14ac:dyDescent="0.25">
      <c r="B49" s="2">
        <v>45056</v>
      </c>
      <c r="C49" s="201">
        <v>119664</v>
      </c>
      <c r="D49" s="3">
        <v>8990</v>
      </c>
      <c r="E49" s="3" t="s">
        <v>122</v>
      </c>
      <c r="F49" s="320"/>
      <c r="G49" s="3"/>
      <c r="H49" s="3"/>
      <c r="I49" s="3"/>
    </row>
    <row r="50" spans="2:9" x14ac:dyDescent="0.25">
      <c r="B50" s="2">
        <v>45056</v>
      </c>
      <c r="C50" s="201">
        <v>2511300</v>
      </c>
      <c r="D50" s="3">
        <v>7238</v>
      </c>
      <c r="E50" s="3" t="s">
        <v>121</v>
      </c>
      <c r="F50" s="320"/>
      <c r="G50" s="3"/>
      <c r="H50" s="3"/>
      <c r="I50" s="3"/>
    </row>
    <row r="51" spans="2:9" x14ac:dyDescent="0.25">
      <c r="B51" s="2">
        <v>45056</v>
      </c>
      <c r="C51" s="201">
        <v>1599433642</v>
      </c>
      <c r="D51" s="3">
        <v>2090</v>
      </c>
      <c r="E51" s="3" t="s">
        <v>120</v>
      </c>
      <c r="F51" s="320"/>
      <c r="G51" s="3"/>
      <c r="H51" s="3"/>
      <c r="I51" s="3"/>
    </row>
    <row r="52" spans="2:9" x14ac:dyDescent="0.25">
      <c r="B52" s="2">
        <v>45056</v>
      </c>
      <c r="C52" s="201">
        <v>69651893</v>
      </c>
      <c r="D52" s="3">
        <v>14750</v>
      </c>
      <c r="E52" s="3" t="s">
        <v>119</v>
      </c>
      <c r="F52" s="320"/>
      <c r="G52" s="3"/>
      <c r="H52" s="3"/>
      <c r="I52" s="3"/>
    </row>
    <row r="53" spans="2:9" x14ac:dyDescent="0.25">
      <c r="B53" s="2">
        <v>45028</v>
      </c>
      <c r="C53" s="201">
        <v>3128951</v>
      </c>
      <c r="D53" s="3">
        <v>18030</v>
      </c>
      <c r="E53" s="3" t="s">
        <v>118</v>
      </c>
      <c r="F53" s="320"/>
      <c r="G53" s="3"/>
      <c r="H53" s="3"/>
      <c r="I53" s="3"/>
    </row>
    <row r="54" spans="2:9" x14ac:dyDescent="0.25">
      <c r="B54" s="2">
        <v>45028</v>
      </c>
      <c r="C54" s="201">
        <v>2418342384</v>
      </c>
      <c r="D54" s="3">
        <v>1480</v>
      </c>
      <c r="E54" s="3" t="s">
        <v>117</v>
      </c>
      <c r="F54" s="320"/>
      <c r="G54" s="3"/>
      <c r="H54" s="3"/>
      <c r="I54" s="3"/>
    </row>
    <row r="55" spans="2:9" x14ac:dyDescent="0.25">
      <c r="B55" s="2">
        <v>45028</v>
      </c>
      <c r="C55" s="201">
        <v>2502164</v>
      </c>
      <c r="D55" s="3">
        <v>3570</v>
      </c>
      <c r="E55" s="3" t="s">
        <v>116</v>
      </c>
      <c r="F55" s="320"/>
      <c r="G55" s="3"/>
      <c r="H55" s="3"/>
      <c r="I55" s="3"/>
    </row>
    <row r="56" spans="2:9" x14ac:dyDescent="0.25">
      <c r="B56" s="2">
        <v>44999</v>
      </c>
      <c r="C56" s="201">
        <v>955022452</v>
      </c>
      <c r="D56" s="3">
        <v>4890</v>
      </c>
      <c r="E56" s="3" t="s">
        <v>115</v>
      </c>
      <c r="F56" s="320"/>
      <c r="G56" s="3"/>
      <c r="H56" s="3"/>
      <c r="I56" s="3"/>
    </row>
    <row r="57" spans="2:9" x14ac:dyDescent="0.25">
      <c r="B57" s="2">
        <v>44999</v>
      </c>
      <c r="C57" s="201">
        <v>2403204080</v>
      </c>
      <c r="D57" s="3">
        <v>3188</v>
      </c>
      <c r="E57" s="3" t="s">
        <v>114</v>
      </c>
      <c r="F57" s="320"/>
      <c r="G57" s="3"/>
      <c r="H57" s="3"/>
      <c r="I57" s="3"/>
    </row>
    <row r="58" spans="2:9" x14ac:dyDescent="0.25">
      <c r="B58" t="s">
        <v>15</v>
      </c>
      <c r="C58" s="202"/>
      <c r="D58" s="3">
        <f>+SUBTOTAL(9,Tabla4[Monto])</f>
        <v>547661</v>
      </c>
      <c r="E58">
        <f>+SUBTOTAL(9,Tabla4[Motivo])</f>
        <v>0</v>
      </c>
      <c r="F58" s="205">
        <f>+SUBTOTAL(9,Tabla4[N° Socios])</f>
        <v>74</v>
      </c>
      <c r="G58" s="3">
        <f>+SUBTOTAL(9,Tabla4[Gift Card])</f>
        <v>1480000</v>
      </c>
      <c r="H58" s="3">
        <f>+SUBTOTAL(9,Tabla4[Devoluciones])</f>
        <v>0</v>
      </c>
      <c r="I58" s="3">
        <f>+SUBTOTAL(9,Tabla4[Vocales])</f>
        <v>0</v>
      </c>
    </row>
  </sheetData>
  <mergeCells count="1">
    <mergeCell ref="H1:I1"/>
  </mergeCells>
  <pageMargins left="0.70866141732283472" right="0.70866141732283472" top="0.74803149606299213" bottom="0.74803149606299213" header="0.31496062992125984" footer="0.31496062992125984"/>
  <pageSetup scale="78" fitToHeight="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pageSetUpPr fitToPage="1"/>
  </sheetPr>
  <dimension ref="A1:P28"/>
  <sheetViews>
    <sheetView showGridLines="0" zoomScaleNormal="100" zoomScaleSheetLayoutView="100" workbookViewId="0">
      <pane xSplit="1" ySplit="1" topLeftCell="B2" activePane="bottomRight" state="frozen"/>
      <selection activeCell="O5" sqref="O5"/>
      <selection pane="topRight" activeCell="O5" sqref="O5"/>
      <selection pane="bottomLeft" activeCell="O5" sqref="O5"/>
      <selection pane="bottomRight" activeCell="F24" sqref="F24"/>
    </sheetView>
  </sheetViews>
  <sheetFormatPr baseColWidth="10" defaultColWidth="12.85546875" defaultRowHeight="15" x14ac:dyDescent="0.25"/>
  <cols>
    <col min="1" max="1" width="10.7109375" style="34" bestFit="1" customWidth="1"/>
    <col min="2" max="13" width="10.42578125" style="12" bestFit="1" customWidth="1"/>
    <col min="14" max="15" width="12" style="12" bestFit="1" customWidth="1"/>
    <col min="16" max="16384" width="12.85546875" style="12"/>
  </cols>
  <sheetData>
    <row r="1" spans="1:15" x14ac:dyDescent="0.25">
      <c r="A1" s="9" t="s">
        <v>22</v>
      </c>
      <c r="B1" s="10">
        <v>42736</v>
      </c>
      <c r="C1" s="10">
        <v>42767</v>
      </c>
      <c r="D1" s="10">
        <v>42795</v>
      </c>
      <c r="E1" s="10">
        <v>42826</v>
      </c>
      <c r="F1" s="10">
        <v>42856</v>
      </c>
      <c r="G1" s="10">
        <v>42887</v>
      </c>
      <c r="H1" s="10">
        <v>42917</v>
      </c>
      <c r="I1" s="10">
        <v>42948</v>
      </c>
      <c r="J1" s="10">
        <v>42979</v>
      </c>
      <c r="K1" s="10">
        <v>43009</v>
      </c>
      <c r="L1" s="10">
        <v>43040</v>
      </c>
      <c r="M1" s="10">
        <v>43070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>SUM(B4:M4)</f>
        <v>120000</v>
      </c>
    </row>
    <row r="5" spans="1:15" x14ac:dyDescent="0.25">
      <c r="A5" s="9" t="s">
        <v>24</v>
      </c>
      <c r="B5" s="16">
        <f t="shared" ref="B5:M5" si="0">SUM(B2:B4)</f>
        <v>30000</v>
      </c>
      <c r="C5" s="16">
        <f t="shared" si="0"/>
        <v>30000</v>
      </c>
      <c r="D5" s="16">
        <f t="shared" si="0"/>
        <v>30000</v>
      </c>
      <c r="E5" s="16">
        <f t="shared" si="0"/>
        <v>30000</v>
      </c>
      <c r="F5" s="16">
        <f t="shared" si="0"/>
        <v>30000</v>
      </c>
      <c r="G5" s="16">
        <f t="shared" si="0"/>
        <v>30000</v>
      </c>
      <c r="H5" s="16">
        <f t="shared" si="0"/>
        <v>30000</v>
      </c>
      <c r="I5" s="16">
        <f t="shared" si="0"/>
        <v>30000</v>
      </c>
      <c r="J5" s="16">
        <f t="shared" si="0"/>
        <v>30000</v>
      </c>
      <c r="K5" s="16">
        <f t="shared" si="0"/>
        <v>30000</v>
      </c>
      <c r="L5" s="16">
        <f t="shared" si="0"/>
        <v>30000</v>
      </c>
      <c r="M5" s="16">
        <f t="shared" si="0"/>
        <v>30000</v>
      </c>
      <c r="N5" s="16">
        <f>SUM(B5:M5)</f>
        <v>360000</v>
      </c>
      <c r="O5" s="17">
        <f>SUM(N2:N4)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42736</v>
      </c>
      <c r="C7" s="10">
        <v>42767</v>
      </c>
      <c r="D7" s="10">
        <v>42795</v>
      </c>
      <c r="E7" s="10">
        <v>42826</v>
      </c>
      <c r="F7" s="10">
        <v>42856</v>
      </c>
      <c r="G7" s="10">
        <v>42887</v>
      </c>
      <c r="H7" s="10">
        <v>42917</v>
      </c>
      <c r="I7" s="10">
        <v>42948</v>
      </c>
      <c r="J7" s="10">
        <v>42979</v>
      </c>
      <c r="K7" s="10">
        <v>43009</v>
      </c>
      <c r="L7" s="10">
        <v>43040</v>
      </c>
      <c r="M7" s="10">
        <v>43070</v>
      </c>
      <c r="N7" s="11" t="s">
        <v>23</v>
      </c>
    </row>
    <row r="8" spans="1:15" x14ac:dyDescent="0.25">
      <c r="A8" s="13" t="s">
        <v>1</v>
      </c>
      <c r="B8" s="14">
        <v>20000</v>
      </c>
      <c r="C8" s="14">
        <v>15000</v>
      </c>
      <c r="D8" s="14">
        <v>20000</v>
      </c>
      <c r="E8" s="14">
        <v>25000</v>
      </c>
      <c r="F8" s="14">
        <v>25000</v>
      </c>
      <c r="G8" s="14">
        <v>15000</v>
      </c>
      <c r="H8" s="14">
        <v>20000</v>
      </c>
      <c r="I8" s="14">
        <v>20000</v>
      </c>
      <c r="J8" s="14">
        <v>10000</v>
      </c>
      <c r="K8" s="14">
        <v>15000</v>
      </c>
      <c r="L8" s="14">
        <v>10000</v>
      </c>
      <c r="M8" s="14">
        <v>25000</v>
      </c>
      <c r="N8" s="15">
        <f>SUM(B8:M8)</f>
        <v>220000</v>
      </c>
    </row>
    <row r="9" spans="1:15" x14ac:dyDescent="0.25">
      <c r="A9" s="13" t="s">
        <v>3</v>
      </c>
      <c r="B9" s="14">
        <v>20000</v>
      </c>
      <c r="C9" s="14">
        <v>10000</v>
      </c>
      <c r="D9" s="14">
        <v>20000</v>
      </c>
      <c r="E9" s="14">
        <v>25000</v>
      </c>
      <c r="F9" s="14">
        <v>25000</v>
      </c>
      <c r="G9" s="14">
        <v>15000</v>
      </c>
      <c r="H9" s="14">
        <v>20000</v>
      </c>
      <c r="I9" s="14">
        <v>20000</v>
      </c>
      <c r="J9" s="14">
        <v>10000</v>
      </c>
      <c r="K9" s="14">
        <v>15000</v>
      </c>
      <c r="L9" s="14">
        <v>10000</v>
      </c>
      <c r="M9" s="14">
        <v>25000</v>
      </c>
      <c r="N9" s="15">
        <f>SUM(B9:M9)</f>
        <v>215000</v>
      </c>
    </row>
    <row r="10" spans="1:15" x14ac:dyDescent="0.25">
      <c r="A10" s="13" t="s">
        <v>4</v>
      </c>
      <c r="B10" s="14">
        <v>20000</v>
      </c>
      <c r="C10" s="14">
        <v>10000</v>
      </c>
      <c r="D10" s="14">
        <v>20000</v>
      </c>
      <c r="E10" s="14">
        <v>25000</v>
      </c>
      <c r="F10" s="14">
        <v>25000</v>
      </c>
      <c r="G10" s="14">
        <v>15000</v>
      </c>
      <c r="H10" s="14">
        <v>20000</v>
      </c>
      <c r="I10" s="14">
        <v>20000</v>
      </c>
      <c r="J10" s="14">
        <v>10000</v>
      </c>
      <c r="K10" s="14">
        <v>15000</v>
      </c>
      <c r="L10" s="14">
        <v>10000</v>
      </c>
      <c r="M10" s="14">
        <v>25000</v>
      </c>
      <c r="N10" s="15">
        <f>SUM(B10:M10)</f>
        <v>215000</v>
      </c>
    </row>
    <row r="11" spans="1:15" x14ac:dyDescent="0.25">
      <c r="A11" s="9" t="s">
        <v>24</v>
      </c>
      <c r="B11" s="19">
        <f t="shared" ref="B11:M11" si="1">SUM(B8:B10)</f>
        <v>60000</v>
      </c>
      <c r="C11" s="19">
        <f t="shared" si="1"/>
        <v>35000</v>
      </c>
      <c r="D11" s="19">
        <f t="shared" si="1"/>
        <v>60000</v>
      </c>
      <c r="E11" s="19">
        <f t="shared" si="1"/>
        <v>75000</v>
      </c>
      <c r="F11" s="19">
        <f t="shared" si="1"/>
        <v>75000</v>
      </c>
      <c r="G11" s="19">
        <f t="shared" si="1"/>
        <v>45000</v>
      </c>
      <c r="H11" s="19">
        <f t="shared" si="1"/>
        <v>60000</v>
      </c>
      <c r="I11" s="19">
        <f t="shared" si="1"/>
        <v>60000</v>
      </c>
      <c r="J11" s="19">
        <f t="shared" si="1"/>
        <v>30000</v>
      </c>
      <c r="K11" s="19">
        <f t="shared" si="1"/>
        <v>45000</v>
      </c>
      <c r="L11" s="19">
        <f t="shared" si="1"/>
        <v>30000</v>
      </c>
      <c r="M11" s="19">
        <f t="shared" si="1"/>
        <v>75000</v>
      </c>
      <c r="N11" s="19">
        <f>SUM(B11:M11)</f>
        <v>650000</v>
      </c>
      <c r="O11" s="17">
        <f>SUM(N8:N10)</f>
        <v>650000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42736</v>
      </c>
      <c r="C13" s="10">
        <v>42767</v>
      </c>
      <c r="D13" s="10">
        <v>42795</v>
      </c>
      <c r="E13" s="10">
        <v>42826</v>
      </c>
      <c r="F13" s="10">
        <v>42856</v>
      </c>
      <c r="G13" s="10">
        <v>42887</v>
      </c>
      <c r="H13" s="10">
        <v>42917</v>
      </c>
      <c r="I13" s="10">
        <v>42948</v>
      </c>
      <c r="J13" s="10">
        <v>42979</v>
      </c>
      <c r="K13" s="10">
        <v>43009</v>
      </c>
      <c r="L13" s="10">
        <v>43040</v>
      </c>
      <c r="M13" s="10">
        <v>43070</v>
      </c>
      <c r="N13" s="11" t="s">
        <v>23</v>
      </c>
    </row>
    <row r="14" spans="1:15" x14ac:dyDescent="0.25">
      <c r="A14" s="13" t="s">
        <v>27</v>
      </c>
      <c r="B14" s="14">
        <v>59556</v>
      </c>
      <c r="C14" s="14">
        <v>17685</v>
      </c>
      <c r="D14" s="14">
        <v>57065</v>
      </c>
      <c r="E14" s="14">
        <v>45512</v>
      </c>
      <c r="F14" s="14">
        <v>15456</v>
      </c>
      <c r="G14" s="14">
        <v>13650</v>
      </c>
      <c r="H14" s="14">
        <f>11735+10460</f>
        <v>22195</v>
      </c>
      <c r="I14" s="14">
        <v>21880</v>
      </c>
      <c r="J14" s="14">
        <v>5580</v>
      </c>
      <c r="K14" s="14">
        <v>21260</v>
      </c>
      <c r="L14" s="14">
        <v>31055</v>
      </c>
      <c r="M14" s="14">
        <v>34440</v>
      </c>
      <c r="N14" s="15">
        <f>SUM(B14:M14)</f>
        <v>345334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156930</v>
      </c>
      <c r="M15" s="14">
        <v>0</v>
      </c>
      <c r="N15" s="15">
        <f>SUM(B15:M15)</f>
        <v>156930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850000</v>
      </c>
      <c r="N16" s="15">
        <f>SUM(B16:M16)</f>
        <v>850000</v>
      </c>
    </row>
    <row r="17" spans="1:16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ref="N17" si="2">SUM(B17:M17)</f>
        <v>0</v>
      </c>
    </row>
    <row r="18" spans="1:16" x14ac:dyDescent="0.25">
      <c r="A18" s="9" t="s">
        <v>24</v>
      </c>
      <c r="B18" s="19">
        <f>SUM(B14:B17)</f>
        <v>59556</v>
      </c>
      <c r="C18" s="19">
        <f t="shared" ref="C18:M18" si="3">SUM(C14:C17)</f>
        <v>17685</v>
      </c>
      <c r="D18" s="19">
        <f t="shared" si="3"/>
        <v>57065</v>
      </c>
      <c r="E18" s="19">
        <f t="shared" si="3"/>
        <v>45512</v>
      </c>
      <c r="F18" s="19">
        <f t="shared" si="3"/>
        <v>15456</v>
      </c>
      <c r="G18" s="19">
        <f t="shared" si="3"/>
        <v>13650</v>
      </c>
      <c r="H18" s="19">
        <f t="shared" si="3"/>
        <v>22195</v>
      </c>
      <c r="I18" s="19">
        <f t="shared" si="3"/>
        <v>21880</v>
      </c>
      <c r="J18" s="19">
        <f t="shared" si="3"/>
        <v>5580</v>
      </c>
      <c r="K18" s="19">
        <f t="shared" si="3"/>
        <v>21260</v>
      </c>
      <c r="L18" s="19">
        <f t="shared" si="3"/>
        <v>187985</v>
      </c>
      <c r="M18" s="19">
        <f t="shared" si="3"/>
        <v>884440</v>
      </c>
      <c r="N18" s="19">
        <f>SUM(B18:M18)</f>
        <v>1352264</v>
      </c>
      <c r="O18" s="17">
        <f>SUM(N14:N17)</f>
        <v>1352264</v>
      </c>
    </row>
    <row r="19" spans="1:16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6" s="21" customFormat="1" x14ac:dyDescent="0.25">
      <c r="A20" s="20"/>
      <c r="B20" s="10">
        <v>42736</v>
      </c>
      <c r="C20" s="10">
        <v>42767</v>
      </c>
      <c r="D20" s="10">
        <v>42795</v>
      </c>
      <c r="E20" s="10">
        <v>42826</v>
      </c>
      <c r="F20" s="10">
        <v>42856</v>
      </c>
      <c r="G20" s="10">
        <v>42887</v>
      </c>
      <c r="H20" s="10">
        <v>42917</v>
      </c>
      <c r="I20" s="10">
        <v>42948</v>
      </c>
      <c r="J20" s="10">
        <v>42979</v>
      </c>
      <c r="K20" s="10">
        <v>43009</v>
      </c>
      <c r="L20" s="10">
        <v>43040</v>
      </c>
      <c r="M20" s="10">
        <v>43070</v>
      </c>
      <c r="N20" s="11" t="s">
        <v>23</v>
      </c>
    </row>
    <row r="21" spans="1:16" x14ac:dyDescent="0.25">
      <c r="A21" s="9" t="s">
        <v>31</v>
      </c>
      <c r="B21" s="22">
        <v>139500</v>
      </c>
      <c r="C21" s="22">
        <v>136000</v>
      </c>
      <c r="D21" s="22">
        <v>128000</v>
      </c>
      <c r="E21" s="22">
        <v>136000</v>
      </c>
      <c r="F21" s="22">
        <v>139313</v>
      </c>
      <c r="G21" s="22">
        <v>136000</v>
      </c>
      <c r="H21" s="22">
        <v>128000</v>
      </c>
      <c r="I21" s="22">
        <v>129500</v>
      </c>
      <c r="J21" s="22">
        <v>139000</v>
      </c>
      <c r="K21" s="22">
        <v>165000</v>
      </c>
      <c r="L21" s="22">
        <v>163000</v>
      </c>
      <c r="M21" s="22">
        <v>179200</v>
      </c>
      <c r="N21" s="22">
        <f>SUM(B21:M21)</f>
        <v>1718513</v>
      </c>
    </row>
    <row r="22" spans="1:16" x14ac:dyDescent="0.25">
      <c r="A22" s="9" t="s">
        <v>32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>
        <v>440000</v>
      </c>
      <c r="N22" s="22">
        <f>SUM(B22:M22)</f>
        <v>440000</v>
      </c>
    </row>
    <row r="23" spans="1:16" x14ac:dyDescent="0.25">
      <c r="A23" s="9" t="s">
        <v>33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>
        <f>117000+63500</f>
        <v>180500</v>
      </c>
      <c r="N23" s="22">
        <f>SUM(B23:M23)</f>
        <v>180500</v>
      </c>
      <c r="O23" s="17"/>
    </row>
    <row r="24" spans="1:16" x14ac:dyDescent="0.25">
      <c r="A24" s="23" t="s">
        <v>34</v>
      </c>
      <c r="B24" s="24">
        <f t="shared" ref="B24:M24" si="4">SUM(B21:B23)</f>
        <v>139500</v>
      </c>
      <c r="C24" s="24">
        <f t="shared" si="4"/>
        <v>136000</v>
      </c>
      <c r="D24" s="24">
        <f t="shared" si="4"/>
        <v>128000</v>
      </c>
      <c r="E24" s="25">
        <f t="shared" si="4"/>
        <v>136000</v>
      </c>
      <c r="F24" s="25">
        <f t="shared" si="4"/>
        <v>139313</v>
      </c>
      <c r="G24" s="25">
        <f t="shared" si="4"/>
        <v>136000</v>
      </c>
      <c r="H24" s="25">
        <f t="shared" si="4"/>
        <v>128000</v>
      </c>
      <c r="I24" s="25">
        <f t="shared" si="4"/>
        <v>129500</v>
      </c>
      <c r="J24" s="25">
        <f t="shared" si="4"/>
        <v>139000</v>
      </c>
      <c r="K24" s="25">
        <f t="shared" si="4"/>
        <v>165000</v>
      </c>
      <c r="L24" s="25">
        <f t="shared" si="4"/>
        <v>163000</v>
      </c>
      <c r="M24" s="25">
        <f t="shared" si="4"/>
        <v>799700</v>
      </c>
      <c r="N24" s="25">
        <f>SUM(B24:M24)</f>
        <v>2339013</v>
      </c>
      <c r="O24" s="17">
        <f>SUM(N20:N23)</f>
        <v>2339013</v>
      </c>
    </row>
    <row r="25" spans="1:16" x14ac:dyDescent="0.25">
      <c r="A25" s="26" t="s">
        <v>35</v>
      </c>
      <c r="B25" s="27">
        <f t="shared" ref="B25:M25" si="5">+B18+B11+B5</f>
        <v>149556</v>
      </c>
      <c r="C25" s="27">
        <f t="shared" si="5"/>
        <v>82685</v>
      </c>
      <c r="D25" s="27">
        <f t="shared" si="5"/>
        <v>147065</v>
      </c>
      <c r="E25" s="27">
        <f t="shared" si="5"/>
        <v>150512</v>
      </c>
      <c r="F25" s="27">
        <f t="shared" si="5"/>
        <v>120456</v>
      </c>
      <c r="G25" s="27">
        <f t="shared" si="5"/>
        <v>88650</v>
      </c>
      <c r="H25" s="27">
        <f t="shared" si="5"/>
        <v>112195</v>
      </c>
      <c r="I25" s="27">
        <f t="shared" si="5"/>
        <v>111880</v>
      </c>
      <c r="J25" s="27">
        <f t="shared" si="5"/>
        <v>65580</v>
      </c>
      <c r="K25" s="27">
        <f t="shared" si="5"/>
        <v>96260</v>
      </c>
      <c r="L25" s="27">
        <f t="shared" si="5"/>
        <v>247985</v>
      </c>
      <c r="M25" s="27">
        <f t="shared" si="5"/>
        <v>989440</v>
      </c>
      <c r="N25" s="27">
        <f>SUM(B25:M25)</f>
        <v>2362264</v>
      </c>
      <c r="O25" s="17">
        <f>+O18+O11+O5</f>
        <v>2362264</v>
      </c>
      <c r="P25" s="28"/>
    </row>
    <row r="26" spans="1:16" x14ac:dyDescent="0.25">
      <c r="A26" s="9" t="s">
        <v>36</v>
      </c>
      <c r="B26" s="29">
        <f t="shared" ref="B26:N26" si="6">+B25/B24</f>
        <v>1.0720860215053762</v>
      </c>
      <c r="C26" s="29">
        <f t="shared" si="6"/>
        <v>0.60797794117647064</v>
      </c>
      <c r="D26" s="29">
        <f t="shared" si="6"/>
        <v>1.1489453125</v>
      </c>
      <c r="E26" s="29">
        <f t="shared" si="6"/>
        <v>1.1067058823529412</v>
      </c>
      <c r="F26" s="29">
        <f t="shared" si="6"/>
        <v>0.8646429263600669</v>
      </c>
      <c r="G26" s="29">
        <f t="shared" si="6"/>
        <v>0.65183823529411766</v>
      </c>
      <c r="H26" s="29">
        <f t="shared" si="6"/>
        <v>0.87652343749999995</v>
      </c>
      <c r="I26" s="29">
        <f t="shared" si="6"/>
        <v>0.86393822393822395</v>
      </c>
      <c r="J26" s="29">
        <f t="shared" si="6"/>
        <v>0.47179856115107915</v>
      </c>
      <c r="K26" s="29">
        <f t="shared" si="6"/>
        <v>0.58339393939393935</v>
      </c>
      <c r="L26" s="29">
        <f t="shared" si="6"/>
        <v>1.5213803680981595</v>
      </c>
      <c r="M26" s="29">
        <f t="shared" si="6"/>
        <v>1.2372639739902462</v>
      </c>
      <c r="N26" s="30">
        <f t="shared" si="6"/>
        <v>1.0099405176456908</v>
      </c>
      <c r="O26" s="31">
        <f>+N24-N25</f>
        <v>-23251</v>
      </c>
    </row>
    <row r="27" spans="1:16" x14ac:dyDescent="0.25">
      <c r="A27" s="9"/>
      <c r="N27" s="32" t="s">
        <v>37</v>
      </c>
      <c r="O27" s="33">
        <f>258035</f>
        <v>258035</v>
      </c>
    </row>
    <row r="28" spans="1:16" x14ac:dyDescent="0.25">
      <c r="M28" s="35">
        <v>43607</v>
      </c>
      <c r="N28" s="36" t="s">
        <v>38</v>
      </c>
      <c r="O28" s="37">
        <f>+O26+O27</f>
        <v>234784</v>
      </c>
    </row>
  </sheetData>
  <pageMargins left="0.25" right="0.25" top="0.75" bottom="0.75" header="0.3" footer="0.3"/>
  <pageSetup scale="85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A1:Q32"/>
  <sheetViews>
    <sheetView showGridLines="0" zoomScaleNormal="100" zoomScaleSheetLayoutView="100" workbookViewId="0">
      <pane xSplit="1" ySplit="1" topLeftCell="B14" activePane="bottomRight" state="frozen"/>
      <selection activeCell="O5" sqref="O5"/>
      <selection pane="topRight" activeCell="O5" sqref="O5"/>
      <selection pane="bottomLeft" activeCell="O5" sqref="O5"/>
      <selection pane="bottomRight" activeCell="O28" sqref="O28"/>
    </sheetView>
  </sheetViews>
  <sheetFormatPr baseColWidth="10" defaultRowHeight="15" x14ac:dyDescent="0.25"/>
  <cols>
    <col min="1" max="1" width="10.7109375" style="34" bestFit="1" customWidth="1"/>
    <col min="2" max="12" width="10.42578125" style="12" bestFit="1" customWidth="1"/>
    <col min="13" max="15" width="12" style="12" bestFit="1" customWidth="1"/>
    <col min="16" max="16384" width="11.42578125" style="12"/>
  </cols>
  <sheetData>
    <row r="1" spans="1:15" x14ac:dyDescent="0.25">
      <c r="A1" s="9" t="s">
        <v>22</v>
      </c>
      <c r="B1" s="10">
        <v>43101</v>
      </c>
      <c r="C1" s="10">
        <v>43132</v>
      </c>
      <c r="D1" s="10">
        <v>43160</v>
      </c>
      <c r="E1" s="10">
        <v>43191</v>
      </c>
      <c r="F1" s="10">
        <v>43221</v>
      </c>
      <c r="G1" s="10">
        <v>43252</v>
      </c>
      <c r="H1" s="10">
        <v>43282</v>
      </c>
      <c r="I1" s="10">
        <v>43313</v>
      </c>
      <c r="J1" s="10">
        <v>43344</v>
      </c>
      <c r="K1" s="10">
        <v>43374</v>
      </c>
      <c r="L1" s="10">
        <v>43405</v>
      </c>
      <c r="M1" s="10">
        <v>43435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5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43101</v>
      </c>
      <c r="C7" s="10">
        <v>43132</v>
      </c>
      <c r="D7" s="10">
        <v>43160</v>
      </c>
      <c r="E7" s="10">
        <v>43191</v>
      </c>
      <c r="F7" s="10">
        <v>43221</v>
      </c>
      <c r="G7" s="10">
        <v>43252</v>
      </c>
      <c r="H7" s="10">
        <v>43282</v>
      </c>
      <c r="I7" s="10">
        <v>43313</v>
      </c>
      <c r="J7" s="10">
        <v>43344</v>
      </c>
      <c r="K7" s="10">
        <v>43374</v>
      </c>
      <c r="L7" s="10">
        <v>43405</v>
      </c>
      <c r="M7" s="10">
        <v>43435</v>
      </c>
      <c r="N7" s="11" t="s">
        <v>23</v>
      </c>
    </row>
    <row r="8" spans="1:15" x14ac:dyDescent="0.25">
      <c r="A8" s="13" t="s">
        <v>1</v>
      </c>
      <c r="B8" s="14">
        <v>0</v>
      </c>
      <c r="C8" s="14">
        <v>0</v>
      </c>
      <c r="D8" s="14">
        <v>0</v>
      </c>
      <c r="E8" s="14">
        <v>0</v>
      </c>
      <c r="F8" s="14">
        <v>10000</v>
      </c>
      <c r="G8" s="38">
        <v>20000</v>
      </c>
      <c r="H8" s="14">
        <v>0</v>
      </c>
      <c r="I8" s="14">
        <v>0</v>
      </c>
      <c r="J8" s="14">
        <v>25000</v>
      </c>
      <c r="K8" s="14">
        <v>0</v>
      </c>
      <c r="L8" s="14">
        <v>15000</v>
      </c>
      <c r="M8" s="14">
        <v>5000</v>
      </c>
      <c r="N8" s="15">
        <f t="shared" ref="N8:N10" si="2">SUM(B8:M8)</f>
        <v>75000</v>
      </c>
    </row>
    <row r="9" spans="1:15" x14ac:dyDescent="0.25">
      <c r="A9" s="13" t="s">
        <v>3</v>
      </c>
      <c r="B9" s="14">
        <v>0</v>
      </c>
      <c r="C9" s="14">
        <v>5000</v>
      </c>
      <c r="D9" s="14">
        <v>0</v>
      </c>
      <c r="E9" s="14">
        <v>10000</v>
      </c>
      <c r="F9" s="14">
        <v>10000</v>
      </c>
      <c r="G9" s="38">
        <v>20000</v>
      </c>
      <c r="H9" s="14">
        <v>0</v>
      </c>
      <c r="I9" s="14">
        <v>0</v>
      </c>
      <c r="J9" s="14">
        <v>25000</v>
      </c>
      <c r="K9" s="14">
        <v>0</v>
      </c>
      <c r="L9" s="14">
        <v>15000</v>
      </c>
      <c r="M9" s="14">
        <v>5000</v>
      </c>
      <c r="N9" s="15">
        <f t="shared" si="2"/>
        <v>90000</v>
      </c>
    </row>
    <row r="10" spans="1:15" x14ac:dyDescent="0.25">
      <c r="A10" s="13" t="s">
        <v>4</v>
      </c>
      <c r="B10" s="14">
        <v>0</v>
      </c>
      <c r="C10" s="14">
        <v>5000</v>
      </c>
      <c r="D10" s="14">
        <v>0</v>
      </c>
      <c r="E10" s="14">
        <v>10000</v>
      </c>
      <c r="F10" s="14">
        <v>10000</v>
      </c>
      <c r="G10" s="38">
        <v>20000</v>
      </c>
      <c r="H10" s="14">
        <v>0</v>
      </c>
      <c r="I10" s="14">
        <v>0</v>
      </c>
      <c r="J10" s="14">
        <v>25000</v>
      </c>
      <c r="K10" s="14">
        <v>0</v>
      </c>
      <c r="L10" s="14">
        <v>15000</v>
      </c>
      <c r="M10" s="14">
        <v>0</v>
      </c>
      <c r="N10" s="15">
        <f t="shared" si="2"/>
        <v>85000</v>
      </c>
    </row>
    <row r="11" spans="1:15" x14ac:dyDescent="0.25">
      <c r="A11" s="9" t="s">
        <v>24</v>
      </c>
      <c r="B11" s="19">
        <f>SUM(B8:B10)</f>
        <v>0</v>
      </c>
      <c r="C11" s="19">
        <f>SUM(C8:C10)</f>
        <v>10000</v>
      </c>
      <c r="D11" s="19">
        <f>SUM(D8:D10)</f>
        <v>0</v>
      </c>
      <c r="E11" s="19">
        <f>SUM(E8:E10)</f>
        <v>20000</v>
      </c>
      <c r="F11" s="19">
        <f>SUM(F8:F10)</f>
        <v>30000</v>
      </c>
      <c r="G11" s="19">
        <f t="shared" ref="G11:M11" si="3">SUM(G8:G10)</f>
        <v>60000</v>
      </c>
      <c r="H11" s="19">
        <f t="shared" si="3"/>
        <v>0</v>
      </c>
      <c r="I11" s="19">
        <f t="shared" si="3"/>
        <v>0</v>
      </c>
      <c r="J11" s="19">
        <f t="shared" si="3"/>
        <v>75000</v>
      </c>
      <c r="K11" s="19">
        <f t="shared" si="3"/>
        <v>0</v>
      </c>
      <c r="L11" s="19">
        <f t="shared" si="3"/>
        <v>45000</v>
      </c>
      <c r="M11" s="19">
        <f t="shared" si="3"/>
        <v>10000</v>
      </c>
      <c r="N11" s="19">
        <f>SUM(N7:N10)</f>
        <v>250000</v>
      </c>
      <c r="O11" s="28">
        <f>SUM(B11:M11)</f>
        <v>250000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43101</v>
      </c>
      <c r="C13" s="10">
        <v>43132</v>
      </c>
      <c r="D13" s="10">
        <v>43160</v>
      </c>
      <c r="E13" s="10">
        <v>43191</v>
      </c>
      <c r="F13" s="10">
        <v>43221</v>
      </c>
      <c r="G13" s="10">
        <v>43252</v>
      </c>
      <c r="H13" s="10">
        <v>43282</v>
      </c>
      <c r="I13" s="10">
        <v>43313</v>
      </c>
      <c r="J13" s="10">
        <v>43344</v>
      </c>
      <c r="K13" s="10">
        <v>43374</v>
      </c>
      <c r="L13" s="10">
        <v>43405</v>
      </c>
      <c r="M13" s="10">
        <v>43435</v>
      </c>
      <c r="N13" s="11" t="s">
        <v>23</v>
      </c>
    </row>
    <row r="14" spans="1:15" x14ac:dyDescent="0.25">
      <c r="A14" s="13" t="s">
        <v>27</v>
      </c>
      <c r="B14" s="14">
        <v>10570</v>
      </c>
      <c r="C14" s="14">
        <v>0</v>
      </c>
      <c r="D14" s="14">
        <v>48560</v>
      </c>
      <c r="E14" s="14">
        <f>6580+1290+27930+550</f>
        <v>36350</v>
      </c>
      <c r="F14" s="14">
        <f>3620+11990+2000+9570+5550+4150+1000+2290+1670+8740</f>
        <v>50580</v>
      </c>
      <c r="G14" s="14">
        <f>1650+5520+1750+1720+720+4780+26350+1690+2800+2680+9980+9600+9310+9160+4750</f>
        <v>92460</v>
      </c>
      <c r="H14" s="14">
        <f>4750+3360</f>
        <v>8110</v>
      </c>
      <c r="I14" s="14">
        <f>8800+1470+1300+7540+1090+6980+3000</f>
        <v>30180</v>
      </c>
      <c r="J14" s="14">
        <v>0</v>
      </c>
      <c r="K14" s="14">
        <f>17970+1290+18000+2990</f>
        <v>40250</v>
      </c>
      <c r="L14" s="14">
        <f>3996+1990+1900+2790</f>
        <v>10676</v>
      </c>
      <c r="M14" s="14">
        <v>0</v>
      </c>
      <c r="N14" s="15">
        <f t="shared" ref="N14:N17" si="4">SUM(B14:M14)</f>
        <v>327736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40000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40000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1050000</v>
      </c>
      <c r="N16" s="15">
        <f t="shared" si="4"/>
        <v>1050000</v>
      </c>
    </row>
    <row r="17" spans="1:17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10000</v>
      </c>
      <c r="F17" s="14">
        <v>0</v>
      </c>
      <c r="G17" s="14">
        <v>10000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20000</v>
      </c>
    </row>
    <row r="18" spans="1:17" x14ac:dyDescent="0.25">
      <c r="A18" s="9" t="s">
        <v>24</v>
      </c>
      <c r="B18" s="19">
        <f>SUM(B14:B17)</f>
        <v>10570</v>
      </c>
      <c r="C18" s="19">
        <f t="shared" ref="C18:D18" si="5">SUM(C14:C17)</f>
        <v>0</v>
      </c>
      <c r="D18" s="19">
        <f t="shared" si="5"/>
        <v>48560</v>
      </c>
      <c r="E18" s="19">
        <f>SUM(E14:E17)</f>
        <v>46350</v>
      </c>
      <c r="F18" s="19">
        <f t="shared" ref="F18:M18" si="6">SUM(F14:F17)</f>
        <v>50580</v>
      </c>
      <c r="G18" s="19">
        <f t="shared" si="6"/>
        <v>102460</v>
      </c>
      <c r="H18" s="19">
        <f t="shared" si="6"/>
        <v>8110</v>
      </c>
      <c r="I18" s="19">
        <f t="shared" si="6"/>
        <v>70180</v>
      </c>
      <c r="J18" s="19">
        <f t="shared" si="6"/>
        <v>0</v>
      </c>
      <c r="K18" s="19">
        <f t="shared" si="6"/>
        <v>40250</v>
      </c>
      <c r="L18" s="19">
        <f t="shared" si="6"/>
        <v>10676</v>
      </c>
      <c r="M18" s="19">
        <f t="shared" si="6"/>
        <v>1050000</v>
      </c>
      <c r="N18" s="19">
        <f>SUM(N14:N17)</f>
        <v>1437736</v>
      </c>
      <c r="O18" s="28">
        <f>SUM(B18:M18)</f>
        <v>1437736</v>
      </c>
    </row>
    <row r="19" spans="1:17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7" x14ac:dyDescent="0.25">
      <c r="A20" s="20"/>
      <c r="B20" s="10">
        <v>43101</v>
      </c>
      <c r="C20" s="10">
        <v>43132</v>
      </c>
      <c r="D20" s="10">
        <v>43160</v>
      </c>
      <c r="E20" s="10">
        <v>43191</v>
      </c>
      <c r="F20" s="10">
        <v>43221</v>
      </c>
      <c r="G20" s="10">
        <v>43252</v>
      </c>
      <c r="H20" s="10">
        <v>43282</v>
      </c>
      <c r="I20" s="10">
        <v>43313</v>
      </c>
      <c r="J20" s="10">
        <v>43344</v>
      </c>
      <c r="K20" s="10">
        <v>43374</v>
      </c>
      <c r="L20" s="10">
        <v>43405</v>
      </c>
      <c r="M20" s="10">
        <v>43435</v>
      </c>
      <c r="N20" s="11" t="s">
        <v>23</v>
      </c>
      <c r="O20" s="21"/>
    </row>
    <row r="21" spans="1:17" x14ac:dyDescent="0.25">
      <c r="A21" s="9" t="s">
        <v>31</v>
      </c>
      <c r="B21" s="22">
        <v>186000</v>
      </c>
      <c r="C21" s="22">
        <v>163500</v>
      </c>
      <c r="D21" s="22">
        <v>158700</v>
      </c>
      <c r="E21" s="22">
        <v>144700</v>
      </c>
      <c r="F21" s="22">
        <v>148700</v>
      </c>
      <c r="G21" s="22">
        <v>146700</v>
      </c>
      <c r="H21" s="22">
        <v>146700</v>
      </c>
      <c r="I21" s="22">
        <v>143500</v>
      </c>
      <c r="J21" s="22">
        <v>149500</v>
      </c>
      <c r="K21" s="22">
        <v>193500</v>
      </c>
      <c r="L21" s="22">
        <v>181100</v>
      </c>
      <c r="M21" s="22">
        <v>183600</v>
      </c>
      <c r="N21" s="22">
        <f>SUM(B21:M21)</f>
        <v>1946200</v>
      </c>
    </row>
    <row r="22" spans="1:17" x14ac:dyDescent="0.25">
      <c r="A22" s="9" t="s">
        <v>32</v>
      </c>
      <c r="B22" s="22">
        <v>0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N22" s="22">
        <f>SUM(B22:M22)</f>
        <v>0</v>
      </c>
    </row>
    <row r="23" spans="1:17" x14ac:dyDescent="0.25">
      <c r="A23" s="9" t="s">
        <v>33</v>
      </c>
      <c r="B23" s="22">
        <v>0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113020</v>
      </c>
      <c r="I23" s="22">
        <v>0</v>
      </c>
      <c r="J23" s="22">
        <v>0</v>
      </c>
      <c r="K23" s="22">
        <v>33630</v>
      </c>
      <c r="L23" s="22">
        <v>0</v>
      </c>
      <c r="M23" s="22">
        <v>0</v>
      </c>
      <c r="N23" s="22">
        <f>SUM(B23:M23)</f>
        <v>146650</v>
      </c>
    </row>
    <row r="24" spans="1:17" x14ac:dyDescent="0.25">
      <c r="A24" s="23" t="s">
        <v>34</v>
      </c>
      <c r="B24" s="24">
        <f>SUM(B21:B23)</f>
        <v>186000</v>
      </c>
      <c r="C24" s="24">
        <f>SUM(C21:C23)</f>
        <v>163500</v>
      </c>
      <c r="D24" s="24">
        <f>SUM(D21:D23)</f>
        <v>158700</v>
      </c>
      <c r="E24" s="25">
        <f t="shared" ref="E24:M24" si="7">SUM(E21:E23)</f>
        <v>144700</v>
      </c>
      <c r="F24" s="25">
        <f t="shared" si="7"/>
        <v>148700</v>
      </c>
      <c r="G24" s="25">
        <f t="shared" si="7"/>
        <v>146700</v>
      </c>
      <c r="H24" s="25">
        <f t="shared" si="7"/>
        <v>259720</v>
      </c>
      <c r="I24" s="25">
        <f t="shared" si="7"/>
        <v>143500</v>
      </c>
      <c r="J24" s="25">
        <f t="shared" si="7"/>
        <v>149500</v>
      </c>
      <c r="K24" s="25">
        <f t="shared" si="7"/>
        <v>227130</v>
      </c>
      <c r="L24" s="25">
        <f t="shared" si="7"/>
        <v>181100</v>
      </c>
      <c r="M24" s="25">
        <f t="shared" si="7"/>
        <v>183600</v>
      </c>
      <c r="N24" s="25">
        <f>SUM(B24:M24)</f>
        <v>2092850</v>
      </c>
      <c r="O24" s="17">
        <f>SUM(N20:N23)</f>
        <v>2092850</v>
      </c>
    </row>
    <row r="25" spans="1:17" x14ac:dyDescent="0.25">
      <c r="A25" s="26" t="s">
        <v>35</v>
      </c>
      <c r="B25" s="27">
        <f>+B18+B11+B5</f>
        <v>40570</v>
      </c>
      <c r="C25" s="27">
        <f>+C18+C11+C5</f>
        <v>40000</v>
      </c>
      <c r="D25" s="27">
        <f>+D18+D11+D5</f>
        <v>78560</v>
      </c>
      <c r="E25" s="27">
        <f t="shared" ref="E25:M25" si="8">+E18+E11+E5</f>
        <v>96350</v>
      </c>
      <c r="F25" s="27">
        <f t="shared" si="8"/>
        <v>110580</v>
      </c>
      <c r="G25" s="27">
        <f t="shared" si="8"/>
        <v>192460</v>
      </c>
      <c r="H25" s="27">
        <f t="shared" si="8"/>
        <v>38110</v>
      </c>
      <c r="I25" s="27">
        <f t="shared" si="8"/>
        <v>100180</v>
      </c>
      <c r="J25" s="27">
        <f t="shared" si="8"/>
        <v>105000</v>
      </c>
      <c r="K25" s="27">
        <f t="shared" si="8"/>
        <v>70250</v>
      </c>
      <c r="L25" s="27">
        <f t="shared" si="8"/>
        <v>85676</v>
      </c>
      <c r="M25" s="27">
        <f t="shared" si="8"/>
        <v>1090000</v>
      </c>
      <c r="N25" s="27">
        <f>SUM(B25:M25)</f>
        <v>2047736</v>
      </c>
      <c r="O25" s="17">
        <f>+O18+O11+O5</f>
        <v>2047736</v>
      </c>
    </row>
    <row r="26" spans="1:17" x14ac:dyDescent="0.25">
      <c r="A26" s="9" t="s">
        <v>36</v>
      </c>
      <c r="B26" s="29">
        <f>+B25/B24</f>
        <v>0.21811827956989246</v>
      </c>
      <c r="C26" s="29">
        <f>+C25/C24</f>
        <v>0.24464831804281345</v>
      </c>
      <c r="D26" s="29">
        <f>+D25/D24</f>
        <v>0.49502205419029616</v>
      </c>
      <c r="E26" s="29">
        <f t="shared" ref="E26:M26" si="9">+E25/E24</f>
        <v>0.66586040082930198</v>
      </c>
      <c r="F26" s="29">
        <f t="shared" si="9"/>
        <v>0.74364492266308002</v>
      </c>
      <c r="G26" s="29">
        <f>+G25/G24</f>
        <v>1.3119291070211316</v>
      </c>
      <c r="H26" s="29">
        <f t="shared" si="9"/>
        <v>0.14673494532573542</v>
      </c>
      <c r="I26" s="29">
        <f t="shared" si="9"/>
        <v>0.69811846689895474</v>
      </c>
      <c r="J26" s="29">
        <f t="shared" si="9"/>
        <v>0.7023411371237458</v>
      </c>
      <c r="K26" s="29">
        <f t="shared" si="9"/>
        <v>0.30929423678069828</v>
      </c>
      <c r="L26" s="29">
        <f t="shared" si="9"/>
        <v>0.47308669243511869</v>
      </c>
      <c r="M26" s="29">
        <f t="shared" si="9"/>
        <v>5.9368191721132897</v>
      </c>
      <c r="N26" s="30">
        <f>+N25/N24</f>
        <v>0.97844374895477459</v>
      </c>
      <c r="O26" s="31">
        <f>+N24-N25</f>
        <v>45114</v>
      </c>
      <c r="P26" s="28"/>
    </row>
    <row r="27" spans="1:17" x14ac:dyDescent="0.25">
      <c r="A27" s="9"/>
      <c r="N27" s="32" t="s">
        <v>94</v>
      </c>
      <c r="O27" s="33">
        <f>+'2017'!O28</f>
        <v>234784</v>
      </c>
      <c r="P27" s="28"/>
    </row>
    <row r="28" spans="1:17" x14ac:dyDescent="0.25">
      <c r="M28" s="35">
        <v>43607</v>
      </c>
      <c r="N28" s="39" t="s">
        <v>38</v>
      </c>
      <c r="O28" s="40">
        <f>SUM(O26:O27)</f>
        <v>279898</v>
      </c>
    </row>
    <row r="30" spans="1:17" x14ac:dyDescent="0.25">
      <c r="M30" s="28"/>
      <c r="N30" s="9" t="s">
        <v>39</v>
      </c>
      <c r="O30" s="41">
        <v>279898</v>
      </c>
    </row>
    <row r="31" spans="1:17" x14ac:dyDescent="0.25">
      <c r="M31" s="42">
        <v>2018</v>
      </c>
      <c r="N31" s="43" t="s">
        <v>40</v>
      </c>
      <c r="O31" s="31">
        <f>+O30-O28</f>
        <v>0</v>
      </c>
      <c r="Q31" s="28"/>
    </row>
    <row r="32" spans="1:17" x14ac:dyDescent="0.25">
      <c r="N32" s="44"/>
      <c r="O32" s="45"/>
    </row>
  </sheetData>
  <pageMargins left="0.25" right="0.25" top="0.75" bottom="0.75" header="0.3" footer="0.3"/>
  <pageSetup scale="8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>
    <pageSetUpPr fitToPage="1"/>
  </sheetPr>
  <dimension ref="A1:S40"/>
  <sheetViews>
    <sheetView showGridLines="0" zoomScaleNormal="100" zoomScaleSheetLayoutView="100" workbookViewId="0">
      <pane xSplit="1" ySplit="1" topLeftCell="B17" activePane="bottomRight" state="frozen"/>
      <selection activeCell="O5" sqref="O5"/>
      <selection pane="topRight" activeCell="O5" sqref="O5"/>
      <selection pane="bottomLeft" activeCell="O5" sqref="O5"/>
      <selection pane="bottomRight" activeCell="O30" sqref="O30"/>
    </sheetView>
  </sheetViews>
  <sheetFormatPr baseColWidth="10" defaultRowHeight="15" x14ac:dyDescent="0.25"/>
  <cols>
    <col min="1" max="1" width="10.7109375" style="34" bestFit="1" customWidth="1"/>
    <col min="2" max="12" width="10.42578125" style="12" bestFit="1" customWidth="1"/>
    <col min="13" max="15" width="12" style="12" bestFit="1" customWidth="1"/>
    <col min="16" max="16" width="4" style="12" customWidth="1"/>
    <col min="17" max="17" width="9.42578125" style="12" bestFit="1" customWidth="1"/>
    <col min="18" max="18" width="4.42578125" style="32" customWidth="1"/>
    <col min="19" max="19" width="12.5703125" style="12" bestFit="1" customWidth="1"/>
    <col min="20" max="16384" width="11.42578125" style="12"/>
  </cols>
  <sheetData>
    <row r="1" spans="1:15" x14ac:dyDescent="0.25">
      <c r="A1" s="9" t="s">
        <v>22</v>
      </c>
      <c r="B1" s="10">
        <v>43466</v>
      </c>
      <c r="C1" s="10">
        <v>43497</v>
      </c>
      <c r="D1" s="10">
        <v>43525</v>
      </c>
      <c r="E1" s="10">
        <v>43556</v>
      </c>
      <c r="F1" s="10">
        <v>43586</v>
      </c>
      <c r="G1" s="10">
        <v>43617</v>
      </c>
      <c r="H1" s="10">
        <v>43647</v>
      </c>
      <c r="I1" s="10">
        <v>43678</v>
      </c>
      <c r="J1" s="10">
        <v>43709</v>
      </c>
      <c r="K1" s="10">
        <v>43739</v>
      </c>
      <c r="L1" s="10">
        <v>43770</v>
      </c>
      <c r="M1" s="10">
        <v>43800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5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43466</v>
      </c>
      <c r="C7" s="10">
        <v>43497</v>
      </c>
      <c r="D7" s="10">
        <v>43525</v>
      </c>
      <c r="E7" s="10">
        <v>43556</v>
      </c>
      <c r="F7" s="10">
        <v>43586</v>
      </c>
      <c r="G7" s="10">
        <v>43617</v>
      </c>
      <c r="H7" s="10">
        <v>43647</v>
      </c>
      <c r="I7" s="10">
        <v>43678</v>
      </c>
      <c r="J7" s="10">
        <v>43709</v>
      </c>
      <c r="K7" s="10">
        <v>43739</v>
      </c>
      <c r="L7" s="10">
        <v>43770</v>
      </c>
      <c r="M7" s="10">
        <v>43800</v>
      </c>
      <c r="N7" s="11" t="s">
        <v>23</v>
      </c>
    </row>
    <row r="8" spans="1:15" x14ac:dyDescent="0.25">
      <c r="A8" s="13" t="s">
        <v>1</v>
      </c>
      <c r="B8" s="14">
        <v>0</v>
      </c>
      <c r="C8" s="14">
        <v>10000</v>
      </c>
      <c r="D8" s="14">
        <v>10000</v>
      </c>
      <c r="E8" s="14">
        <v>25000</v>
      </c>
      <c r="F8" s="14">
        <v>10000</v>
      </c>
      <c r="G8" s="14">
        <v>5000</v>
      </c>
      <c r="H8" s="14">
        <v>0</v>
      </c>
      <c r="I8" s="14">
        <v>10000</v>
      </c>
      <c r="J8" s="14">
        <v>15000</v>
      </c>
      <c r="K8" s="14">
        <v>0</v>
      </c>
      <c r="L8" s="14">
        <v>5000</v>
      </c>
      <c r="M8" s="14">
        <v>5000</v>
      </c>
      <c r="N8" s="15">
        <f t="shared" ref="N8:N10" si="2">SUM(B8:M8)</f>
        <v>95000</v>
      </c>
    </row>
    <row r="9" spans="1:15" x14ac:dyDescent="0.25">
      <c r="A9" s="13" t="s">
        <v>3</v>
      </c>
      <c r="B9" s="14">
        <v>0</v>
      </c>
      <c r="C9" s="14">
        <v>10000</v>
      </c>
      <c r="D9" s="14">
        <v>5000</v>
      </c>
      <c r="E9" s="14">
        <v>30000</v>
      </c>
      <c r="F9" s="14">
        <v>10000</v>
      </c>
      <c r="G9" s="14">
        <v>5000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5">
        <f t="shared" si="2"/>
        <v>60000</v>
      </c>
    </row>
    <row r="10" spans="1:15" x14ac:dyDescent="0.25">
      <c r="A10" s="13" t="s">
        <v>4</v>
      </c>
      <c r="B10" s="14">
        <v>0</v>
      </c>
      <c r="C10" s="14">
        <v>0</v>
      </c>
      <c r="D10" s="14">
        <v>0</v>
      </c>
      <c r="E10" s="14">
        <v>25000</v>
      </c>
      <c r="F10" s="14">
        <v>5000</v>
      </c>
      <c r="G10" s="14">
        <v>0</v>
      </c>
      <c r="H10" s="14">
        <v>0</v>
      </c>
      <c r="I10" s="14">
        <v>0</v>
      </c>
      <c r="J10" s="14">
        <v>15000</v>
      </c>
      <c r="K10" s="14">
        <v>0</v>
      </c>
      <c r="L10" s="14">
        <v>0</v>
      </c>
      <c r="M10" s="14">
        <v>5000</v>
      </c>
      <c r="N10" s="15">
        <f t="shared" si="2"/>
        <v>50000</v>
      </c>
    </row>
    <row r="11" spans="1:15" x14ac:dyDescent="0.25">
      <c r="A11" s="9" t="s">
        <v>24</v>
      </c>
      <c r="B11" s="19">
        <f>SUM(B8:B10)</f>
        <v>0</v>
      </c>
      <c r="C11" s="19">
        <f>SUM(C8:C10)</f>
        <v>20000</v>
      </c>
      <c r="D11" s="19">
        <f>SUM(D8:D10)</f>
        <v>15000</v>
      </c>
      <c r="E11" s="19">
        <f>SUM(E8:E10)</f>
        <v>80000</v>
      </c>
      <c r="F11" s="19">
        <f>SUM(F8:F10)</f>
        <v>25000</v>
      </c>
      <c r="G11" s="19">
        <f t="shared" ref="G11:M11" si="3">SUM(G8:G10)</f>
        <v>10000</v>
      </c>
      <c r="H11" s="19">
        <f t="shared" si="3"/>
        <v>0</v>
      </c>
      <c r="I11" s="19">
        <f t="shared" si="3"/>
        <v>10000</v>
      </c>
      <c r="J11" s="19">
        <f t="shared" si="3"/>
        <v>30000</v>
      </c>
      <c r="K11" s="19">
        <f t="shared" si="3"/>
        <v>0</v>
      </c>
      <c r="L11" s="19">
        <f t="shared" si="3"/>
        <v>5000</v>
      </c>
      <c r="M11" s="19">
        <f t="shared" si="3"/>
        <v>10000</v>
      </c>
      <c r="N11" s="19">
        <f>SUM(N7:N10)</f>
        <v>205000</v>
      </c>
      <c r="O11" s="28">
        <f>SUM(B11:M11)</f>
        <v>205000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43466</v>
      </c>
      <c r="C13" s="10">
        <v>43497</v>
      </c>
      <c r="D13" s="10">
        <v>43525</v>
      </c>
      <c r="E13" s="10">
        <v>43556</v>
      </c>
      <c r="F13" s="10">
        <v>43586</v>
      </c>
      <c r="G13" s="10">
        <v>43617</v>
      </c>
      <c r="H13" s="10">
        <v>43647</v>
      </c>
      <c r="I13" s="10">
        <v>43678</v>
      </c>
      <c r="J13" s="10">
        <v>43709</v>
      </c>
      <c r="K13" s="10">
        <v>43739</v>
      </c>
      <c r="L13" s="10">
        <v>43770</v>
      </c>
      <c r="M13" s="10">
        <v>43800</v>
      </c>
      <c r="N13" s="11" t="s">
        <v>23</v>
      </c>
    </row>
    <row r="14" spans="1:15" x14ac:dyDescent="0.25">
      <c r="A14" s="13" t="s">
        <v>27</v>
      </c>
      <c r="B14" s="14">
        <f>13990+7570+3500</f>
        <v>25060</v>
      </c>
      <c r="C14" s="14">
        <v>0</v>
      </c>
      <c r="D14" s="14">
        <v>11040</v>
      </c>
      <c r="E14" s="14">
        <f>8110+23690+9010+340+13000+2488+3850+1100+1550+1010</f>
        <v>64148</v>
      </c>
      <c r="F14" s="14">
        <f>2890+2770+7490</f>
        <v>13150</v>
      </c>
      <c r="G14" s="14">
        <f>6420+1270+2650+20980+5350+2440+7585+14370+27660+2330+2650+2750</f>
        <v>96455</v>
      </c>
      <c r="H14" s="14">
        <v>6990</v>
      </c>
      <c r="I14" s="14">
        <f>3540+3998+5980</f>
        <v>13518</v>
      </c>
      <c r="J14" s="14">
        <v>0</v>
      </c>
      <c r="K14" s="14">
        <v>12930</v>
      </c>
      <c r="L14" s="14">
        <f>7660+12154+10670</f>
        <v>30484</v>
      </c>
      <c r="M14" s="14">
        <f>75*15000+15900+620+6*600</f>
        <v>1145120</v>
      </c>
      <c r="N14" s="15">
        <f t="shared" ref="N14:N17" si="4">SUM(B14:M14)</f>
        <v>1418895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24000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24000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5">
        <f t="shared" si="4"/>
        <v>0</v>
      </c>
    </row>
    <row r="17" spans="1:19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0</v>
      </c>
    </row>
    <row r="18" spans="1:19" x14ac:dyDescent="0.25">
      <c r="A18" s="9" t="s">
        <v>24</v>
      </c>
      <c r="B18" s="19">
        <f>SUM(B14:B17)</f>
        <v>25060</v>
      </c>
      <c r="C18" s="19">
        <f t="shared" ref="C18:D18" si="5">SUM(C14:C17)</f>
        <v>0</v>
      </c>
      <c r="D18" s="19">
        <f t="shared" si="5"/>
        <v>35040</v>
      </c>
      <c r="E18" s="19">
        <f>SUM(E14:E17)</f>
        <v>64148</v>
      </c>
      <c r="F18" s="19">
        <f t="shared" ref="F18:M18" si="6">SUM(F14:F17)</f>
        <v>13150</v>
      </c>
      <c r="G18" s="19">
        <f t="shared" si="6"/>
        <v>96455</v>
      </c>
      <c r="H18" s="19">
        <f t="shared" si="6"/>
        <v>6990</v>
      </c>
      <c r="I18" s="19">
        <f t="shared" si="6"/>
        <v>13518</v>
      </c>
      <c r="J18" s="19">
        <f t="shared" si="6"/>
        <v>0</v>
      </c>
      <c r="K18" s="19">
        <f t="shared" si="6"/>
        <v>12930</v>
      </c>
      <c r="L18" s="19">
        <f t="shared" si="6"/>
        <v>30484</v>
      </c>
      <c r="M18" s="19">
        <f t="shared" si="6"/>
        <v>1145120</v>
      </c>
      <c r="N18" s="19">
        <f>SUM(N14:N17)</f>
        <v>1442895</v>
      </c>
      <c r="O18" s="28">
        <f>SUM(B18:M18)</f>
        <v>1442895</v>
      </c>
    </row>
    <row r="19" spans="1:19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9" x14ac:dyDescent="0.25">
      <c r="A20" s="20"/>
      <c r="B20" s="10">
        <v>43466</v>
      </c>
      <c r="C20" s="10">
        <v>43497</v>
      </c>
      <c r="D20" s="10">
        <v>43525</v>
      </c>
      <c r="E20" s="10">
        <v>43556</v>
      </c>
      <c r="F20" s="10">
        <v>43586</v>
      </c>
      <c r="G20" s="10">
        <v>43617</v>
      </c>
      <c r="H20" s="10">
        <v>43647</v>
      </c>
      <c r="I20" s="10">
        <v>43678</v>
      </c>
      <c r="J20" s="10">
        <v>43709</v>
      </c>
      <c r="K20" s="10">
        <v>43739</v>
      </c>
      <c r="L20" s="10">
        <v>43770</v>
      </c>
      <c r="M20" s="10">
        <v>43800</v>
      </c>
      <c r="N20" s="11" t="s">
        <v>23</v>
      </c>
      <c r="O20" s="21"/>
    </row>
    <row r="21" spans="1:19" x14ac:dyDescent="0.25">
      <c r="A21" s="9" t="s">
        <v>31</v>
      </c>
      <c r="B21" s="22">
        <v>183600</v>
      </c>
      <c r="C21" s="22">
        <f>13500+170000</f>
        <v>183500</v>
      </c>
      <c r="D21" s="22">
        <f>13500+165000</f>
        <v>178500</v>
      </c>
      <c r="E21" s="22">
        <f>13500+180000</f>
        <v>193500</v>
      </c>
      <c r="F21" s="46">
        <f>167500+13500+2800</f>
        <v>183800</v>
      </c>
      <c r="G21" s="14">
        <f>13500+175000+2800</f>
        <v>191300</v>
      </c>
      <c r="H21" s="14">
        <f>13500+174546+2800</f>
        <v>190846</v>
      </c>
      <c r="I21" s="14">
        <f>13500+177500+5600</f>
        <v>196600</v>
      </c>
      <c r="J21" s="14">
        <f>13500+172500</f>
        <v>186000</v>
      </c>
      <c r="K21" s="14">
        <f>11100+185000</f>
        <v>196100</v>
      </c>
      <c r="L21" s="14">
        <v>188600</v>
      </c>
      <c r="M21" s="14">
        <v>182710</v>
      </c>
      <c r="N21" s="22">
        <f>SUM(B21:M21)</f>
        <v>2255056</v>
      </c>
    </row>
    <row r="22" spans="1:19" x14ac:dyDescent="0.25">
      <c r="A22" s="9" t="s">
        <v>32</v>
      </c>
      <c r="B22" s="22">
        <v>0</v>
      </c>
      <c r="C22" s="22">
        <v>0</v>
      </c>
      <c r="D22" s="22">
        <v>0</v>
      </c>
      <c r="E22" s="22">
        <v>0</v>
      </c>
      <c r="F22" s="47">
        <f>45000</f>
        <v>45000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22">
        <f>SUM(B22:M22)</f>
        <v>45000</v>
      </c>
    </row>
    <row r="23" spans="1:19" x14ac:dyDescent="0.25">
      <c r="A23" s="9" t="s">
        <v>33</v>
      </c>
      <c r="B23" s="22">
        <v>0</v>
      </c>
      <c r="C23" s="22">
        <v>0</v>
      </c>
      <c r="D23" s="22">
        <v>0</v>
      </c>
      <c r="E23" s="22">
        <v>52649</v>
      </c>
      <c r="F23" s="22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22">
        <f>SUM(B23:M23)</f>
        <v>52649</v>
      </c>
    </row>
    <row r="24" spans="1:19" x14ac:dyDescent="0.25">
      <c r="A24" s="23" t="s">
        <v>34</v>
      </c>
      <c r="B24" s="25">
        <f>SUM(B21:B23)</f>
        <v>183600</v>
      </c>
      <c r="C24" s="25">
        <f>SUM(C21:C23)</f>
        <v>183500</v>
      </c>
      <c r="D24" s="25">
        <f>SUM(D21:D23)</f>
        <v>178500</v>
      </c>
      <c r="E24" s="25">
        <f t="shared" ref="E24:M24" si="7">SUM(E21:E23)</f>
        <v>246149</v>
      </c>
      <c r="F24" s="25">
        <f t="shared" si="7"/>
        <v>228800</v>
      </c>
      <c r="G24" s="25">
        <f t="shared" si="7"/>
        <v>191300</v>
      </c>
      <c r="H24" s="25">
        <f t="shared" si="7"/>
        <v>190846</v>
      </c>
      <c r="I24" s="25">
        <f t="shared" si="7"/>
        <v>196600</v>
      </c>
      <c r="J24" s="25">
        <f t="shared" si="7"/>
        <v>186000</v>
      </c>
      <c r="K24" s="25">
        <f t="shared" si="7"/>
        <v>196100</v>
      </c>
      <c r="L24" s="25">
        <f t="shared" si="7"/>
        <v>188600</v>
      </c>
      <c r="M24" s="25">
        <f t="shared" si="7"/>
        <v>182710</v>
      </c>
      <c r="N24" s="25">
        <f>SUM(B24:M24)</f>
        <v>2352705</v>
      </c>
      <c r="O24" s="17">
        <f>SUM(N21:N23)</f>
        <v>2352705</v>
      </c>
    </row>
    <row r="25" spans="1:19" x14ac:dyDescent="0.25">
      <c r="A25" s="26" t="s">
        <v>35</v>
      </c>
      <c r="B25" s="27">
        <f>+B18+B11+B5</f>
        <v>55060</v>
      </c>
      <c r="C25" s="27">
        <f>+C18+C11+C5</f>
        <v>50000</v>
      </c>
      <c r="D25" s="27">
        <f>+D18+D11+D5</f>
        <v>80040</v>
      </c>
      <c r="E25" s="27">
        <f t="shared" ref="E25:M25" si="8">+E18+E11+E5</f>
        <v>174148</v>
      </c>
      <c r="F25" s="27">
        <f t="shared" si="8"/>
        <v>68150</v>
      </c>
      <c r="G25" s="27">
        <f t="shared" si="8"/>
        <v>136455</v>
      </c>
      <c r="H25" s="27">
        <f t="shared" si="8"/>
        <v>36990</v>
      </c>
      <c r="I25" s="27">
        <f t="shared" si="8"/>
        <v>53518</v>
      </c>
      <c r="J25" s="27">
        <f t="shared" si="8"/>
        <v>60000</v>
      </c>
      <c r="K25" s="27">
        <f t="shared" si="8"/>
        <v>42930</v>
      </c>
      <c r="L25" s="27">
        <f t="shared" si="8"/>
        <v>65484</v>
      </c>
      <c r="M25" s="27">
        <f t="shared" si="8"/>
        <v>1185120</v>
      </c>
      <c r="N25" s="27">
        <f>SUM(B25:M25)</f>
        <v>2007895</v>
      </c>
      <c r="O25" s="17">
        <f>+O18+O11+O5</f>
        <v>2007895</v>
      </c>
    </row>
    <row r="26" spans="1:19" x14ac:dyDescent="0.25">
      <c r="A26" s="9" t="s">
        <v>36</v>
      </c>
      <c r="B26" s="29">
        <f>+B25/B24</f>
        <v>0.29989106753812639</v>
      </c>
      <c r="C26" s="29">
        <f>+C25/C24</f>
        <v>0.27247956403269757</v>
      </c>
      <c r="D26" s="29">
        <f>+D25/D24</f>
        <v>0.44840336134453779</v>
      </c>
      <c r="E26" s="29">
        <f t="shared" ref="E26:M26" si="9">+E25/E24</f>
        <v>0.70749017871289344</v>
      </c>
      <c r="F26" s="29">
        <f t="shared" si="9"/>
        <v>0.29785839160839161</v>
      </c>
      <c r="G26" s="29">
        <f t="shared" si="9"/>
        <v>0.71330371144798743</v>
      </c>
      <c r="H26" s="29">
        <f t="shared" si="9"/>
        <v>0.19382119614767929</v>
      </c>
      <c r="I26" s="29">
        <f t="shared" si="9"/>
        <v>0.27221770091556458</v>
      </c>
      <c r="J26" s="29">
        <f t="shared" si="9"/>
        <v>0.32258064516129031</v>
      </c>
      <c r="K26" s="29">
        <f t="shared" si="9"/>
        <v>0.21891891891891893</v>
      </c>
      <c r="L26" s="29">
        <f t="shared" si="9"/>
        <v>0.34721102863202546</v>
      </c>
      <c r="M26" s="29">
        <f t="shared" si="9"/>
        <v>6.4863444803240107</v>
      </c>
      <c r="N26" s="30">
        <f>+N25/N24</f>
        <v>0.85344103914430414</v>
      </c>
      <c r="O26" s="48">
        <f>+N24-N25</f>
        <v>344810</v>
      </c>
      <c r="P26" s="28"/>
    </row>
    <row r="27" spans="1:19" x14ac:dyDescent="0.25">
      <c r="A27" s="9"/>
      <c r="N27" s="32" t="s">
        <v>41</v>
      </c>
      <c r="O27" s="33">
        <f>+'2018'!O28</f>
        <v>279898</v>
      </c>
      <c r="P27" s="28"/>
    </row>
    <row r="28" spans="1:19" x14ac:dyDescent="0.25">
      <c r="M28" s="35"/>
      <c r="N28" s="39" t="s">
        <v>38</v>
      </c>
      <c r="O28" s="40">
        <f>SUM(O26:O27)</f>
        <v>624708</v>
      </c>
    </row>
    <row r="29" spans="1:19" ht="15.75" thickBot="1" x14ac:dyDescent="0.3"/>
    <row r="30" spans="1:19" ht="15.75" thickBot="1" x14ac:dyDescent="0.3">
      <c r="N30" s="49" t="s">
        <v>39</v>
      </c>
      <c r="O30" s="50">
        <f>+S40+45000</f>
        <v>45000</v>
      </c>
      <c r="Q30" s="384">
        <v>43754</v>
      </c>
      <c r="R30" s="385"/>
      <c r="S30" s="386"/>
    </row>
    <row r="31" spans="1:19" x14ac:dyDescent="0.25">
      <c r="M31" s="51"/>
      <c r="N31" s="42"/>
      <c r="O31" s="52"/>
      <c r="Q31" s="53">
        <v>20000</v>
      </c>
      <c r="R31" s="54"/>
      <c r="S31" s="53">
        <f>+Q31*R31</f>
        <v>0</v>
      </c>
    </row>
    <row r="32" spans="1:19" x14ac:dyDescent="0.25">
      <c r="O32" s="55"/>
      <c r="Q32" s="56">
        <v>10000</v>
      </c>
      <c r="R32" s="57"/>
      <c r="S32" s="53">
        <f t="shared" ref="S32:S39" si="10">+Q32*R32</f>
        <v>0</v>
      </c>
    </row>
    <row r="33" spans="14:19" x14ac:dyDescent="0.25">
      <c r="Q33" s="56">
        <v>5000</v>
      </c>
      <c r="R33" s="57"/>
      <c r="S33" s="53">
        <f t="shared" si="10"/>
        <v>0</v>
      </c>
    </row>
    <row r="34" spans="14:19" x14ac:dyDescent="0.25">
      <c r="Q34" s="56">
        <v>2000</v>
      </c>
      <c r="R34" s="57"/>
      <c r="S34" s="53">
        <f t="shared" si="10"/>
        <v>0</v>
      </c>
    </row>
    <row r="35" spans="14:19" x14ac:dyDescent="0.25">
      <c r="Q35" s="56">
        <v>1000</v>
      </c>
      <c r="R35" s="57"/>
      <c r="S35" s="53">
        <f t="shared" si="10"/>
        <v>0</v>
      </c>
    </row>
    <row r="36" spans="14:19" x14ac:dyDescent="0.25">
      <c r="Q36" s="56">
        <v>500</v>
      </c>
      <c r="R36" s="57"/>
      <c r="S36" s="53">
        <f t="shared" si="10"/>
        <v>0</v>
      </c>
    </row>
    <row r="37" spans="14:19" x14ac:dyDescent="0.25">
      <c r="O37" s="21"/>
      <c r="Q37" s="56">
        <v>100</v>
      </c>
      <c r="R37" s="57"/>
      <c r="S37" s="53">
        <f t="shared" si="10"/>
        <v>0</v>
      </c>
    </row>
    <row r="38" spans="14:19" x14ac:dyDescent="0.25">
      <c r="N38" s="58"/>
      <c r="Q38" s="56">
        <v>50</v>
      </c>
      <c r="R38" s="57"/>
      <c r="S38" s="53">
        <f t="shared" si="10"/>
        <v>0</v>
      </c>
    </row>
    <row r="39" spans="14:19" x14ac:dyDescent="0.25">
      <c r="Q39" s="56">
        <v>10</v>
      </c>
      <c r="R39" s="57"/>
      <c r="S39" s="53">
        <f t="shared" si="10"/>
        <v>0</v>
      </c>
    </row>
    <row r="40" spans="14:19" x14ac:dyDescent="0.25">
      <c r="Q40" s="387" t="s">
        <v>39</v>
      </c>
      <c r="R40" s="388"/>
      <c r="S40" s="59">
        <f>SUM(S31:S39)</f>
        <v>0</v>
      </c>
    </row>
  </sheetData>
  <mergeCells count="2">
    <mergeCell ref="Q30:S30"/>
    <mergeCell ref="Q40:R4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8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8">
    <pageSetUpPr fitToPage="1"/>
  </sheetPr>
  <dimension ref="A1:S40"/>
  <sheetViews>
    <sheetView showGridLines="0" zoomScaleNormal="100" zoomScaleSheetLayoutView="100" workbookViewId="0">
      <pane xSplit="1" ySplit="1" topLeftCell="B11" activePane="bottomRight" state="frozen"/>
      <selection activeCell="O5" sqref="O5"/>
      <selection pane="topRight" activeCell="O5" sqref="O5"/>
      <selection pane="bottomLeft" activeCell="O5" sqref="O5"/>
      <selection pane="bottomRight" activeCell="B27" sqref="B27:M28"/>
    </sheetView>
  </sheetViews>
  <sheetFormatPr baseColWidth="10" defaultRowHeight="15" x14ac:dyDescent="0.25"/>
  <cols>
    <col min="1" max="1" width="10.7109375" style="34" bestFit="1" customWidth="1"/>
    <col min="2" max="12" width="10.42578125" style="12" bestFit="1" customWidth="1"/>
    <col min="13" max="15" width="12" style="12" bestFit="1" customWidth="1"/>
    <col min="16" max="16" width="4" style="12" customWidth="1"/>
    <col min="17" max="17" width="9.42578125" style="12" bestFit="1" customWidth="1"/>
    <col min="18" max="18" width="4.42578125" style="32" customWidth="1"/>
    <col min="19" max="19" width="7.140625" style="12" bestFit="1" customWidth="1"/>
    <col min="20" max="16384" width="11.42578125" style="12"/>
  </cols>
  <sheetData>
    <row r="1" spans="1:15" x14ac:dyDescent="0.25">
      <c r="A1" s="9" t="s">
        <v>22</v>
      </c>
      <c r="B1" s="10">
        <v>43831</v>
      </c>
      <c r="C1" s="10">
        <v>43862</v>
      </c>
      <c r="D1" s="10">
        <v>43891</v>
      </c>
      <c r="E1" s="10">
        <v>43922</v>
      </c>
      <c r="F1" s="10">
        <v>43952</v>
      </c>
      <c r="G1" s="10">
        <v>43983</v>
      </c>
      <c r="H1" s="10">
        <v>44013</v>
      </c>
      <c r="I1" s="10">
        <v>44044</v>
      </c>
      <c r="J1" s="10">
        <v>44075</v>
      </c>
      <c r="K1" s="10">
        <v>44105</v>
      </c>
      <c r="L1" s="10">
        <v>44136</v>
      </c>
      <c r="M1" s="10">
        <v>44166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5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43831</v>
      </c>
      <c r="C7" s="10">
        <v>43862</v>
      </c>
      <c r="D7" s="10">
        <v>43891</v>
      </c>
      <c r="E7" s="10">
        <v>43922</v>
      </c>
      <c r="F7" s="10">
        <v>43952</v>
      </c>
      <c r="G7" s="10">
        <v>43983</v>
      </c>
      <c r="H7" s="10">
        <v>44013</v>
      </c>
      <c r="I7" s="10">
        <v>44044</v>
      </c>
      <c r="J7" s="10">
        <v>44075</v>
      </c>
      <c r="K7" s="10">
        <v>44105</v>
      </c>
      <c r="L7" s="10">
        <v>44136</v>
      </c>
      <c r="M7" s="10">
        <v>44166</v>
      </c>
      <c r="N7" s="11" t="s">
        <v>23</v>
      </c>
    </row>
    <row r="8" spans="1:15" x14ac:dyDescent="0.25">
      <c r="A8" s="13" t="s">
        <v>1</v>
      </c>
      <c r="B8" s="14">
        <v>5000</v>
      </c>
      <c r="C8" s="14">
        <v>0</v>
      </c>
      <c r="D8" s="14">
        <v>0</v>
      </c>
      <c r="E8" s="14">
        <v>0</v>
      </c>
      <c r="F8" s="14">
        <v>0</v>
      </c>
      <c r="G8" s="14">
        <v>5000</v>
      </c>
      <c r="H8" s="14">
        <v>5000</v>
      </c>
      <c r="I8" s="14">
        <v>5000</v>
      </c>
      <c r="J8" s="14">
        <v>25000</v>
      </c>
      <c r="K8" s="14">
        <v>0</v>
      </c>
      <c r="L8" s="14">
        <v>0</v>
      </c>
      <c r="M8" s="14">
        <v>5000</v>
      </c>
      <c r="N8" s="15">
        <f t="shared" ref="N8:N10" si="2">SUM(B8:M8)</f>
        <v>50000</v>
      </c>
    </row>
    <row r="9" spans="1:15" x14ac:dyDescent="0.25">
      <c r="A9" s="13" t="s">
        <v>3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5000</v>
      </c>
      <c r="H9" s="14">
        <v>5000</v>
      </c>
      <c r="I9" s="14">
        <v>5000</v>
      </c>
      <c r="J9" s="14">
        <v>25000</v>
      </c>
      <c r="K9" s="14">
        <v>0</v>
      </c>
      <c r="L9" s="14">
        <v>0</v>
      </c>
      <c r="M9" s="14">
        <v>5000</v>
      </c>
      <c r="N9" s="15">
        <f t="shared" si="2"/>
        <v>45000</v>
      </c>
    </row>
    <row r="10" spans="1:15" x14ac:dyDescent="0.25">
      <c r="A10" s="13" t="s">
        <v>4</v>
      </c>
      <c r="B10" s="14">
        <v>5000</v>
      </c>
      <c r="C10" s="14">
        <v>0</v>
      </c>
      <c r="D10" s="14">
        <v>0</v>
      </c>
      <c r="E10" s="14">
        <v>0</v>
      </c>
      <c r="F10" s="14">
        <v>0</v>
      </c>
      <c r="G10" s="14">
        <v>5000</v>
      </c>
      <c r="H10" s="14">
        <v>5000</v>
      </c>
      <c r="I10" s="14">
        <v>5000</v>
      </c>
      <c r="J10" s="14">
        <v>25000</v>
      </c>
      <c r="K10" s="14">
        <v>0</v>
      </c>
      <c r="L10" s="14">
        <v>0</v>
      </c>
      <c r="M10" s="14">
        <v>0</v>
      </c>
      <c r="N10" s="15">
        <f t="shared" si="2"/>
        <v>45000</v>
      </c>
    </row>
    <row r="11" spans="1:15" x14ac:dyDescent="0.25">
      <c r="A11" s="9" t="s">
        <v>24</v>
      </c>
      <c r="B11" s="19">
        <f>SUM(B8:B10)</f>
        <v>10000</v>
      </c>
      <c r="C11" s="19">
        <f>SUM(C8:C10)</f>
        <v>0</v>
      </c>
      <c r="D11" s="19">
        <f>SUM(D8:D10)</f>
        <v>0</v>
      </c>
      <c r="E11" s="19">
        <f>SUM(E8:E10)</f>
        <v>0</v>
      </c>
      <c r="F11" s="19">
        <f>SUM(F8:F10)</f>
        <v>0</v>
      </c>
      <c r="G11" s="19">
        <f t="shared" ref="G11:M11" si="3">SUM(G8:G10)</f>
        <v>15000</v>
      </c>
      <c r="H11" s="19">
        <f t="shared" si="3"/>
        <v>15000</v>
      </c>
      <c r="I11" s="19">
        <f t="shared" si="3"/>
        <v>15000</v>
      </c>
      <c r="J11" s="19">
        <f t="shared" si="3"/>
        <v>75000</v>
      </c>
      <c r="K11" s="19">
        <f t="shared" si="3"/>
        <v>0</v>
      </c>
      <c r="L11" s="19">
        <f t="shared" si="3"/>
        <v>0</v>
      </c>
      <c r="M11" s="19">
        <f t="shared" si="3"/>
        <v>10000</v>
      </c>
      <c r="N11" s="19">
        <f>SUM(N7:N10)</f>
        <v>140000</v>
      </c>
      <c r="O11" s="28">
        <f>SUM(B11:M11)</f>
        <v>140000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43831</v>
      </c>
      <c r="C13" s="10">
        <v>43862</v>
      </c>
      <c r="D13" s="10">
        <v>43891</v>
      </c>
      <c r="E13" s="10">
        <v>43922</v>
      </c>
      <c r="F13" s="10">
        <v>43952</v>
      </c>
      <c r="G13" s="10">
        <v>43983</v>
      </c>
      <c r="H13" s="10">
        <v>44013</v>
      </c>
      <c r="I13" s="10">
        <v>44044</v>
      </c>
      <c r="J13" s="10">
        <v>44075</v>
      </c>
      <c r="K13" s="10">
        <v>44105</v>
      </c>
      <c r="L13" s="10">
        <v>44136</v>
      </c>
      <c r="M13" s="10">
        <v>44166</v>
      </c>
      <c r="N13" s="11" t="s">
        <v>23</v>
      </c>
    </row>
    <row r="14" spans="1:15" x14ac:dyDescent="0.25">
      <c r="A14" s="13" t="s">
        <v>27</v>
      </c>
      <c r="B14" s="14">
        <v>0</v>
      </c>
      <c r="C14" s="14">
        <v>0</v>
      </c>
      <c r="D14" s="14">
        <f>3130+4400</f>
        <v>7530</v>
      </c>
      <c r="E14" s="14">
        <v>0</v>
      </c>
      <c r="F14" s="60">
        <f>3580+28880</f>
        <v>32460</v>
      </c>
      <c r="G14" s="14">
        <f>25490+4440+4220+7880+5230+15705</f>
        <v>62965</v>
      </c>
      <c r="H14" s="14">
        <v>0</v>
      </c>
      <c r="I14" s="14">
        <f>5600+3650</f>
        <v>9250</v>
      </c>
      <c r="J14" s="14">
        <f>8290+8690+4980+4430+7950+1000+4400</f>
        <v>39740</v>
      </c>
      <c r="K14" s="14">
        <f>1290+7840</f>
        <v>9130</v>
      </c>
      <c r="L14" s="14">
        <f>2980+16492</f>
        <v>19472</v>
      </c>
      <c r="M14" s="14">
        <f>7800+10980+4400+75*15000</f>
        <v>1148180</v>
      </c>
      <c r="N14" s="15">
        <f t="shared" ref="N14:N17" si="4">SUM(B14:M14)</f>
        <v>1328727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5">
        <f t="shared" si="4"/>
        <v>0</v>
      </c>
    </row>
    <row r="17" spans="1:19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0</v>
      </c>
    </row>
    <row r="18" spans="1:19" x14ac:dyDescent="0.25">
      <c r="A18" s="9" t="s">
        <v>24</v>
      </c>
      <c r="B18" s="19">
        <f>SUM(B14:B17)</f>
        <v>0</v>
      </c>
      <c r="C18" s="19">
        <f t="shared" ref="C18:D18" si="5">SUM(C14:C17)</f>
        <v>0</v>
      </c>
      <c r="D18" s="19">
        <f t="shared" si="5"/>
        <v>7530</v>
      </c>
      <c r="E18" s="19">
        <f>SUM(E14:E17)</f>
        <v>0</v>
      </c>
      <c r="F18" s="19">
        <f t="shared" ref="F18:M18" si="6">SUM(F14:F17)</f>
        <v>32460</v>
      </c>
      <c r="G18" s="19">
        <f t="shared" si="6"/>
        <v>62965</v>
      </c>
      <c r="H18" s="19">
        <f t="shared" si="6"/>
        <v>0</v>
      </c>
      <c r="I18" s="19">
        <f t="shared" si="6"/>
        <v>9250</v>
      </c>
      <c r="J18" s="19">
        <f t="shared" si="6"/>
        <v>39740</v>
      </c>
      <c r="K18" s="19">
        <f t="shared" si="6"/>
        <v>9130</v>
      </c>
      <c r="L18" s="19">
        <f t="shared" si="6"/>
        <v>19472</v>
      </c>
      <c r="M18" s="19">
        <f t="shared" si="6"/>
        <v>1148180</v>
      </c>
      <c r="N18" s="19">
        <f>SUM(N14:N17)</f>
        <v>1328727</v>
      </c>
      <c r="O18" s="28">
        <f>SUM(B18:M18)</f>
        <v>1328727</v>
      </c>
    </row>
    <row r="19" spans="1:19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9" x14ac:dyDescent="0.25">
      <c r="A20" s="20"/>
      <c r="B20" s="10">
        <v>43831</v>
      </c>
      <c r="C20" s="10">
        <v>43862</v>
      </c>
      <c r="D20" s="10">
        <v>43891</v>
      </c>
      <c r="E20" s="10">
        <v>43922</v>
      </c>
      <c r="F20" s="10">
        <v>43952</v>
      </c>
      <c r="G20" s="10">
        <v>43983</v>
      </c>
      <c r="H20" s="10">
        <v>44013</v>
      </c>
      <c r="I20" s="10">
        <v>44044</v>
      </c>
      <c r="J20" s="10">
        <v>44075</v>
      </c>
      <c r="K20" s="10">
        <v>44105</v>
      </c>
      <c r="L20" s="10">
        <v>44136</v>
      </c>
      <c r="M20" s="10">
        <v>44166</v>
      </c>
      <c r="N20" s="11" t="s">
        <v>23</v>
      </c>
      <c r="O20" s="21"/>
    </row>
    <row r="21" spans="1:19" x14ac:dyDescent="0.25">
      <c r="A21" s="9" t="s">
        <v>31</v>
      </c>
      <c r="B21" s="14">
        <v>193600</v>
      </c>
      <c r="C21" s="14">
        <v>182714</v>
      </c>
      <c r="D21" s="14">
        <v>179600</v>
      </c>
      <c r="E21" s="14">
        <v>193500</v>
      </c>
      <c r="F21" s="14">
        <v>197200</v>
      </c>
      <c r="G21" s="14">
        <v>206810</v>
      </c>
      <c r="H21" s="14">
        <v>194700</v>
      </c>
      <c r="I21" s="14">
        <v>194700</v>
      </c>
      <c r="J21" s="14">
        <v>186000</v>
      </c>
      <c r="K21" s="14">
        <v>190000</v>
      </c>
      <c r="L21" s="14">
        <v>188600</v>
      </c>
      <c r="M21" s="14">
        <v>180000</v>
      </c>
      <c r="N21" s="22">
        <f>SUM(B21:M21)</f>
        <v>2287424</v>
      </c>
    </row>
    <row r="22" spans="1:19" x14ac:dyDescent="0.25">
      <c r="A22" s="9" t="s">
        <v>32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60">
        <v>400000</v>
      </c>
      <c r="L22" s="14">
        <v>0</v>
      </c>
      <c r="M22" s="14">
        <v>0</v>
      </c>
      <c r="N22" s="22">
        <f>SUM(B22:M22)</f>
        <v>400000</v>
      </c>
    </row>
    <row r="23" spans="1:19" x14ac:dyDescent="0.25">
      <c r="A23" s="9" t="s">
        <v>33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22">
        <f>SUM(B23:M23)</f>
        <v>0</v>
      </c>
    </row>
    <row r="24" spans="1:19" x14ac:dyDescent="0.25">
      <c r="A24" s="23" t="s">
        <v>34</v>
      </c>
      <c r="B24" s="25">
        <f>SUM(B21:B23)</f>
        <v>193600</v>
      </c>
      <c r="C24" s="25">
        <f>SUM(C21:C23)</f>
        <v>182714</v>
      </c>
      <c r="D24" s="25">
        <f>SUM(D21:D23)</f>
        <v>179600</v>
      </c>
      <c r="E24" s="25">
        <f t="shared" ref="E24:M24" si="7">SUM(E21:E23)</f>
        <v>193500</v>
      </c>
      <c r="F24" s="25">
        <f t="shared" si="7"/>
        <v>197200</v>
      </c>
      <c r="G24" s="25">
        <f t="shared" si="7"/>
        <v>206810</v>
      </c>
      <c r="H24" s="25">
        <f t="shared" si="7"/>
        <v>194700</v>
      </c>
      <c r="I24" s="25">
        <f t="shared" si="7"/>
        <v>194700</v>
      </c>
      <c r="J24" s="25">
        <f t="shared" si="7"/>
        <v>186000</v>
      </c>
      <c r="K24" s="25">
        <f t="shared" si="7"/>
        <v>590000</v>
      </c>
      <c r="L24" s="25">
        <f t="shared" si="7"/>
        <v>188600</v>
      </c>
      <c r="M24" s="25">
        <f t="shared" si="7"/>
        <v>180000</v>
      </c>
      <c r="N24" s="25">
        <f>SUM(B24:M24)</f>
        <v>2687424</v>
      </c>
      <c r="O24" s="17">
        <f>SUM(N21:N23)</f>
        <v>2687424</v>
      </c>
    </row>
    <row r="25" spans="1:19" x14ac:dyDescent="0.25">
      <c r="A25" s="26" t="s">
        <v>35</v>
      </c>
      <c r="B25" s="27">
        <f>+B18+B11+B5</f>
        <v>40000</v>
      </c>
      <c r="C25" s="27">
        <f>+C18+C11+C5</f>
        <v>30000</v>
      </c>
      <c r="D25" s="27">
        <f>+D18+D11+D5</f>
        <v>37530</v>
      </c>
      <c r="E25" s="27">
        <f t="shared" ref="E25:M25" si="8">+E18+E11+E5</f>
        <v>30000</v>
      </c>
      <c r="F25" s="27">
        <f t="shared" si="8"/>
        <v>62460</v>
      </c>
      <c r="G25" s="27">
        <f t="shared" si="8"/>
        <v>107965</v>
      </c>
      <c r="H25" s="27">
        <f t="shared" si="8"/>
        <v>45000</v>
      </c>
      <c r="I25" s="27">
        <f t="shared" si="8"/>
        <v>54250</v>
      </c>
      <c r="J25" s="27">
        <f t="shared" si="8"/>
        <v>144740</v>
      </c>
      <c r="K25" s="27">
        <f t="shared" si="8"/>
        <v>39130</v>
      </c>
      <c r="L25" s="27">
        <f t="shared" si="8"/>
        <v>49472</v>
      </c>
      <c r="M25" s="27">
        <f t="shared" si="8"/>
        <v>1188180</v>
      </c>
      <c r="N25" s="27">
        <f>SUM(B25:M25)</f>
        <v>1828727</v>
      </c>
      <c r="O25" s="17">
        <f>+O18+O11+O5</f>
        <v>1828727</v>
      </c>
    </row>
    <row r="26" spans="1:19" x14ac:dyDescent="0.25">
      <c r="A26" s="9" t="s">
        <v>36</v>
      </c>
      <c r="B26" s="29">
        <f>+B25/B24</f>
        <v>0.20661157024793389</v>
      </c>
      <c r="C26" s="29">
        <f>+C25/C24</f>
        <v>0.1641910307912913</v>
      </c>
      <c r="D26" s="29">
        <f>+D25/D24</f>
        <v>0.20896436525612472</v>
      </c>
      <c r="E26" s="29">
        <f t="shared" ref="E26:M26" si="9">+E25/E24</f>
        <v>0.15503875968992248</v>
      </c>
      <c r="F26" s="29">
        <f t="shared" si="9"/>
        <v>0.3167342799188641</v>
      </c>
      <c r="G26" s="29">
        <f t="shared" si="9"/>
        <v>0.52204922392534214</v>
      </c>
      <c r="H26" s="29">
        <f t="shared" si="9"/>
        <v>0.23112480739599384</v>
      </c>
      <c r="I26" s="29">
        <f t="shared" si="9"/>
        <v>0.27863379558294815</v>
      </c>
      <c r="J26" s="29">
        <f t="shared" si="9"/>
        <v>0.77817204301075271</v>
      </c>
      <c r="K26" s="29">
        <f t="shared" si="9"/>
        <v>6.6322033898305086E-2</v>
      </c>
      <c r="L26" s="29">
        <f t="shared" si="9"/>
        <v>0.26231177094379637</v>
      </c>
      <c r="M26" s="29">
        <f t="shared" si="9"/>
        <v>6.601</v>
      </c>
      <c r="N26" s="30">
        <f>+N25/N24</f>
        <v>0.68047580136219665</v>
      </c>
      <c r="O26" s="48">
        <f>+N24-N25</f>
        <v>858697</v>
      </c>
      <c r="P26" s="28"/>
    </row>
    <row r="27" spans="1:19" x14ac:dyDescent="0.25">
      <c r="A27" s="9"/>
      <c r="N27" s="32" t="s">
        <v>42</v>
      </c>
      <c r="O27" s="33">
        <f>+'2019'!O28</f>
        <v>624708</v>
      </c>
      <c r="P27" s="28"/>
    </row>
    <row r="28" spans="1:19" x14ac:dyDescent="0.25">
      <c r="M28" s="35"/>
      <c r="N28" s="39" t="s">
        <v>38</v>
      </c>
      <c r="O28" s="40">
        <f>SUM(O26:O27)</f>
        <v>1483405</v>
      </c>
    </row>
    <row r="29" spans="1:19" ht="15.75" thickBot="1" x14ac:dyDescent="0.3"/>
    <row r="30" spans="1:19" ht="15.75" thickBot="1" x14ac:dyDescent="0.3">
      <c r="N30" s="9"/>
      <c r="O30" s="41"/>
      <c r="Q30" s="384"/>
      <c r="R30" s="385"/>
      <c r="S30" s="386"/>
    </row>
    <row r="31" spans="1:19" x14ac:dyDescent="0.25">
      <c r="M31" s="51"/>
      <c r="N31" s="42"/>
      <c r="O31" s="52"/>
      <c r="Q31" s="53">
        <v>20000</v>
      </c>
      <c r="R31" s="54"/>
      <c r="S31" s="53">
        <f>+Q31*R31</f>
        <v>0</v>
      </c>
    </row>
    <row r="32" spans="1:19" x14ac:dyDescent="0.25">
      <c r="O32" s="55"/>
      <c r="Q32" s="56">
        <v>10000</v>
      </c>
      <c r="R32" s="57"/>
      <c r="S32" s="53">
        <f t="shared" ref="S32:S39" si="10">+Q32*R32</f>
        <v>0</v>
      </c>
    </row>
    <row r="33" spans="14:19" x14ac:dyDescent="0.25">
      <c r="Q33" s="56">
        <v>5000</v>
      </c>
      <c r="R33" s="57"/>
      <c r="S33" s="53">
        <f t="shared" si="10"/>
        <v>0</v>
      </c>
    </row>
    <row r="34" spans="14:19" x14ac:dyDescent="0.25">
      <c r="Q34" s="56">
        <v>2000</v>
      </c>
      <c r="R34" s="57"/>
      <c r="S34" s="53">
        <f t="shared" si="10"/>
        <v>0</v>
      </c>
    </row>
    <row r="35" spans="14:19" x14ac:dyDescent="0.25">
      <c r="Q35" s="56">
        <v>1000</v>
      </c>
      <c r="R35" s="57"/>
      <c r="S35" s="53">
        <f t="shared" si="10"/>
        <v>0</v>
      </c>
    </row>
    <row r="36" spans="14:19" x14ac:dyDescent="0.25">
      <c r="Q36" s="56">
        <v>500</v>
      </c>
      <c r="R36" s="57"/>
      <c r="S36" s="53">
        <f t="shared" si="10"/>
        <v>0</v>
      </c>
    </row>
    <row r="37" spans="14:19" x14ac:dyDescent="0.25">
      <c r="O37" s="21"/>
      <c r="Q37" s="56">
        <v>100</v>
      </c>
      <c r="R37" s="57"/>
      <c r="S37" s="53">
        <f t="shared" si="10"/>
        <v>0</v>
      </c>
    </row>
    <row r="38" spans="14:19" x14ac:dyDescent="0.25">
      <c r="N38" s="58"/>
      <c r="Q38" s="56">
        <v>50</v>
      </c>
      <c r="R38" s="57"/>
      <c r="S38" s="53">
        <f t="shared" si="10"/>
        <v>0</v>
      </c>
    </row>
    <row r="39" spans="14:19" x14ac:dyDescent="0.25">
      <c r="N39" s="58"/>
      <c r="Q39" s="56">
        <v>10</v>
      </c>
      <c r="R39" s="57"/>
      <c r="S39" s="53">
        <f t="shared" si="10"/>
        <v>0</v>
      </c>
    </row>
    <row r="40" spans="14:19" x14ac:dyDescent="0.25">
      <c r="Q40" s="387" t="s">
        <v>39</v>
      </c>
      <c r="R40" s="388"/>
      <c r="S40" s="59">
        <f>SUM(S31:S39)</f>
        <v>0</v>
      </c>
    </row>
  </sheetData>
  <mergeCells count="2">
    <mergeCell ref="Q30:S30"/>
    <mergeCell ref="Q40:R4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8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9">
    <pageSetUpPr fitToPage="1"/>
  </sheetPr>
  <dimension ref="A1:X40"/>
  <sheetViews>
    <sheetView showGridLines="0" zoomScaleNormal="100" zoomScaleSheetLayoutView="100" workbookViewId="0">
      <pane xSplit="1" ySplit="1" topLeftCell="B8" activePane="bottomRight" state="frozen"/>
      <selection activeCell="O5" sqref="O5"/>
      <selection pane="topRight" activeCell="O5" sqref="O5"/>
      <selection pane="bottomLeft" activeCell="O5" sqref="O5"/>
      <selection pane="bottomRight" activeCell="O28" sqref="O28"/>
    </sheetView>
  </sheetViews>
  <sheetFormatPr baseColWidth="10" defaultRowHeight="15" x14ac:dyDescent="0.25"/>
  <cols>
    <col min="1" max="1" width="10.7109375" style="34" bestFit="1" customWidth="1"/>
    <col min="2" max="8" width="10.42578125" style="12" bestFit="1" customWidth="1"/>
    <col min="9" max="11" width="10.42578125" style="12" customWidth="1"/>
    <col min="12" max="12" width="12" style="12" bestFit="1" customWidth="1"/>
    <col min="13" max="13" width="10.42578125" style="12" customWidth="1"/>
    <col min="14" max="15" width="12" style="12" bestFit="1" customWidth="1"/>
    <col min="16" max="16" width="4" style="12" customWidth="1"/>
    <col min="17" max="17" width="9.42578125" style="12" bestFit="1" customWidth="1"/>
    <col min="18" max="18" width="4.42578125" style="32" customWidth="1"/>
    <col min="19" max="19" width="12.5703125" style="12" bestFit="1" customWidth="1"/>
    <col min="20" max="20" width="4" style="12" bestFit="1" customWidth="1"/>
    <col min="21" max="22" width="3" style="12" bestFit="1" customWidth="1"/>
    <col min="23" max="24" width="2" style="12" bestFit="1" customWidth="1"/>
    <col min="25" max="16384" width="11.42578125" style="12"/>
  </cols>
  <sheetData>
    <row r="1" spans="1:17" x14ac:dyDescent="0.25">
      <c r="A1" s="9" t="s">
        <v>22</v>
      </c>
      <c r="B1" s="10">
        <v>44197</v>
      </c>
      <c r="C1" s="10">
        <v>44228</v>
      </c>
      <c r="D1" s="10">
        <v>44256</v>
      </c>
      <c r="E1" s="10">
        <v>44287</v>
      </c>
      <c r="F1" s="10">
        <v>44317</v>
      </c>
      <c r="G1" s="10">
        <v>44348</v>
      </c>
      <c r="H1" s="10">
        <v>44378</v>
      </c>
      <c r="I1" s="10">
        <v>44409</v>
      </c>
      <c r="J1" s="10">
        <v>44440</v>
      </c>
      <c r="K1" s="10">
        <v>44470</v>
      </c>
      <c r="L1" s="10">
        <v>44501</v>
      </c>
      <c r="M1" s="10">
        <v>44531</v>
      </c>
      <c r="N1" s="11" t="s">
        <v>23</v>
      </c>
    </row>
    <row r="2" spans="1:17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7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7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7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7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7" x14ac:dyDescent="0.25">
      <c r="A7" s="9" t="s">
        <v>25</v>
      </c>
      <c r="B7" s="10">
        <v>44197</v>
      </c>
      <c r="C7" s="10">
        <v>44228</v>
      </c>
      <c r="D7" s="10">
        <v>44256</v>
      </c>
      <c r="E7" s="10">
        <v>44287</v>
      </c>
      <c r="F7" s="10">
        <v>44317</v>
      </c>
      <c r="G7" s="10">
        <v>44348</v>
      </c>
      <c r="H7" s="10">
        <v>44378</v>
      </c>
      <c r="I7" s="10">
        <v>44409</v>
      </c>
      <c r="J7" s="10">
        <v>44440</v>
      </c>
      <c r="K7" s="10">
        <v>44470</v>
      </c>
      <c r="L7" s="10">
        <v>44501</v>
      </c>
      <c r="M7" s="10">
        <v>44531</v>
      </c>
      <c r="N7" s="11" t="s">
        <v>23</v>
      </c>
    </row>
    <row r="8" spans="1:17" x14ac:dyDescent="0.25">
      <c r="A8" s="13" t="s">
        <v>1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20000</v>
      </c>
      <c r="M8" s="14">
        <v>0</v>
      </c>
      <c r="N8" s="15">
        <f t="shared" ref="N8:N10" si="2">SUM(B8:M8)</f>
        <v>20000</v>
      </c>
    </row>
    <row r="9" spans="1:17" x14ac:dyDescent="0.25">
      <c r="A9" s="13" t="s">
        <v>3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20000</v>
      </c>
      <c r="M9" s="14">
        <v>0</v>
      </c>
      <c r="N9" s="15">
        <f t="shared" si="2"/>
        <v>20000</v>
      </c>
    </row>
    <row r="10" spans="1:17" x14ac:dyDescent="0.25">
      <c r="A10" s="13" t="s">
        <v>4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20000</v>
      </c>
      <c r="M10" s="14">
        <v>0</v>
      </c>
      <c r="N10" s="15">
        <f t="shared" si="2"/>
        <v>20000</v>
      </c>
    </row>
    <row r="11" spans="1:17" x14ac:dyDescent="0.25">
      <c r="A11" s="9" t="s">
        <v>24</v>
      </c>
      <c r="B11" s="19">
        <f>SUM(B8:B10)</f>
        <v>0</v>
      </c>
      <c r="C11" s="19">
        <f>SUM(C8:C10)</f>
        <v>0</v>
      </c>
      <c r="D11" s="19">
        <f>SUM(D8:D10)</f>
        <v>0</v>
      </c>
      <c r="E11" s="19">
        <f>SUM(E8:E10)</f>
        <v>0</v>
      </c>
      <c r="F11" s="19">
        <f>SUM(F8:F10)</f>
        <v>0</v>
      </c>
      <c r="G11" s="19">
        <f t="shared" ref="G11:M11" si="3">SUM(G8:G10)</f>
        <v>0</v>
      </c>
      <c r="H11" s="19">
        <f t="shared" si="3"/>
        <v>0</v>
      </c>
      <c r="I11" s="19">
        <f t="shared" si="3"/>
        <v>0</v>
      </c>
      <c r="J11" s="19">
        <f t="shared" si="3"/>
        <v>0</v>
      </c>
      <c r="K11" s="19">
        <f t="shared" si="3"/>
        <v>0</v>
      </c>
      <c r="L11" s="19">
        <f t="shared" si="3"/>
        <v>60000</v>
      </c>
      <c r="M11" s="19">
        <f t="shared" si="3"/>
        <v>0</v>
      </c>
      <c r="N11" s="19">
        <f>SUM(N8:N10)</f>
        <v>60000</v>
      </c>
      <c r="O11" s="28">
        <f>SUM(B11:M11)</f>
        <v>60000</v>
      </c>
    </row>
    <row r="12" spans="1:17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7" x14ac:dyDescent="0.25">
      <c r="A13" s="9" t="s">
        <v>26</v>
      </c>
      <c r="B13" s="10">
        <v>44197</v>
      </c>
      <c r="C13" s="10">
        <v>44228</v>
      </c>
      <c r="D13" s="10">
        <v>44256</v>
      </c>
      <c r="E13" s="10">
        <v>44287</v>
      </c>
      <c r="F13" s="10">
        <v>44317</v>
      </c>
      <c r="G13" s="10">
        <v>44348</v>
      </c>
      <c r="H13" s="10">
        <v>44378</v>
      </c>
      <c r="I13" s="10">
        <v>44409</v>
      </c>
      <c r="J13" s="10">
        <v>44440</v>
      </c>
      <c r="K13" s="10">
        <v>44470</v>
      </c>
      <c r="L13" s="10">
        <v>44501</v>
      </c>
      <c r="M13" s="10">
        <v>44531</v>
      </c>
      <c r="N13" s="11" t="s">
        <v>23</v>
      </c>
    </row>
    <row r="14" spans="1:17" x14ac:dyDescent="0.25">
      <c r="A14" s="13" t="s">
        <v>27</v>
      </c>
      <c r="B14" s="14">
        <v>7430</v>
      </c>
      <c r="C14" s="14">
        <v>0</v>
      </c>
      <c r="D14" s="14">
        <f>21630+5800+1700+1580+13990</f>
        <v>44700</v>
      </c>
      <c r="E14" s="14">
        <v>0</v>
      </c>
      <c r="F14" s="14">
        <f>2490+600+4090</f>
        <v>7180</v>
      </c>
      <c r="G14" s="14">
        <v>8230</v>
      </c>
      <c r="H14" s="14">
        <f>1990+1700+2490</f>
        <v>6180</v>
      </c>
      <c r="I14" s="14">
        <f>4700+15380+7815+13490+430</f>
        <v>41815</v>
      </c>
      <c r="J14" s="14">
        <f>8580+4500+540+4000+40000</f>
        <v>57620</v>
      </c>
      <c r="K14" s="14">
        <f>6460+3880+4270</f>
        <v>14610</v>
      </c>
      <c r="L14" s="14">
        <f>29670+16760+20000</f>
        <v>66430</v>
      </c>
      <c r="M14" s="14">
        <v>0</v>
      </c>
      <c r="N14" s="15">
        <f t="shared" ref="N14:N17" si="4">SUM(B14:M14)</f>
        <v>254195</v>
      </c>
      <c r="Q14" s="32"/>
    </row>
    <row r="15" spans="1:17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0</v>
      </c>
      <c r="Q15" s="32"/>
    </row>
    <row r="16" spans="1:17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1520000</v>
      </c>
      <c r="M16" s="14">
        <v>0</v>
      </c>
      <c r="N16" s="15">
        <f t="shared" si="4"/>
        <v>1520000</v>
      </c>
      <c r="Q16" s="32"/>
    </row>
    <row r="17" spans="1:24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0</v>
      </c>
    </row>
    <row r="18" spans="1:24" x14ac:dyDescent="0.25">
      <c r="A18" s="9" t="s">
        <v>24</v>
      </c>
      <c r="B18" s="19">
        <f>SUM(B14:B17)</f>
        <v>7430</v>
      </c>
      <c r="C18" s="19">
        <f t="shared" ref="C18:D18" si="5">SUM(C14:C17)</f>
        <v>0</v>
      </c>
      <c r="D18" s="19">
        <f t="shared" si="5"/>
        <v>44700</v>
      </c>
      <c r="E18" s="19">
        <f>SUM(E14:E17)</f>
        <v>0</v>
      </c>
      <c r="F18" s="19">
        <f t="shared" ref="F18:M18" si="6">SUM(F14:F17)</f>
        <v>7180</v>
      </c>
      <c r="G18" s="19">
        <f t="shared" si="6"/>
        <v>8230</v>
      </c>
      <c r="H18" s="19">
        <f t="shared" si="6"/>
        <v>6180</v>
      </c>
      <c r="I18" s="19">
        <f t="shared" si="6"/>
        <v>41815</v>
      </c>
      <c r="J18" s="19">
        <f t="shared" si="6"/>
        <v>57620</v>
      </c>
      <c r="K18" s="19">
        <f t="shared" si="6"/>
        <v>14610</v>
      </c>
      <c r="L18" s="19">
        <f t="shared" si="6"/>
        <v>1586430</v>
      </c>
      <c r="M18" s="19">
        <f t="shared" si="6"/>
        <v>0</v>
      </c>
      <c r="N18" s="19">
        <f>SUM(N14:N17)</f>
        <v>1774195</v>
      </c>
      <c r="O18" s="28">
        <f>SUM(B18:M18)</f>
        <v>1774195</v>
      </c>
    </row>
    <row r="19" spans="1:24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24" x14ac:dyDescent="0.25">
      <c r="A20" s="20"/>
      <c r="B20" s="10">
        <v>44197</v>
      </c>
      <c r="C20" s="10">
        <v>44228</v>
      </c>
      <c r="D20" s="10">
        <v>44256</v>
      </c>
      <c r="E20" s="10">
        <v>44287</v>
      </c>
      <c r="F20" s="10">
        <v>44317</v>
      </c>
      <c r="G20" s="10">
        <v>44348</v>
      </c>
      <c r="H20" s="10">
        <v>44378</v>
      </c>
      <c r="I20" s="10">
        <v>44409</v>
      </c>
      <c r="J20" s="10">
        <v>44440</v>
      </c>
      <c r="K20" s="10">
        <v>44470</v>
      </c>
      <c r="L20" s="10">
        <v>44501</v>
      </c>
      <c r="M20" s="10">
        <v>44531</v>
      </c>
      <c r="N20" s="11" t="s">
        <v>23</v>
      </c>
      <c r="O20" s="21"/>
    </row>
    <row r="21" spans="1:24" x14ac:dyDescent="0.25">
      <c r="A21" s="9" t="s">
        <v>31</v>
      </c>
      <c r="B21" s="14">
        <v>182500</v>
      </c>
      <c r="C21" s="14">
        <v>177500</v>
      </c>
      <c r="D21" s="14">
        <v>180000</v>
      </c>
      <c r="E21" s="14">
        <v>167500</v>
      </c>
      <c r="F21" s="14">
        <v>170000</v>
      </c>
      <c r="G21" s="14">
        <v>165000</v>
      </c>
      <c r="H21" s="14">
        <v>162500</v>
      </c>
      <c r="I21" s="14">
        <v>158214</v>
      </c>
      <c r="J21" s="14">
        <v>170000</v>
      </c>
      <c r="K21" s="14">
        <v>152500</v>
      </c>
      <c r="L21" s="14">
        <v>177500</v>
      </c>
      <c r="M21" s="14">
        <v>187500</v>
      </c>
      <c r="N21" s="22">
        <f>SUM(B21:M21)</f>
        <v>2050714</v>
      </c>
    </row>
    <row r="22" spans="1:24" x14ac:dyDescent="0.25">
      <c r="A22" s="9" t="s">
        <v>32</v>
      </c>
      <c r="B22" s="14">
        <v>0</v>
      </c>
      <c r="C22" s="14">
        <v>0</v>
      </c>
      <c r="D22" s="61">
        <v>13400</v>
      </c>
      <c r="E22" s="61">
        <v>13400</v>
      </c>
      <c r="F22" s="61">
        <v>13400</v>
      </c>
      <c r="G22" s="61">
        <v>13400</v>
      </c>
      <c r="H22" s="61">
        <v>13400</v>
      </c>
      <c r="I22" s="14">
        <v>13400</v>
      </c>
      <c r="J22" s="14">
        <v>13400</v>
      </c>
      <c r="K22" s="14">
        <v>13400</v>
      </c>
      <c r="L22" s="14">
        <v>13400</v>
      </c>
      <c r="M22" s="14">
        <v>13400</v>
      </c>
      <c r="N22" s="22">
        <f>SUM(B22:M22)</f>
        <v>134000</v>
      </c>
    </row>
    <row r="23" spans="1:24" x14ac:dyDescent="0.25">
      <c r="A23" s="9" t="s">
        <v>33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22">
        <f>SUM(B23:M23)</f>
        <v>0</v>
      </c>
    </row>
    <row r="24" spans="1:24" x14ac:dyDescent="0.25">
      <c r="A24" s="23" t="s">
        <v>34</v>
      </c>
      <c r="B24" s="25">
        <f>SUM(B21:B23)</f>
        <v>182500</v>
      </c>
      <c r="C24" s="25">
        <f>SUM(C21:C23)</f>
        <v>177500</v>
      </c>
      <c r="D24" s="25">
        <f>SUM(D21:D23)</f>
        <v>193400</v>
      </c>
      <c r="E24" s="25">
        <f t="shared" ref="E24:M24" si="7">SUM(E21:E23)</f>
        <v>180900</v>
      </c>
      <c r="F24" s="25">
        <f t="shared" si="7"/>
        <v>183400</v>
      </c>
      <c r="G24" s="25">
        <f t="shared" si="7"/>
        <v>178400</v>
      </c>
      <c r="H24" s="25">
        <f t="shared" si="7"/>
        <v>175900</v>
      </c>
      <c r="I24" s="25">
        <f t="shared" si="7"/>
        <v>171614</v>
      </c>
      <c r="J24" s="25">
        <f t="shared" si="7"/>
        <v>183400</v>
      </c>
      <c r="K24" s="25">
        <f t="shared" si="7"/>
        <v>165900</v>
      </c>
      <c r="L24" s="25">
        <f t="shared" si="7"/>
        <v>190900</v>
      </c>
      <c r="M24" s="25">
        <f t="shared" si="7"/>
        <v>200900</v>
      </c>
      <c r="N24" s="25">
        <f>SUM(B24:M24)</f>
        <v>2184714</v>
      </c>
      <c r="O24" s="17">
        <f>SUM(N21:N23)</f>
        <v>2184714</v>
      </c>
      <c r="U24" s="17"/>
    </row>
    <row r="25" spans="1:24" x14ac:dyDescent="0.25">
      <c r="A25" s="26" t="s">
        <v>35</v>
      </c>
      <c r="B25" s="27">
        <f>+B18+B11+B5</f>
        <v>37430</v>
      </c>
      <c r="C25" s="27">
        <f>+C18+C11+C5</f>
        <v>30000</v>
      </c>
      <c r="D25" s="27">
        <f>+D18+D11+D5</f>
        <v>74700</v>
      </c>
      <c r="E25" s="27">
        <f t="shared" ref="E25:M25" si="8">+E18+E11+E5</f>
        <v>30000</v>
      </c>
      <c r="F25" s="27">
        <f t="shared" si="8"/>
        <v>37180</v>
      </c>
      <c r="G25" s="27">
        <f t="shared" si="8"/>
        <v>38230</v>
      </c>
      <c r="H25" s="27">
        <f t="shared" si="8"/>
        <v>36180</v>
      </c>
      <c r="I25" s="27">
        <f t="shared" si="8"/>
        <v>71815</v>
      </c>
      <c r="J25" s="27">
        <f t="shared" si="8"/>
        <v>87620</v>
      </c>
      <c r="K25" s="27">
        <f t="shared" si="8"/>
        <v>44610</v>
      </c>
      <c r="L25" s="27">
        <f t="shared" si="8"/>
        <v>1676430</v>
      </c>
      <c r="M25" s="27">
        <f t="shared" si="8"/>
        <v>30000</v>
      </c>
      <c r="N25" s="27">
        <f>SUM(B25:M25)</f>
        <v>2194195</v>
      </c>
      <c r="O25" s="17">
        <f>+O18+O11+O5</f>
        <v>2194195</v>
      </c>
      <c r="U25" s="17"/>
    </row>
    <row r="26" spans="1:24" x14ac:dyDescent="0.25">
      <c r="A26" s="9" t="s">
        <v>36</v>
      </c>
      <c r="B26" s="29">
        <f>+B25/B24</f>
        <v>0.20509589041095891</v>
      </c>
      <c r="C26" s="29">
        <f>+C25/C24</f>
        <v>0.16901408450704225</v>
      </c>
      <c r="D26" s="29">
        <f>+D25/D24</f>
        <v>0.3862461220268873</v>
      </c>
      <c r="E26" s="29">
        <f t="shared" ref="E26:M26" si="9">+E25/E24</f>
        <v>0.16583747927031509</v>
      </c>
      <c r="F26" s="29">
        <f t="shared" si="9"/>
        <v>0.20272628135223555</v>
      </c>
      <c r="G26" s="29">
        <f t="shared" si="9"/>
        <v>0.21429372197309418</v>
      </c>
      <c r="H26" s="29">
        <f t="shared" si="9"/>
        <v>0.20568504832291074</v>
      </c>
      <c r="I26" s="29">
        <f t="shared" si="9"/>
        <v>0.41846819024088944</v>
      </c>
      <c r="J26" s="29">
        <f t="shared" si="9"/>
        <v>0.47775354416575788</v>
      </c>
      <c r="K26" s="29">
        <f t="shared" si="9"/>
        <v>0.2688969258589512</v>
      </c>
      <c r="L26" s="29">
        <f t="shared" si="9"/>
        <v>8.7817181770560495</v>
      </c>
      <c r="M26" s="29">
        <f t="shared" si="9"/>
        <v>0.14932802389248381</v>
      </c>
      <c r="N26" s="30">
        <f>+N25/N24</f>
        <v>1.0043396984685409</v>
      </c>
      <c r="O26" s="48">
        <f>+N24-N25</f>
        <v>-9481</v>
      </c>
      <c r="P26" s="28"/>
      <c r="U26" s="17"/>
    </row>
    <row r="27" spans="1:24" x14ac:dyDescent="0.25">
      <c r="A27" s="13"/>
      <c r="B27" s="32"/>
      <c r="C27" s="32"/>
      <c r="D27" s="32"/>
      <c r="E27" s="32"/>
      <c r="F27" s="32"/>
      <c r="G27" s="32"/>
      <c r="H27" s="32"/>
      <c r="I27" s="62"/>
      <c r="J27" s="62"/>
      <c r="K27" s="62"/>
      <c r="L27" s="62"/>
      <c r="M27" s="62"/>
      <c r="N27" s="32" t="s">
        <v>113</v>
      </c>
      <c r="O27" s="64">
        <f>+'2020'!O28</f>
        <v>1483405</v>
      </c>
      <c r="P27" s="28"/>
      <c r="U27" s="17"/>
    </row>
    <row r="28" spans="1:24" x14ac:dyDescent="0.25">
      <c r="A28" s="13"/>
      <c r="F28" s="32"/>
      <c r="G28" s="32"/>
      <c r="H28" s="32"/>
      <c r="I28" s="32"/>
      <c r="J28" s="32"/>
      <c r="K28" s="32"/>
      <c r="L28" s="32"/>
      <c r="M28" s="32"/>
      <c r="N28" s="63"/>
      <c r="O28" s="65"/>
      <c r="T28" s="28"/>
      <c r="U28" s="17"/>
    </row>
    <row r="29" spans="1:24" ht="15.75" thickBot="1" x14ac:dyDescent="0.3">
      <c r="A29" s="13"/>
      <c r="F29" s="62"/>
      <c r="G29" s="62"/>
      <c r="H29" s="62"/>
      <c r="I29" s="62"/>
      <c r="J29" s="62"/>
      <c r="K29" s="62"/>
      <c r="L29" s="62"/>
      <c r="M29" s="62"/>
      <c r="N29" s="63"/>
      <c r="O29" s="65"/>
    </row>
    <row r="30" spans="1:24" ht="15.75" thickBot="1" x14ac:dyDescent="0.3">
      <c r="N30" s="9" t="s">
        <v>39</v>
      </c>
      <c r="O30" s="41">
        <f>+S40</f>
        <v>1825250</v>
      </c>
      <c r="Q30" s="384">
        <v>44574</v>
      </c>
      <c r="R30" s="385"/>
      <c r="S30" s="386"/>
      <c r="T30" s="28"/>
    </row>
    <row r="31" spans="1:24" x14ac:dyDescent="0.25">
      <c r="M31" s="51"/>
      <c r="N31" s="42"/>
      <c r="O31" s="52"/>
      <c r="Q31" s="53">
        <v>20000</v>
      </c>
      <c r="R31" s="57">
        <v>34</v>
      </c>
      <c r="S31" s="53">
        <f>+Q31*R31</f>
        <v>680000</v>
      </c>
      <c r="X31" s="21"/>
    </row>
    <row r="32" spans="1:24" x14ac:dyDescent="0.25">
      <c r="O32" s="55"/>
      <c r="Q32" s="56">
        <v>10000</v>
      </c>
      <c r="R32" s="57">
        <v>113</v>
      </c>
      <c r="S32" s="53">
        <f t="shared" ref="S32:S39" si="10">+Q32*R32</f>
        <v>1130000</v>
      </c>
      <c r="W32" s="21"/>
      <c r="X32" s="21"/>
    </row>
    <row r="33" spans="14:24" x14ac:dyDescent="0.25">
      <c r="O33" s="58"/>
      <c r="Q33" s="56">
        <v>5000</v>
      </c>
      <c r="R33" s="57">
        <v>1</v>
      </c>
      <c r="S33" s="53">
        <f t="shared" si="10"/>
        <v>5000</v>
      </c>
    </row>
    <row r="34" spans="14:24" x14ac:dyDescent="0.25">
      <c r="Q34" s="56">
        <v>2000</v>
      </c>
      <c r="R34" s="57">
        <v>2</v>
      </c>
      <c r="S34" s="53">
        <f t="shared" si="10"/>
        <v>4000</v>
      </c>
      <c r="X34" s="21"/>
    </row>
    <row r="35" spans="14:24" x14ac:dyDescent="0.25">
      <c r="Q35" s="56">
        <v>1000</v>
      </c>
      <c r="R35" s="57">
        <v>6</v>
      </c>
      <c r="S35" s="53">
        <f t="shared" si="10"/>
        <v>6000</v>
      </c>
    </row>
    <row r="36" spans="14:24" x14ac:dyDescent="0.25">
      <c r="Q36" s="56">
        <v>500</v>
      </c>
      <c r="R36" s="57">
        <v>0</v>
      </c>
      <c r="S36" s="53">
        <f t="shared" si="10"/>
        <v>0</v>
      </c>
      <c r="T36" s="21"/>
      <c r="X36" s="21"/>
    </row>
    <row r="37" spans="14:24" x14ac:dyDescent="0.25">
      <c r="O37" s="21"/>
      <c r="Q37" s="56">
        <v>100</v>
      </c>
      <c r="R37" s="57">
        <v>2</v>
      </c>
      <c r="S37" s="53">
        <f t="shared" si="10"/>
        <v>200</v>
      </c>
      <c r="T37" s="21"/>
    </row>
    <row r="38" spans="14:24" x14ac:dyDescent="0.25">
      <c r="N38" s="58"/>
      <c r="Q38" s="56">
        <v>50</v>
      </c>
      <c r="R38" s="57">
        <v>0</v>
      </c>
      <c r="S38" s="53">
        <f t="shared" si="10"/>
        <v>0</v>
      </c>
      <c r="T38" s="21"/>
    </row>
    <row r="39" spans="14:24" x14ac:dyDescent="0.25">
      <c r="Q39" s="56">
        <v>10</v>
      </c>
      <c r="R39" s="57">
        <v>5</v>
      </c>
      <c r="S39" s="53">
        <f t="shared" si="10"/>
        <v>50</v>
      </c>
      <c r="T39" s="21"/>
    </row>
    <row r="40" spans="14:24" x14ac:dyDescent="0.25">
      <c r="Q40" s="387" t="s">
        <v>39</v>
      </c>
      <c r="R40" s="388"/>
      <c r="S40" s="59">
        <f>SUM(S31:S39)</f>
        <v>1825250</v>
      </c>
    </row>
  </sheetData>
  <mergeCells count="2">
    <mergeCell ref="Q30:S30"/>
    <mergeCell ref="Q40:R4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8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>
    <pageSetUpPr fitToPage="1"/>
  </sheetPr>
  <dimension ref="A1:X41"/>
  <sheetViews>
    <sheetView showGridLines="0" zoomScaleNormal="100" zoomScaleSheetLayoutView="100" workbookViewId="0">
      <pane xSplit="1" ySplit="1" topLeftCell="B11" activePane="bottomRight" state="frozen"/>
      <selection activeCell="O5" sqref="O5"/>
      <selection pane="topRight" activeCell="O5" sqref="O5"/>
      <selection pane="bottomLeft" activeCell="O5" sqref="O5"/>
      <selection pane="bottomRight" activeCell="Q23" sqref="Q23"/>
    </sheetView>
  </sheetViews>
  <sheetFormatPr baseColWidth="10" defaultRowHeight="15" x14ac:dyDescent="0.25"/>
  <cols>
    <col min="1" max="1" width="12" style="184" bestFit="1" customWidth="1"/>
    <col min="2" max="5" width="11.28515625" style="158" bestFit="1" customWidth="1"/>
    <col min="6" max="10" width="11" style="158" bestFit="1" customWidth="1"/>
    <col min="11" max="11" width="10.42578125" style="158" customWidth="1"/>
    <col min="12" max="12" width="12" style="158" bestFit="1" customWidth="1"/>
    <col min="13" max="13" width="10.42578125" style="158" customWidth="1"/>
    <col min="14" max="14" width="12.7109375" style="158" bestFit="1" customWidth="1"/>
    <col min="15" max="15" width="12" style="158" bestFit="1" customWidth="1"/>
    <col min="16" max="16" width="4" style="158" customWidth="1"/>
    <col min="17" max="17" width="12" style="158" bestFit="1" customWidth="1"/>
    <col min="18" max="18" width="4.42578125" style="159" customWidth="1"/>
    <col min="19" max="19" width="12.5703125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44562</v>
      </c>
      <c r="C1" s="156">
        <v>44593</v>
      </c>
      <c r="D1" s="156">
        <v>44621</v>
      </c>
      <c r="E1" s="156">
        <v>44652</v>
      </c>
      <c r="F1" s="156">
        <v>44682</v>
      </c>
      <c r="G1" s="156">
        <v>44713</v>
      </c>
      <c r="H1" s="156">
        <v>44743</v>
      </c>
      <c r="I1" s="156">
        <v>44774</v>
      </c>
      <c r="J1" s="156">
        <v>44805</v>
      </c>
      <c r="K1" s="156">
        <v>44835</v>
      </c>
      <c r="L1" s="156">
        <v>44866</v>
      </c>
      <c r="M1" s="156">
        <v>44896</v>
      </c>
      <c r="N1" s="157" t="s">
        <v>23</v>
      </c>
    </row>
    <row r="2" spans="1:17" x14ac:dyDescent="0.25">
      <c r="A2" s="160" t="s">
        <v>1</v>
      </c>
      <c r="B2" s="161">
        <v>10000</v>
      </c>
      <c r="C2" s="161">
        <v>10000</v>
      </c>
      <c r="D2" s="161">
        <v>10000</v>
      </c>
      <c r="E2" s="161">
        <v>10000</v>
      </c>
      <c r="F2" s="161">
        <v>10000</v>
      </c>
      <c r="G2" s="161">
        <v>10000</v>
      </c>
      <c r="H2" s="161">
        <v>10000</v>
      </c>
      <c r="I2" s="161">
        <v>10000</v>
      </c>
      <c r="J2" s="161">
        <v>10000</v>
      </c>
      <c r="K2" s="161">
        <v>10000</v>
      </c>
      <c r="L2" s="194">
        <v>10000</v>
      </c>
      <c r="M2" s="194">
        <v>10000</v>
      </c>
      <c r="N2" s="162">
        <f>SUM(B2:M2)</f>
        <v>120000</v>
      </c>
    </row>
    <row r="3" spans="1:17" x14ac:dyDescent="0.25">
      <c r="A3" s="160" t="s">
        <v>3</v>
      </c>
      <c r="B3" s="161">
        <v>10000</v>
      </c>
      <c r="C3" s="161">
        <v>10000</v>
      </c>
      <c r="D3" s="161">
        <v>10000</v>
      </c>
      <c r="E3" s="161">
        <v>10000</v>
      </c>
      <c r="F3" s="161">
        <v>10000</v>
      </c>
      <c r="G3" s="161">
        <v>10000</v>
      </c>
      <c r="H3" s="161">
        <v>10000</v>
      </c>
      <c r="I3" s="161">
        <v>10000</v>
      </c>
      <c r="J3" s="161">
        <v>10000</v>
      </c>
      <c r="K3" s="161">
        <v>10000</v>
      </c>
      <c r="L3" s="194">
        <v>10000</v>
      </c>
      <c r="M3" s="194">
        <v>10000</v>
      </c>
      <c r="N3" s="162">
        <f t="shared" ref="N3:N4" si="0">SUM(B3:M3)</f>
        <v>120000</v>
      </c>
    </row>
    <row r="4" spans="1:17" x14ac:dyDescent="0.25">
      <c r="A4" s="160" t="s">
        <v>4</v>
      </c>
      <c r="B4" s="161">
        <v>10000</v>
      </c>
      <c r="C4" s="161">
        <v>10000</v>
      </c>
      <c r="D4" s="161">
        <v>10000</v>
      </c>
      <c r="E4" s="161">
        <v>10000</v>
      </c>
      <c r="F4" s="161">
        <v>10000</v>
      </c>
      <c r="G4" s="161">
        <v>10000</v>
      </c>
      <c r="H4" s="161">
        <v>10000</v>
      </c>
      <c r="I4" s="161">
        <v>10000</v>
      </c>
      <c r="J4" s="161">
        <v>10000</v>
      </c>
      <c r="K4" s="161">
        <v>10000</v>
      </c>
      <c r="L4" s="194">
        <v>10000</v>
      </c>
      <c r="M4" s="194">
        <v>10000</v>
      </c>
      <c r="N4" s="162">
        <f t="shared" si="0"/>
        <v>120000</v>
      </c>
    </row>
    <row r="5" spans="1:17" x14ac:dyDescent="0.25">
      <c r="A5" s="155" t="s">
        <v>24</v>
      </c>
      <c r="B5" s="163">
        <f>SUM(B2:B4)</f>
        <v>30000</v>
      </c>
      <c r="C5" s="163">
        <f>SUM(C2:C4)</f>
        <v>30000</v>
      </c>
      <c r="D5" s="163">
        <f>SUM(D2:D4)</f>
        <v>30000</v>
      </c>
      <c r="E5" s="163">
        <f>SUM(E2:E4)</f>
        <v>30000</v>
      </c>
      <c r="F5" s="163">
        <f>SUM(F2:F4)</f>
        <v>30000</v>
      </c>
      <c r="G5" s="163">
        <f t="shared" ref="G5:M5" si="1">SUM(G2:G4)</f>
        <v>30000</v>
      </c>
      <c r="H5" s="163">
        <f t="shared" si="1"/>
        <v>30000</v>
      </c>
      <c r="I5" s="163">
        <f t="shared" si="1"/>
        <v>30000</v>
      </c>
      <c r="J5" s="163">
        <f t="shared" si="1"/>
        <v>30000</v>
      </c>
      <c r="K5" s="163">
        <f t="shared" si="1"/>
        <v>30000</v>
      </c>
      <c r="L5" s="163">
        <f t="shared" si="1"/>
        <v>30000</v>
      </c>
      <c r="M5" s="163">
        <f t="shared" si="1"/>
        <v>30000</v>
      </c>
      <c r="N5" s="163">
        <f>SUM(N1:N4)</f>
        <v>360000</v>
      </c>
      <c r="O5" s="164">
        <f>SUM(B5:M5)</f>
        <v>360000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100</v>
      </c>
      <c r="B7" s="156">
        <v>44562</v>
      </c>
      <c r="C7" s="156">
        <v>44593</v>
      </c>
      <c r="D7" s="156">
        <v>44621</v>
      </c>
      <c r="E7" s="156">
        <v>44652</v>
      </c>
      <c r="F7" s="156">
        <v>44682</v>
      </c>
      <c r="G7" s="156">
        <v>44713</v>
      </c>
      <c r="H7" s="156">
        <v>44743</v>
      </c>
      <c r="I7" s="156">
        <v>44774</v>
      </c>
      <c r="J7" s="156">
        <v>44805</v>
      </c>
      <c r="K7" s="156">
        <v>44835</v>
      </c>
      <c r="L7" s="156">
        <v>44866</v>
      </c>
      <c r="M7" s="156">
        <v>44896</v>
      </c>
      <c r="N7" s="157" t="s">
        <v>23</v>
      </c>
    </row>
    <row r="8" spans="1:17" x14ac:dyDescent="0.25">
      <c r="A8" s="160" t="s">
        <v>1</v>
      </c>
      <c r="B8" s="161">
        <v>5000</v>
      </c>
      <c r="C8" s="161">
        <v>0</v>
      </c>
      <c r="D8" s="161">
        <v>25000</v>
      </c>
      <c r="E8" s="161">
        <v>0</v>
      </c>
      <c r="F8" s="161">
        <v>20000</v>
      </c>
      <c r="G8" s="161">
        <v>5000</v>
      </c>
      <c r="H8" s="161">
        <f>5000*5</f>
        <v>25000</v>
      </c>
      <c r="I8" s="161">
        <v>0</v>
      </c>
      <c r="J8" s="161">
        <v>0</v>
      </c>
      <c r="K8" s="161">
        <v>0</v>
      </c>
      <c r="L8" s="194">
        <v>15000</v>
      </c>
      <c r="M8" s="194">
        <v>5000</v>
      </c>
      <c r="N8" s="162">
        <f t="shared" ref="N8:N10" si="2">SUM(B8:M8)</f>
        <v>100000</v>
      </c>
    </row>
    <row r="9" spans="1:17" x14ac:dyDescent="0.25">
      <c r="A9" s="160" t="s">
        <v>3</v>
      </c>
      <c r="B9" s="161">
        <v>0</v>
      </c>
      <c r="C9" s="161">
        <v>0</v>
      </c>
      <c r="D9" s="161">
        <v>25000</v>
      </c>
      <c r="E9" s="161">
        <v>5000</v>
      </c>
      <c r="F9" s="161">
        <v>20000</v>
      </c>
      <c r="G9" s="161">
        <v>5000</v>
      </c>
      <c r="H9" s="161">
        <v>0</v>
      </c>
      <c r="I9" s="161">
        <v>0</v>
      </c>
      <c r="J9" s="161">
        <v>0</v>
      </c>
      <c r="K9" s="161">
        <v>0</v>
      </c>
      <c r="L9" s="194">
        <v>15000</v>
      </c>
      <c r="M9" s="194">
        <v>5000</v>
      </c>
      <c r="N9" s="162">
        <f t="shared" si="2"/>
        <v>75000</v>
      </c>
    </row>
    <row r="10" spans="1:17" x14ac:dyDescent="0.25">
      <c r="A10" s="160" t="s">
        <v>4</v>
      </c>
      <c r="B10" s="161">
        <v>0</v>
      </c>
      <c r="C10" s="161">
        <v>0</v>
      </c>
      <c r="D10" s="161">
        <v>25000</v>
      </c>
      <c r="E10" s="161">
        <v>0</v>
      </c>
      <c r="F10" s="161">
        <v>20000</v>
      </c>
      <c r="G10" s="161">
        <v>5000</v>
      </c>
      <c r="H10" s="161">
        <f>5000*5</f>
        <v>25000</v>
      </c>
      <c r="I10" s="161">
        <v>0</v>
      </c>
      <c r="J10" s="161">
        <v>0</v>
      </c>
      <c r="K10" s="161">
        <v>0</v>
      </c>
      <c r="L10" s="194">
        <v>15000</v>
      </c>
      <c r="M10" s="194">
        <v>0</v>
      </c>
      <c r="N10" s="162">
        <f t="shared" si="2"/>
        <v>90000</v>
      </c>
    </row>
    <row r="11" spans="1:17" x14ac:dyDescent="0.25">
      <c r="A11" s="155" t="s">
        <v>24</v>
      </c>
      <c r="B11" s="166">
        <f>SUM(B8:B10)</f>
        <v>5000</v>
      </c>
      <c r="C11" s="166">
        <f>SUM(C8:C10)</f>
        <v>0</v>
      </c>
      <c r="D11" s="166">
        <f>SUM(D8:D10)</f>
        <v>75000</v>
      </c>
      <c r="E11" s="166">
        <f>SUM(E8:E10)</f>
        <v>5000</v>
      </c>
      <c r="F11" s="166">
        <f>SUM(F8:F10)</f>
        <v>60000</v>
      </c>
      <c r="G11" s="166">
        <f t="shared" ref="G11:M11" si="3">SUM(G8:G10)</f>
        <v>15000</v>
      </c>
      <c r="H11" s="166">
        <f t="shared" si="3"/>
        <v>50000</v>
      </c>
      <c r="I11" s="166">
        <f t="shared" si="3"/>
        <v>0</v>
      </c>
      <c r="J11" s="166">
        <f t="shared" si="3"/>
        <v>0</v>
      </c>
      <c r="K11" s="166">
        <f t="shared" si="3"/>
        <v>0</v>
      </c>
      <c r="L11" s="166">
        <f t="shared" si="3"/>
        <v>45000</v>
      </c>
      <c r="M11" s="166">
        <f t="shared" si="3"/>
        <v>10000</v>
      </c>
      <c r="N11" s="166">
        <f>SUM(N8:N10)</f>
        <v>265000</v>
      </c>
      <c r="O11" s="164">
        <f>SUM(B11:M11)</f>
        <v>265000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101</v>
      </c>
      <c r="B13" s="156">
        <v>44562</v>
      </c>
      <c r="C13" s="156">
        <v>44593</v>
      </c>
      <c r="D13" s="156">
        <v>44621</v>
      </c>
      <c r="E13" s="156">
        <v>44652</v>
      </c>
      <c r="F13" s="156">
        <v>44682</v>
      </c>
      <c r="G13" s="156">
        <v>44713</v>
      </c>
      <c r="H13" s="156">
        <v>44743</v>
      </c>
      <c r="I13" s="156">
        <v>44774</v>
      </c>
      <c r="J13" s="156">
        <v>44805</v>
      </c>
      <c r="K13" s="156">
        <v>44835</v>
      </c>
      <c r="L13" s="156">
        <v>44866</v>
      </c>
      <c r="M13" s="156">
        <v>44896</v>
      </c>
      <c r="N13" s="157" t="s">
        <v>23</v>
      </c>
    </row>
    <row r="14" spans="1:17" x14ac:dyDescent="0.25">
      <c r="A14" s="160" t="s">
        <v>27</v>
      </c>
      <c r="B14" s="161">
        <v>0</v>
      </c>
      <c r="C14" s="161">
        <f>14870+5200+34100+11920</f>
        <v>66090</v>
      </c>
      <c r="D14" s="161">
        <f>1920+4580+4800</f>
        <v>11300</v>
      </c>
      <c r="E14" s="161">
        <f>6750+1200+3749+2470+15000+36430+9480+750+51000+3400+6180+7300</f>
        <v>143709</v>
      </c>
      <c r="F14" s="161">
        <f>15960+10800+11820+11370+4500+13990</f>
        <v>68440</v>
      </c>
      <c r="G14" s="161">
        <f>31340+7490+25820+20227+1690+21830+2849+11490+14775+10477+10689+10000+3570+1850</f>
        <v>174097</v>
      </c>
      <c r="H14" s="167">
        <f>1850+600</f>
        <v>2450</v>
      </c>
      <c r="I14" s="161">
        <f>1990+12922</f>
        <v>14912</v>
      </c>
      <c r="J14" s="161">
        <f>24860+3450+544</f>
        <v>28854</v>
      </c>
      <c r="K14" s="161">
        <f>14470+6300</f>
        <v>20770</v>
      </c>
      <c r="L14" s="194">
        <f>14200+1980+2380+9380</f>
        <v>27940</v>
      </c>
      <c r="M14" s="194">
        <f>2720+1400</f>
        <v>4120</v>
      </c>
      <c r="N14" s="162">
        <f t="shared" ref="N14:N18" si="4">SUM(B14:M14)</f>
        <v>562682</v>
      </c>
      <c r="Q14" s="159"/>
    </row>
    <row r="15" spans="1:17" x14ac:dyDescent="0.25">
      <c r="A15" s="160" t="s">
        <v>28</v>
      </c>
      <c r="B15" s="161">
        <v>0</v>
      </c>
      <c r="C15" s="161">
        <v>0</v>
      </c>
      <c r="D15" s="161">
        <v>0</v>
      </c>
      <c r="E15" s="161">
        <v>0</v>
      </c>
      <c r="F15" s="161">
        <v>0</v>
      </c>
      <c r="G15" s="161">
        <v>0</v>
      </c>
      <c r="H15" s="161">
        <v>0</v>
      </c>
      <c r="I15" s="161">
        <v>0</v>
      </c>
      <c r="J15" s="161">
        <v>0</v>
      </c>
      <c r="K15" s="161">
        <v>0</v>
      </c>
      <c r="L15" s="194">
        <v>0</v>
      </c>
      <c r="M15" s="194">
        <v>0</v>
      </c>
      <c r="N15" s="162">
        <f t="shared" si="4"/>
        <v>0</v>
      </c>
      <c r="Q15" s="159"/>
    </row>
    <row r="16" spans="1:17" x14ac:dyDescent="0.25">
      <c r="A16" s="160" t="s">
        <v>29</v>
      </c>
      <c r="B16" s="161">
        <v>0</v>
      </c>
      <c r="C16" s="161">
        <v>0</v>
      </c>
      <c r="D16" s="161">
        <v>0</v>
      </c>
      <c r="E16" s="161">
        <v>0</v>
      </c>
      <c r="F16" s="161">
        <v>0</v>
      </c>
      <c r="G16" s="161">
        <v>0</v>
      </c>
      <c r="H16" s="161">
        <v>0</v>
      </c>
      <c r="I16" s="161">
        <v>0</v>
      </c>
      <c r="J16" s="161">
        <v>0</v>
      </c>
      <c r="K16" s="161">
        <v>0</v>
      </c>
      <c r="L16" s="194">
        <f>65*20000</f>
        <v>1300000</v>
      </c>
      <c r="M16" s="194">
        <v>0</v>
      </c>
      <c r="N16" s="162">
        <f t="shared" si="4"/>
        <v>1300000</v>
      </c>
      <c r="Q16" s="159"/>
    </row>
    <row r="17" spans="1:24" x14ac:dyDescent="0.25">
      <c r="A17" s="160" t="s">
        <v>43</v>
      </c>
      <c r="B17" s="161">
        <v>0</v>
      </c>
      <c r="C17" s="161">
        <v>0</v>
      </c>
      <c r="D17" s="161">
        <v>0</v>
      </c>
      <c r="E17" s="161">
        <v>0</v>
      </c>
      <c r="F17" s="161">
        <v>0</v>
      </c>
      <c r="G17" s="161">
        <v>0</v>
      </c>
      <c r="H17" s="161">
        <v>5000</v>
      </c>
      <c r="I17" s="161">
        <v>0</v>
      </c>
      <c r="J17" s="161">
        <v>0</v>
      </c>
      <c r="K17" s="161">
        <v>0</v>
      </c>
      <c r="L17" s="194">
        <v>0</v>
      </c>
      <c r="M17" s="194">
        <v>0</v>
      </c>
      <c r="N17" s="162">
        <f t="shared" si="4"/>
        <v>5000</v>
      </c>
      <c r="Q17" s="159"/>
    </row>
    <row r="18" spans="1:24" x14ac:dyDescent="0.25">
      <c r="A18" s="160" t="s">
        <v>44</v>
      </c>
      <c r="B18" s="161">
        <v>0</v>
      </c>
      <c r="C18" s="161">
        <v>0</v>
      </c>
      <c r="D18" s="161">
        <v>0</v>
      </c>
      <c r="E18" s="161">
        <v>0</v>
      </c>
      <c r="F18" s="161">
        <v>0</v>
      </c>
      <c r="G18" s="161">
        <f>10000+10000</f>
        <v>20000</v>
      </c>
      <c r="H18" s="161">
        <v>0</v>
      </c>
      <c r="I18" s="161">
        <v>0</v>
      </c>
      <c r="J18" s="161">
        <v>0</v>
      </c>
      <c r="K18" s="161">
        <v>0</v>
      </c>
      <c r="L18" s="194">
        <v>0</v>
      </c>
      <c r="M18" s="194">
        <v>0</v>
      </c>
      <c r="N18" s="162">
        <f t="shared" si="4"/>
        <v>20000</v>
      </c>
    </row>
    <row r="19" spans="1:24" x14ac:dyDescent="0.25">
      <c r="A19" s="155" t="s">
        <v>53</v>
      </c>
      <c r="B19" s="166">
        <f>SUM(B14:B18)</f>
        <v>0</v>
      </c>
      <c r="C19" s="166">
        <f t="shared" ref="C19:D19" si="5">SUM(C14:C18)</f>
        <v>66090</v>
      </c>
      <c r="D19" s="166">
        <f t="shared" si="5"/>
        <v>11300</v>
      </c>
      <c r="E19" s="166">
        <f>SUM(E14:E18)</f>
        <v>143709</v>
      </c>
      <c r="F19" s="166">
        <f t="shared" ref="F19:M19" si="6">SUM(F14:F18)</f>
        <v>68440</v>
      </c>
      <c r="G19" s="166">
        <f t="shared" si="6"/>
        <v>194097</v>
      </c>
      <c r="H19" s="166">
        <f t="shared" si="6"/>
        <v>7450</v>
      </c>
      <c r="I19" s="166">
        <f t="shared" si="6"/>
        <v>14912</v>
      </c>
      <c r="J19" s="166">
        <f t="shared" si="6"/>
        <v>28854</v>
      </c>
      <c r="K19" s="166">
        <f t="shared" si="6"/>
        <v>20770</v>
      </c>
      <c r="L19" s="166">
        <f t="shared" si="6"/>
        <v>1327940</v>
      </c>
      <c r="M19" s="166">
        <f t="shared" si="6"/>
        <v>4120</v>
      </c>
      <c r="N19" s="166">
        <f>SUM(N14:N18)</f>
        <v>1887682</v>
      </c>
      <c r="O19" s="164">
        <f>SUM(B19:M19)</f>
        <v>1887682</v>
      </c>
    </row>
    <row r="20" spans="1:24" x14ac:dyDescent="0.25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4"/>
    </row>
    <row r="21" spans="1:24" x14ac:dyDescent="0.25">
      <c r="A21" s="168"/>
      <c r="B21" s="156">
        <v>44562</v>
      </c>
      <c r="C21" s="156">
        <v>44593</v>
      </c>
      <c r="D21" s="156">
        <v>44621</v>
      </c>
      <c r="E21" s="156">
        <v>44652</v>
      </c>
      <c r="F21" s="156">
        <v>44682</v>
      </c>
      <c r="G21" s="156">
        <v>44713</v>
      </c>
      <c r="H21" s="156">
        <v>44743</v>
      </c>
      <c r="I21" s="156">
        <v>44774</v>
      </c>
      <c r="J21" s="156">
        <v>44805</v>
      </c>
      <c r="K21" s="156">
        <v>44835</v>
      </c>
      <c r="L21" s="156">
        <v>44866</v>
      </c>
      <c r="M21" s="156">
        <v>44896</v>
      </c>
      <c r="N21" s="157" t="s">
        <v>23</v>
      </c>
      <c r="O21" s="169"/>
    </row>
    <row r="22" spans="1:24" x14ac:dyDescent="0.25">
      <c r="A22" s="155" t="s">
        <v>86</v>
      </c>
      <c r="B22" s="161">
        <v>162500</v>
      </c>
      <c r="C22" s="161">
        <v>162857</v>
      </c>
      <c r="D22" s="161">
        <v>172500</v>
      </c>
      <c r="E22" s="161">
        <v>180000</v>
      </c>
      <c r="F22" s="161">
        <v>162953</v>
      </c>
      <c r="G22" s="161">
        <v>152500</v>
      </c>
      <c r="H22" s="161">
        <v>160000</v>
      </c>
      <c r="I22" s="161">
        <v>151153</v>
      </c>
      <c r="J22" s="161">
        <v>165000</v>
      </c>
      <c r="K22" s="161">
        <v>145000</v>
      </c>
      <c r="L22" s="194">
        <v>152500</v>
      </c>
      <c r="M22" s="194">
        <v>157500</v>
      </c>
      <c r="N22" s="170">
        <f>SUM(B22:M22)</f>
        <v>1924463</v>
      </c>
      <c r="Q22" s="164"/>
    </row>
    <row r="23" spans="1:24" x14ac:dyDescent="0.25">
      <c r="A23" s="155" t="s">
        <v>102</v>
      </c>
      <c r="B23" s="161">
        <v>13400</v>
      </c>
      <c r="C23" s="161">
        <v>13400</v>
      </c>
      <c r="D23" s="161">
        <v>13400</v>
      </c>
      <c r="E23" s="161">
        <v>13400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94">
        <v>0</v>
      </c>
      <c r="M23" s="194">
        <v>0</v>
      </c>
      <c r="N23" s="170">
        <f>SUM(B23:M23)</f>
        <v>53600</v>
      </c>
      <c r="Q23" s="262"/>
    </row>
    <row r="24" spans="1:24" x14ac:dyDescent="0.25">
      <c r="A24" s="155" t="s">
        <v>103</v>
      </c>
      <c r="B24" s="161">
        <v>0</v>
      </c>
      <c r="C24" s="161">
        <v>0</v>
      </c>
      <c r="D24" s="161">
        <v>275500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94">
        <v>0</v>
      </c>
      <c r="M24" s="194">
        <v>0</v>
      </c>
      <c r="N24" s="170">
        <f>SUM(B24:M24)</f>
        <v>275500</v>
      </c>
    </row>
    <row r="25" spans="1:24" x14ac:dyDescent="0.25">
      <c r="A25" s="171" t="s">
        <v>34</v>
      </c>
      <c r="B25" s="172">
        <f>SUM(B22:B24)</f>
        <v>175900</v>
      </c>
      <c r="C25" s="172">
        <f>SUM(C22:C24)</f>
        <v>176257</v>
      </c>
      <c r="D25" s="172">
        <f>SUM(D22:D24)</f>
        <v>461400</v>
      </c>
      <c r="E25" s="172">
        <f t="shared" ref="E25:M25" si="7">SUM(E22:E24)</f>
        <v>193400</v>
      </c>
      <c r="F25" s="172">
        <f t="shared" si="7"/>
        <v>162953</v>
      </c>
      <c r="G25" s="172">
        <f t="shared" si="7"/>
        <v>152500</v>
      </c>
      <c r="H25" s="172">
        <f t="shared" si="7"/>
        <v>160000</v>
      </c>
      <c r="I25" s="172">
        <f>SUM(I22:I24)</f>
        <v>151153</v>
      </c>
      <c r="J25" s="172">
        <f t="shared" si="7"/>
        <v>165000</v>
      </c>
      <c r="K25" s="172">
        <f t="shared" si="7"/>
        <v>145000</v>
      </c>
      <c r="L25" s="172">
        <f t="shared" si="7"/>
        <v>152500</v>
      </c>
      <c r="M25" s="172">
        <f t="shared" si="7"/>
        <v>157500</v>
      </c>
      <c r="N25" s="172">
        <f>SUM(B25:M25)</f>
        <v>2253563</v>
      </c>
      <c r="O25" s="173">
        <f>SUM(N22:N24)</f>
        <v>2253563</v>
      </c>
      <c r="U25" s="173"/>
    </row>
    <row r="26" spans="1:24" x14ac:dyDescent="0.25">
      <c r="A26" s="174" t="s">
        <v>35</v>
      </c>
      <c r="B26" s="175">
        <f>+B19+B11+B5</f>
        <v>35000</v>
      </c>
      <c r="C26" s="175">
        <f>+C19+C11+C5</f>
        <v>96090</v>
      </c>
      <c r="D26" s="175">
        <f>+D19+D11+D5</f>
        <v>116300</v>
      </c>
      <c r="E26" s="175">
        <f t="shared" ref="E26:M26" si="8">+E19+E11+E5</f>
        <v>178709</v>
      </c>
      <c r="F26" s="175">
        <f t="shared" si="8"/>
        <v>158440</v>
      </c>
      <c r="G26" s="175">
        <f t="shared" si="8"/>
        <v>239097</v>
      </c>
      <c r="H26" s="175">
        <f t="shared" si="8"/>
        <v>87450</v>
      </c>
      <c r="I26" s="175">
        <f t="shared" si="8"/>
        <v>44912</v>
      </c>
      <c r="J26" s="175">
        <f t="shared" si="8"/>
        <v>58854</v>
      </c>
      <c r="K26" s="175">
        <f t="shared" si="8"/>
        <v>50770</v>
      </c>
      <c r="L26" s="175">
        <f t="shared" si="8"/>
        <v>1402940</v>
      </c>
      <c r="M26" s="175">
        <f t="shared" si="8"/>
        <v>44120</v>
      </c>
      <c r="N26" s="175">
        <f>SUM(B26:M26)</f>
        <v>2512682</v>
      </c>
      <c r="O26" s="173">
        <f>+O19+O11+O5</f>
        <v>2512682</v>
      </c>
      <c r="U26" s="173"/>
    </row>
    <row r="27" spans="1:24" x14ac:dyDescent="0.25">
      <c r="A27" s="155" t="s">
        <v>36</v>
      </c>
      <c r="B27" s="176">
        <f>+B26/B25</f>
        <v>0.19897669130187606</v>
      </c>
      <c r="C27" s="176">
        <f>+C26/C25</f>
        <v>0.54516983722632295</v>
      </c>
      <c r="D27" s="176">
        <f>+D26/D25</f>
        <v>0.2520589510186389</v>
      </c>
      <c r="E27" s="176">
        <f t="shared" ref="E27:M27" si="9">+E26/E25</f>
        <v>0.92403826266804545</v>
      </c>
      <c r="F27" s="176">
        <f t="shared" si="9"/>
        <v>0.97230489773124762</v>
      </c>
      <c r="G27" s="176">
        <f t="shared" si="9"/>
        <v>1.5678491803278689</v>
      </c>
      <c r="H27" s="176">
        <f t="shared" si="9"/>
        <v>0.54656249999999995</v>
      </c>
      <c r="I27" s="176">
        <f t="shared" si="9"/>
        <v>0.29712939868874583</v>
      </c>
      <c r="J27" s="176">
        <f t="shared" si="9"/>
        <v>0.35669090909090911</v>
      </c>
      <c r="K27" s="176">
        <f t="shared" si="9"/>
        <v>0.35013793103448276</v>
      </c>
      <c r="L27" s="176">
        <f t="shared" si="9"/>
        <v>9.1996065573770487</v>
      </c>
      <c r="M27" s="176">
        <f t="shared" si="9"/>
        <v>0.28012698412698411</v>
      </c>
      <c r="N27" s="177">
        <f>+N26/N25</f>
        <v>1.1149819197422037</v>
      </c>
      <c r="O27" s="178">
        <f>+N25-N26</f>
        <v>-259119</v>
      </c>
      <c r="P27" s="164"/>
      <c r="U27" s="173"/>
    </row>
    <row r="28" spans="1:24" x14ac:dyDescent="0.25">
      <c r="M28" s="186"/>
      <c r="N28" s="159" t="s">
        <v>112</v>
      </c>
      <c r="O28" s="181">
        <f>+'2021'!O30</f>
        <v>1825250</v>
      </c>
      <c r="P28" s="164"/>
      <c r="U28" s="173"/>
    </row>
    <row r="29" spans="1:24" x14ac:dyDescent="0.25">
      <c r="M29" s="186"/>
      <c r="N29" s="182" t="s">
        <v>38</v>
      </c>
      <c r="O29" s="183">
        <f>SUM(O27:O28)</f>
        <v>1566131</v>
      </c>
      <c r="T29" s="164"/>
      <c r="U29" s="173"/>
    </row>
    <row r="30" spans="1:24" ht="15.75" thickBot="1" x14ac:dyDescent="0.3">
      <c r="M30" s="186"/>
      <c r="O30" s="164">
        <f>+O31-O29</f>
        <v>-1</v>
      </c>
    </row>
    <row r="31" spans="1:24" ht="15.75" thickBot="1" x14ac:dyDescent="0.3">
      <c r="M31" s="186"/>
      <c r="N31" s="155" t="s">
        <v>39</v>
      </c>
      <c r="O31" s="185">
        <f>+S41</f>
        <v>1566130</v>
      </c>
      <c r="Q31" s="389">
        <v>44985</v>
      </c>
      <c r="R31" s="390"/>
      <c r="S31" s="391"/>
      <c r="T31" s="164"/>
    </row>
    <row r="32" spans="1:24" x14ac:dyDescent="0.25">
      <c r="M32" s="186"/>
      <c r="N32" s="187" t="s">
        <v>45</v>
      </c>
      <c r="O32" s="188"/>
      <c r="Q32" s="189">
        <v>20000</v>
      </c>
      <c r="R32" s="195">
        <v>29</v>
      </c>
      <c r="S32" s="189">
        <f>+Q32*R32</f>
        <v>580000</v>
      </c>
      <c r="X32" s="169"/>
    </row>
    <row r="33" spans="14:24" x14ac:dyDescent="0.25">
      <c r="O33" s="190"/>
      <c r="Q33" s="191">
        <v>10000</v>
      </c>
      <c r="R33" s="195">
        <v>98</v>
      </c>
      <c r="S33" s="189">
        <f t="shared" ref="S33:S40" si="10">+Q33*R33</f>
        <v>980000</v>
      </c>
      <c r="W33" s="169"/>
      <c r="X33" s="169"/>
    </row>
    <row r="34" spans="14:24" x14ac:dyDescent="0.25">
      <c r="O34" s="192"/>
      <c r="Q34" s="191">
        <v>5000</v>
      </c>
      <c r="R34" s="195">
        <v>0</v>
      </c>
      <c r="S34" s="189">
        <f t="shared" si="10"/>
        <v>0</v>
      </c>
    </row>
    <row r="35" spans="14:24" x14ac:dyDescent="0.25">
      <c r="Q35" s="191">
        <v>2000</v>
      </c>
      <c r="R35" s="195">
        <v>0</v>
      </c>
      <c r="S35" s="189">
        <f t="shared" si="10"/>
        <v>0</v>
      </c>
      <c r="X35" s="169"/>
    </row>
    <row r="36" spans="14:24" x14ac:dyDescent="0.25">
      <c r="Q36" s="191">
        <v>1000</v>
      </c>
      <c r="R36" s="195">
        <v>5</v>
      </c>
      <c r="S36" s="189">
        <f t="shared" si="10"/>
        <v>5000</v>
      </c>
    </row>
    <row r="37" spans="14:24" x14ac:dyDescent="0.25">
      <c r="Q37" s="191">
        <v>500</v>
      </c>
      <c r="R37" s="195">
        <v>0</v>
      </c>
      <c r="S37" s="189">
        <f t="shared" si="10"/>
        <v>0</v>
      </c>
      <c r="T37" s="169"/>
      <c r="X37" s="169"/>
    </row>
    <row r="38" spans="14:24" x14ac:dyDescent="0.25">
      <c r="O38" s="169"/>
      <c r="Q38" s="191">
        <v>100</v>
      </c>
      <c r="R38" s="195">
        <v>7</v>
      </c>
      <c r="S38" s="189">
        <f t="shared" si="10"/>
        <v>700</v>
      </c>
      <c r="T38" s="169"/>
    </row>
    <row r="39" spans="14:24" x14ac:dyDescent="0.25">
      <c r="N39" s="192"/>
      <c r="Q39" s="191">
        <v>50</v>
      </c>
      <c r="R39" s="195">
        <v>3</v>
      </c>
      <c r="S39" s="189">
        <f t="shared" si="10"/>
        <v>150</v>
      </c>
      <c r="T39" s="169"/>
    </row>
    <row r="40" spans="14:24" x14ac:dyDescent="0.25">
      <c r="Q40" s="191">
        <v>10</v>
      </c>
      <c r="R40" s="195">
        <v>28</v>
      </c>
      <c r="S40" s="189">
        <f t="shared" si="10"/>
        <v>280</v>
      </c>
      <c r="T40" s="169"/>
    </row>
    <row r="41" spans="14:24" x14ac:dyDescent="0.25">
      <c r="Q41" s="392" t="s">
        <v>39</v>
      </c>
      <c r="R41" s="393"/>
      <c r="S41" s="193">
        <f>SUM(S32:S40)</f>
        <v>1566130</v>
      </c>
    </row>
  </sheetData>
  <mergeCells count="2">
    <mergeCell ref="Q31:S31"/>
    <mergeCell ref="Q41:R41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B11:N11 B5:N5 B19:N19 B25:N25 B26:M26" formulaRange="1"/>
    <ignoredError sqref="L16" unlockedFormula="1"/>
    <ignoredError sqref="N26" formula="1" formulaRange="1"/>
  </ignoredError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pageSetUpPr fitToPage="1"/>
  </sheetPr>
  <dimension ref="A1:X40"/>
  <sheetViews>
    <sheetView showGridLines="0" zoomScaleNormal="100" zoomScaleSheetLayoutView="100" workbookViewId="0">
      <pane xSplit="1" ySplit="1" topLeftCell="B2" activePane="bottomRight" state="frozen"/>
      <selection activeCell="O5" sqref="O5"/>
      <selection pane="topRight" activeCell="O5" sqref="O5"/>
      <selection pane="bottomLeft" activeCell="O5" sqref="O5"/>
      <selection pane="bottomRight" activeCell="N22" sqref="N22"/>
    </sheetView>
  </sheetViews>
  <sheetFormatPr baseColWidth="10" defaultRowHeight="15" x14ac:dyDescent="0.25"/>
  <cols>
    <col min="1" max="1" width="10.85546875" style="184" bestFit="1" customWidth="1"/>
    <col min="2" max="9" width="10.5703125" style="158" bestFit="1" customWidth="1"/>
    <col min="10" max="11" width="10.42578125" style="158" bestFit="1" customWidth="1"/>
    <col min="12" max="12" width="12" style="158" bestFit="1" customWidth="1"/>
    <col min="13" max="13" width="10.42578125" style="158" bestFit="1" customWidth="1"/>
    <col min="14" max="15" width="12.28515625" style="158" bestFit="1" customWidth="1"/>
    <col min="16" max="16" width="4" style="158" customWidth="1"/>
    <col min="17" max="17" width="10.42578125" style="158" bestFit="1" customWidth="1"/>
    <col min="18" max="18" width="3" style="159" bestFit="1" customWidth="1"/>
    <col min="19" max="19" width="13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44927</v>
      </c>
      <c r="C1" s="156">
        <v>44958</v>
      </c>
      <c r="D1" s="156">
        <v>44986</v>
      </c>
      <c r="E1" s="156">
        <v>45017</v>
      </c>
      <c r="F1" s="156">
        <v>45047</v>
      </c>
      <c r="G1" s="156">
        <v>45078</v>
      </c>
      <c r="H1" s="156">
        <v>45108</v>
      </c>
      <c r="I1" s="156">
        <v>45139</v>
      </c>
      <c r="J1" s="156">
        <v>45170</v>
      </c>
      <c r="K1" s="156">
        <v>45200</v>
      </c>
      <c r="L1" s="156">
        <v>45231</v>
      </c>
      <c r="M1" s="156">
        <v>45261</v>
      </c>
      <c r="N1" s="157" t="s">
        <v>23</v>
      </c>
    </row>
    <row r="2" spans="1:17" x14ac:dyDescent="0.25">
      <c r="A2" s="160" t="s">
        <v>1</v>
      </c>
      <c r="B2" s="288">
        <v>10000</v>
      </c>
      <c r="C2" s="288">
        <f>+Director23!C15</f>
        <v>10000</v>
      </c>
      <c r="D2" s="288">
        <f>+Director23!D15</f>
        <v>10000</v>
      </c>
      <c r="E2" s="288">
        <v>10000</v>
      </c>
      <c r="F2" s="288">
        <v>10000</v>
      </c>
      <c r="G2" s="288">
        <v>10000</v>
      </c>
      <c r="H2" s="288">
        <v>10000</v>
      </c>
      <c r="I2" s="288">
        <v>10000</v>
      </c>
      <c r="J2" s="288">
        <v>10000</v>
      </c>
      <c r="K2" s="288">
        <v>10000</v>
      </c>
      <c r="L2" s="322">
        <v>10000</v>
      </c>
      <c r="M2" s="290">
        <v>10000</v>
      </c>
      <c r="N2" s="162">
        <f>SUM(B2:M2)</f>
        <v>120000</v>
      </c>
    </row>
    <row r="3" spans="1:17" x14ac:dyDescent="0.25">
      <c r="A3" s="160" t="s">
        <v>3</v>
      </c>
      <c r="B3" s="288">
        <v>10000</v>
      </c>
      <c r="C3" s="288">
        <v>10000</v>
      </c>
      <c r="D3" s="288">
        <v>10000</v>
      </c>
      <c r="E3" s="288">
        <v>10000</v>
      </c>
      <c r="F3" s="288">
        <v>10000</v>
      </c>
      <c r="G3" s="288">
        <v>10000</v>
      </c>
      <c r="H3" s="288">
        <v>10000</v>
      </c>
      <c r="I3" s="288">
        <v>10000</v>
      </c>
      <c r="J3" s="288">
        <v>10000</v>
      </c>
      <c r="K3" s="288">
        <v>10000</v>
      </c>
      <c r="L3" s="322">
        <v>10000</v>
      </c>
      <c r="M3" s="290">
        <v>10000</v>
      </c>
      <c r="N3" s="162">
        <f t="shared" ref="N3:N4" si="0">SUM(B3:M3)</f>
        <v>120000</v>
      </c>
    </row>
    <row r="4" spans="1:17" x14ac:dyDescent="0.25">
      <c r="A4" s="160" t="s">
        <v>4</v>
      </c>
      <c r="B4" s="288">
        <v>10000</v>
      </c>
      <c r="C4" s="288">
        <v>10000</v>
      </c>
      <c r="D4" s="288">
        <v>10000</v>
      </c>
      <c r="E4" s="288">
        <v>10000</v>
      </c>
      <c r="F4" s="288">
        <v>10000</v>
      </c>
      <c r="G4" s="288">
        <v>10000</v>
      </c>
      <c r="H4" s="288">
        <v>10000</v>
      </c>
      <c r="I4" s="288">
        <v>10000</v>
      </c>
      <c r="J4" s="288">
        <v>10000</v>
      </c>
      <c r="K4" s="288">
        <v>10000</v>
      </c>
      <c r="L4" s="322">
        <v>10000</v>
      </c>
      <c r="M4" s="290">
        <v>10000</v>
      </c>
      <c r="N4" s="162">
        <f t="shared" si="0"/>
        <v>120000</v>
      </c>
    </row>
    <row r="5" spans="1:17" x14ac:dyDescent="0.25">
      <c r="A5" s="155" t="s">
        <v>24</v>
      </c>
      <c r="B5" s="166">
        <f>SUM(B2:B4)</f>
        <v>30000</v>
      </c>
      <c r="C5" s="166">
        <f t="shared" ref="C5:M5" si="1">SUM(C2:C4)</f>
        <v>30000</v>
      </c>
      <c r="D5" s="166">
        <f t="shared" si="1"/>
        <v>30000</v>
      </c>
      <c r="E5" s="166">
        <f t="shared" si="1"/>
        <v>30000</v>
      </c>
      <c r="F5" s="166">
        <f t="shared" si="1"/>
        <v>30000</v>
      </c>
      <c r="G5" s="166">
        <f t="shared" si="1"/>
        <v>30000</v>
      </c>
      <c r="H5" s="166">
        <f t="shared" si="1"/>
        <v>30000</v>
      </c>
      <c r="I5" s="166">
        <f t="shared" si="1"/>
        <v>30000</v>
      </c>
      <c r="J5" s="166">
        <f t="shared" si="1"/>
        <v>30000</v>
      </c>
      <c r="K5" s="166">
        <f t="shared" si="1"/>
        <v>30000</v>
      </c>
      <c r="L5" s="166">
        <f t="shared" si="1"/>
        <v>30000</v>
      </c>
      <c r="M5" s="166">
        <f t="shared" si="1"/>
        <v>30000</v>
      </c>
      <c r="N5" s="166">
        <f>SUM(N1:N4)</f>
        <v>360000</v>
      </c>
      <c r="O5" s="287">
        <f>SUM(B5:M5)</f>
        <v>360000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25</v>
      </c>
      <c r="B7" s="156">
        <v>44927</v>
      </c>
      <c r="C7" s="156">
        <v>44958</v>
      </c>
      <c r="D7" s="156">
        <v>44986</v>
      </c>
      <c r="E7" s="156">
        <v>45017</v>
      </c>
      <c r="F7" s="156">
        <v>45047</v>
      </c>
      <c r="G7" s="156">
        <v>45078</v>
      </c>
      <c r="H7" s="156">
        <v>45108</v>
      </c>
      <c r="I7" s="156">
        <v>45139</v>
      </c>
      <c r="J7" s="156">
        <v>45170</v>
      </c>
      <c r="K7" s="156">
        <v>45200</v>
      </c>
      <c r="L7" s="156">
        <v>45231</v>
      </c>
      <c r="M7" s="156">
        <v>45261</v>
      </c>
      <c r="N7" s="157" t="s">
        <v>23</v>
      </c>
    </row>
    <row r="8" spans="1:17" x14ac:dyDescent="0.25">
      <c r="A8" s="160" t="s">
        <v>1</v>
      </c>
      <c r="B8" s="288">
        <v>0</v>
      </c>
      <c r="C8" s="288">
        <v>0</v>
      </c>
      <c r="D8" s="288">
        <v>20000</v>
      </c>
      <c r="E8" s="288">
        <v>0</v>
      </c>
      <c r="F8" s="288">
        <v>0</v>
      </c>
      <c r="G8" s="288">
        <v>5000</v>
      </c>
      <c r="H8" s="288">
        <v>20000</v>
      </c>
      <c r="I8" s="288">
        <v>15000</v>
      </c>
      <c r="J8" s="288">
        <v>5000</v>
      </c>
      <c r="K8" s="288">
        <v>25000</v>
      </c>
      <c r="L8" s="290">
        <v>0</v>
      </c>
      <c r="M8" s="290">
        <v>0</v>
      </c>
      <c r="N8" s="162">
        <f t="shared" ref="N8:N10" si="2">SUM(B8:M8)</f>
        <v>90000</v>
      </c>
    </row>
    <row r="9" spans="1:17" x14ac:dyDescent="0.25">
      <c r="A9" s="160" t="s">
        <v>3</v>
      </c>
      <c r="B9" s="288">
        <v>0</v>
      </c>
      <c r="C9" s="288">
        <v>0</v>
      </c>
      <c r="D9" s="288">
        <v>20000</v>
      </c>
      <c r="E9" s="288">
        <v>0</v>
      </c>
      <c r="F9" s="288">
        <v>0</v>
      </c>
      <c r="G9" s="288">
        <v>5000</v>
      </c>
      <c r="H9" s="288">
        <v>0</v>
      </c>
      <c r="I9" s="288">
        <v>15000</v>
      </c>
      <c r="J9" s="288">
        <v>5000</v>
      </c>
      <c r="K9" s="288">
        <v>0</v>
      </c>
      <c r="L9" s="290">
        <v>0</v>
      </c>
      <c r="M9" s="290">
        <v>0</v>
      </c>
      <c r="N9" s="162">
        <f t="shared" si="2"/>
        <v>45000</v>
      </c>
    </row>
    <row r="10" spans="1:17" x14ac:dyDescent="0.25">
      <c r="A10" s="160" t="s">
        <v>4</v>
      </c>
      <c r="B10" s="288">
        <v>0</v>
      </c>
      <c r="C10" s="288">
        <v>0</v>
      </c>
      <c r="D10" s="288">
        <v>20000</v>
      </c>
      <c r="E10" s="288">
        <v>0</v>
      </c>
      <c r="F10" s="288">
        <v>0</v>
      </c>
      <c r="G10" s="288">
        <v>5000</v>
      </c>
      <c r="H10" s="288">
        <v>20000</v>
      </c>
      <c r="I10" s="288">
        <v>15000</v>
      </c>
      <c r="J10" s="288">
        <v>5000</v>
      </c>
      <c r="K10" s="288">
        <v>25000</v>
      </c>
      <c r="L10" s="290">
        <v>0</v>
      </c>
      <c r="M10" s="290">
        <v>0</v>
      </c>
      <c r="N10" s="162">
        <f t="shared" si="2"/>
        <v>90000</v>
      </c>
    </row>
    <row r="11" spans="1:17" x14ac:dyDescent="0.25">
      <c r="A11" s="155" t="s">
        <v>24</v>
      </c>
      <c r="B11" s="166">
        <f>SUM(B8:B10)</f>
        <v>0</v>
      </c>
      <c r="C11" s="166">
        <f>SUM(C8:C10)</f>
        <v>0</v>
      </c>
      <c r="D11" s="166">
        <f>SUM(D8:D10)</f>
        <v>60000</v>
      </c>
      <c r="E11" s="166">
        <f>SUM(E8:E10)</f>
        <v>0</v>
      </c>
      <c r="F11" s="166">
        <f>SUM(F8:F10)</f>
        <v>0</v>
      </c>
      <c r="G11" s="166">
        <f t="shared" ref="G11:M11" si="3">SUM(G8:G10)</f>
        <v>15000</v>
      </c>
      <c r="H11" s="166">
        <f t="shared" si="3"/>
        <v>40000</v>
      </c>
      <c r="I11" s="166">
        <f t="shared" si="3"/>
        <v>45000</v>
      </c>
      <c r="J11" s="166">
        <f t="shared" si="3"/>
        <v>15000</v>
      </c>
      <c r="K11" s="166">
        <f t="shared" si="3"/>
        <v>50000</v>
      </c>
      <c r="L11" s="166">
        <f t="shared" si="3"/>
        <v>0</v>
      </c>
      <c r="M11" s="166">
        <f t="shared" si="3"/>
        <v>0</v>
      </c>
      <c r="N11" s="166">
        <f>SUM(N8:N10)</f>
        <v>225000</v>
      </c>
      <c r="O11" s="287">
        <f>SUM(B11:M11)</f>
        <v>225000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26</v>
      </c>
      <c r="B13" s="156">
        <v>44927</v>
      </c>
      <c r="C13" s="156">
        <v>44958</v>
      </c>
      <c r="D13" s="156">
        <v>44986</v>
      </c>
      <c r="E13" s="156">
        <v>45017</v>
      </c>
      <c r="F13" s="156">
        <v>45047</v>
      </c>
      <c r="G13" s="156">
        <v>45078</v>
      </c>
      <c r="H13" s="156">
        <v>45108</v>
      </c>
      <c r="I13" s="156">
        <v>45139</v>
      </c>
      <c r="J13" s="156">
        <v>45170</v>
      </c>
      <c r="K13" s="156">
        <v>45200</v>
      </c>
      <c r="L13" s="156">
        <v>45231</v>
      </c>
      <c r="M13" s="156">
        <v>45261</v>
      </c>
      <c r="N13" s="157" t="s">
        <v>23</v>
      </c>
    </row>
    <row r="14" spans="1:17" x14ac:dyDescent="0.25">
      <c r="A14" s="160" t="s">
        <v>27</v>
      </c>
      <c r="B14" s="288">
        <v>0</v>
      </c>
      <c r="C14" s="288">
        <f>3188+4890</f>
        <v>8078</v>
      </c>
      <c r="D14" s="288">
        <v>23080</v>
      </c>
      <c r="E14" s="288">
        <f>14550+2090+7238+8990+7440+2190+120000+2380+17270+200</f>
        <v>182348</v>
      </c>
      <c r="F14" s="288">
        <v>136739</v>
      </c>
      <c r="G14" s="288">
        <v>8030</v>
      </c>
      <c r="H14" s="289">
        <f>+Gasto23!D27+Gasto23!D28+Gasto23!D29</f>
        <v>24270</v>
      </c>
      <c r="I14" s="288">
        <f>SUM(Gasto23!D13:D26)</f>
        <v>97356</v>
      </c>
      <c r="J14" s="288">
        <f>+Gasto23!D12</f>
        <v>15000</v>
      </c>
      <c r="K14" s="288">
        <f>5000+31900+7710</f>
        <v>44610</v>
      </c>
      <c r="L14" s="290">
        <f>+Gasto23!D7+Gasto23!D8+Gasto23!D5+Gasto23!D4</f>
        <v>8150</v>
      </c>
      <c r="M14" s="290">
        <v>0</v>
      </c>
      <c r="N14" s="162">
        <f t="shared" ref="N14:N18" si="4">SUM(B14:M14)</f>
        <v>547661</v>
      </c>
      <c r="Q14" s="159"/>
    </row>
    <row r="15" spans="1:17" x14ac:dyDescent="0.25">
      <c r="A15" s="160" t="s">
        <v>28</v>
      </c>
      <c r="B15" s="288">
        <v>0</v>
      </c>
      <c r="C15" s="288">
        <v>0</v>
      </c>
      <c r="D15" s="288">
        <v>0</v>
      </c>
      <c r="E15" s="288">
        <v>0</v>
      </c>
      <c r="F15" s="288">
        <v>0</v>
      </c>
      <c r="G15" s="288">
        <v>0</v>
      </c>
      <c r="H15" s="288">
        <v>0</v>
      </c>
      <c r="I15" s="288">
        <v>0</v>
      </c>
      <c r="J15" s="288">
        <v>0</v>
      </c>
      <c r="K15" s="288">
        <v>0</v>
      </c>
      <c r="L15" s="290">
        <v>0</v>
      </c>
      <c r="M15" s="290">
        <v>0</v>
      </c>
      <c r="N15" s="162">
        <f t="shared" si="4"/>
        <v>0</v>
      </c>
      <c r="Q15" s="159"/>
    </row>
    <row r="16" spans="1:17" x14ac:dyDescent="0.25">
      <c r="A16" s="160" t="s">
        <v>29</v>
      </c>
      <c r="B16" s="288">
        <v>0</v>
      </c>
      <c r="C16" s="288">
        <v>0</v>
      </c>
      <c r="D16" s="288">
        <v>0</v>
      </c>
      <c r="E16" s="288">
        <v>0</v>
      </c>
      <c r="F16" s="288">
        <v>0</v>
      </c>
      <c r="G16" s="288">
        <v>0</v>
      </c>
      <c r="H16" s="288">
        <v>0</v>
      </c>
      <c r="I16" s="288">
        <v>0</v>
      </c>
      <c r="J16" s="288">
        <v>0</v>
      </c>
      <c r="K16" s="288">
        <v>0</v>
      </c>
      <c r="L16" s="290">
        <f>+Gasto23!G6</f>
        <v>1480000</v>
      </c>
      <c r="M16" s="290">
        <v>0</v>
      </c>
      <c r="N16" s="162">
        <f t="shared" si="4"/>
        <v>1480000</v>
      </c>
      <c r="Q16" s="159"/>
    </row>
    <row r="17" spans="1:24" x14ac:dyDescent="0.25">
      <c r="A17" s="160" t="s">
        <v>43</v>
      </c>
      <c r="B17" s="288">
        <v>0</v>
      </c>
      <c r="C17" s="288">
        <v>0</v>
      </c>
      <c r="D17" s="288">
        <v>0</v>
      </c>
      <c r="E17" s="288">
        <v>0</v>
      </c>
      <c r="F17" s="288">
        <v>0</v>
      </c>
      <c r="G17" s="288">
        <v>0</v>
      </c>
      <c r="H17" s="288">
        <v>0</v>
      </c>
      <c r="I17" s="288">
        <v>0</v>
      </c>
      <c r="J17" s="288">
        <v>0</v>
      </c>
      <c r="K17" s="288">
        <v>0</v>
      </c>
      <c r="L17" s="290">
        <v>0</v>
      </c>
      <c r="M17" s="290">
        <v>0</v>
      </c>
      <c r="N17" s="162">
        <f t="shared" si="4"/>
        <v>0</v>
      </c>
      <c r="Q17" s="159"/>
    </row>
    <row r="18" spans="1:24" x14ac:dyDescent="0.25">
      <c r="A18" s="160" t="s">
        <v>44</v>
      </c>
      <c r="B18" s="288">
        <v>0</v>
      </c>
      <c r="C18" s="288">
        <v>0</v>
      </c>
      <c r="D18" s="288">
        <v>0</v>
      </c>
      <c r="E18" s="288">
        <v>0</v>
      </c>
      <c r="F18" s="288">
        <v>0</v>
      </c>
      <c r="G18" s="288">
        <v>0</v>
      </c>
      <c r="H18" s="288">
        <v>0</v>
      </c>
      <c r="I18" s="288">
        <v>0</v>
      </c>
      <c r="J18" s="288">
        <v>0</v>
      </c>
      <c r="K18" s="288">
        <v>0</v>
      </c>
      <c r="L18" s="290">
        <v>0</v>
      </c>
      <c r="M18" s="290">
        <v>0</v>
      </c>
      <c r="N18" s="162">
        <f t="shared" si="4"/>
        <v>0</v>
      </c>
    </row>
    <row r="19" spans="1:24" x14ac:dyDescent="0.25">
      <c r="A19" s="155" t="s">
        <v>24</v>
      </c>
      <c r="B19" s="166">
        <f>SUM(B14:B18)</f>
        <v>0</v>
      </c>
      <c r="C19" s="166">
        <f t="shared" ref="C19:D19" si="5">SUM(C14:C18)</f>
        <v>8078</v>
      </c>
      <c r="D19" s="166">
        <f t="shared" si="5"/>
        <v>23080</v>
      </c>
      <c r="E19" s="166">
        <f>SUM(E14:E18)</f>
        <v>182348</v>
      </c>
      <c r="F19" s="166">
        <f t="shared" ref="F19:M19" si="6">SUM(F14:F18)</f>
        <v>136739</v>
      </c>
      <c r="G19" s="166">
        <f t="shared" si="6"/>
        <v>8030</v>
      </c>
      <c r="H19" s="166">
        <f t="shared" si="6"/>
        <v>24270</v>
      </c>
      <c r="I19" s="166">
        <f t="shared" si="6"/>
        <v>97356</v>
      </c>
      <c r="J19" s="166">
        <f t="shared" si="6"/>
        <v>15000</v>
      </c>
      <c r="K19" s="166">
        <f t="shared" si="6"/>
        <v>44610</v>
      </c>
      <c r="L19" s="166">
        <f t="shared" si="6"/>
        <v>1488150</v>
      </c>
      <c r="M19" s="166">
        <f t="shared" si="6"/>
        <v>0</v>
      </c>
      <c r="N19" s="166">
        <f>SUM(N14:N18)</f>
        <v>2027661</v>
      </c>
      <c r="O19" s="287">
        <f>SUM(B19:M19)</f>
        <v>2027661</v>
      </c>
    </row>
    <row r="20" spans="1:24" ht="15.75" thickBot="1" x14ac:dyDescent="0.3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</row>
    <row r="21" spans="1:24" ht="15.75" thickBot="1" x14ac:dyDescent="0.3">
      <c r="A21" s="168"/>
      <c r="B21" s="156">
        <v>44927</v>
      </c>
      <c r="C21" s="156">
        <v>44958</v>
      </c>
      <c r="D21" s="156">
        <v>44986</v>
      </c>
      <c r="E21" s="156">
        <v>45017</v>
      </c>
      <c r="F21" s="156">
        <v>45047</v>
      </c>
      <c r="G21" s="156">
        <v>45078</v>
      </c>
      <c r="H21" s="156">
        <v>45108</v>
      </c>
      <c r="I21" s="156">
        <v>45139</v>
      </c>
      <c r="J21" s="156">
        <v>45170</v>
      </c>
      <c r="K21" s="156">
        <v>45200</v>
      </c>
      <c r="L21" s="156">
        <v>45231</v>
      </c>
      <c r="M21" s="156">
        <v>45261</v>
      </c>
      <c r="N21" s="157" t="s">
        <v>23</v>
      </c>
      <c r="O21" s="169"/>
      <c r="Q21" s="389">
        <v>45299</v>
      </c>
      <c r="R21" s="396"/>
      <c r="S21" s="397"/>
    </row>
    <row r="22" spans="1:24" x14ac:dyDescent="0.25">
      <c r="A22" s="155" t="s">
        <v>31</v>
      </c>
      <c r="B22" s="161">
        <v>147500</v>
      </c>
      <c r="C22" s="161">
        <v>157500</v>
      </c>
      <c r="D22" s="161">
        <v>160000</v>
      </c>
      <c r="E22" s="161">
        <v>167500</v>
      </c>
      <c r="F22" s="161">
        <v>170000</v>
      </c>
      <c r="G22" s="161">
        <v>167500</v>
      </c>
      <c r="H22" s="161">
        <v>175000</v>
      </c>
      <c r="I22" s="161">
        <v>170000</v>
      </c>
      <c r="J22" s="161">
        <v>180000</v>
      </c>
      <c r="K22" s="161">
        <v>180000</v>
      </c>
      <c r="L22" s="194">
        <v>165000</v>
      </c>
      <c r="M22" s="194">
        <v>185000</v>
      </c>
      <c r="N22" s="170">
        <f>SUM(B22:M22)</f>
        <v>2025000</v>
      </c>
      <c r="Q22" s="270">
        <v>20000</v>
      </c>
      <c r="R22" s="195">
        <v>14</v>
      </c>
      <c r="S22" s="271">
        <f>+Q22*R22</f>
        <v>280000</v>
      </c>
    </row>
    <row r="23" spans="1:24" x14ac:dyDescent="0.25">
      <c r="A23" s="155" t="s">
        <v>165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70">
        <f>SUM(B23:M23)</f>
        <v>0</v>
      </c>
      <c r="Q23" s="272">
        <v>10000</v>
      </c>
      <c r="R23" s="195">
        <v>69</v>
      </c>
      <c r="S23" s="271">
        <f t="shared" ref="S23:S30" si="7">+Q23*R23</f>
        <v>690000</v>
      </c>
    </row>
    <row r="24" spans="1:24" x14ac:dyDescent="0.25">
      <c r="A24" s="155" t="s">
        <v>33</v>
      </c>
      <c r="B24" s="161">
        <v>0</v>
      </c>
      <c r="C24" s="161">
        <v>0</v>
      </c>
      <c r="D24" s="161">
        <v>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61">
        <v>0</v>
      </c>
      <c r="M24" s="161">
        <v>0</v>
      </c>
      <c r="N24" s="170">
        <f>SUM(B24:M24)</f>
        <v>0</v>
      </c>
      <c r="Q24" s="272">
        <v>5000</v>
      </c>
      <c r="R24" s="195">
        <v>1</v>
      </c>
      <c r="S24" s="271">
        <f t="shared" si="7"/>
        <v>5000</v>
      </c>
    </row>
    <row r="25" spans="1:24" x14ac:dyDescent="0.25">
      <c r="A25" s="283" t="s">
        <v>34</v>
      </c>
      <c r="B25" s="284">
        <f>SUM(B22:B24)</f>
        <v>147500</v>
      </c>
      <c r="C25" s="284">
        <f>SUM(C22:C24)</f>
        <v>157500</v>
      </c>
      <c r="D25" s="284">
        <f>SUM(D22:D24)</f>
        <v>160000</v>
      </c>
      <c r="E25" s="284">
        <f>SUM(E22:E24)</f>
        <v>167500</v>
      </c>
      <c r="F25" s="284">
        <f t="shared" ref="F25:M25" si="8">SUM(F22:F24)</f>
        <v>170000</v>
      </c>
      <c r="G25" s="284">
        <f t="shared" si="8"/>
        <v>167500</v>
      </c>
      <c r="H25" s="284">
        <f t="shared" si="8"/>
        <v>175000</v>
      </c>
      <c r="I25" s="284">
        <f>SUM(I22:I24)</f>
        <v>170000</v>
      </c>
      <c r="J25" s="284">
        <f t="shared" si="8"/>
        <v>180000</v>
      </c>
      <c r="K25" s="284">
        <f t="shared" si="8"/>
        <v>180000</v>
      </c>
      <c r="L25" s="284">
        <f t="shared" si="8"/>
        <v>165000</v>
      </c>
      <c r="M25" s="284">
        <f t="shared" si="8"/>
        <v>185000</v>
      </c>
      <c r="N25" s="284">
        <f>SUM(B25:M25)</f>
        <v>2025000</v>
      </c>
      <c r="O25" s="286">
        <f>SUM(N22:N24)</f>
        <v>2025000</v>
      </c>
      <c r="Q25" s="272">
        <v>2000</v>
      </c>
      <c r="R25" s="195">
        <v>1</v>
      </c>
      <c r="S25" s="271">
        <f t="shared" si="7"/>
        <v>2000</v>
      </c>
      <c r="U25" s="173"/>
    </row>
    <row r="26" spans="1:24" x14ac:dyDescent="0.25">
      <c r="A26" s="174" t="s">
        <v>35</v>
      </c>
      <c r="B26" s="175">
        <f>+B19+B11+B5</f>
        <v>30000</v>
      </c>
      <c r="C26" s="175">
        <f>+C19+C11+C5</f>
        <v>38078</v>
      </c>
      <c r="D26" s="175">
        <f>+D19+D11+D5</f>
        <v>113080</v>
      </c>
      <c r="E26" s="175">
        <f t="shared" ref="E26:M26" si="9">+E19+E11+E5</f>
        <v>212348</v>
      </c>
      <c r="F26" s="175">
        <f t="shared" si="9"/>
        <v>166739</v>
      </c>
      <c r="G26" s="175">
        <f t="shared" si="9"/>
        <v>53030</v>
      </c>
      <c r="H26" s="175">
        <f t="shared" si="9"/>
        <v>94270</v>
      </c>
      <c r="I26" s="175">
        <f t="shared" si="9"/>
        <v>172356</v>
      </c>
      <c r="J26" s="175">
        <f t="shared" si="9"/>
        <v>60000</v>
      </c>
      <c r="K26" s="175">
        <f t="shared" si="9"/>
        <v>124610</v>
      </c>
      <c r="L26" s="175">
        <f t="shared" si="9"/>
        <v>1518150</v>
      </c>
      <c r="M26" s="175">
        <f t="shared" si="9"/>
        <v>30000</v>
      </c>
      <c r="N26" s="175">
        <f>SUM(B26:M26)</f>
        <v>2612661</v>
      </c>
      <c r="O26" s="285">
        <f>+O19+O11+O5</f>
        <v>2612661</v>
      </c>
      <c r="Q26" s="272">
        <v>1000</v>
      </c>
      <c r="R26" s="195">
        <v>1</v>
      </c>
      <c r="S26" s="271">
        <f t="shared" si="7"/>
        <v>1000</v>
      </c>
      <c r="U26" s="173"/>
    </row>
    <row r="27" spans="1:24" x14ac:dyDescent="0.25">
      <c r="A27" s="155" t="s">
        <v>157</v>
      </c>
      <c r="B27" s="176">
        <f>++IF(B25=0,"-",+B26/B25)</f>
        <v>0.20338983050847459</v>
      </c>
      <c r="C27" s="176">
        <f t="shared" ref="C27:M27" si="10">++IF(C25=0,"-",+C26/C25)</f>
        <v>0.24176507936507938</v>
      </c>
      <c r="D27" s="176">
        <f t="shared" si="10"/>
        <v>0.70674999999999999</v>
      </c>
      <c r="E27" s="176">
        <f t="shared" si="10"/>
        <v>1.2677492537313433</v>
      </c>
      <c r="F27" s="176">
        <f t="shared" si="10"/>
        <v>0.98081764705882357</v>
      </c>
      <c r="G27" s="176">
        <f t="shared" si="10"/>
        <v>0.31659701492537312</v>
      </c>
      <c r="H27" s="176">
        <f t="shared" si="10"/>
        <v>0.53868571428571432</v>
      </c>
      <c r="I27" s="176">
        <f t="shared" si="10"/>
        <v>1.0138588235294117</v>
      </c>
      <c r="J27" s="176">
        <f t="shared" si="10"/>
        <v>0.33333333333333331</v>
      </c>
      <c r="K27" s="176">
        <f t="shared" si="10"/>
        <v>0.69227777777777777</v>
      </c>
      <c r="L27" s="176">
        <f t="shared" si="10"/>
        <v>9.2009090909090911</v>
      </c>
      <c r="M27" s="176">
        <f t="shared" si="10"/>
        <v>0.16216216216216217</v>
      </c>
      <c r="N27" s="293">
        <f>+N26/N25</f>
        <v>1.290202962962963</v>
      </c>
      <c r="O27" s="294">
        <f>+N25-N26</f>
        <v>-587661</v>
      </c>
      <c r="P27" s="164"/>
      <c r="Q27" s="272">
        <v>500</v>
      </c>
      <c r="R27" s="195">
        <v>1</v>
      </c>
      <c r="S27" s="271">
        <f t="shared" si="7"/>
        <v>500</v>
      </c>
      <c r="U27" s="173"/>
    </row>
    <row r="28" spans="1:24" x14ac:dyDescent="0.25">
      <c r="A28" s="160" t="s">
        <v>81</v>
      </c>
      <c r="B28" s="263">
        <f>+B22/2500</f>
        <v>59</v>
      </c>
      <c r="C28" s="263">
        <f t="shared" ref="C28:M28" si="11">+C22/2500</f>
        <v>63</v>
      </c>
      <c r="D28" s="263">
        <f t="shared" si="11"/>
        <v>64</v>
      </c>
      <c r="E28" s="263">
        <f t="shared" si="11"/>
        <v>67</v>
      </c>
      <c r="F28" s="263">
        <f t="shared" si="11"/>
        <v>68</v>
      </c>
      <c r="G28" s="263">
        <f t="shared" si="11"/>
        <v>67</v>
      </c>
      <c r="H28" s="263">
        <f t="shared" si="11"/>
        <v>70</v>
      </c>
      <c r="I28" s="263">
        <f t="shared" si="11"/>
        <v>68</v>
      </c>
      <c r="J28" s="263">
        <f t="shared" si="11"/>
        <v>72</v>
      </c>
      <c r="K28" s="263">
        <f t="shared" si="11"/>
        <v>72</v>
      </c>
      <c r="L28" s="263">
        <f t="shared" si="11"/>
        <v>66</v>
      </c>
      <c r="M28" s="263">
        <f t="shared" si="11"/>
        <v>74</v>
      </c>
      <c r="N28" s="292" t="s">
        <v>95</v>
      </c>
      <c r="O28" s="291">
        <f>+'2022'!O31</f>
        <v>1566130</v>
      </c>
      <c r="P28" s="164"/>
      <c r="Q28" s="272">
        <v>100</v>
      </c>
      <c r="R28" s="195">
        <v>0</v>
      </c>
      <c r="S28" s="271">
        <f t="shared" si="7"/>
        <v>0</v>
      </c>
      <c r="U28" s="173"/>
    </row>
    <row r="29" spans="1:24" x14ac:dyDescent="0.25">
      <c r="A29" s="160"/>
      <c r="F29" s="159"/>
      <c r="G29" s="159"/>
      <c r="H29" s="179"/>
      <c r="I29" s="159"/>
      <c r="J29" s="159"/>
      <c r="K29" s="159"/>
      <c r="L29" s="159"/>
      <c r="M29" s="159"/>
      <c r="N29" s="182" t="s">
        <v>38</v>
      </c>
      <c r="O29" s="183">
        <f>SUM(O27:O28)</f>
        <v>978469</v>
      </c>
      <c r="Q29" s="272">
        <v>50</v>
      </c>
      <c r="R29" s="195">
        <v>0</v>
      </c>
      <c r="S29" s="271">
        <f t="shared" si="7"/>
        <v>0</v>
      </c>
      <c r="T29" s="164"/>
      <c r="U29" s="173"/>
    </row>
    <row r="30" spans="1:24" ht="15.75" thickBot="1" x14ac:dyDescent="0.3">
      <c r="A30" s="160"/>
      <c r="F30" s="180"/>
      <c r="G30" s="180"/>
      <c r="H30" s="180"/>
      <c r="I30" s="180"/>
      <c r="J30" s="180"/>
      <c r="K30" s="180"/>
      <c r="L30" s="180"/>
      <c r="M30" s="180"/>
      <c r="O30" s="164">
        <f>+O31-O29</f>
        <v>31</v>
      </c>
      <c r="Q30" s="272">
        <v>10</v>
      </c>
      <c r="R30" s="195">
        <v>0</v>
      </c>
      <c r="S30" s="271">
        <f t="shared" si="7"/>
        <v>0</v>
      </c>
    </row>
    <row r="31" spans="1:24" ht="15.75" thickBot="1" x14ac:dyDescent="0.3">
      <c r="N31" s="267" t="s">
        <v>39</v>
      </c>
      <c r="O31" s="268">
        <f>+S31</f>
        <v>978500</v>
      </c>
      <c r="Q31" s="394" t="s">
        <v>39</v>
      </c>
      <c r="R31" s="395"/>
      <c r="S31" s="273">
        <f>SUM(S22:S30)</f>
        <v>978500</v>
      </c>
      <c r="T31" s="164"/>
    </row>
    <row r="32" spans="1:24" x14ac:dyDescent="0.25">
      <c r="M32" s="186"/>
      <c r="N32" s="187" t="s">
        <v>45</v>
      </c>
      <c r="O32" s="188"/>
      <c r="X32" s="169"/>
    </row>
    <row r="33" spans="14:24" x14ac:dyDescent="0.25">
      <c r="O33" s="190"/>
      <c r="Q33" s="158" t="s">
        <v>163</v>
      </c>
      <c r="S33" s="295">
        <v>1050000</v>
      </c>
      <c r="W33" s="169"/>
      <c r="X33" s="169"/>
    </row>
    <row r="34" spans="14:24" x14ac:dyDescent="0.25">
      <c r="O34" s="192"/>
      <c r="Q34" s="158" t="s">
        <v>166</v>
      </c>
      <c r="S34" s="296">
        <v>45222</v>
      </c>
    </row>
    <row r="35" spans="14:24" x14ac:dyDescent="0.25">
      <c r="Q35" s="158" t="s">
        <v>167</v>
      </c>
      <c r="S35" s="296">
        <v>45264</v>
      </c>
      <c r="X35" s="169"/>
    </row>
    <row r="36" spans="14:24" ht="15.75" thickBot="1" x14ac:dyDescent="0.3">
      <c r="Q36" s="158" t="s">
        <v>53</v>
      </c>
      <c r="S36" s="295">
        <v>1061025</v>
      </c>
    </row>
    <row r="37" spans="14:24" ht="15.75" thickBot="1" x14ac:dyDescent="0.3">
      <c r="Q37" s="297" t="s">
        <v>164</v>
      </c>
      <c r="R37" s="298"/>
      <c r="S37" s="299">
        <f>+S36-S33</f>
        <v>11025</v>
      </c>
      <c r="T37" s="169"/>
      <c r="X37" s="169"/>
    </row>
    <row r="38" spans="14:24" ht="15.75" thickBot="1" x14ac:dyDescent="0.3">
      <c r="O38" s="169"/>
      <c r="T38" s="169"/>
    </row>
    <row r="39" spans="14:24" ht="19.5" thickBot="1" x14ac:dyDescent="0.35">
      <c r="N39" s="192"/>
      <c r="Q39" s="317" t="s">
        <v>169</v>
      </c>
      <c r="R39" s="398">
        <f>+S31+S36</f>
        <v>2039525</v>
      </c>
      <c r="S39" s="399"/>
      <c r="T39" s="169"/>
    </row>
    <row r="40" spans="14:24" x14ac:dyDescent="0.25">
      <c r="T40" s="169"/>
    </row>
  </sheetData>
  <mergeCells count="3">
    <mergeCell ref="Q31:R31"/>
    <mergeCell ref="Q21:S21"/>
    <mergeCell ref="R39:S39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B5 B11:M11 B19:M19 E5:M5 I14 E25:I25 J25:M25 B25:D26" formulaRange="1"/>
    <ignoredError sqref="N27" evalError="1"/>
    <ignoredError sqref="N26" formula="1"/>
    <ignoredError sqref="L14:L16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rgb="FFFFFF00"/>
    <pageSetUpPr fitToPage="1"/>
  </sheetPr>
  <dimension ref="A1:X40"/>
  <sheetViews>
    <sheetView showGridLines="0" zoomScaleNormal="100" zoomScaleSheetLayoutView="100" workbookViewId="0">
      <pane xSplit="1" ySplit="1" topLeftCell="E2" activePane="bottomRight" state="frozen"/>
      <selection activeCell="D20" sqref="D20"/>
      <selection pane="topRight" activeCell="D20" sqref="D20"/>
      <selection pane="bottomLeft" activeCell="D20" sqref="D20"/>
      <selection pane="bottomRight" activeCell="D20" sqref="D20"/>
    </sheetView>
  </sheetViews>
  <sheetFormatPr baseColWidth="10" defaultRowHeight="15" x14ac:dyDescent="0.25"/>
  <cols>
    <col min="1" max="1" width="10.85546875" style="184" bestFit="1" customWidth="1"/>
    <col min="2" max="9" width="10.5703125" style="158" bestFit="1" customWidth="1"/>
    <col min="10" max="11" width="10.42578125" style="158" bestFit="1" customWidth="1"/>
    <col min="12" max="12" width="12" style="158" bestFit="1" customWidth="1"/>
    <col min="13" max="13" width="10.42578125" style="158" bestFit="1" customWidth="1"/>
    <col min="14" max="15" width="12.28515625" style="158" bestFit="1" customWidth="1"/>
    <col min="16" max="16" width="4" style="158" customWidth="1"/>
    <col min="17" max="17" width="10.42578125" style="158" bestFit="1" customWidth="1"/>
    <col min="18" max="18" width="3" style="159" bestFit="1" customWidth="1"/>
    <col min="19" max="19" width="13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45292</v>
      </c>
      <c r="C1" s="156">
        <v>45323</v>
      </c>
      <c r="D1" s="156">
        <v>45352</v>
      </c>
      <c r="E1" s="156">
        <v>45383</v>
      </c>
      <c r="F1" s="156">
        <v>45413</v>
      </c>
      <c r="G1" s="156">
        <v>45444</v>
      </c>
      <c r="H1" s="156">
        <v>45474</v>
      </c>
      <c r="I1" s="156">
        <v>45505</v>
      </c>
      <c r="J1" s="156">
        <v>45536</v>
      </c>
      <c r="K1" s="156">
        <v>45566</v>
      </c>
      <c r="L1" s="156">
        <v>45597</v>
      </c>
      <c r="M1" s="156">
        <v>45627</v>
      </c>
      <c r="N1" s="157" t="s">
        <v>23</v>
      </c>
    </row>
    <row r="2" spans="1:17" x14ac:dyDescent="0.25">
      <c r="A2" s="160" t="s">
        <v>1</v>
      </c>
      <c r="B2" s="288">
        <v>10000</v>
      </c>
      <c r="C2" s="288">
        <v>10000</v>
      </c>
      <c r="D2" s="288">
        <v>10000</v>
      </c>
      <c r="E2" s="288">
        <v>10000</v>
      </c>
      <c r="F2" s="288">
        <v>10000</v>
      </c>
      <c r="G2" s="288">
        <v>10000</v>
      </c>
      <c r="H2" s="288">
        <v>10000</v>
      </c>
      <c r="I2" s="288">
        <v>10000</v>
      </c>
      <c r="J2" s="288">
        <v>10000</v>
      </c>
      <c r="K2" s="288">
        <v>10000</v>
      </c>
      <c r="L2" s="322">
        <v>10000</v>
      </c>
      <c r="M2" s="290">
        <v>10000</v>
      </c>
      <c r="N2" s="162">
        <f>SUM(B2:M2)</f>
        <v>120000</v>
      </c>
    </row>
    <row r="3" spans="1:17" x14ac:dyDescent="0.25">
      <c r="A3" s="160" t="s">
        <v>3</v>
      </c>
      <c r="B3" s="288">
        <v>10000</v>
      </c>
      <c r="C3" s="288">
        <v>10000</v>
      </c>
      <c r="D3" s="288">
        <v>10000</v>
      </c>
      <c r="E3" s="288">
        <v>10000</v>
      </c>
      <c r="F3" s="288">
        <v>10000</v>
      </c>
      <c r="G3" s="288">
        <v>10000</v>
      </c>
      <c r="H3" s="288">
        <v>10000</v>
      </c>
      <c r="I3" s="288">
        <v>10000</v>
      </c>
      <c r="J3" s="288">
        <v>10000</v>
      </c>
      <c r="K3" s="288">
        <v>10000</v>
      </c>
      <c r="L3" s="322">
        <v>10000</v>
      </c>
      <c r="M3" s="290">
        <v>10000</v>
      </c>
      <c r="N3" s="162">
        <f t="shared" ref="N3:N4" si="0">SUM(B3:M3)</f>
        <v>120000</v>
      </c>
    </row>
    <row r="4" spans="1:17" x14ac:dyDescent="0.25">
      <c r="A4" s="160" t="s">
        <v>4</v>
      </c>
      <c r="B4" s="288">
        <v>10000</v>
      </c>
      <c r="C4" s="288">
        <v>10000</v>
      </c>
      <c r="D4" s="288">
        <v>10000</v>
      </c>
      <c r="E4" s="288">
        <v>10000</v>
      </c>
      <c r="F4" s="288">
        <v>10000</v>
      </c>
      <c r="G4" s="288">
        <v>10000</v>
      </c>
      <c r="H4" s="288">
        <v>10000</v>
      </c>
      <c r="I4" s="288">
        <v>10000</v>
      </c>
      <c r="J4" s="288">
        <v>10000</v>
      </c>
      <c r="K4" s="288">
        <v>10000</v>
      </c>
      <c r="L4" s="322">
        <v>10000</v>
      </c>
      <c r="M4" s="290">
        <v>10000</v>
      </c>
      <c r="N4" s="162">
        <f t="shared" si="0"/>
        <v>120000</v>
      </c>
    </row>
    <row r="5" spans="1:17" x14ac:dyDescent="0.25">
      <c r="A5" s="155" t="s">
        <v>24</v>
      </c>
      <c r="B5" s="166">
        <f>SUM(B2:B4)</f>
        <v>30000</v>
      </c>
      <c r="C5" s="166">
        <f t="shared" ref="C5:M5" si="1">SUM(C2:C4)</f>
        <v>30000</v>
      </c>
      <c r="D5" s="166">
        <f t="shared" si="1"/>
        <v>30000</v>
      </c>
      <c r="E5" s="166">
        <f t="shared" si="1"/>
        <v>30000</v>
      </c>
      <c r="F5" s="166">
        <f t="shared" si="1"/>
        <v>30000</v>
      </c>
      <c r="G5" s="166">
        <f t="shared" si="1"/>
        <v>30000</v>
      </c>
      <c r="H5" s="166">
        <f t="shared" si="1"/>
        <v>30000</v>
      </c>
      <c r="I5" s="166">
        <f t="shared" si="1"/>
        <v>30000</v>
      </c>
      <c r="J5" s="166">
        <f t="shared" si="1"/>
        <v>30000</v>
      </c>
      <c r="K5" s="166">
        <f t="shared" si="1"/>
        <v>30000</v>
      </c>
      <c r="L5" s="166">
        <f t="shared" si="1"/>
        <v>30000</v>
      </c>
      <c r="M5" s="166">
        <f t="shared" si="1"/>
        <v>30000</v>
      </c>
      <c r="N5" s="166">
        <f>SUM(N1:N4)</f>
        <v>360000</v>
      </c>
      <c r="O5" s="287">
        <f>SUM(B5:M5)</f>
        <v>360000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25</v>
      </c>
      <c r="B7" s="156">
        <v>45292</v>
      </c>
      <c r="C7" s="156">
        <v>45323</v>
      </c>
      <c r="D7" s="156">
        <v>45352</v>
      </c>
      <c r="E7" s="156">
        <v>45383</v>
      </c>
      <c r="F7" s="156">
        <v>45413</v>
      </c>
      <c r="G7" s="156">
        <v>45444</v>
      </c>
      <c r="H7" s="156">
        <v>45474</v>
      </c>
      <c r="I7" s="156">
        <v>45505</v>
      </c>
      <c r="J7" s="156">
        <v>45536</v>
      </c>
      <c r="K7" s="156">
        <v>45566</v>
      </c>
      <c r="L7" s="156">
        <v>45597</v>
      </c>
      <c r="M7" s="156">
        <v>45627</v>
      </c>
      <c r="N7" s="157" t="s">
        <v>23</v>
      </c>
    </row>
    <row r="8" spans="1:17" x14ac:dyDescent="0.25">
      <c r="A8" s="160" t="s">
        <v>1</v>
      </c>
      <c r="B8" s="288">
        <v>0</v>
      </c>
      <c r="C8" s="288">
        <v>0</v>
      </c>
      <c r="D8" s="288">
        <v>20000</v>
      </c>
      <c r="E8" s="288">
        <v>10000</v>
      </c>
      <c r="F8" s="288">
        <v>5000</v>
      </c>
      <c r="G8" s="288">
        <v>0</v>
      </c>
      <c r="H8" s="288">
        <v>10000</v>
      </c>
      <c r="I8" s="288">
        <v>0</v>
      </c>
      <c r="J8" s="288">
        <v>20000</v>
      </c>
      <c r="K8" s="288">
        <v>5000</v>
      </c>
      <c r="L8" s="290">
        <v>0</v>
      </c>
      <c r="M8" s="290">
        <v>5000</v>
      </c>
      <c r="N8" s="162">
        <f t="shared" ref="N8:N10" si="2">SUM(B8:M8)</f>
        <v>75000</v>
      </c>
    </row>
    <row r="9" spans="1:17" x14ac:dyDescent="0.25">
      <c r="A9" s="160" t="s">
        <v>3</v>
      </c>
      <c r="B9" s="288">
        <v>0</v>
      </c>
      <c r="C9" s="288">
        <v>0</v>
      </c>
      <c r="D9" s="288">
        <v>0</v>
      </c>
      <c r="E9" s="288">
        <v>10000</v>
      </c>
      <c r="F9" s="288">
        <v>5000</v>
      </c>
      <c r="G9" s="288">
        <v>0</v>
      </c>
      <c r="H9" s="288">
        <v>5000</v>
      </c>
      <c r="I9" s="288">
        <v>0</v>
      </c>
      <c r="J9" s="288">
        <v>0</v>
      </c>
      <c r="K9" s="288">
        <v>0</v>
      </c>
      <c r="L9" s="290">
        <v>0</v>
      </c>
      <c r="M9" s="290">
        <v>0</v>
      </c>
      <c r="N9" s="162">
        <f t="shared" si="2"/>
        <v>20000</v>
      </c>
    </row>
    <row r="10" spans="1:17" x14ac:dyDescent="0.25">
      <c r="A10" s="160" t="s">
        <v>4</v>
      </c>
      <c r="B10" s="288">
        <v>0</v>
      </c>
      <c r="C10" s="288">
        <v>0</v>
      </c>
      <c r="D10" s="288">
        <v>20000</v>
      </c>
      <c r="E10" s="288">
        <v>0</v>
      </c>
      <c r="F10" s="288">
        <v>0</v>
      </c>
      <c r="G10" s="288">
        <v>0</v>
      </c>
      <c r="H10" s="288">
        <v>0</v>
      </c>
      <c r="I10" s="288">
        <v>0</v>
      </c>
      <c r="J10" s="288">
        <v>20000</v>
      </c>
      <c r="K10" s="288">
        <v>0</v>
      </c>
      <c r="L10" s="290">
        <v>0</v>
      </c>
      <c r="M10" s="290">
        <v>5000</v>
      </c>
      <c r="N10" s="162">
        <f t="shared" si="2"/>
        <v>45000</v>
      </c>
    </row>
    <row r="11" spans="1:17" x14ac:dyDescent="0.25">
      <c r="A11" s="155" t="s">
        <v>24</v>
      </c>
      <c r="B11" s="166">
        <f>SUM(B8:B10)</f>
        <v>0</v>
      </c>
      <c r="C11" s="166">
        <f>SUM(C8:C10)</f>
        <v>0</v>
      </c>
      <c r="D11" s="166">
        <f>SUM(D8:D10)</f>
        <v>40000</v>
      </c>
      <c r="E11" s="166">
        <f>SUM(E8:E10)</f>
        <v>20000</v>
      </c>
      <c r="F11" s="166">
        <f>SUM(F8:F10)</f>
        <v>10000</v>
      </c>
      <c r="G11" s="166">
        <f t="shared" ref="G11:M11" si="3">SUM(G8:G10)</f>
        <v>0</v>
      </c>
      <c r="H11" s="166">
        <f t="shared" si="3"/>
        <v>15000</v>
      </c>
      <c r="I11" s="166">
        <f t="shared" si="3"/>
        <v>0</v>
      </c>
      <c r="J11" s="166">
        <f t="shared" si="3"/>
        <v>40000</v>
      </c>
      <c r="K11" s="166">
        <f t="shared" si="3"/>
        <v>5000</v>
      </c>
      <c r="L11" s="166">
        <f t="shared" si="3"/>
        <v>0</v>
      </c>
      <c r="M11" s="166">
        <f t="shared" si="3"/>
        <v>10000</v>
      </c>
      <c r="N11" s="166">
        <f>SUM(N8:N10)</f>
        <v>140000</v>
      </c>
      <c r="O11" s="287">
        <f>SUM(B11:M11)</f>
        <v>140000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26</v>
      </c>
      <c r="B13" s="156">
        <v>45292</v>
      </c>
      <c r="C13" s="156">
        <v>45323</v>
      </c>
      <c r="D13" s="156">
        <v>45352</v>
      </c>
      <c r="E13" s="156">
        <v>45383</v>
      </c>
      <c r="F13" s="156">
        <v>45413</v>
      </c>
      <c r="G13" s="156">
        <v>45444</v>
      </c>
      <c r="H13" s="156">
        <v>45474</v>
      </c>
      <c r="I13" s="156">
        <v>45505</v>
      </c>
      <c r="J13" s="156">
        <v>45536</v>
      </c>
      <c r="K13" s="156">
        <v>45566</v>
      </c>
      <c r="L13" s="156">
        <v>45597</v>
      </c>
      <c r="M13" s="156">
        <v>45627</v>
      </c>
      <c r="N13" s="157" t="s">
        <v>23</v>
      </c>
    </row>
    <row r="14" spans="1:17" x14ac:dyDescent="0.25">
      <c r="A14" s="160" t="s">
        <v>27</v>
      </c>
      <c r="B14" s="288">
        <f>1980+2180+6000+1240+1170</f>
        <v>12570</v>
      </c>
      <c r="C14" s="288">
        <f>8840+4100</f>
        <v>12940</v>
      </c>
      <c r="D14" s="288">
        <f>14380+4790+10900+6180+13400+4030+6990+7660+3970</f>
        <v>72300</v>
      </c>
      <c r="E14" s="288">
        <f>SUM(Gasto24!D25:D30)</f>
        <v>118698</v>
      </c>
      <c r="F14" s="288">
        <f>+Gasto24!D21+Gasto24!D22+Gasto24!D23+Gasto24!D24</f>
        <v>66390</v>
      </c>
      <c r="G14" s="288">
        <f>+Gasto24!D17+Gasto24!D18+Gasto24!D19+Gasto24!D20</f>
        <v>42260</v>
      </c>
      <c r="H14" s="289">
        <f>+Gasto24!D14+Gasto24!D15+Gasto24!D16</f>
        <v>42160</v>
      </c>
      <c r="I14" s="288">
        <f>+Gasto24!D13</f>
        <v>6460</v>
      </c>
      <c r="J14" s="288">
        <f>+Gasto24!D11+Gasto24!D12</f>
        <v>8520</v>
      </c>
      <c r="K14" s="288">
        <f>+Gasto24!D10</f>
        <v>5790</v>
      </c>
      <c r="L14" s="290">
        <f>+Gasto24!D8+Gasto24!D9</f>
        <v>41760</v>
      </c>
      <c r="M14" s="290">
        <f>+Gasto24!D4+Gasto24!D5+Gasto24!D6</f>
        <v>12800</v>
      </c>
      <c r="N14" s="162">
        <f t="shared" ref="N14:N18" si="4">SUM(B14:M14)</f>
        <v>442648</v>
      </c>
      <c r="Q14" s="159"/>
    </row>
    <row r="15" spans="1:17" x14ac:dyDescent="0.25">
      <c r="A15" s="160" t="s">
        <v>28</v>
      </c>
      <c r="B15" s="288">
        <v>0</v>
      </c>
      <c r="C15" s="288">
        <v>0</v>
      </c>
      <c r="D15" s="288">
        <v>0</v>
      </c>
      <c r="E15" s="288">
        <v>0</v>
      </c>
      <c r="F15" s="288">
        <v>0</v>
      </c>
      <c r="G15" s="288">
        <v>0</v>
      </c>
      <c r="H15" s="288">
        <v>0</v>
      </c>
      <c r="I15" s="288">
        <v>0</v>
      </c>
      <c r="J15" s="288">
        <v>0</v>
      </c>
      <c r="K15" s="288">
        <v>0</v>
      </c>
      <c r="L15" s="290">
        <v>0</v>
      </c>
      <c r="M15" s="290">
        <v>0</v>
      </c>
      <c r="N15" s="162">
        <f t="shared" si="4"/>
        <v>0</v>
      </c>
      <c r="Q15" s="159"/>
    </row>
    <row r="16" spans="1:17" x14ac:dyDescent="0.25">
      <c r="A16" s="160" t="s">
        <v>29</v>
      </c>
      <c r="B16" s="288">
        <v>0</v>
      </c>
      <c r="C16" s="288">
        <v>0</v>
      </c>
      <c r="D16" s="288">
        <v>0</v>
      </c>
      <c r="E16" s="288">
        <v>0</v>
      </c>
      <c r="F16" s="288">
        <v>0</v>
      </c>
      <c r="G16" s="288">
        <v>0</v>
      </c>
      <c r="H16" s="288">
        <v>0</v>
      </c>
      <c r="I16" s="288">
        <v>0</v>
      </c>
      <c r="J16" s="288">
        <v>0</v>
      </c>
      <c r="K16" s="288">
        <v>0</v>
      </c>
      <c r="L16" s="290">
        <f>+Gasto24!G7</f>
        <v>1500000</v>
      </c>
      <c r="M16" s="290">
        <v>0</v>
      </c>
      <c r="N16" s="162">
        <f t="shared" si="4"/>
        <v>1500000</v>
      </c>
      <c r="Q16" s="159"/>
    </row>
    <row r="17" spans="1:24" x14ac:dyDescent="0.25">
      <c r="A17" s="160" t="s">
        <v>43</v>
      </c>
      <c r="B17" s="288">
        <v>0</v>
      </c>
      <c r="C17" s="288">
        <v>0</v>
      </c>
      <c r="D17" s="288">
        <v>0</v>
      </c>
      <c r="E17" s="288">
        <v>0</v>
      </c>
      <c r="F17" s="288">
        <v>0</v>
      </c>
      <c r="G17" s="288">
        <v>0</v>
      </c>
      <c r="H17" s="288">
        <v>0</v>
      </c>
      <c r="I17" s="288">
        <v>0</v>
      </c>
      <c r="J17" s="288">
        <v>0</v>
      </c>
      <c r="K17" s="288">
        <v>0</v>
      </c>
      <c r="L17" s="290">
        <v>0</v>
      </c>
      <c r="M17" s="290">
        <v>0</v>
      </c>
      <c r="N17" s="162">
        <f t="shared" si="4"/>
        <v>0</v>
      </c>
      <c r="Q17" s="159"/>
    </row>
    <row r="18" spans="1:24" x14ac:dyDescent="0.25">
      <c r="A18" s="160" t="s">
        <v>44</v>
      </c>
      <c r="B18" s="288">
        <v>0</v>
      </c>
      <c r="C18" s="288">
        <v>0</v>
      </c>
      <c r="D18" s="288">
        <v>0</v>
      </c>
      <c r="E18" s="288">
        <v>0</v>
      </c>
      <c r="F18" s="288">
        <v>0</v>
      </c>
      <c r="G18" s="288">
        <v>0</v>
      </c>
      <c r="H18" s="288">
        <v>0</v>
      </c>
      <c r="I18" s="288">
        <v>0</v>
      </c>
      <c r="J18" s="288">
        <v>0</v>
      </c>
      <c r="K18" s="288">
        <v>0</v>
      </c>
      <c r="L18" s="290">
        <v>0</v>
      </c>
      <c r="M18" s="290">
        <v>0</v>
      </c>
      <c r="N18" s="162">
        <f t="shared" si="4"/>
        <v>0</v>
      </c>
    </row>
    <row r="19" spans="1:24" x14ac:dyDescent="0.25">
      <c r="A19" s="155" t="s">
        <v>24</v>
      </c>
      <c r="B19" s="166">
        <f>SUM(B14:B18)</f>
        <v>12570</v>
      </c>
      <c r="C19" s="166">
        <f t="shared" ref="C19:D19" si="5">SUM(C14:C18)</f>
        <v>12940</v>
      </c>
      <c r="D19" s="166">
        <f t="shared" si="5"/>
        <v>72300</v>
      </c>
      <c r="E19" s="166">
        <f>SUM(E14:E18)</f>
        <v>118698</v>
      </c>
      <c r="F19" s="166">
        <f t="shared" ref="F19:M19" si="6">SUM(F14:F18)</f>
        <v>66390</v>
      </c>
      <c r="G19" s="166">
        <f t="shared" si="6"/>
        <v>42260</v>
      </c>
      <c r="H19" s="166">
        <f t="shared" si="6"/>
        <v>42160</v>
      </c>
      <c r="I19" s="166">
        <f t="shared" si="6"/>
        <v>6460</v>
      </c>
      <c r="J19" s="166">
        <f t="shared" si="6"/>
        <v>8520</v>
      </c>
      <c r="K19" s="166">
        <f t="shared" si="6"/>
        <v>5790</v>
      </c>
      <c r="L19" s="166">
        <f t="shared" si="6"/>
        <v>1541760</v>
      </c>
      <c r="M19" s="166">
        <f t="shared" si="6"/>
        <v>12800</v>
      </c>
      <c r="N19" s="166">
        <f>SUM(N14:N18)</f>
        <v>1942648</v>
      </c>
      <c r="O19" s="287">
        <f>SUM(B19:M19)</f>
        <v>1942648</v>
      </c>
    </row>
    <row r="20" spans="1:24" ht="15.75" thickBot="1" x14ac:dyDescent="0.3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</row>
    <row r="21" spans="1:24" ht="15.75" thickBot="1" x14ac:dyDescent="0.3">
      <c r="A21" s="168"/>
      <c r="B21" s="156">
        <v>45292</v>
      </c>
      <c r="C21" s="156">
        <v>45323</v>
      </c>
      <c r="D21" s="156">
        <v>45352</v>
      </c>
      <c r="E21" s="156">
        <v>45383</v>
      </c>
      <c r="F21" s="156">
        <v>45413</v>
      </c>
      <c r="G21" s="156">
        <v>45444</v>
      </c>
      <c r="H21" s="156">
        <v>45474</v>
      </c>
      <c r="I21" s="156">
        <v>45505</v>
      </c>
      <c r="J21" s="156">
        <v>45536</v>
      </c>
      <c r="K21" s="156">
        <v>45566</v>
      </c>
      <c r="L21" s="156">
        <v>45597</v>
      </c>
      <c r="M21" s="156">
        <v>45627</v>
      </c>
      <c r="N21" s="157" t="s">
        <v>23</v>
      </c>
      <c r="O21" s="169"/>
      <c r="Q21" s="389"/>
      <c r="R21" s="396"/>
      <c r="S21" s="397"/>
    </row>
    <row r="22" spans="1:24" x14ac:dyDescent="0.25">
      <c r="A22" s="155" t="s">
        <v>31</v>
      </c>
      <c r="B22" s="161">
        <v>175000</v>
      </c>
      <c r="C22" s="161">
        <v>170000</v>
      </c>
      <c r="D22" s="161">
        <v>170000</v>
      </c>
      <c r="E22" s="161">
        <v>180000</v>
      </c>
      <c r="F22" s="161">
        <v>172500</v>
      </c>
      <c r="G22" s="161">
        <v>170000</v>
      </c>
      <c r="H22" s="161">
        <v>167500</v>
      </c>
      <c r="I22" s="161">
        <v>167500</v>
      </c>
      <c r="J22" s="161">
        <v>244200</v>
      </c>
      <c r="K22" s="161">
        <v>224400</v>
      </c>
      <c r="L22" s="161">
        <v>224400</v>
      </c>
      <c r="M22" s="161">
        <v>244400</v>
      </c>
      <c r="N22" s="170">
        <f>SUM(B22:M22)</f>
        <v>2309900</v>
      </c>
      <c r="Q22" s="270">
        <v>20000</v>
      </c>
      <c r="R22" s="195"/>
      <c r="S22" s="271">
        <f t="shared" ref="S22:S30" si="7">+Q22*R22</f>
        <v>0</v>
      </c>
    </row>
    <row r="23" spans="1:24" x14ac:dyDescent="0.25">
      <c r="A23" s="155" t="s">
        <v>165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70">
        <f>SUM(B23:M23)</f>
        <v>0</v>
      </c>
      <c r="Q23" s="272">
        <v>10000</v>
      </c>
      <c r="R23" s="195"/>
      <c r="S23" s="271">
        <f t="shared" si="7"/>
        <v>0</v>
      </c>
    </row>
    <row r="24" spans="1:24" x14ac:dyDescent="0.25">
      <c r="A24" s="155" t="s">
        <v>33</v>
      </c>
      <c r="B24" s="161">
        <v>0</v>
      </c>
      <c r="C24" s="161">
        <v>0</v>
      </c>
      <c r="D24" s="161">
        <v>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61">
        <v>0</v>
      </c>
      <c r="M24" s="161">
        <v>0</v>
      </c>
      <c r="N24" s="170">
        <f>SUM(B24:M24)</f>
        <v>0</v>
      </c>
      <c r="Q24" s="272">
        <v>5000</v>
      </c>
      <c r="R24" s="195"/>
      <c r="S24" s="271">
        <f t="shared" si="7"/>
        <v>0</v>
      </c>
    </row>
    <row r="25" spans="1:24" x14ac:dyDescent="0.25">
      <c r="A25" s="283" t="s">
        <v>34</v>
      </c>
      <c r="B25" s="284">
        <f>SUM(B22:B24)</f>
        <v>175000</v>
      </c>
      <c r="C25" s="284">
        <f>SUM(C22:C24)</f>
        <v>170000</v>
      </c>
      <c r="D25" s="284">
        <f>SUM(D22:D24)</f>
        <v>170000</v>
      </c>
      <c r="E25" s="284">
        <f>SUM(E22:E24)</f>
        <v>180000</v>
      </c>
      <c r="F25" s="284">
        <f t="shared" ref="F25:M25" si="8">SUM(F22:F24)</f>
        <v>172500</v>
      </c>
      <c r="G25" s="284">
        <f t="shared" si="8"/>
        <v>170000</v>
      </c>
      <c r="H25" s="284">
        <f t="shared" si="8"/>
        <v>167500</v>
      </c>
      <c r="I25" s="284">
        <f>SUM(I22:I24)</f>
        <v>167500</v>
      </c>
      <c r="J25" s="284">
        <f t="shared" si="8"/>
        <v>244200</v>
      </c>
      <c r="K25" s="284">
        <f t="shared" si="8"/>
        <v>224400</v>
      </c>
      <c r="L25" s="284">
        <f t="shared" si="8"/>
        <v>224400</v>
      </c>
      <c r="M25" s="284">
        <f t="shared" si="8"/>
        <v>244400</v>
      </c>
      <c r="N25" s="284">
        <f>SUM(B25:M25)</f>
        <v>2309900</v>
      </c>
      <c r="O25" s="286">
        <f>SUM(N22:N24)</f>
        <v>2309900</v>
      </c>
      <c r="Q25" s="272">
        <v>2000</v>
      </c>
      <c r="R25" s="195"/>
      <c r="S25" s="271">
        <f t="shared" si="7"/>
        <v>0</v>
      </c>
      <c r="U25" s="173"/>
    </row>
    <row r="26" spans="1:24" x14ac:dyDescent="0.25">
      <c r="A26" s="174" t="s">
        <v>35</v>
      </c>
      <c r="B26" s="175">
        <f>+B19+B11+B5</f>
        <v>42570</v>
      </c>
      <c r="C26" s="175">
        <f>+C19+C11+C5</f>
        <v>42940</v>
      </c>
      <c r="D26" s="175">
        <f>+D19+D11+D5</f>
        <v>142300</v>
      </c>
      <c r="E26" s="175">
        <f t="shared" ref="E26:M26" si="9">+E19+E11+E5</f>
        <v>168698</v>
      </c>
      <c r="F26" s="175">
        <f t="shared" si="9"/>
        <v>106390</v>
      </c>
      <c r="G26" s="175">
        <f t="shared" si="9"/>
        <v>72260</v>
      </c>
      <c r="H26" s="175">
        <f t="shared" si="9"/>
        <v>87160</v>
      </c>
      <c r="I26" s="175">
        <f t="shared" si="9"/>
        <v>36460</v>
      </c>
      <c r="J26" s="175">
        <f t="shared" si="9"/>
        <v>78520</v>
      </c>
      <c r="K26" s="175">
        <f t="shared" si="9"/>
        <v>40790</v>
      </c>
      <c r="L26" s="175">
        <f t="shared" si="9"/>
        <v>1571760</v>
      </c>
      <c r="M26" s="175">
        <f t="shared" si="9"/>
        <v>52800</v>
      </c>
      <c r="N26" s="175">
        <f>SUM(B26:M26)</f>
        <v>2442648</v>
      </c>
      <c r="O26" s="285">
        <f>+O19+O11+O5</f>
        <v>2442648</v>
      </c>
      <c r="Q26" s="272">
        <v>1000</v>
      </c>
      <c r="R26" s="195"/>
      <c r="S26" s="271">
        <f t="shared" si="7"/>
        <v>0</v>
      </c>
      <c r="U26" s="173"/>
    </row>
    <row r="27" spans="1:24" x14ac:dyDescent="0.25">
      <c r="A27" s="155" t="s">
        <v>157</v>
      </c>
      <c r="B27" s="176">
        <f>++IF(B25=0,"-",+B26/B25)</f>
        <v>0.24325714285714287</v>
      </c>
      <c r="C27" s="176">
        <f t="shared" ref="C27:M27" si="10">++IF(C25=0,"-",+C26/C25)</f>
        <v>0.25258823529411767</v>
      </c>
      <c r="D27" s="176">
        <f t="shared" si="10"/>
        <v>0.83705882352941174</v>
      </c>
      <c r="E27" s="176">
        <f t="shared" si="10"/>
        <v>0.93721111111111111</v>
      </c>
      <c r="F27" s="176">
        <f t="shared" si="10"/>
        <v>0.61675362318840576</v>
      </c>
      <c r="G27" s="176">
        <f t="shared" si="10"/>
        <v>0.42505882352941177</v>
      </c>
      <c r="H27" s="176">
        <f t="shared" si="10"/>
        <v>0.52035820895522389</v>
      </c>
      <c r="I27" s="176">
        <f t="shared" si="10"/>
        <v>0.21767164179104478</v>
      </c>
      <c r="J27" s="176">
        <f t="shared" si="10"/>
        <v>0.32153972153972155</v>
      </c>
      <c r="K27" s="176">
        <f t="shared" si="10"/>
        <v>0.18177361853832441</v>
      </c>
      <c r="L27" s="176">
        <f t="shared" si="10"/>
        <v>7.0042780748663098</v>
      </c>
      <c r="M27" s="176">
        <f t="shared" si="10"/>
        <v>0.2160392798690671</v>
      </c>
      <c r="N27" s="293">
        <f>+N26/N25</f>
        <v>1.0574691545088533</v>
      </c>
      <c r="O27" s="294">
        <f>+N25-N26</f>
        <v>-132748</v>
      </c>
      <c r="P27" s="164"/>
      <c r="Q27" s="272">
        <v>500</v>
      </c>
      <c r="R27" s="195"/>
      <c r="S27" s="271">
        <f t="shared" si="7"/>
        <v>0</v>
      </c>
      <c r="U27" s="173"/>
    </row>
    <row r="28" spans="1:24" x14ac:dyDescent="0.25">
      <c r="A28" s="160" t="s">
        <v>81</v>
      </c>
      <c r="B28" s="263">
        <f>+B22/2500</f>
        <v>70</v>
      </c>
      <c r="C28" s="263">
        <f t="shared" ref="C28:I28" si="11">+C22/2500</f>
        <v>68</v>
      </c>
      <c r="D28" s="263">
        <f t="shared" si="11"/>
        <v>68</v>
      </c>
      <c r="E28" s="263">
        <f t="shared" si="11"/>
        <v>72</v>
      </c>
      <c r="F28" s="263">
        <f t="shared" si="11"/>
        <v>69</v>
      </c>
      <c r="G28" s="263">
        <f t="shared" si="11"/>
        <v>68</v>
      </c>
      <c r="H28" s="263">
        <f t="shared" si="11"/>
        <v>67</v>
      </c>
      <c r="I28" s="263">
        <f t="shared" si="11"/>
        <v>67</v>
      </c>
      <c r="J28" s="263">
        <f>+J22/3300</f>
        <v>74</v>
      </c>
      <c r="K28" s="263">
        <f t="shared" ref="K28:M28" si="12">+K22/3300</f>
        <v>68</v>
      </c>
      <c r="L28" s="263">
        <f t="shared" si="12"/>
        <v>68</v>
      </c>
      <c r="M28" s="180">
        <f t="shared" si="12"/>
        <v>74.060606060606062</v>
      </c>
      <c r="N28" s="292" t="s">
        <v>98</v>
      </c>
      <c r="O28" s="291">
        <f>+'2023'!O29</f>
        <v>978469</v>
      </c>
      <c r="P28" s="164"/>
      <c r="Q28" s="272">
        <v>100</v>
      </c>
      <c r="R28" s="195"/>
      <c r="S28" s="271">
        <f t="shared" si="7"/>
        <v>0</v>
      </c>
      <c r="U28" s="173"/>
    </row>
    <row r="29" spans="1:24" x14ac:dyDescent="0.25">
      <c r="A29" s="160" t="s">
        <v>191</v>
      </c>
      <c r="B29" s="159">
        <v>75</v>
      </c>
      <c r="C29" s="159">
        <v>75</v>
      </c>
      <c r="D29" s="159">
        <v>73</v>
      </c>
      <c r="E29" s="159">
        <v>72</v>
      </c>
      <c r="F29" s="159">
        <v>73</v>
      </c>
      <c r="G29" s="159">
        <v>73</v>
      </c>
      <c r="H29" s="179"/>
      <c r="I29" s="159"/>
      <c r="J29" s="159"/>
      <c r="K29" s="159"/>
      <c r="L29" s="159"/>
      <c r="M29" s="159"/>
      <c r="N29" s="182" t="s">
        <v>38</v>
      </c>
      <c r="O29" s="183">
        <f>SUM(O27:O28)</f>
        <v>845721</v>
      </c>
      <c r="Q29" s="272">
        <v>50</v>
      </c>
      <c r="R29" s="195"/>
      <c r="S29" s="271">
        <f t="shared" si="7"/>
        <v>0</v>
      </c>
      <c r="T29" s="164"/>
      <c r="U29" s="173"/>
    </row>
    <row r="30" spans="1:24" ht="15.75" thickBot="1" x14ac:dyDescent="0.3">
      <c r="A30" s="326" t="s">
        <v>192</v>
      </c>
      <c r="B30" s="327">
        <f>+IF(B29="","",+B29-B28)</f>
        <v>5</v>
      </c>
      <c r="C30" s="327">
        <f t="shared" ref="C30:M30" si="13">+IF(C29="","",+C29-C28)</f>
        <v>7</v>
      </c>
      <c r="D30" s="327">
        <f t="shared" si="13"/>
        <v>5</v>
      </c>
      <c r="E30" s="327">
        <f t="shared" si="13"/>
        <v>0</v>
      </c>
      <c r="F30" s="327">
        <f t="shared" si="13"/>
        <v>4</v>
      </c>
      <c r="G30" s="327">
        <f t="shared" si="13"/>
        <v>5</v>
      </c>
      <c r="H30" s="327" t="str">
        <f t="shared" si="13"/>
        <v/>
      </c>
      <c r="I30" s="327" t="str">
        <f t="shared" si="13"/>
        <v/>
      </c>
      <c r="J30" s="327" t="str">
        <f t="shared" si="13"/>
        <v/>
      </c>
      <c r="K30" s="327" t="str">
        <f t="shared" si="13"/>
        <v/>
      </c>
      <c r="L30" s="327" t="str">
        <f t="shared" si="13"/>
        <v/>
      </c>
      <c r="M30" s="327" t="str">
        <f t="shared" si="13"/>
        <v/>
      </c>
      <c r="O30" s="164">
        <f>+O31-O29</f>
        <v>-845721</v>
      </c>
      <c r="Q30" s="272">
        <v>10</v>
      </c>
      <c r="R30" s="195"/>
      <c r="S30" s="271">
        <f t="shared" si="7"/>
        <v>0</v>
      </c>
    </row>
    <row r="31" spans="1:24" ht="15.75" thickBot="1" x14ac:dyDescent="0.3">
      <c r="N31" s="267" t="s">
        <v>39</v>
      </c>
      <c r="O31" s="268">
        <f>+S31</f>
        <v>0</v>
      </c>
      <c r="Q31" s="394" t="s">
        <v>39</v>
      </c>
      <c r="R31" s="395"/>
      <c r="S31" s="273">
        <f>SUM(S22:S30)</f>
        <v>0</v>
      </c>
      <c r="T31" s="164"/>
    </row>
    <row r="32" spans="1:24" x14ac:dyDescent="0.25">
      <c r="M32" s="186"/>
      <c r="N32" s="187" t="s">
        <v>45</v>
      </c>
      <c r="O32" s="188"/>
      <c r="X32" s="169"/>
    </row>
    <row r="33" spans="14:24" x14ac:dyDescent="0.25">
      <c r="O33" s="190"/>
      <c r="Q33" s="158" t="s">
        <v>163</v>
      </c>
      <c r="S33" s="295">
        <v>1125421</v>
      </c>
      <c r="W33" s="169"/>
      <c r="X33" s="169"/>
    </row>
    <row r="34" spans="14:24" x14ac:dyDescent="0.25">
      <c r="O34" s="192"/>
      <c r="Q34" s="158" t="s">
        <v>166</v>
      </c>
      <c r="S34" s="296">
        <v>45632</v>
      </c>
    </row>
    <row r="35" spans="14:24" x14ac:dyDescent="0.25">
      <c r="Q35" s="158" t="s">
        <v>167</v>
      </c>
      <c r="S35" s="296">
        <v>45667</v>
      </c>
      <c r="X35" s="169"/>
    </row>
    <row r="36" spans="14:24" ht="15.75" thickBot="1" x14ac:dyDescent="0.3">
      <c r="Q36" s="158" t="s">
        <v>53</v>
      </c>
      <c r="S36" s="295">
        <v>1130542</v>
      </c>
    </row>
    <row r="37" spans="14:24" ht="15.75" thickBot="1" x14ac:dyDescent="0.3">
      <c r="Q37" s="297" t="s">
        <v>164</v>
      </c>
      <c r="R37" s="298"/>
      <c r="S37" s="299">
        <f>+S36-S33</f>
        <v>5121</v>
      </c>
      <c r="T37" s="169"/>
      <c r="X37" s="169"/>
    </row>
    <row r="38" spans="14:24" ht="15.75" thickBot="1" x14ac:dyDescent="0.3">
      <c r="O38" s="169"/>
      <c r="T38" s="169"/>
    </row>
    <row r="39" spans="14:24" ht="19.5" thickBot="1" x14ac:dyDescent="0.35">
      <c r="N39" s="192"/>
      <c r="Q39" s="317" t="s">
        <v>169</v>
      </c>
      <c r="R39" s="398">
        <f>+S31+S36</f>
        <v>1130542</v>
      </c>
      <c r="S39" s="399"/>
      <c r="T39" s="169"/>
    </row>
    <row r="40" spans="14:24" x14ac:dyDescent="0.25">
      <c r="T40" s="169"/>
    </row>
  </sheetData>
  <mergeCells count="3">
    <mergeCell ref="Q21:S21"/>
    <mergeCell ref="Q31:R31"/>
    <mergeCell ref="R39:S39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O19 B5:M7 B11:M13 B8:C8 B9:C9 B10:C10 B19:M21 B15:C18 B14:C14 E14 B23:M24 B22:C22 H29:M29 B28:I28 B26:M27 B25:K25 L25:M25" formulaRange="1"/>
    <ignoredError sqref="N26 J28" formula="1"/>
    <ignoredError sqref="L16 L14" unlocked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BE8DD-A857-421A-9937-CBA08A095932}">
  <sheetPr codeName="Hoja21">
    <tabColor theme="9" tint="0.39997558519241921"/>
  </sheetPr>
  <dimension ref="B1:G5"/>
  <sheetViews>
    <sheetView showGridLines="0" workbookViewId="0">
      <selection activeCell="B3" sqref="B3"/>
    </sheetView>
  </sheetViews>
  <sheetFormatPr baseColWidth="10" defaultRowHeight="15" x14ac:dyDescent="0.25"/>
  <cols>
    <col min="1" max="1" width="4.7109375" customWidth="1"/>
  </cols>
  <sheetData>
    <row r="1" spans="2:7" ht="18.75" x14ac:dyDescent="0.3">
      <c r="B1" s="381" t="s">
        <v>5</v>
      </c>
      <c r="C1" s="381"/>
      <c r="D1" s="196"/>
      <c r="E1" s="196"/>
      <c r="F1" s="382">
        <f>SUM(C5:G5)-D5</f>
        <v>221176</v>
      </c>
      <c r="G1" s="382"/>
    </row>
    <row r="2" spans="2:7" x14ac:dyDescent="0.25">
      <c r="B2" t="s">
        <v>0</v>
      </c>
      <c r="C2" t="s">
        <v>82</v>
      </c>
      <c r="D2" t="s">
        <v>81</v>
      </c>
      <c r="E2" t="s">
        <v>47</v>
      </c>
      <c r="F2" t="s">
        <v>83</v>
      </c>
      <c r="G2" t="s">
        <v>84</v>
      </c>
    </row>
    <row r="3" spans="2:7" x14ac:dyDescent="0.25">
      <c r="B3" s="2"/>
      <c r="C3" s="3"/>
      <c r="D3" s="3"/>
      <c r="E3" s="3"/>
      <c r="F3" s="3"/>
      <c r="G3" s="3"/>
    </row>
    <row r="4" spans="2:7" x14ac:dyDescent="0.25">
      <c r="B4" s="2">
        <v>45727</v>
      </c>
      <c r="C4" s="3">
        <v>221176</v>
      </c>
      <c r="D4" s="3">
        <v>67.023030303030296</v>
      </c>
      <c r="E4" s="3">
        <v>0</v>
      </c>
      <c r="F4" s="3">
        <v>0</v>
      </c>
      <c r="G4" s="3">
        <v>0</v>
      </c>
    </row>
    <row r="5" spans="2:7" x14ac:dyDescent="0.25">
      <c r="B5" s="89" t="s">
        <v>10</v>
      </c>
      <c r="C5" s="98">
        <f>+SUBTOTAL(9,Tabla248[PLANILLA])</f>
        <v>221176</v>
      </c>
      <c r="D5" s="98">
        <f>+SUBTOTAL(9,Tabla248[SOCIOS])</f>
        <v>67.023030303030296</v>
      </c>
      <c r="E5" s="98">
        <f>+SUBTOTAL(9,Tabla248[CAPUAL])</f>
        <v>0</v>
      </c>
      <c r="F5" s="98">
        <f>+SUBTOTAL(9,Tabla248[EMPRESA])</f>
        <v>0</v>
      </c>
      <c r="G5" s="98">
        <f>+SUBTOTAL(9,Tabla248[APORTES])</f>
        <v>0</v>
      </c>
    </row>
  </sheetData>
  <mergeCells count="2">
    <mergeCell ref="B1:C1"/>
    <mergeCell ref="F1:G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5EAFC-F6C4-414B-86EF-DC0F1978A87A}">
  <sheetPr codeName="Hoja22">
    <tabColor theme="5" tint="0.39997558519241921"/>
    <pageSetUpPr fitToPage="1"/>
  </sheetPr>
  <dimension ref="B1:H5"/>
  <sheetViews>
    <sheetView showGridLines="0" workbookViewId="0">
      <selection activeCell="B2" sqref="B2"/>
    </sheetView>
  </sheetViews>
  <sheetFormatPr baseColWidth="10" defaultColWidth="12.28515625" defaultRowHeight="15" x14ac:dyDescent="0.25"/>
  <cols>
    <col min="1" max="1" width="4.7109375" customWidth="1"/>
    <col min="3" max="3" width="12.85546875" customWidth="1"/>
    <col min="6" max="6" width="13.85546875" customWidth="1"/>
    <col min="8" max="8" width="13.140625" customWidth="1"/>
  </cols>
  <sheetData>
    <row r="1" spans="2:8" ht="18.75" x14ac:dyDescent="0.3">
      <c r="B1" s="197" t="s">
        <v>16</v>
      </c>
      <c r="C1" s="197" t="s">
        <v>2</v>
      </c>
      <c r="D1" s="383">
        <f>SUM(C5:E5)</f>
        <v>30000</v>
      </c>
      <c r="E1" s="383"/>
      <c r="F1" s="197" t="s">
        <v>6</v>
      </c>
      <c r="G1" s="383">
        <f>SUM(F5:H5)</f>
        <v>0</v>
      </c>
      <c r="H1" s="383"/>
    </row>
    <row r="2" spans="2:8" s="1" customFormat="1" x14ac:dyDescent="0.25">
      <c r="B2" s="1" t="s">
        <v>0</v>
      </c>
      <c r="C2" s="1" t="s">
        <v>1</v>
      </c>
      <c r="D2" s="1" t="s">
        <v>3</v>
      </c>
      <c r="E2" s="1" t="s">
        <v>4</v>
      </c>
      <c r="F2" s="1" t="s">
        <v>9</v>
      </c>
      <c r="G2" s="1" t="s">
        <v>13</v>
      </c>
      <c r="H2" s="1" t="s">
        <v>14</v>
      </c>
    </row>
    <row r="3" spans="2:8" x14ac:dyDescent="0.25">
      <c r="B3" s="4"/>
      <c r="C3" s="5"/>
      <c r="D3" s="5"/>
      <c r="E3" s="5"/>
      <c r="F3" s="5"/>
      <c r="G3" s="5"/>
      <c r="H3" s="5"/>
    </row>
    <row r="4" spans="2:8" x14ac:dyDescent="0.25">
      <c r="B4" s="4">
        <v>45727</v>
      </c>
      <c r="C4" s="5">
        <v>10000</v>
      </c>
      <c r="D4" s="5">
        <v>10000</v>
      </c>
      <c r="E4" s="5">
        <v>10000</v>
      </c>
      <c r="F4" s="5"/>
      <c r="G4" s="5"/>
      <c r="H4" s="5"/>
    </row>
    <row r="5" spans="2:8" x14ac:dyDescent="0.25">
      <c r="B5" t="s">
        <v>10</v>
      </c>
      <c r="C5" s="3">
        <f>+SUBTOTAL(9,Tabla169[Presidente])</f>
        <v>10000</v>
      </c>
      <c r="D5" s="3">
        <f>+SUBTOTAL(9,Tabla169[Tesorera])</f>
        <v>10000</v>
      </c>
      <c r="E5" s="3">
        <f>+SUBTOTAL(9,Tabla169[Secretario])</f>
        <v>10000</v>
      </c>
      <c r="F5" s="3">
        <f>+SUBTOTAL(9,Tabla169[Presidente2])</f>
        <v>0</v>
      </c>
      <c r="G5" s="3">
        <f>+SUBTOTAL(9,Tabla169[Tesorera2])</f>
        <v>0</v>
      </c>
      <c r="H5" s="3">
        <f>+SUBTOTAL(9,Tabla169[Secretario2])</f>
        <v>0</v>
      </c>
    </row>
  </sheetData>
  <mergeCells count="2">
    <mergeCell ref="D1:E1"/>
    <mergeCell ref="G1:H1"/>
  </mergeCells>
  <pageMargins left="0.70866141732283472" right="0.70866141732283472" top="0.74803149606299213" bottom="0.74803149606299213" header="0.31496062992125984" footer="0.31496062992125984"/>
  <pageSetup orientation="portrait" horizontalDpi="0" verticalDpi="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94D61-6117-4EC2-A84D-75A0A5C437CB}">
  <sheetPr codeName="Hoja23">
    <tabColor rgb="FF0070C0"/>
    <pageSetUpPr fitToPage="1"/>
  </sheetPr>
  <dimension ref="B1:K6"/>
  <sheetViews>
    <sheetView showGridLines="0" workbookViewId="0">
      <selection activeCell="B3" sqref="B3"/>
    </sheetView>
  </sheetViews>
  <sheetFormatPr baseColWidth="10" defaultRowHeight="15" x14ac:dyDescent="0.25"/>
  <cols>
    <col min="1" max="1" width="4.7109375" customWidth="1"/>
    <col min="3" max="3" width="13.5703125" bestFit="1" customWidth="1"/>
    <col min="5" max="5" width="31" bestFit="1" customWidth="1"/>
    <col min="6" max="6" width="11.42578125" style="205"/>
  </cols>
  <sheetData>
    <row r="1" spans="2:11" ht="18.75" x14ac:dyDescent="0.3">
      <c r="B1" s="196" t="s">
        <v>17</v>
      </c>
      <c r="C1" s="196"/>
      <c r="D1" s="196"/>
      <c r="E1" s="196"/>
      <c r="F1" s="321"/>
      <c r="G1" s="196"/>
      <c r="H1" s="383">
        <f>+D6+G6+H6+I6</f>
        <v>4190</v>
      </c>
      <c r="I1" s="383"/>
      <c r="K1" s="74"/>
    </row>
    <row r="2" spans="2:11" ht="15" customHeight="1" x14ac:dyDescent="0.25">
      <c r="B2" t="s">
        <v>0</v>
      </c>
      <c r="C2" t="s">
        <v>11</v>
      </c>
      <c r="D2" t="s">
        <v>12</v>
      </c>
      <c r="E2" t="s">
        <v>18</v>
      </c>
      <c r="F2" s="205" t="s">
        <v>80</v>
      </c>
      <c r="G2" t="s">
        <v>79</v>
      </c>
      <c r="H2" t="s">
        <v>7</v>
      </c>
      <c r="I2" t="s">
        <v>8</v>
      </c>
    </row>
    <row r="3" spans="2:11" x14ac:dyDescent="0.25">
      <c r="B3" s="2"/>
      <c r="C3" s="201"/>
      <c r="D3" s="3"/>
      <c r="E3" s="3"/>
      <c r="F3" s="320"/>
      <c r="G3" s="3"/>
      <c r="H3" s="3"/>
      <c r="I3" s="3"/>
    </row>
    <row r="4" spans="2:11" x14ac:dyDescent="0.25">
      <c r="B4" s="2">
        <v>45727</v>
      </c>
      <c r="C4" s="201">
        <v>4117684</v>
      </c>
      <c r="D4" s="3">
        <v>2380</v>
      </c>
      <c r="E4" s="3" t="s">
        <v>211</v>
      </c>
      <c r="F4" s="320"/>
      <c r="G4" s="3"/>
      <c r="H4" s="3"/>
      <c r="I4" s="3"/>
    </row>
    <row r="5" spans="2:11" x14ac:dyDescent="0.25">
      <c r="B5" s="2">
        <v>45727</v>
      </c>
      <c r="C5" s="201">
        <v>1059770542</v>
      </c>
      <c r="D5" s="3">
        <v>1810</v>
      </c>
      <c r="E5" s="3" t="s">
        <v>64</v>
      </c>
      <c r="F5" s="320"/>
      <c r="G5" s="3"/>
      <c r="H5" s="3"/>
      <c r="I5" s="3"/>
    </row>
    <row r="6" spans="2:11" x14ac:dyDescent="0.25">
      <c r="B6" t="s">
        <v>15</v>
      </c>
      <c r="C6" s="202"/>
      <c r="D6" s="3">
        <f>+SUBTOTAL(9,Tabla4710[Monto])</f>
        <v>4190</v>
      </c>
      <c r="E6">
        <f>+SUBTOTAL(9,Tabla4710[Motivo])</f>
        <v>0</v>
      </c>
      <c r="F6" s="205">
        <f>+SUBTOTAL(9,Tabla4710[N° Socios])</f>
        <v>0</v>
      </c>
      <c r="G6" s="3">
        <f>+SUBTOTAL(9,Tabla4710[Gift Card])</f>
        <v>0</v>
      </c>
      <c r="H6" s="3">
        <f>+SUBTOTAL(9,Tabla4710[Devoluciones])</f>
        <v>0</v>
      </c>
      <c r="I6" s="3">
        <f>+SUBTOTAL(9,Tabla4710[Vocales])</f>
        <v>0</v>
      </c>
    </row>
  </sheetData>
  <mergeCells count="1">
    <mergeCell ref="H1:I1"/>
  </mergeCells>
  <pageMargins left="0.70866141732283472" right="0.70866141732283472" top="0.74803149606299213" bottom="0.74803149606299213" header="0.31496062992125984" footer="0.31496062992125984"/>
  <pageSetup scale="78" fitToHeight="2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372F-A3AF-4C81-BCFA-1A94FBC619EA}">
  <sheetPr codeName="Hoja24">
    <tabColor rgb="FFFFFF00"/>
    <pageSetUpPr fitToPage="1"/>
  </sheetPr>
  <dimension ref="A1:X40"/>
  <sheetViews>
    <sheetView showGridLines="0" zoomScaleNormal="100" zoomScaleSheetLayoutView="100" workbookViewId="0">
      <pane xSplit="1" ySplit="1" topLeftCell="B14" activePane="bottomRight" state="frozen"/>
      <selection activeCell="B3" sqref="B3"/>
      <selection pane="topRight" activeCell="B3" sqref="B3"/>
      <selection pane="bottomLeft" activeCell="B3" sqref="B3"/>
      <selection pane="bottomRight" activeCell="O26" sqref="O26"/>
    </sheetView>
  </sheetViews>
  <sheetFormatPr baseColWidth="10" defaultRowHeight="15" x14ac:dyDescent="0.25"/>
  <cols>
    <col min="1" max="1" width="10.85546875" style="184" bestFit="1" customWidth="1"/>
    <col min="2" max="9" width="10.5703125" style="158" bestFit="1" customWidth="1"/>
    <col min="10" max="11" width="10.42578125" style="158" bestFit="1" customWidth="1"/>
    <col min="12" max="12" width="12" style="158" bestFit="1" customWidth="1"/>
    <col min="13" max="13" width="10.42578125" style="158" bestFit="1" customWidth="1"/>
    <col min="14" max="15" width="12.28515625" style="158" bestFit="1" customWidth="1"/>
    <col min="16" max="16" width="4" style="158" customWidth="1"/>
    <col min="17" max="17" width="10.42578125" style="158" bestFit="1" customWidth="1"/>
    <col min="18" max="18" width="3" style="159" bestFit="1" customWidth="1"/>
    <col min="19" max="19" width="13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45658</v>
      </c>
      <c r="C1" s="156">
        <v>45689</v>
      </c>
      <c r="D1" s="156">
        <v>45717</v>
      </c>
      <c r="E1" s="156">
        <v>45748</v>
      </c>
      <c r="F1" s="156">
        <v>45778</v>
      </c>
      <c r="G1" s="156">
        <v>45809</v>
      </c>
      <c r="H1" s="156">
        <v>45839</v>
      </c>
      <c r="I1" s="156">
        <v>45870</v>
      </c>
      <c r="J1" s="156">
        <v>45901</v>
      </c>
      <c r="K1" s="156">
        <v>45931</v>
      </c>
      <c r="L1" s="156">
        <v>45962</v>
      </c>
      <c r="M1" s="156">
        <v>45992</v>
      </c>
      <c r="N1" s="157" t="s">
        <v>23</v>
      </c>
    </row>
    <row r="2" spans="1:17" x14ac:dyDescent="0.25">
      <c r="A2" s="160" t="s">
        <v>1</v>
      </c>
      <c r="B2" s="288">
        <v>10000</v>
      </c>
      <c r="C2" s="288"/>
      <c r="D2" s="288"/>
      <c r="E2" s="288"/>
      <c r="F2" s="288"/>
      <c r="G2" s="288"/>
      <c r="H2" s="288"/>
      <c r="I2" s="288"/>
      <c r="J2" s="288"/>
      <c r="K2" s="288"/>
      <c r="L2" s="322"/>
      <c r="M2" s="290"/>
      <c r="N2" s="162">
        <f>SUM(B2:M2)</f>
        <v>10000</v>
      </c>
    </row>
    <row r="3" spans="1:17" x14ac:dyDescent="0.25">
      <c r="A3" s="160" t="s">
        <v>3</v>
      </c>
      <c r="B3" s="288">
        <v>10000</v>
      </c>
      <c r="C3" s="288"/>
      <c r="D3" s="288"/>
      <c r="E3" s="288"/>
      <c r="F3" s="288"/>
      <c r="G3" s="288"/>
      <c r="H3" s="288"/>
      <c r="I3" s="288"/>
      <c r="J3" s="288"/>
      <c r="K3" s="288"/>
      <c r="L3" s="322"/>
      <c r="M3" s="290"/>
      <c r="N3" s="162">
        <f t="shared" ref="N3:N4" si="0">SUM(B3:M3)</f>
        <v>10000</v>
      </c>
    </row>
    <row r="4" spans="1:17" x14ac:dyDescent="0.25">
      <c r="A4" s="160" t="s">
        <v>4</v>
      </c>
      <c r="B4" s="288">
        <v>10000</v>
      </c>
      <c r="C4" s="288"/>
      <c r="D4" s="288"/>
      <c r="E4" s="288"/>
      <c r="F4" s="288"/>
      <c r="G4" s="288"/>
      <c r="H4" s="288"/>
      <c r="I4" s="288"/>
      <c r="J4" s="288"/>
      <c r="K4" s="288"/>
      <c r="L4" s="322"/>
      <c r="M4" s="290"/>
      <c r="N4" s="162">
        <f t="shared" si="0"/>
        <v>10000</v>
      </c>
    </row>
    <row r="5" spans="1:17" x14ac:dyDescent="0.25">
      <c r="A5" s="155" t="s">
        <v>24</v>
      </c>
      <c r="B5" s="166">
        <f>SUM(B2:B4)</f>
        <v>30000</v>
      </c>
      <c r="C5" s="166">
        <f t="shared" ref="C5:M5" si="1">SUM(C2:C4)</f>
        <v>0</v>
      </c>
      <c r="D5" s="166">
        <f t="shared" si="1"/>
        <v>0</v>
      </c>
      <c r="E5" s="166">
        <f t="shared" si="1"/>
        <v>0</v>
      </c>
      <c r="F5" s="166">
        <f t="shared" si="1"/>
        <v>0</v>
      </c>
      <c r="G5" s="166">
        <f t="shared" si="1"/>
        <v>0</v>
      </c>
      <c r="H5" s="166">
        <f t="shared" si="1"/>
        <v>0</v>
      </c>
      <c r="I5" s="166">
        <f t="shared" si="1"/>
        <v>0</v>
      </c>
      <c r="J5" s="166">
        <f t="shared" si="1"/>
        <v>0</v>
      </c>
      <c r="K5" s="166">
        <f t="shared" si="1"/>
        <v>0</v>
      </c>
      <c r="L5" s="166">
        <f t="shared" si="1"/>
        <v>0</v>
      </c>
      <c r="M5" s="166">
        <f t="shared" si="1"/>
        <v>0</v>
      </c>
      <c r="N5" s="166">
        <f>SUM(N1:N4)</f>
        <v>30000</v>
      </c>
      <c r="O5" s="287">
        <f>SUM(B5:M5)</f>
        <v>30000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25</v>
      </c>
      <c r="B7" s="156">
        <f>+B1</f>
        <v>45658</v>
      </c>
      <c r="C7" s="156">
        <f t="shared" ref="C7:M7" si="2">+C1</f>
        <v>45689</v>
      </c>
      <c r="D7" s="156">
        <f t="shared" si="2"/>
        <v>45717</v>
      </c>
      <c r="E7" s="156">
        <f t="shared" si="2"/>
        <v>45748</v>
      </c>
      <c r="F7" s="156">
        <f t="shared" si="2"/>
        <v>45778</v>
      </c>
      <c r="G7" s="156">
        <f t="shared" si="2"/>
        <v>45809</v>
      </c>
      <c r="H7" s="156">
        <f t="shared" si="2"/>
        <v>45839</v>
      </c>
      <c r="I7" s="156">
        <f t="shared" si="2"/>
        <v>45870</v>
      </c>
      <c r="J7" s="156">
        <f t="shared" si="2"/>
        <v>45901</v>
      </c>
      <c r="K7" s="156">
        <f t="shared" si="2"/>
        <v>45931</v>
      </c>
      <c r="L7" s="156">
        <f t="shared" si="2"/>
        <v>45962</v>
      </c>
      <c r="M7" s="156">
        <f t="shared" si="2"/>
        <v>45992</v>
      </c>
      <c r="N7" s="157" t="s">
        <v>23</v>
      </c>
    </row>
    <row r="8" spans="1:17" x14ac:dyDescent="0.25">
      <c r="A8" s="160" t="s">
        <v>1</v>
      </c>
      <c r="B8" s="288">
        <v>0</v>
      </c>
      <c r="C8" s="288"/>
      <c r="D8" s="288"/>
      <c r="E8" s="288"/>
      <c r="F8" s="288"/>
      <c r="G8" s="288"/>
      <c r="H8" s="288"/>
      <c r="I8" s="288"/>
      <c r="J8" s="288"/>
      <c r="K8" s="288"/>
      <c r="L8" s="290"/>
      <c r="M8" s="290"/>
      <c r="N8" s="162">
        <f t="shared" ref="N8:N10" si="3">SUM(B8:M8)</f>
        <v>0</v>
      </c>
    </row>
    <row r="9" spans="1:17" x14ac:dyDescent="0.25">
      <c r="A9" s="160" t="s">
        <v>3</v>
      </c>
      <c r="B9" s="288">
        <v>0</v>
      </c>
      <c r="C9" s="288"/>
      <c r="D9" s="288"/>
      <c r="E9" s="288"/>
      <c r="F9" s="288"/>
      <c r="G9" s="288"/>
      <c r="H9" s="288"/>
      <c r="I9" s="288"/>
      <c r="J9" s="288"/>
      <c r="K9" s="288"/>
      <c r="L9" s="290"/>
      <c r="M9" s="290"/>
      <c r="N9" s="162">
        <f t="shared" si="3"/>
        <v>0</v>
      </c>
    </row>
    <row r="10" spans="1:17" x14ac:dyDescent="0.25">
      <c r="A10" s="160" t="s">
        <v>4</v>
      </c>
      <c r="B10" s="288">
        <v>0</v>
      </c>
      <c r="C10" s="288"/>
      <c r="D10" s="288"/>
      <c r="E10" s="288"/>
      <c r="F10" s="288"/>
      <c r="G10" s="288"/>
      <c r="H10" s="288"/>
      <c r="I10" s="288"/>
      <c r="J10" s="288"/>
      <c r="K10" s="288"/>
      <c r="L10" s="290"/>
      <c r="M10" s="290"/>
      <c r="N10" s="162">
        <f t="shared" si="3"/>
        <v>0</v>
      </c>
    </row>
    <row r="11" spans="1:17" x14ac:dyDescent="0.25">
      <c r="A11" s="155" t="s">
        <v>24</v>
      </c>
      <c r="B11" s="166">
        <f>SUM(B8:B10)</f>
        <v>0</v>
      </c>
      <c r="C11" s="166">
        <f>SUM(C8:C10)</f>
        <v>0</v>
      </c>
      <c r="D11" s="166">
        <f>SUM(D8:D10)</f>
        <v>0</v>
      </c>
      <c r="E11" s="166">
        <f>SUM(E8:E10)</f>
        <v>0</v>
      </c>
      <c r="F11" s="166">
        <f>SUM(F8:F10)</f>
        <v>0</v>
      </c>
      <c r="G11" s="166">
        <f t="shared" ref="G11:M11" si="4">SUM(G8:G10)</f>
        <v>0</v>
      </c>
      <c r="H11" s="166">
        <f t="shared" si="4"/>
        <v>0</v>
      </c>
      <c r="I11" s="166">
        <f t="shared" si="4"/>
        <v>0</v>
      </c>
      <c r="J11" s="166">
        <f t="shared" si="4"/>
        <v>0</v>
      </c>
      <c r="K11" s="166">
        <f t="shared" si="4"/>
        <v>0</v>
      </c>
      <c r="L11" s="166">
        <f t="shared" si="4"/>
        <v>0</v>
      </c>
      <c r="M11" s="166">
        <f t="shared" si="4"/>
        <v>0</v>
      </c>
      <c r="N11" s="166">
        <f>SUM(N8:N10)</f>
        <v>0</v>
      </c>
      <c r="O11" s="287">
        <f>SUM(B11:M11)</f>
        <v>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26</v>
      </c>
      <c r="B13" s="156">
        <f>+B7</f>
        <v>45658</v>
      </c>
      <c r="C13" s="156">
        <f t="shared" ref="C13:L13" si="5">+C7</f>
        <v>45689</v>
      </c>
      <c r="D13" s="156">
        <f t="shared" si="5"/>
        <v>45717</v>
      </c>
      <c r="E13" s="156">
        <f t="shared" si="5"/>
        <v>45748</v>
      </c>
      <c r="F13" s="156">
        <f t="shared" si="5"/>
        <v>45778</v>
      </c>
      <c r="G13" s="156">
        <f t="shared" si="5"/>
        <v>45809</v>
      </c>
      <c r="H13" s="156">
        <f t="shared" si="5"/>
        <v>45839</v>
      </c>
      <c r="I13" s="156">
        <f t="shared" si="5"/>
        <v>45870</v>
      </c>
      <c r="J13" s="156">
        <f t="shared" si="5"/>
        <v>45901</v>
      </c>
      <c r="K13" s="156">
        <f t="shared" si="5"/>
        <v>45931</v>
      </c>
      <c r="L13" s="156">
        <f t="shared" si="5"/>
        <v>45962</v>
      </c>
      <c r="M13" s="156">
        <f>+M7</f>
        <v>45992</v>
      </c>
      <c r="N13" s="157" t="s">
        <v>23</v>
      </c>
    </row>
    <row r="14" spans="1:17" x14ac:dyDescent="0.25">
      <c r="A14" s="160" t="s">
        <v>27</v>
      </c>
      <c r="B14" s="288">
        <f>+Gasto25!D4+Gasto25!D5</f>
        <v>4190</v>
      </c>
      <c r="C14" s="288"/>
      <c r="D14" s="288"/>
      <c r="E14" s="288"/>
      <c r="F14" s="288"/>
      <c r="G14" s="288"/>
      <c r="H14" s="289"/>
      <c r="I14" s="288"/>
      <c r="J14" s="288"/>
      <c r="K14" s="288"/>
      <c r="L14" s="290"/>
      <c r="M14" s="290"/>
      <c r="N14" s="162">
        <f t="shared" ref="N14:N18" si="6">SUM(B14:M14)</f>
        <v>4190</v>
      </c>
      <c r="Q14" s="159"/>
    </row>
    <row r="15" spans="1:17" x14ac:dyDescent="0.25">
      <c r="A15" s="160" t="s">
        <v>28</v>
      </c>
      <c r="B15" s="288">
        <v>0</v>
      </c>
      <c r="C15" s="288"/>
      <c r="D15" s="288"/>
      <c r="E15" s="288"/>
      <c r="F15" s="288"/>
      <c r="G15" s="288"/>
      <c r="H15" s="288"/>
      <c r="I15" s="288"/>
      <c r="J15" s="288"/>
      <c r="K15" s="288"/>
      <c r="L15" s="290"/>
      <c r="M15" s="290"/>
      <c r="N15" s="162">
        <f t="shared" si="6"/>
        <v>0</v>
      </c>
      <c r="Q15" s="159"/>
    </row>
    <row r="16" spans="1:17" x14ac:dyDescent="0.25">
      <c r="A16" s="160" t="s">
        <v>29</v>
      </c>
      <c r="B16" s="288">
        <v>0</v>
      </c>
      <c r="C16" s="288"/>
      <c r="D16" s="288"/>
      <c r="E16" s="288"/>
      <c r="F16" s="288"/>
      <c r="G16" s="288"/>
      <c r="H16" s="288"/>
      <c r="I16" s="288"/>
      <c r="J16" s="288"/>
      <c r="K16" s="288"/>
      <c r="L16" s="290"/>
      <c r="M16" s="290"/>
      <c r="N16" s="162">
        <f t="shared" si="6"/>
        <v>0</v>
      </c>
      <c r="Q16" s="159"/>
    </row>
    <row r="17" spans="1:24" x14ac:dyDescent="0.25">
      <c r="A17" s="160" t="s">
        <v>43</v>
      </c>
      <c r="B17" s="288">
        <v>0</v>
      </c>
      <c r="C17" s="288"/>
      <c r="D17" s="288"/>
      <c r="E17" s="288"/>
      <c r="F17" s="288"/>
      <c r="G17" s="288"/>
      <c r="H17" s="288"/>
      <c r="I17" s="288"/>
      <c r="J17" s="288"/>
      <c r="K17" s="288"/>
      <c r="L17" s="290"/>
      <c r="M17" s="290"/>
      <c r="N17" s="162">
        <f t="shared" si="6"/>
        <v>0</v>
      </c>
      <c r="Q17" s="159"/>
    </row>
    <row r="18" spans="1:24" x14ac:dyDescent="0.25">
      <c r="A18" s="160" t="s">
        <v>44</v>
      </c>
      <c r="B18" s="288">
        <v>0</v>
      </c>
      <c r="C18" s="288"/>
      <c r="D18" s="288"/>
      <c r="E18" s="288"/>
      <c r="F18" s="288"/>
      <c r="G18" s="288"/>
      <c r="H18" s="288"/>
      <c r="I18" s="288"/>
      <c r="J18" s="288"/>
      <c r="K18" s="288"/>
      <c r="L18" s="290"/>
      <c r="M18" s="290"/>
      <c r="N18" s="162">
        <f t="shared" si="6"/>
        <v>0</v>
      </c>
    </row>
    <row r="19" spans="1:24" x14ac:dyDescent="0.25">
      <c r="A19" s="155" t="s">
        <v>24</v>
      </c>
      <c r="B19" s="166">
        <f>SUM(B14:B18)</f>
        <v>4190</v>
      </c>
      <c r="C19" s="166">
        <f t="shared" ref="C19:D19" si="7">SUM(C14:C18)</f>
        <v>0</v>
      </c>
      <c r="D19" s="166">
        <f t="shared" si="7"/>
        <v>0</v>
      </c>
      <c r="E19" s="166">
        <f>SUM(E14:E18)</f>
        <v>0</v>
      </c>
      <c r="F19" s="166">
        <f t="shared" ref="F19:M19" si="8">SUM(F14:F18)</f>
        <v>0</v>
      </c>
      <c r="G19" s="166">
        <f t="shared" si="8"/>
        <v>0</v>
      </c>
      <c r="H19" s="166">
        <f t="shared" si="8"/>
        <v>0</v>
      </c>
      <c r="I19" s="166">
        <f t="shared" si="8"/>
        <v>0</v>
      </c>
      <c r="J19" s="166">
        <f t="shared" si="8"/>
        <v>0</v>
      </c>
      <c r="K19" s="166">
        <f t="shared" si="8"/>
        <v>0</v>
      </c>
      <c r="L19" s="166">
        <f t="shared" si="8"/>
        <v>0</v>
      </c>
      <c r="M19" s="166">
        <f t="shared" si="8"/>
        <v>0</v>
      </c>
      <c r="N19" s="166">
        <f>SUM(N14:N18)</f>
        <v>4190</v>
      </c>
      <c r="O19" s="287">
        <f>SUM(B19:M19)</f>
        <v>4190</v>
      </c>
    </row>
    <row r="20" spans="1:24" ht="15.75" thickBot="1" x14ac:dyDescent="0.3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</row>
    <row r="21" spans="1:24" ht="15.75" thickBot="1" x14ac:dyDescent="0.3">
      <c r="A21" s="168"/>
      <c r="B21" s="156">
        <f>+B13</f>
        <v>45658</v>
      </c>
      <c r="C21" s="156">
        <f t="shared" ref="C21:M21" si="9">+C13</f>
        <v>45689</v>
      </c>
      <c r="D21" s="156">
        <f t="shared" si="9"/>
        <v>45717</v>
      </c>
      <c r="E21" s="156">
        <f t="shared" si="9"/>
        <v>45748</v>
      </c>
      <c r="F21" s="156">
        <f t="shared" si="9"/>
        <v>45778</v>
      </c>
      <c r="G21" s="156">
        <f t="shared" si="9"/>
        <v>45809</v>
      </c>
      <c r="H21" s="156">
        <f t="shared" si="9"/>
        <v>45839</v>
      </c>
      <c r="I21" s="156">
        <f t="shared" si="9"/>
        <v>45870</v>
      </c>
      <c r="J21" s="156">
        <f t="shared" si="9"/>
        <v>45901</v>
      </c>
      <c r="K21" s="156">
        <f t="shared" si="9"/>
        <v>45931</v>
      </c>
      <c r="L21" s="156">
        <f t="shared" si="9"/>
        <v>45962</v>
      </c>
      <c r="M21" s="156">
        <f t="shared" si="9"/>
        <v>45992</v>
      </c>
      <c r="N21" s="157" t="s">
        <v>23</v>
      </c>
      <c r="O21" s="169"/>
      <c r="Q21" s="389">
        <v>45727</v>
      </c>
      <c r="R21" s="396"/>
      <c r="S21" s="397"/>
    </row>
    <row r="22" spans="1:24" x14ac:dyDescent="0.25">
      <c r="A22" s="155" t="s">
        <v>31</v>
      </c>
      <c r="B22" s="161">
        <v>221176</v>
      </c>
      <c r="C22" s="161"/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70">
        <f>SUM(B22:M22)</f>
        <v>221176</v>
      </c>
      <c r="Q22" s="270">
        <v>20000</v>
      </c>
      <c r="R22" s="195">
        <v>29</v>
      </c>
      <c r="S22" s="271">
        <f t="shared" ref="S22:S30" si="10">+Q22*R22</f>
        <v>580000</v>
      </c>
    </row>
    <row r="23" spans="1:24" x14ac:dyDescent="0.25">
      <c r="A23" s="155" t="s">
        <v>165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70">
        <f>SUM(B23:M23)</f>
        <v>0</v>
      </c>
      <c r="Q23" s="272">
        <v>10000</v>
      </c>
      <c r="R23" s="195">
        <v>36</v>
      </c>
      <c r="S23" s="271">
        <f t="shared" si="10"/>
        <v>360000</v>
      </c>
    </row>
    <row r="24" spans="1:24" x14ac:dyDescent="0.25">
      <c r="A24" s="155" t="s">
        <v>33</v>
      </c>
      <c r="B24" s="161">
        <v>0</v>
      </c>
      <c r="C24" s="161">
        <v>0</v>
      </c>
      <c r="D24" s="161">
        <v>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61">
        <v>0</v>
      </c>
      <c r="M24" s="161">
        <v>0</v>
      </c>
      <c r="N24" s="170">
        <f>SUM(B24:M24)</f>
        <v>0</v>
      </c>
      <c r="Q24" s="272">
        <v>5000</v>
      </c>
      <c r="R24" s="195">
        <v>0</v>
      </c>
      <c r="S24" s="271">
        <f t="shared" si="10"/>
        <v>0</v>
      </c>
    </row>
    <row r="25" spans="1:24" x14ac:dyDescent="0.25">
      <c r="A25" s="283" t="s">
        <v>34</v>
      </c>
      <c r="B25" s="284">
        <f>SUM(B22:B24)</f>
        <v>221176</v>
      </c>
      <c r="C25" s="284">
        <f>SUM(C22:C24)</f>
        <v>0</v>
      </c>
      <c r="D25" s="284">
        <f>SUM(D22:D24)</f>
        <v>0</v>
      </c>
      <c r="E25" s="284">
        <f>SUM(E22:E24)</f>
        <v>0</v>
      </c>
      <c r="F25" s="284">
        <f t="shared" ref="F25:M25" si="11">SUM(F22:F24)</f>
        <v>0</v>
      </c>
      <c r="G25" s="284">
        <f t="shared" si="11"/>
        <v>0</v>
      </c>
      <c r="H25" s="284">
        <f t="shared" si="11"/>
        <v>0</v>
      </c>
      <c r="I25" s="284">
        <f>SUM(I22:I24)</f>
        <v>0</v>
      </c>
      <c r="J25" s="284">
        <f t="shared" si="11"/>
        <v>0</v>
      </c>
      <c r="K25" s="284">
        <f t="shared" si="11"/>
        <v>0</v>
      </c>
      <c r="L25" s="284">
        <f t="shared" si="11"/>
        <v>0</v>
      </c>
      <c r="M25" s="284">
        <f t="shared" si="11"/>
        <v>0</v>
      </c>
      <c r="N25" s="284">
        <f>SUM(B25:M25)</f>
        <v>221176</v>
      </c>
      <c r="O25" s="286">
        <f>SUM(N22:N24)</f>
        <v>221176</v>
      </c>
      <c r="Q25" s="272">
        <v>2000</v>
      </c>
      <c r="R25" s="195">
        <v>1</v>
      </c>
      <c r="S25" s="271">
        <f t="shared" si="10"/>
        <v>2000</v>
      </c>
      <c r="U25" s="173"/>
    </row>
    <row r="26" spans="1:24" x14ac:dyDescent="0.25">
      <c r="A26" s="174" t="s">
        <v>35</v>
      </c>
      <c r="B26" s="175">
        <f>+B19+B11+B5</f>
        <v>34190</v>
      </c>
      <c r="C26" s="175">
        <f>+C19+C11+C5</f>
        <v>0</v>
      </c>
      <c r="D26" s="175">
        <f>+D19+D11+D5</f>
        <v>0</v>
      </c>
      <c r="E26" s="175">
        <f t="shared" ref="E26:M26" si="12">+E19+E11+E5</f>
        <v>0</v>
      </c>
      <c r="F26" s="175">
        <f t="shared" si="12"/>
        <v>0</v>
      </c>
      <c r="G26" s="175">
        <f t="shared" si="12"/>
        <v>0</v>
      </c>
      <c r="H26" s="175">
        <f t="shared" si="12"/>
        <v>0</v>
      </c>
      <c r="I26" s="175">
        <f t="shared" si="12"/>
        <v>0</v>
      </c>
      <c r="J26" s="175">
        <f t="shared" si="12"/>
        <v>0</v>
      </c>
      <c r="K26" s="175">
        <f t="shared" si="12"/>
        <v>0</v>
      </c>
      <c r="L26" s="175">
        <f t="shared" si="12"/>
        <v>0</v>
      </c>
      <c r="M26" s="175">
        <f t="shared" si="12"/>
        <v>0</v>
      </c>
      <c r="N26" s="175">
        <f>SUM(B26:M26)</f>
        <v>34190</v>
      </c>
      <c r="O26" s="285">
        <f>+O19+O11+O5</f>
        <v>34190</v>
      </c>
      <c r="Q26" s="272">
        <v>1000</v>
      </c>
      <c r="R26" s="195">
        <v>2</v>
      </c>
      <c r="S26" s="271">
        <f t="shared" si="10"/>
        <v>2000</v>
      </c>
      <c r="U26" s="173"/>
    </row>
    <row r="27" spans="1:24" x14ac:dyDescent="0.25">
      <c r="A27" s="155" t="s">
        <v>157</v>
      </c>
      <c r="B27" s="176">
        <f>++IF(B25=0,"-",+B26/B25)</f>
        <v>0.15458277570803342</v>
      </c>
      <c r="C27" s="176" t="str">
        <f t="shared" ref="C27:M27" si="13">++IF(C25=0,"-",+C26/C25)</f>
        <v>-</v>
      </c>
      <c r="D27" s="176" t="str">
        <f t="shared" si="13"/>
        <v>-</v>
      </c>
      <c r="E27" s="176" t="str">
        <f t="shared" si="13"/>
        <v>-</v>
      </c>
      <c r="F27" s="176" t="str">
        <f t="shared" si="13"/>
        <v>-</v>
      </c>
      <c r="G27" s="176" t="str">
        <f t="shared" si="13"/>
        <v>-</v>
      </c>
      <c r="H27" s="176" t="str">
        <f t="shared" si="13"/>
        <v>-</v>
      </c>
      <c r="I27" s="176" t="str">
        <f t="shared" si="13"/>
        <v>-</v>
      </c>
      <c r="J27" s="176" t="str">
        <f t="shared" si="13"/>
        <v>-</v>
      </c>
      <c r="K27" s="176" t="str">
        <f t="shared" si="13"/>
        <v>-</v>
      </c>
      <c r="L27" s="176" t="str">
        <f t="shared" si="13"/>
        <v>-</v>
      </c>
      <c r="M27" s="176" t="str">
        <f t="shared" si="13"/>
        <v>-</v>
      </c>
      <c r="N27" s="293">
        <f>+N26/N25</f>
        <v>0.15458277570803342</v>
      </c>
      <c r="O27" s="294">
        <f>+N25-N26</f>
        <v>186986</v>
      </c>
      <c r="P27" s="164"/>
      <c r="Q27" s="272">
        <v>500</v>
      </c>
      <c r="R27" s="195">
        <v>0</v>
      </c>
      <c r="S27" s="271">
        <f t="shared" si="10"/>
        <v>0</v>
      </c>
      <c r="U27" s="173"/>
    </row>
    <row r="28" spans="1:24" x14ac:dyDescent="0.25">
      <c r="A28" s="160" t="s">
        <v>81</v>
      </c>
      <c r="B28" s="330">
        <f t="shared" ref="B28:I28" si="14">+B22/3300</f>
        <v>67.023030303030296</v>
      </c>
      <c r="C28" s="330">
        <f t="shared" si="14"/>
        <v>0</v>
      </c>
      <c r="D28" s="330">
        <f t="shared" si="14"/>
        <v>0</v>
      </c>
      <c r="E28" s="330">
        <f t="shared" si="14"/>
        <v>0</v>
      </c>
      <c r="F28" s="330">
        <f t="shared" si="14"/>
        <v>0</v>
      </c>
      <c r="G28" s="330">
        <f t="shared" si="14"/>
        <v>0</v>
      </c>
      <c r="H28" s="330">
        <f t="shared" si="14"/>
        <v>0</v>
      </c>
      <c r="I28" s="330">
        <f t="shared" si="14"/>
        <v>0</v>
      </c>
      <c r="J28" s="330">
        <f>+J22/3300</f>
        <v>0</v>
      </c>
      <c r="K28" s="330">
        <f t="shared" ref="K28:M28" si="15">+K22/3300</f>
        <v>0</v>
      </c>
      <c r="L28" s="330">
        <f t="shared" si="15"/>
        <v>0</v>
      </c>
      <c r="M28" s="330">
        <f t="shared" si="15"/>
        <v>0</v>
      </c>
      <c r="N28" s="292" t="s">
        <v>181</v>
      </c>
      <c r="O28" s="291">
        <f>+'2024'!O29</f>
        <v>845721</v>
      </c>
      <c r="P28" s="164"/>
      <c r="Q28" s="272">
        <v>100</v>
      </c>
      <c r="R28" s="195">
        <v>12</v>
      </c>
      <c r="S28" s="271">
        <f t="shared" si="10"/>
        <v>1200</v>
      </c>
      <c r="U28" s="173"/>
    </row>
    <row r="29" spans="1:24" x14ac:dyDescent="0.25">
      <c r="A29" s="160" t="s">
        <v>191</v>
      </c>
      <c r="B29" s="330"/>
      <c r="C29" s="330"/>
      <c r="D29" s="330"/>
      <c r="E29" s="330"/>
      <c r="F29" s="330"/>
      <c r="G29" s="330"/>
      <c r="H29" s="330"/>
      <c r="I29" s="330"/>
      <c r="J29" s="330"/>
      <c r="K29" s="330"/>
      <c r="L29" s="330"/>
      <c r="M29" s="330"/>
      <c r="N29" s="182" t="s">
        <v>38</v>
      </c>
      <c r="O29" s="183">
        <f>SUM(O27:O28)</f>
        <v>1032707</v>
      </c>
      <c r="Q29" s="272">
        <v>50</v>
      </c>
      <c r="R29" s="195">
        <v>3</v>
      </c>
      <c r="S29" s="271">
        <f t="shared" si="10"/>
        <v>150</v>
      </c>
      <c r="T29" s="164"/>
      <c r="U29" s="173"/>
    </row>
    <row r="30" spans="1:24" ht="15.75" thickBot="1" x14ac:dyDescent="0.3">
      <c r="A30" s="326" t="s">
        <v>192</v>
      </c>
      <c r="B30" s="327"/>
      <c r="C30" s="327"/>
      <c r="D30" s="327"/>
      <c r="E30" s="327"/>
      <c r="F30" s="327"/>
      <c r="G30" s="327"/>
      <c r="H30" s="327"/>
      <c r="I30" s="327" t="str">
        <f t="shared" ref="I30:M30" si="16">+IF(I29="","",+I29-I28)</f>
        <v/>
      </c>
      <c r="J30" s="327" t="str">
        <f t="shared" si="16"/>
        <v/>
      </c>
      <c r="K30" s="327" t="str">
        <f t="shared" si="16"/>
        <v/>
      </c>
      <c r="L30" s="327" t="str">
        <f t="shared" si="16"/>
        <v/>
      </c>
      <c r="M30" s="327" t="str">
        <f t="shared" si="16"/>
        <v/>
      </c>
      <c r="O30" s="164">
        <f>+O31-O29</f>
        <v>-87017</v>
      </c>
      <c r="Q30" s="272">
        <v>10</v>
      </c>
      <c r="R30" s="195">
        <v>34</v>
      </c>
      <c r="S30" s="271">
        <f t="shared" si="10"/>
        <v>340</v>
      </c>
    </row>
    <row r="31" spans="1:24" ht="15.75" thickBot="1" x14ac:dyDescent="0.3">
      <c r="N31" s="267" t="s">
        <v>39</v>
      </c>
      <c r="O31" s="268">
        <f>+S31</f>
        <v>945690</v>
      </c>
      <c r="Q31" s="394" t="s">
        <v>39</v>
      </c>
      <c r="R31" s="395"/>
      <c r="S31" s="273">
        <f>SUM(S22:S30)</f>
        <v>945690</v>
      </c>
      <c r="T31" s="164"/>
    </row>
    <row r="32" spans="1:24" x14ac:dyDescent="0.25">
      <c r="M32" s="186"/>
      <c r="N32" s="187" t="s">
        <v>45</v>
      </c>
      <c r="O32" s="188"/>
      <c r="X32" s="169"/>
    </row>
    <row r="33" spans="14:24" x14ac:dyDescent="0.25">
      <c r="O33" s="190"/>
      <c r="Q33" s="158" t="s">
        <v>163</v>
      </c>
      <c r="S33" s="295">
        <v>1125421</v>
      </c>
      <c r="W33" s="169"/>
      <c r="X33" s="169"/>
    </row>
    <row r="34" spans="14:24" x14ac:dyDescent="0.25">
      <c r="O34" s="192"/>
      <c r="Q34" s="158" t="s">
        <v>166</v>
      </c>
      <c r="S34" s="296">
        <v>45632</v>
      </c>
    </row>
    <row r="35" spans="14:24" x14ac:dyDescent="0.25">
      <c r="Q35" s="158" t="s">
        <v>167</v>
      </c>
      <c r="S35" s="296">
        <v>45667</v>
      </c>
      <c r="X35" s="169"/>
    </row>
    <row r="36" spans="14:24" ht="15.75" thickBot="1" x14ac:dyDescent="0.3">
      <c r="Q36" s="158" t="s">
        <v>53</v>
      </c>
      <c r="S36" s="295">
        <v>1130542</v>
      </c>
    </row>
    <row r="37" spans="14:24" ht="15.75" thickBot="1" x14ac:dyDescent="0.3">
      <c r="Q37" s="297" t="s">
        <v>164</v>
      </c>
      <c r="R37" s="298"/>
      <c r="S37" s="299">
        <f>+S36-S33</f>
        <v>5121</v>
      </c>
      <c r="T37" s="169"/>
      <c r="X37" s="169"/>
    </row>
    <row r="38" spans="14:24" ht="15.75" thickBot="1" x14ac:dyDescent="0.3">
      <c r="O38" s="169"/>
      <c r="T38" s="169"/>
    </row>
    <row r="39" spans="14:24" ht="19.5" thickBot="1" x14ac:dyDescent="0.35">
      <c r="N39" s="192"/>
      <c r="Q39" s="317" t="s">
        <v>169</v>
      </c>
      <c r="R39" s="398">
        <f>+S31+S36</f>
        <v>2076232</v>
      </c>
      <c r="S39" s="399"/>
      <c r="T39" s="169"/>
    </row>
    <row r="40" spans="14:24" x14ac:dyDescent="0.25">
      <c r="T40" s="169"/>
    </row>
  </sheetData>
  <mergeCells count="3">
    <mergeCell ref="Q21:S21"/>
    <mergeCell ref="Q31:R31"/>
    <mergeCell ref="R39:S39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B5 C5:M5 B11:M11 M19 B25:M25" formulaRange="1"/>
    <ignoredError sqref="N26" 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1">
    <tabColor rgb="FFFFFF00"/>
  </sheetPr>
  <dimension ref="A1:N10"/>
  <sheetViews>
    <sheetView showGridLines="0" zoomScale="120" zoomScaleNormal="120" workbookViewId="0">
      <selection activeCell="A4" sqref="A4"/>
    </sheetView>
  </sheetViews>
  <sheetFormatPr baseColWidth="10" defaultRowHeight="15" x14ac:dyDescent="0.25"/>
  <cols>
    <col min="1" max="1" width="9.140625" bestFit="1" customWidth="1"/>
    <col min="2" max="8" width="12.7109375" bestFit="1" customWidth="1"/>
    <col min="9" max="10" width="12.7109375" customWidth="1"/>
    <col min="11" max="12" width="10.85546875" bestFit="1" customWidth="1"/>
    <col min="13" max="13" width="12.7109375" bestFit="1" customWidth="1"/>
    <col min="14" max="14" width="9.28515625" customWidth="1"/>
  </cols>
  <sheetData>
    <row r="1" spans="1:14" x14ac:dyDescent="0.25">
      <c r="B1" s="11">
        <v>2017</v>
      </c>
      <c r="C1" s="11">
        <v>2018</v>
      </c>
      <c r="D1" s="11">
        <v>2019</v>
      </c>
      <c r="E1" s="11">
        <v>2020</v>
      </c>
      <c r="F1" s="11">
        <v>2021</v>
      </c>
      <c r="G1" s="11">
        <v>2022</v>
      </c>
      <c r="H1" s="11">
        <v>2023</v>
      </c>
      <c r="I1" s="11">
        <v>2024</v>
      </c>
      <c r="J1" s="11">
        <v>2025</v>
      </c>
    </row>
    <row r="2" spans="1:14" x14ac:dyDescent="0.25">
      <c r="A2" s="66" t="s">
        <v>34</v>
      </c>
      <c r="B2" s="67">
        <f>+'2017'!O24</f>
        <v>2339013</v>
      </c>
      <c r="C2" s="67">
        <f>+'2018'!$O$24</f>
        <v>2092850</v>
      </c>
      <c r="D2" s="67">
        <f>+'2019'!$O$24</f>
        <v>2352705</v>
      </c>
      <c r="E2" s="67">
        <f>+'2020'!$O$24</f>
        <v>2687424</v>
      </c>
      <c r="F2" s="67">
        <f>+'2021'!$O$24</f>
        <v>2184714</v>
      </c>
      <c r="G2" s="67">
        <f>+'2022'!$O$25</f>
        <v>2253563</v>
      </c>
      <c r="H2" s="67">
        <f>+'2023'!$O$25</f>
        <v>2025000</v>
      </c>
      <c r="I2" s="67">
        <f>+'2024'!$O$25</f>
        <v>2309900</v>
      </c>
      <c r="J2" s="67">
        <f>+'2025'!$O$25</f>
        <v>221176</v>
      </c>
    </row>
    <row r="3" spans="1:14" x14ac:dyDescent="0.25">
      <c r="A3" s="68" t="s">
        <v>35</v>
      </c>
      <c r="B3" s="69">
        <f>+'2017'!O25</f>
        <v>2362264</v>
      </c>
      <c r="C3" s="69">
        <f>+'2018'!$O$25</f>
        <v>2047736</v>
      </c>
      <c r="D3" s="69">
        <f>+'2019'!$O$25</f>
        <v>2007895</v>
      </c>
      <c r="E3" s="69">
        <f>+'2020'!$O$25</f>
        <v>1828727</v>
      </c>
      <c r="F3" s="69">
        <f>+'2021'!$O$25</f>
        <v>2194195</v>
      </c>
      <c r="G3" s="69">
        <f>+'2022'!$O$26</f>
        <v>2512682</v>
      </c>
      <c r="H3" s="69">
        <f>+'2023'!$O$26</f>
        <v>2612661</v>
      </c>
      <c r="I3" s="69">
        <f>+'2024'!$O$26</f>
        <v>2442648</v>
      </c>
      <c r="J3" s="69">
        <f>+'2025'!$O$26</f>
        <v>34190</v>
      </c>
      <c r="K3" s="274" t="s">
        <v>156</v>
      </c>
      <c r="L3" s="275" t="s">
        <v>39</v>
      </c>
      <c r="M3" s="71" t="s">
        <v>46</v>
      </c>
      <c r="N3" s="72"/>
    </row>
    <row r="4" spans="1:14" x14ac:dyDescent="0.25">
      <c r="A4" s="278">
        <f>+'2017'!O27+351325</f>
        <v>609360</v>
      </c>
      <c r="B4" s="279">
        <f>+B2-B3</f>
        <v>-23251</v>
      </c>
      <c r="C4" s="280">
        <f>+C2-C3</f>
        <v>45114</v>
      </c>
      <c r="D4" s="280">
        <f t="shared" ref="D4:G4" si="0">+D2-D3</f>
        <v>344810</v>
      </c>
      <c r="E4" s="280">
        <f t="shared" si="0"/>
        <v>858697</v>
      </c>
      <c r="F4" s="281">
        <f t="shared" si="0"/>
        <v>-9481</v>
      </c>
      <c r="G4" s="280">
        <f t="shared" si="0"/>
        <v>-259119</v>
      </c>
      <c r="H4" s="280">
        <f t="shared" ref="H4:I4" si="1">+H2-H3</f>
        <v>-587661</v>
      </c>
      <c r="I4" s="280">
        <f t="shared" si="1"/>
        <v>-132748</v>
      </c>
      <c r="J4" s="280">
        <f t="shared" ref="J4" si="2">+J2-J3</f>
        <v>186986</v>
      </c>
      <c r="K4" s="282">
        <f>SUM(A4:I4)</f>
        <v>845721</v>
      </c>
      <c r="L4" s="277">
        <f>+'2024'!S31</f>
        <v>0</v>
      </c>
      <c r="M4" s="73">
        <f>+L4-K4</f>
        <v>-845721</v>
      </c>
      <c r="N4" s="276" t="e">
        <f>+M4/L4</f>
        <v>#DIV/0!</v>
      </c>
    </row>
    <row r="5" spans="1:14" x14ac:dyDescent="0.25">
      <c r="B5" s="74"/>
      <c r="C5" s="75"/>
      <c r="D5" s="75"/>
      <c r="E5" s="75"/>
      <c r="F5" s="75"/>
      <c r="G5" s="75"/>
      <c r="H5" s="75"/>
      <c r="I5" s="75"/>
      <c r="J5" s="75"/>
      <c r="M5" s="266" t="str">
        <f>+IF(M4&gt;0,"SOBRAN","Falta")</f>
        <v>Falta</v>
      </c>
    </row>
    <row r="6" spans="1:14" x14ac:dyDescent="0.25">
      <c r="B6" s="74"/>
      <c r="C6" s="74"/>
      <c r="D6" s="74"/>
      <c r="E6" s="74"/>
      <c r="F6" s="74"/>
      <c r="G6" s="74"/>
      <c r="H6" s="74"/>
      <c r="I6" s="74"/>
      <c r="J6" s="74"/>
      <c r="K6" s="74"/>
    </row>
    <row r="8" spans="1:14" x14ac:dyDescent="0.25">
      <c r="C8" s="75"/>
      <c r="D8" s="75"/>
      <c r="E8" s="75"/>
    </row>
    <row r="9" spans="1:14" x14ac:dyDescent="0.25">
      <c r="B9" s="76"/>
      <c r="C9" s="76"/>
      <c r="D9" s="76"/>
      <c r="E9" s="76"/>
      <c r="F9" s="76"/>
      <c r="G9" s="76"/>
      <c r="H9" s="76"/>
      <c r="I9" s="76"/>
      <c r="J9" s="76"/>
    </row>
    <row r="10" spans="1:14" x14ac:dyDescent="0.25">
      <c r="B10" s="75"/>
      <c r="C10" s="75"/>
      <c r="D10" s="75"/>
      <c r="E10" s="75"/>
      <c r="F10" s="75"/>
      <c r="G10" s="75"/>
      <c r="H10" s="75"/>
      <c r="I10" s="75"/>
      <c r="J10" s="75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2">
    <tabColor rgb="FFFFFF00"/>
  </sheetPr>
  <dimension ref="A1:X137"/>
  <sheetViews>
    <sheetView showGridLines="0" topLeftCell="A83" zoomScaleNormal="100" workbookViewId="0">
      <selection activeCell="O101" sqref="O101"/>
    </sheetView>
  </sheetViews>
  <sheetFormatPr baseColWidth="10" defaultRowHeight="15" x14ac:dyDescent="0.25"/>
  <cols>
    <col min="1" max="1" width="9.42578125" bestFit="1" customWidth="1"/>
    <col min="2" max="2" width="4" bestFit="1" customWidth="1"/>
    <col min="3" max="3" width="12" bestFit="1" customWidth="1"/>
    <col min="4" max="4" width="2.7109375" customWidth="1"/>
    <col min="5" max="5" width="9.42578125" bestFit="1" customWidth="1"/>
    <col min="6" max="6" width="4" bestFit="1" customWidth="1"/>
    <col min="7" max="7" width="12" bestFit="1" customWidth="1"/>
    <col min="8" max="8" width="2.7109375" customWidth="1"/>
    <col min="9" max="9" width="9.42578125" bestFit="1" customWidth="1"/>
    <col min="10" max="10" width="4" bestFit="1" customWidth="1"/>
    <col min="11" max="11" width="12" bestFit="1" customWidth="1"/>
    <col min="12" max="12" width="2.7109375" customWidth="1"/>
    <col min="13" max="13" width="9" bestFit="1" customWidth="1"/>
    <col min="14" max="14" width="4" bestFit="1" customWidth="1"/>
    <col min="15" max="15" width="12" bestFit="1" customWidth="1"/>
    <col min="16" max="16" width="2.7109375" customWidth="1"/>
    <col min="17" max="17" width="9.42578125" bestFit="1" customWidth="1"/>
    <col min="18" max="18" width="4" bestFit="1" customWidth="1"/>
    <col min="19" max="19" width="12" bestFit="1" customWidth="1"/>
    <col min="20" max="20" width="2.7109375" customWidth="1"/>
    <col min="21" max="21" width="9.42578125" bestFit="1" customWidth="1"/>
    <col min="22" max="22" width="4" bestFit="1" customWidth="1"/>
    <col min="23" max="24" width="12" bestFit="1" customWidth="1"/>
  </cols>
  <sheetData>
    <row r="1" spans="1:23" ht="15.75" hidden="1" thickBot="1" x14ac:dyDescent="0.3">
      <c r="A1" s="407">
        <v>44357</v>
      </c>
      <c r="B1" s="408"/>
      <c r="C1" s="409"/>
      <c r="D1" s="77"/>
      <c r="E1" s="407">
        <v>44421</v>
      </c>
      <c r="F1" s="408"/>
      <c r="G1" s="409"/>
      <c r="H1" s="77"/>
      <c r="I1" s="407">
        <v>44487</v>
      </c>
      <c r="J1" s="408"/>
      <c r="K1" s="409"/>
      <c r="M1" s="407">
        <v>44517</v>
      </c>
      <c r="N1" s="408"/>
      <c r="O1" s="409"/>
      <c r="P1" s="77"/>
      <c r="Q1" s="407">
        <v>44568</v>
      </c>
      <c r="R1" s="408"/>
      <c r="S1" s="409"/>
      <c r="T1" s="77"/>
      <c r="U1" s="407">
        <v>44573</v>
      </c>
      <c r="V1" s="408"/>
      <c r="W1" s="409"/>
    </row>
    <row r="2" spans="1:23" hidden="1" x14ac:dyDescent="0.25">
      <c r="A2" s="78">
        <v>20000</v>
      </c>
      <c r="B2" s="79">
        <v>76</v>
      </c>
      <c r="C2" s="78">
        <f>+A2*B2</f>
        <v>1520000</v>
      </c>
      <c r="D2" s="77"/>
      <c r="E2" s="78">
        <v>20000</v>
      </c>
      <c r="F2" s="79">
        <v>88</v>
      </c>
      <c r="G2" s="78">
        <f>+E2*F2</f>
        <v>1760000</v>
      </c>
      <c r="H2" s="77"/>
      <c r="I2" s="78">
        <v>20000</v>
      </c>
      <c r="J2" s="79">
        <v>90</v>
      </c>
      <c r="K2" s="78">
        <v>1800000</v>
      </c>
      <c r="M2" s="78">
        <v>20000</v>
      </c>
      <c r="N2" s="79">
        <v>104</v>
      </c>
      <c r="O2" s="78">
        <v>2080000</v>
      </c>
      <c r="P2" s="77"/>
      <c r="Q2" s="78">
        <v>20000</v>
      </c>
      <c r="R2" s="79">
        <v>25</v>
      </c>
      <c r="S2" s="78">
        <v>500000</v>
      </c>
      <c r="T2" s="77"/>
      <c r="U2" s="78">
        <v>20000</v>
      </c>
      <c r="V2" s="79">
        <v>34</v>
      </c>
      <c r="W2" s="78">
        <v>680000</v>
      </c>
    </row>
    <row r="3" spans="1:23" hidden="1" x14ac:dyDescent="0.25">
      <c r="A3" s="80">
        <v>10000</v>
      </c>
      <c r="B3" s="81">
        <v>97</v>
      </c>
      <c r="C3" s="80">
        <f t="shared" ref="C3:C10" si="0">+A3*B3</f>
        <v>970000</v>
      </c>
      <c r="D3" s="77"/>
      <c r="E3" s="80">
        <v>10000</v>
      </c>
      <c r="F3" s="81">
        <v>99</v>
      </c>
      <c r="G3" s="80">
        <f t="shared" ref="G3:G10" si="1">+E3*F3</f>
        <v>990000</v>
      </c>
      <c r="H3" s="77"/>
      <c r="I3" s="80">
        <v>10000</v>
      </c>
      <c r="J3" s="81">
        <v>99</v>
      </c>
      <c r="K3" s="80">
        <v>990000</v>
      </c>
      <c r="M3" s="80">
        <v>10000</v>
      </c>
      <c r="N3" s="81">
        <v>99</v>
      </c>
      <c r="O3" s="80">
        <v>990000</v>
      </c>
      <c r="P3" s="77"/>
      <c r="Q3" s="80">
        <v>10000</v>
      </c>
      <c r="R3" s="81">
        <v>108</v>
      </c>
      <c r="S3" s="80">
        <v>1080000</v>
      </c>
      <c r="T3" s="77"/>
      <c r="U3" s="80">
        <v>10000</v>
      </c>
      <c r="V3" s="81">
        <v>107</v>
      </c>
      <c r="W3" s="80">
        <v>1070000</v>
      </c>
    </row>
    <row r="4" spans="1:23" hidden="1" x14ac:dyDescent="0.25">
      <c r="A4" s="80">
        <v>5000</v>
      </c>
      <c r="B4" s="81">
        <v>1</v>
      </c>
      <c r="C4" s="80">
        <f t="shared" si="0"/>
        <v>5000</v>
      </c>
      <c r="D4" s="77"/>
      <c r="E4" s="80">
        <v>5000</v>
      </c>
      <c r="F4" s="81">
        <v>1</v>
      </c>
      <c r="G4" s="80">
        <f t="shared" si="1"/>
        <v>5000</v>
      </c>
      <c r="H4" s="77"/>
      <c r="I4" s="80">
        <v>5000</v>
      </c>
      <c r="J4" s="81">
        <v>0</v>
      </c>
      <c r="K4" s="80">
        <v>0</v>
      </c>
      <c r="M4" s="80">
        <v>5000</v>
      </c>
      <c r="N4" s="81">
        <v>0</v>
      </c>
      <c r="O4" s="80">
        <v>0</v>
      </c>
      <c r="P4" s="77"/>
      <c r="Q4" s="80">
        <v>5000</v>
      </c>
      <c r="R4" s="81">
        <v>0</v>
      </c>
      <c r="S4" s="80">
        <v>0</v>
      </c>
      <c r="T4" s="77"/>
      <c r="U4" s="80">
        <v>5000</v>
      </c>
      <c r="V4" s="81">
        <v>0</v>
      </c>
      <c r="W4" s="80">
        <v>0</v>
      </c>
    </row>
    <row r="5" spans="1:23" hidden="1" x14ac:dyDescent="0.25">
      <c r="A5" s="80">
        <v>2000</v>
      </c>
      <c r="B5" s="81">
        <v>0</v>
      </c>
      <c r="C5" s="80">
        <f t="shared" si="0"/>
        <v>0</v>
      </c>
      <c r="D5" s="77"/>
      <c r="E5" s="80">
        <v>2000</v>
      </c>
      <c r="F5" s="81">
        <v>0</v>
      </c>
      <c r="G5" s="80">
        <f t="shared" si="1"/>
        <v>0</v>
      </c>
      <c r="H5" s="77"/>
      <c r="I5" s="80">
        <v>2000</v>
      </c>
      <c r="J5" s="81">
        <v>1</v>
      </c>
      <c r="K5" s="80">
        <v>2000</v>
      </c>
      <c r="M5" s="80">
        <v>2000</v>
      </c>
      <c r="N5" s="81">
        <v>2</v>
      </c>
      <c r="O5" s="80">
        <v>4000</v>
      </c>
      <c r="P5" s="77"/>
      <c r="Q5" s="80">
        <v>2000</v>
      </c>
      <c r="R5" s="81">
        <v>1</v>
      </c>
      <c r="S5" s="80">
        <v>2000</v>
      </c>
      <c r="T5" s="77"/>
      <c r="U5" s="80">
        <v>2000</v>
      </c>
      <c r="V5" s="81">
        <v>1</v>
      </c>
      <c r="W5" s="80">
        <v>2000</v>
      </c>
    </row>
    <row r="6" spans="1:23" hidden="1" x14ac:dyDescent="0.25">
      <c r="A6" s="80">
        <v>1000</v>
      </c>
      <c r="B6" s="81">
        <v>2</v>
      </c>
      <c r="C6" s="80">
        <f t="shared" si="0"/>
        <v>2000</v>
      </c>
      <c r="D6" s="77"/>
      <c r="E6" s="80">
        <v>1000</v>
      </c>
      <c r="F6" s="81">
        <v>3</v>
      </c>
      <c r="G6" s="80">
        <f t="shared" si="1"/>
        <v>3000</v>
      </c>
      <c r="H6" s="77"/>
      <c r="I6" s="80">
        <v>1000</v>
      </c>
      <c r="J6" s="81">
        <v>2</v>
      </c>
      <c r="K6" s="80">
        <v>2000</v>
      </c>
      <c r="M6" s="80">
        <v>1000</v>
      </c>
      <c r="N6" s="81">
        <v>0</v>
      </c>
      <c r="O6" s="80">
        <v>0</v>
      </c>
      <c r="P6" s="77"/>
      <c r="Q6" s="80">
        <v>1000</v>
      </c>
      <c r="R6" s="81">
        <v>5</v>
      </c>
      <c r="S6" s="80">
        <v>5000</v>
      </c>
      <c r="T6" s="77"/>
      <c r="U6" s="80">
        <v>1000</v>
      </c>
      <c r="V6" s="81">
        <v>6</v>
      </c>
      <c r="W6" s="80">
        <v>6000</v>
      </c>
    </row>
    <row r="7" spans="1:23" hidden="1" x14ac:dyDescent="0.25">
      <c r="A7" s="80">
        <v>500</v>
      </c>
      <c r="B7" s="81">
        <v>1</v>
      </c>
      <c r="C7" s="80">
        <f t="shared" si="0"/>
        <v>500</v>
      </c>
      <c r="D7" s="77"/>
      <c r="E7" s="80">
        <v>500</v>
      </c>
      <c r="F7" s="81">
        <v>0</v>
      </c>
      <c r="G7" s="80">
        <f t="shared" si="1"/>
        <v>0</v>
      </c>
      <c r="H7" s="77"/>
      <c r="I7" s="80">
        <v>500</v>
      </c>
      <c r="J7" s="81">
        <v>0</v>
      </c>
      <c r="K7" s="80">
        <v>0</v>
      </c>
      <c r="M7" s="80">
        <v>500</v>
      </c>
      <c r="N7" s="81">
        <v>0</v>
      </c>
      <c r="O7" s="80">
        <v>0</v>
      </c>
      <c r="P7" s="77"/>
      <c r="Q7" s="80">
        <v>500</v>
      </c>
      <c r="R7" s="81">
        <v>0</v>
      </c>
      <c r="S7" s="80">
        <v>0</v>
      </c>
      <c r="T7" s="77"/>
      <c r="U7" s="80">
        <v>500</v>
      </c>
      <c r="V7" s="81">
        <v>0</v>
      </c>
      <c r="W7" s="80">
        <v>0</v>
      </c>
    </row>
    <row r="8" spans="1:23" hidden="1" x14ac:dyDescent="0.25">
      <c r="A8" s="80">
        <v>100</v>
      </c>
      <c r="B8" s="81">
        <v>31</v>
      </c>
      <c r="C8" s="80">
        <f t="shared" si="0"/>
        <v>3100</v>
      </c>
      <c r="D8" s="77"/>
      <c r="E8" s="80">
        <v>100</v>
      </c>
      <c r="F8" s="81">
        <v>18</v>
      </c>
      <c r="G8" s="80">
        <f t="shared" si="1"/>
        <v>1800</v>
      </c>
      <c r="H8" s="77"/>
      <c r="I8" s="80">
        <v>100</v>
      </c>
      <c r="J8" s="81">
        <v>19</v>
      </c>
      <c r="K8" s="80">
        <v>1900</v>
      </c>
      <c r="M8" s="80">
        <v>100</v>
      </c>
      <c r="N8" s="81">
        <v>5</v>
      </c>
      <c r="O8" s="80">
        <v>500</v>
      </c>
      <c r="P8" s="77"/>
      <c r="Q8" s="80">
        <v>100</v>
      </c>
      <c r="R8" s="81">
        <v>3</v>
      </c>
      <c r="S8" s="80">
        <v>300</v>
      </c>
      <c r="T8" s="77"/>
      <c r="U8" s="80">
        <v>100</v>
      </c>
      <c r="V8" s="81">
        <v>2</v>
      </c>
      <c r="W8" s="80">
        <v>200</v>
      </c>
    </row>
    <row r="9" spans="1:23" hidden="1" x14ac:dyDescent="0.25">
      <c r="A9" s="80">
        <v>50</v>
      </c>
      <c r="B9" s="81">
        <v>24</v>
      </c>
      <c r="C9" s="80">
        <f t="shared" si="0"/>
        <v>1200</v>
      </c>
      <c r="D9" s="77"/>
      <c r="E9" s="80">
        <v>50</v>
      </c>
      <c r="F9" s="81">
        <v>25</v>
      </c>
      <c r="G9" s="80">
        <f t="shared" si="1"/>
        <v>1250</v>
      </c>
      <c r="H9" s="77"/>
      <c r="I9" s="80">
        <v>50</v>
      </c>
      <c r="J9" s="81">
        <v>23</v>
      </c>
      <c r="K9" s="80">
        <v>1150</v>
      </c>
      <c r="M9" s="80">
        <v>50</v>
      </c>
      <c r="N9" s="81">
        <v>2</v>
      </c>
      <c r="O9" s="80">
        <v>100</v>
      </c>
      <c r="P9" s="77"/>
      <c r="Q9" s="80">
        <v>50</v>
      </c>
      <c r="R9" s="81">
        <v>0</v>
      </c>
      <c r="S9" s="80">
        <v>0</v>
      </c>
      <c r="T9" s="77"/>
      <c r="U9" s="80">
        <v>50</v>
      </c>
      <c r="V9" s="81">
        <v>0</v>
      </c>
      <c r="W9" s="80">
        <v>0</v>
      </c>
    </row>
    <row r="10" spans="1:23" hidden="1" x14ac:dyDescent="0.25">
      <c r="A10" s="80">
        <v>10</v>
      </c>
      <c r="B10" s="81">
        <v>112</v>
      </c>
      <c r="C10" s="80">
        <f t="shared" si="0"/>
        <v>1120</v>
      </c>
      <c r="D10" s="77"/>
      <c r="E10" s="80">
        <v>10</v>
      </c>
      <c r="F10" s="81">
        <v>115</v>
      </c>
      <c r="G10" s="80">
        <f t="shared" si="1"/>
        <v>1150</v>
      </c>
      <c r="H10" s="77"/>
      <c r="I10" s="80">
        <v>10</v>
      </c>
      <c r="J10" s="81">
        <v>114</v>
      </c>
      <c r="K10" s="80">
        <v>1140</v>
      </c>
      <c r="M10" s="80">
        <v>10</v>
      </c>
      <c r="N10" s="81">
        <v>6</v>
      </c>
      <c r="O10" s="80">
        <v>60</v>
      </c>
      <c r="P10" s="77"/>
      <c r="Q10" s="80">
        <v>10</v>
      </c>
      <c r="R10" s="81">
        <v>5</v>
      </c>
      <c r="S10" s="80">
        <v>50</v>
      </c>
      <c r="T10" s="77"/>
      <c r="U10" s="80">
        <v>10</v>
      </c>
      <c r="V10" s="81">
        <v>5</v>
      </c>
      <c r="W10" s="80">
        <v>50</v>
      </c>
    </row>
    <row r="11" spans="1:23" hidden="1" x14ac:dyDescent="0.25">
      <c r="A11" s="410" t="s">
        <v>39</v>
      </c>
      <c r="B11" s="411"/>
      <c r="C11" s="82">
        <f>SUM(C2:C10)</f>
        <v>2502920</v>
      </c>
      <c r="D11" s="77"/>
      <c r="E11" s="410" t="s">
        <v>39</v>
      </c>
      <c r="F11" s="411"/>
      <c r="G11" s="82">
        <f>SUM(G2:G10)</f>
        <v>2762200</v>
      </c>
      <c r="H11" s="77"/>
      <c r="I11" s="410" t="s">
        <v>39</v>
      </c>
      <c r="J11" s="411"/>
      <c r="K11" s="82">
        <f>SUM(K2:K10)</f>
        <v>2798190</v>
      </c>
      <c r="M11" s="410" t="s">
        <v>39</v>
      </c>
      <c r="N11" s="411"/>
      <c r="O11" s="82">
        <v>3074660</v>
      </c>
      <c r="P11" s="77"/>
      <c r="Q11" s="410" t="s">
        <v>39</v>
      </c>
      <c r="R11" s="411"/>
      <c r="S11" s="82">
        <v>1587350</v>
      </c>
      <c r="T11" s="77"/>
      <c r="U11" s="410" t="s">
        <v>39</v>
      </c>
      <c r="V11" s="411"/>
      <c r="W11" s="82">
        <v>1758250</v>
      </c>
    </row>
    <row r="12" spans="1:23" ht="15.75" hidden="1" thickBot="1" x14ac:dyDescent="0.3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</row>
    <row r="13" spans="1:23" ht="15.75" hidden="1" thickBot="1" x14ac:dyDescent="0.3">
      <c r="A13" s="407">
        <v>44574</v>
      </c>
      <c r="B13" s="408"/>
      <c r="C13" s="409"/>
      <c r="D13" s="77"/>
      <c r="E13" s="407">
        <v>44629</v>
      </c>
      <c r="F13" s="408"/>
      <c r="G13" s="409"/>
      <c r="H13" s="77"/>
      <c r="I13" s="407">
        <v>44658</v>
      </c>
      <c r="J13" s="408"/>
      <c r="K13" s="409"/>
      <c r="M13" s="407">
        <v>44690</v>
      </c>
      <c r="N13" s="408"/>
      <c r="O13" s="409"/>
      <c r="P13" s="77"/>
      <c r="Q13" s="407">
        <v>44704</v>
      </c>
      <c r="R13" s="408"/>
      <c r="S13" s="409"/>
      <c r="T13" s="77"/>
      <c r="U13" s="407">
        <v>44719</v>
      </c>
      <c r="V13" s="408"/>
      <c r="W13" s="409"/>
    </row>
    <row r="14" spans="1:23" hidden="1" x14ac:dyDescent="0.25">
      <c r="A14" s="78">
        <v>20000</v>
      </c>
      <c r="B14" s="79">
        <v>34</v>
      </c>
      <c r="C14" s="78">
        <v>680000</v>
      </c>
      <c r="D14" s="77"/>
      <c r="E14" s="78">
        <v>20000</v>
      </c>
      <c r="F14" s="79">
        <v>48</v>
      </c>
      <c r="G14" s="78">
        <v>960000</v>
      </c>
      <c r="H14" s="77"/>
      <c r="I14" s="78">
        <v>20000</v>
      </c>
      <c r="J14" s="79">
        <v>55</v>
      </c>
      <c r="K14" s="78">
        <v>1100000</v>
      </c>
      <c r="M14" s="78">
        <v>20000</v>
      </c>
      <c r="N14" s="79">
        <v>62</v>
      </c>
      <c r="O14" s="78">
        <v>1240000</v>
      </c>
      <c r="P14" s="77"/>
      <c r="Q14" s="78">
        <v>20000</v>
      </c>
      <c r="R14" s="79">
        <v>62</v>
      </c>
      <c r="S14" s="78">
        <v>1240000</v>
      </c>
      <c r="T14" s="77"/>
      <c r="U14" s="78">
        <v>20000</v>
      </c>
      <c r="V14" s="79">
        <v>63</v>
      </c>
      <c r="W14" s="78">
        <v>1260000</v>
      </c>
    </row>
    <row r="15" spans="1:23" hidden="1" x14ac:dyDescent="0.25">
      <c r="A15" s="80">
        <v>10000</v>
      </c>
      <c r="B15" s="81">
        <v>113</v>
      </c>
      <c r="C15" s="80">
        <v>1130000</v>
      </c>
      <c r="D15" s="77"/>
      <c r="E15" s="80">
        <v>10000</v>
      </c>
      <c r="F15" s="81">
        <v>114</v>
      </c>
      <c r="G15" s="80">
        <v>1140000</v>
      </c>
      <c r="H15" s="77"/>
      <c r="I15" s="80">
        <v>10000</v>
      </c>
      <c r="J15" s="81">
        <v>128</v>
      </c>
      <c r="K15" s="80">
        <v>1280000</v>
      </c>
      <c r="M15" s="80">
        <v>10000</v>
      </c>
      <c r="N15" s="81">
        <v>117</v>
      </c>
      <c r="O15" s="80">
        <v>1170000</v>
      </c>
      <c r="P15" s="77"/>
      <c r="Q15" s="80">
        <v>10000</v>
      </c>
      <c r="R15" s="81">
        <v>116</v>
      </c>
      <c r="S15" s="80">
        <v>1160000</v>
      </c>
      <c r="T15" s="77"/>
      <c r="U15" s="80">
        <v>10000</v>
      </c>
      <c r="V15" s="81">
        <v>112</v>
      </c>
      <c r="W15" s="80">
        <v>1120000</v>
      </c>
    </row>
    <row r="16" spans="1:23" hidden="1" x14ac:dyDescent="0.25">
      <c r="A16" s="80">
        <v>5000</v>
      </c>
      <c r="B16" s="81">
        <v>1</v>
      </c>
      <c r="C16" s="80">
        <v>5000</v>
      </c>
      <c r="D16" s="77"/>
      <c r="E16" s="80">
        <v>5000</v>
      </c>
      <c r="F16" s="81">
        <v>0</v>
      </c>
      <c r="G16" s="80">
        <v>0</v>
      </c>
      <c r="H16" s="77"/>
      <c r="I16" s="80">
        <v>5000</v>
      </c>
      <c r="J16" s="81">
        <v>1</v>
      </c>
      <c r="K16" s="80">
        <v>5000</v>
      </c>
      <c r="M16" s="80">
        <v>5000</v>
      </c>
      <c r="N16" s="81">
        <v>0</v>
      </c>
      <c r="O16" s="80">
        <v>0</v>
      </c>
      <c r="P16" s="77"/>
      <c r="Q16" s="80">
        <v>5000</v>
      </c>
      <c r="R16" s="81">
        <v>0</v>
      </c>
      <c r="S16" s="80">
        <v>0</v>
      </c>
      <c r="T16" s="77"/>
      <c r="U16" s="80">
        <v>5000</v>
      </c>
      <c r="V16" s="81">
        <v>1</v>
      </c>
      <c r="W16" s="80">
        <v>5000</v>
      </c>
    </row>
    <row r="17" spans="1:23" hidden="1" x14ac:dyDescent="0.25">
      <c r="A17" s="80">
        <v>2000</v>
      </c>
      <c r="B17" s="81">
        <v>2</v>
      </c>
      <c r="C17" s="80">
        <v>4000</v>
      </c>
      <c r="D17" s="77"/>
      <c r="E17" s="80">
        <v>2000</v>
      </c>
      <c r="F17" s="81">
        <v>3</v>
      </c>
      <c r="G17" s="80">
        <v>6000</v>
      </c>
      <c r="H17" s="77"/>
      <c r="I17" s="80">
        <v>2000</v>
      </c>
      <c r="J17" s="81">
        <v>1</v>
      </c>
      <c r="K17" s="80">
        <v>2000</v>
      </c>
      <c r="M17" s="80">
        <v>2000</v>
      </c>
      <c r="N17" s="81">
        <v>0</v>
      </c>
      <c r="O17" s="80">
        <v>0</v>
      </c>
      <c r="P17" s="77"/>
      <c r="Q17" s="80">
        <v>2000</v>
      </c>
      <c r="R17" s="81">
        <v>0</v>
      </c>
      <c r="S17" s="80">
        <v>0</v>
      </c>
      <c r="T17" s="77"/>
      <c r="U17" s="80">
        <v>2000</v>
      </c>
      <c r="V17" s="81">
        <v>1</v>
      </c>
      <c r="W17" s="80">
        <v>2000</v>
      </c>
    </row>
    <row r="18" spans="1:23" hidden="1" x14ac:dyDescent="0.25">
      <c r="A18" s="80">
        <v>1000</v>
      </c>
      <c r="B18" s="81">
        <v>6</v>
      </c>
      <c r="C18" s="80">
        <v>6000</v>
      </c>
      <c r="D18" s="77"/>
      <c r="E18" s="80">
        <v>1000</v>
      </c>
      <c r="F18" s="81">
        <v>6</v>
      </c>
      <c r="G18" s="80">
        <v>6000</v>
      </c>
      <c r="H18" s="77"/>
      <c r="I18" s="80">
        <v>1000</v>
      </c>
      <c r="J18" s="81">
        <v>3</v>
      </c>
      <c r="K18" s="80">
        <v>3000</v>
      </c>
      <c r="M18" s="80">
        <v>1000</v>
      </c>
      <c r="N18" s="81">
        <v>2</v>
      </c>
      <c r="O18" s="80">
        <v>2000</v>
      </c>
      <c r="P18" s="77"/>
      <c r="Q18" s="80">
        <v>1000</v>
      </c>
      <c r="R18" s="81">
        <v>5</v>
      </c>
      <c r="S18" s="80">
        <v>5000</v>
      </c>
      <c r="T18" s="77"/>
      <c r="U18" s="80">
        <v>1000</v>
      </c>
      <c r="V18" s="81">
        <v>21</v>
      </c>
      <c r="W18" s="80">
        <v>21000</v>
      </c>
    </row>
    <row r="19" spans="1:23" hidden="1" x14ac:dyDescent="0.25">
      <c r="A19" s="80">
        <v>500</v>
      </c>
      <c r="B19" s="81">
        <v>0</v>
      </c>
      <c r="C19" s="80">
        <v>0</v>
      </c>
      <c r="D19" s="77"/>
      <c r="E19" s="80">
        <v>500</v>
      </c>
      <c r="F19" s="81">
        <v>0</v>
      </c>
      <c r="G19" s="80">
        <v>0</v>
      </c>
      <c r="H19" s="77"/>
      <c r="I19" s="80">
        <v>500</v>
      </c>
      <c r="J19" s="81">
        <v>2</v>
      </c>
      <c r="K19" s="80">
        <v>1000</v>
      </c>
      <c r="M19" s="80">
        <v>500</v>
      </c>
      <c r="N19" s="81">
        <v>1</v>
      </c>
      <c r="O19" s="80">
        <v>500</v>
      </c>
      <c r="P19" s="77"/>
      <c r="Q19" s="80">
        <v>500</v>
      </c>
      <c r="R19" s="81">
        <v>1</v>
      </c>
      <c r="S19" s="80">
        <v>500</v>
      </c>
      <c r="T19" s="77"/>
      <c r="U19" s="80">
        <v>500</v>
      </c>
      <c r="V19" s="81">
        <v>3</v>
      </c>
      <c r="W19" s="80">
        <v>1500</v>
      </c>
    </row>
    <row r="20" spans="1:23" hidden="1" x14ac:dyDescent="0.25">
      <c r="A20" s="80">
        <v>100</v>
      </c>
      <c r="B20" s="81">
        <v>2</v>
      </c>
      <c r="C20" s="80">
        <v>200</v>
      </c>
      <c r="D20" s="77"/>
      <c r="E20" s="80">
        <v>100</v>
      </c>
      <c r="F20" s="81">
        <v>2</v>
      </c>
      <c r="G20" s="80">
        <v>200</v>
      </c>
      <c r="H20" s="77"/>
      <c r="I20" s="80">
        <v>100</v>
      </c>
      <c r="J20" s="81">
        <v>0</v>
      </c>
      <c r="K20" s="80">
        <v>0</v>
      </c>
      <c r="M20" s="80">
        <v>100</v>
      </c>
      <c r="N20" s="81">
        <v>6</v>
      </c>
      <c r="O20" s="80">
        <v>600</v>
      </c>
      <c r="P20" s="77"/>
      <c r="Q20" s="80">
        <v>100</v>
      </c>
      <c r="R20" s="81">
        <v>3</v>
      </c>
      <c r="S20" s="80">
        <v>300</v>
      </c>
      <c r="T20" s="77"/>
      <c r="U20" s="80">
        <v>100</v>
      </c>
      <c r="V20" s="81">
        <v>8</v>
      </c>
      <c r="W20" s="80">
        <v>800</v>
      </c>
    </row>
    <row r="21" spans="1:23" ht="15.75" hidden="1" thickBot="1" x14ac:dyDescent="0.3">
      <c r="A21" s="80">
        <v>50</v>
      </c>
      <c r="B21" s="81">
        <v>0</v>
      </c>
      <c r="C21" s="80">
        <v>0</v>
      </c>
      <c r="D21" s="77"/>
      <c r="E21" s="80">
        <v>50</v>
      </c>
      <c r="F21" s="81">
        <v>1</v>
      </c>
      <c r="G21" s="80">
        <v>50</v>
      </c>
      <c r="H21" s="77"/>
      <c r="I21" s="80">
        <v>50</v>
      </c>
      <c r="J21" s="81">
        <v>4</v>
      </c>
      <c r="K21" s="80">
        <v>200</v>
      </c>
      <c r="M21" s="80">
        <v>50</v>
      </c>
      <c r="N21" s="81">
        <v>2</v>
      </c>
      <c r="O21" s="80">
        <v>100</v>
      </c>
      <c r="P21" s="77"/>
      <c r="Q21" s="80">
        <v>50</v>
      </c>
      <c r="R21" s="81">
        <v>2</v>
      </c>
      <c r="S21" s="80">
        <v>100</v>
      </c>
      <c r="T21" s="77"/>
      <c r="U21" s="80">
        <v>50</v>
      </c>
      <c r="V21" s="81">
        <v>1</v>
      </c>
      <c r="W21" s="80">
        <v>50</v>
      </c>
    </row>
    <row r="22" spans="1:23" ht="15.75" hidden="1" thickBot="1" x14ac:dyDescent="0.3">
      <c r="A22" s="80">
        <v>10</v>
      </c>
      <c r="B22" s="81">
        <v>5</v>
      </c>
      <c r="C22" s="80">
        <v>50</v>
      </c>
      <c r="D22" s="77"/>
      <c r="E22" s="80">
        <v>10</v>
      </c>
      <c r="F22" s="81">
        <v>16</v>
      </c>
      <c r="G22" s="80">
        <v>160</v>
      </c>
      <c r="H22" s="77"/>
      <c r="I22" s="80">
        <v>10</v>
      </c>
      <c r="J22" s="81">
        <v>22</v>
      </c>
      <c r="K22" s="80">
        <v>220</v>
      </c>
      <c r="M22" s="80">
        <v>10</v>
      </c>
      <c r="N22" s="81">
        <v>21</v>
      </c>
      <c r="O22" s="80">
        <v>210</v>
      </c>
      <c r="P22" s="77"/>
      <c r="Q22" s="80">
        <v>10</v>
      </c>
      <c r="R22" s="81">
        <v>21</v>
      </c>
      <c r="S22" s="80">
        <v>210</v>
      </c>
      <c r="T22" s="77"/>
      <c r="U22" s="80">
        <v>10</v>
      </c>
      <c r="V22" s="81">
        <v>29</v>
      </c>
      <c r="W22" s="80">
        <v>290</v>
      </c>
    </row>
    <row r="23" spans="1:23" ht="15.75" hidden="1" thickBot="1" x14ac:dyDescent="0.3">
      <c r="A23" s="410" t="s">
        <v>39</v>
      </c>
      <c r="B23" s="411"/>
      <c r="C23" s="82">
        <v>1825260</v>
      </c>
      <c r="D23" s="77"/>
      <c r="E23" s="410" t="s">
        <v>39</v>
      </c>
      <c r="F23" s="411"/>
      <c r="G23" s="82">
        <v>2112410</v>
      </c>
      <c r="H23" s="77"/>
      <c r="I23" s="410" t="s">
        <v>39</v>
      </c>
      <c r="J23" s="411"/>
      <c r="K23" s="82">
        <v>2391420</v>
      </c>
      <c r="M23" s="410" t="s">
        <v>39</v>
      </c>
      <c r="N23" s="411"/>
      <c r="O23" s="82">
        <v>2413410</v>
      </c>
      <c r="P23" s="77"/>
      <c r="Q23" s="410" t="s">
        <v>39</v>
      </c>
      <c r="R23" s="411"/>
      <c r="S23" s="82">
        <v>2406110</v>
      </c>
      <c r="T23" s="77"/>
      <c r="U23" s="410" t="s">
        <v>39</v>
      </c>
      <c r="V23" s="411"/>
      <c r="W23" s="82">
        <v>2410640</v>
      </c>
    </row>
    <row r="24" spans="1:23" ht="15.75" hidden="1" thickBot="1" x14ac:dyDescent="0.3">
      <c r="A24" s="77"/>
      <c r="B24" s="77"/>
      <c r="C24" s="77"/>
      <c r="D24" s="77"/>
      <c r="E24" s="77"/>
      <c r="F24" s="77"/>
      <c r="G24" s="77"/>
      <c r="H24" s="77"/>
      <c r="I24" s="77"/>
      <c r="J24" s="77"/>
      <c r="K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</row>
    <row r="25" spans="1:23" ht="15.75" hidden="1" thickBot="1" x14ac:dyDescent="0.3">
      <c r="A25" s="407">
        <v>44777</v>
      </c>
      <c r="B25" s="408"/>
      <c r="C25" s="409"/>
      <c r="D25" s="77"/>
      <c r="E25" s="407">
        <v>44778</v>
      </c>
      <c r="F25" s="408"/>
      <c r="G25" s="409"/>
      <c r="H25" s="77"/>
      <c r="I25" s="407">
        <v>44812</v>
      </c>
      <c r="J25" s="408"/>
      <c r="K25" s="409"/>
      <c r="M25" s="407">
        <v>44845</v>
      </c>
      <c r="N25" s="408"/>
      <c r="O25" s="409"/>
      <c r="P25" s="77"/>
      <c r="Q25" s="407">
        <v>44884</v>
      </c>
      <c r="R25" s="408"/>
      <c r="S25" s="409"/>
      <c r="T25" s="77"/>
      <c r="U25" s="407">
        <v>44908</v>
      </c>
      <c r="V25" s="408"/>
      <c r="W25" s="409"/>
    </row>
    <row r="26" spans="1:23" ht="15.75" hidden="1" thickBot="1" x14ac:dyDescent="0.3">
      <c r="A26" s="78">
        <v>20000</v>
      </c>
      <c r="B26" s="79">
        <v>65</v>
      </c>
      <c r="C26" s="78">
        <v>1300000</v>
      </c>
      <c r="D26" s="77"/>
      <c r="E26" s="78">
        <v>20000</v>
      </c>
      <c r="F26" s="79">
        <v>67</v>
      </c>
      <c r="G26" s="78">
        <v>1340000</v>
      </c>
      <c r="H26" s="77"/>
      <c r="I26" s="78">
        <v>20000</v>
      </c>
      <c r="J26" s="79">
        <v>74</v>
      </c>
      <c r="K26" s="78">
        <v>1480000</v>
      </c>
      <c r="M26" s="78">
        <v>20000</v>
      </c>
      <c r="N26" s="79">
        <v>79</v>
      </c>
      <c r="O26" s="78">
        <v>1580000</v>
      </c>
      <c r="P26" s="77"/>
      <c r="Q26" s="78">
        <v>20000</v>
      </c>
      <c r="R26" s="79">
        <v>84</v>
      </c>
      <c r="S26" s="78">
        <v>1680000</v>
      </c>
      <c r="T26" s="77"/>
      <c r="U26" s="78">
        <v>20000</v>
      </c>
      <c r="V26" s="79">
        <v>22</v>
      </c>
      <c r="W26" s="78">
        <v>440000</v>
      </c>
    </row>
    <row r="27" spans="1:23" ht="15.75" hidden="1" thickBot="1" x14ac:dyDescent="0.3">
      <c r="A27" s="80">
        <v>10000</v>
      </c>
      <c r="B27" s="81">
        <v>101</v>
      </c>
      <c r="C27" s="80">
        <v>1010000</v>
      </c>
      <c r="D27" s="77"/>
      <c r="E27" s="80">
        <v>10000</v>
      </c>
      <c r="F27" s="81">
        <v>105</v>
      </c>
      <c r="G27" s="80">
        <v>1050000</v>
      </c>
      <c r="H27" s="77"/>
      <c r="I27" s="80">
        <v>10000</v>
      </c>
      <c r="J27" s="81">
        <v>102</v>
      </c>
      <c r="K27" s="80">
        <v>1020000</v>
      </c>
      <c r="M27" s="80">
        <v>10000</v>
      </c>
      <c r="N27" s="81">
        <v>102</v>
      </c>
      <c r="O27" s="80">
        <v>1020000</v>
      </c>
      <c r="P27" s="77"/>
      <c r="Q27" s="80">
        <v>10000</v>
      </c>
      <c r="R27" s="81">
        <v>101</v>
      </c>
      <c r="S27" s="80">
        <v>1010000</v>
      </c>
      <c r="T27" s="77"/>
      <c r="U27" s="80">
        <v>10000</v>
      </c>
      <c r="V27" s="81">
        <v>101</v>
      </c>
      <c r="W27" s="80">
        <v>1010000</v>
      </c>
    </row>
    <row r="28" spans="1:23" ht="15.75" hidden="1" thickBot="1" x14ac:dyDescent="0.3">
      <c r="A28" s="80">
        <v>5000</v>
      </c>
      <c r="B28" s="81">
        <v>1</v>
      </c>
      <c r="C28" s="80">
        <v>5000</v>
      </c>
      <c r="D28" s="77"/>
      <c r="E28" s="80">
        <v>5000</v>
      </c>
      <c r="F28" s="81">
        <v>1</v>
      </c>
      <c r="G28" s="80">
        <v>5000</v>
      </c>
      <c r="H28" s="77"/>
      <c r="I28" s="80">
        <v>5000</v>
      </c>
      <c r="J28" s="81">
        <v>0</v>
      </c>
      <c r="K28" s="80">
        <v>0</v>
      </c>
      <c r="M28" s="80">
        <v>5000</v>
      </c>
      <c r="N28" s="81">
        <v>1</v>
      </c>
      <c r="O28" s="80">
        <v>5000</v>
      </c>
      <c r="P28" s="77"/>
      <c r="Q28" s="80">
        <v>5000</v>
      </c>
      <c r="R28" s="81">
        <v>1</v>
      </c>
      <c r="S28" s="80">
        <v>5000</v>
      </c>
      <c r="T28" s="77"/>
      <c r="U28" s="80">
        <v>5000</v>
      </c>
      <c r="V28" s="81">
        <v>0</v>
      </c>
      <c r="W28" s="80">
        <v>0</v>
      </c>
    </row>
    <row r="29" spans="1:23" ht="15.75" hidden="1" thickBot="1" x14ac:dyDescent="0.3">
      <c r="A29" s="80">
        <v>2000</v>
      </c>
      <c r="B29" s="81">
        <v>0</v>
      </c>
      <c r="C29" s="80">
        <v>0</v>
      </c>
      <c r="D29" s="77"/>
      <c r="E29" s="80">
        <v>2000</v>
      </c>
      <c r="F29" s="81">
        <v>0</v>
      </c>
      <c r="G29" s="80">
        <v>0</v>
      </c>
      <c r="H29" s="77"/>
      <c r="I29" s="80">
        <v>2000</v>
      </c>
      <c r="J29" s="81">
        <v>0</v>
      </c>
      <c r="K29" s="80">
        <v>0</v>
      </c>
      <c r="M29" s="80">
        <v>2000</v>
      </c>
      <c r="N29" s="81">
        <v>0</v>
      </c>
      <c r="O29" s="80">
        <v>0</v>
      </c>
      <c r="P29" s="77"/>
      <c r="Q29" s="80">
        <v>2000</v>
      </c>
      <c r="R29" s="81">
        <v>0</v>
      </c>
      <c r="S29" s="80">
        <v>0</v>
      </c>
      <c r="T29" s="77"/>
      <c r="U29" s="80">
        <v>2000</v>
      </c>
      <c r="V29" s="81">
        <v>0</v>
      </c>
      <c r="W29" s="80">
        <v>0</v>
      </c>
    </row>
    <row r="30" spans="1:23" ht="15.75" hidden="1" thickBot="1" x14ac:dyDescent="0.3">
      <c r="A30" s="80">
        <v>1000</v>
      </c>
      <c r="B30" s="81">
        <v>4</v>
      </c>
      <c r="C30" s="80">
        <v>4000</v>
      </c>
      <c r="D30" s="77"/>
      <c r="E30" s="80">
        <v>1000</v>
      </c>
      <c r="F30" s="81">
        <v>0</v>
      </c>
      <c r="G30" s="80">
        <v>0</v>
      </c>
      <c r="H30" s="77"/>
      <c r="I30" s="80">
        <v>1000</v>
      </c>
      <c r="J30" s="81">
        <v>1</v>
      </c>
      <c r="K30" s="80">
        <v>1000</v>
      </c>
      <c r="M30" s="80">
        <v>1000</v>
      </c>
      <c r="N30" s="81">
        <v>2</v>
      </c>
      <c r="O30" s="80">
        <v>2000</v>
      </c>
      <c r="P30" s="77"/>
      <c r="Q30" s="80">
        <v>1000</v>
      </c>
      <c r="R30" s="81">
        <v>6</v>
      </c>
      <c r="S30" s="80">
        <v>6000</v>
      </c>
      <c r="T30" s="77"/>
      <c r="U30" s="80">
        <v>1000</v>
      </c>
      <c r="V30" s="81">
        <v>1</v>
      </c>
      <c r="W30" s="80">
        <v>1000</v>
      </c>
    </row>
    <row r="31" spans="1:23" ht="15.75" hidden="1" thickBot="1" x14ac:dyDescent="0.3">
      <c r="A31" s="80">
        <v>500</v>
      </c>
      <c r="B31" s="81">
        <v>3</v>
      </c>
      <c r="C31" s="80">
        <v>1500</v>
      </c>
      <c r="D31" s="77"/>
      <c r="E31" s="80">
        <v>500</v>
      </c>
      <c r="F31" s="81">
        <v>1</v>
      </c>
      <c r="G31" s="80">
        <v>500</v>
      </c>
      <c r="H31" s="77"/>
      <c r="I31" s="80">
        <v>500</v>
      </c>
      <c r="J31" s="81">
        <v>1</v>
      </c>
      <c r="K31" s="80">
        <v>500</v>
      </c>
      <c r="M31" s="80">
        <v>500</v>
      </c>
      <c r="N31" s="81">
        <v>1</v>
      </c>
      <c r="O31" s="80">
        <v>500</v>
      </c>
      <c r="P31" s="77"/>
      <c r="Q31" s="80">
        <v>500</v>
      </c>
      <c r="R31" s="81">
        <v>2</v>
      </c>
      <c r="S31" s="80">
        <v>1000</v>
      </c>
      <c r="T31" s="77"/>
      <c r="U31" s="80">
        <v>500</v>
      </c>
      <c r="V31" s="81">
        <v>2</v>
      </c>
      <c r="W31" s="80">
        <v>1000</v>
      </c>
    </row>
    <row r="32" spans="1:23" ht="15.75" hidden="1" thickBot="1" x14ac:dyDescent="0.3">
      <c r="A32" s="80">
        <v>100</v>
      </c>
      <c r="B32" s="81">
        <v>9</v>
      </c>
      <c r="C32" s="80">
        <v>900</v>
      </c>
      <c r="D32" s="77"/>
      <c r="E32" s="80">
        <v>100</v>
      </c>
      <c r="F32" s="81">
        <v>9</v>
      </c>
      <c r="G32" s="80">
        <v>900</v>
      </c>
      <c r="H32" s="77"/>
      <c r="I32" s="80">
        <v>100</v>
      </c>
      <c r="J32" s="81">
        <v>10</v>
      </c>
      <c r="K32" s="80">
        <v>1000</v>
      </c>
      <c r="M32" s="80">
        <v>100</v>
      </c>
      <c r="N32" s="81">
        <v>11</v>
      </c>
      <c r="O32" s="80">
        <v>1100</v>
      </c>
      <c r="P32" s="77"/>
      <c r="Q32" s="80">
        <v>100</v>
      </c>
      <c r="R32" s="81">
        <v>7</v>
      </c>
      <c r="S32" s="80">
        <v>700</v>
      </c>
      <c r="T32" s="77"/>
      <c r="U32" s="80">
        <v>100</v>
      </c>
      <c r="V32" s="81">
        <v>3</v>
      </c>
      <c r="W32" s="80">
        <v>300</v>
      </c>
    </row>
    <row r="33" spans="1:23" ht="15.75" hidden="1" thickBot="1" x14ac:dyDescent="0.3">
      <c r="A33" s="80">
        <v>50</v>
      </c>
      <c r="B33" s="81">
        <v>2</v>
      </c>
      <c r="C33" s="80">
        <v>100</v>
      </c>
      <c r="D33" s="77"/>
      <c r="E33" s="80">
        <v>50</v>
      </c>
      <c r="F33" s="81">
        <v>2</v>
      </c>
      <c r="G33" s="80">
        <v>100</v>
      </c>
      <c r="H33" s="77"/>
      <c r="I33" s="80">
        <v>50</v>
      </c>
      <c r="J33" s="81">
        <v>3</v>
      </c>
      <c r="K33" s="80">
        <v>150</v>
      </c>
      <c r="M33" s="80">
        <v>50</v>
      </c>
      <c r="N33" s="81">
        <v>3</v>
      </c>
      <c r="O33" s="80">
        <v>150</v>
      </c>
      <c r="P33" s="77"/>
      <c r="Q33" s="80">
        <v>50</v>
      </c>
      <c r="R33" s="81">
        <v>5</v>
      </c>
      <c r="S33" s="80">
        <v>250</v>
      </c>
      <c r="T33" s="77"/>
      <c r="U33" s="80">
        <v>50</v>
      </c>
      <c r="V33" s="81">
        <v>4</v>
      </c>
      <c r="W33" s="80">
        <v>200</v>
      </c>
    </row>
    <row r="34" spans="1:23" ht="15.75" hidden="1" thickBot="1" x14ac:dyDescent="0.3">
      <c r="A34" s="80">
        <v>10</v>
      </c>
      <c r="B34" s="81">
        <v>32</v>
      </c>
      <c r="C34" s="80">
        <v>320</v>
      </c>
      <c r="D34" s="77"/>
      <c r="E34" s="80">
        <v>10</v>
      </c>
      <c r="F34" s="81">
        <v>8</v>
      </c>
      <c r="G34" s="80">
        <v>80</v>
      </c>
      <c r="H34" s="77"/>
      <c r="I34" s="80">
        <v>10</v>
      </c>
      <c r="J34" s="81">
        <v>16</v>
      </c>
      <c r="K34" s="80">
        <v>160</v>
      </c>
      <c r="M34" s="80">
        <v>10</v>
      </c>
      <c r="N34" s="81">
        <v>21</v>
      </c>
      <c r="O34" s="80">
        <v>210</v>
      </c>
      <c r="P34" s="77"/>
      <c r="Q34" s="80">
        <v>10</v>
      </c>
      <c r="R34" s="81">
        <v>24</v>
      </c>
      <c r="S34" s="80">
        <v>240</v>
      </c>
      <c r="T34" s="77"/>
      <c r="U34" s="80">
        <v>10</v>
      </c>
      <c r="V34" s="81">
        <v>25</v>
      </c>
      <c r="W34" s="80">
        <v>250</v>
      </c>
    </row>
    <row r="35" spans="1:23" ht="15.75" hidden="1" thickBot="1" x14ac:dyDescent="0.3">
      <c r="A35" s="410" t="s">
        <v>39</v>
      </c>
      <c r="B35" s="411"/>
      <c r="C35" s="82">
        <v>2321820</v>
      </c>
      <c r="D35" s="77"/>
      <c r="E35" s="410" t="s">
        <v>39</v>
      </c>
      <c r="F35" s="411"/>
      <c r="G35" s="82">
        <v>2396820</v>
      </c>
      <c r="H35" s="77"/>
      <c r="I35" s="410" t="s">
        <v>39</v>
      </c>
      <c r="J35" s="411"/>
      <c r="K35" s="82">
        <v>2502810</v>
      </c>
      <c r="M35" s="410" t="s">
        <v>39</v>
      </c>
      <c r="N35" s="411"/>
      <c r="O35" s="82">
        <v>2608960</v>
      </c>
      <c r="P35" s="77"/>
      <c r="Q35" s="410" t="s">
        <v>39</v>
      </c>
      <c r="R35" s="411"/>
      <c r="S35" s="82">
        <v>2703190</v>
      </c>
      <c r="T35" s="77"/>
      <c r="U35" s="410" t="s">
        <v>39</v>
      </c>
      <c r="V35" s="411"/>
      <c r="W35" s="82">
        <v>1452750</v>
      </c>
    </row>
    <row r="36" spans="1:23" ht="15.75" hidden="1" thickBo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</row>
    <row r="37" spans="1:23" ht="15.75" hidden="1" thickBot="1" x14ac:dyDescent="0.3">
      <c r="A37" s="407">
        <v>44985</v>
      </c>
      <c r="B37" s="408"/>
      <c r="C37" s="409"/>
      <c r="D37" s="77"/>
      <c r="E37" s="407">
        <v>44986</v>
      </c>
      <c r="F37" s="408"/>
      <c r="G37" s="409"/>
      <c r="H37" s="77"/>
      <c r="I37" s="407">
        <v>44999</v>
      </c>
      <c r="J37" s="408"/>
      <c r="K37" s="409"/>
      <c r="M37" s="407">
        <v>45028</v>
      </c>
      <c r="N37" s="408"/>
      <c r="O37" s="409"/>
      <c r="P37" s="77"/>
      <c r="Q37" s="407">
        <v>45056</v>
      </c>
      <c r="R37" s="408"/>
      <c r="S37" s="409"/>
      <c r="T37" s="77"/>
      <c r="U37" s="407">
        <v>45100</v>
      </c>
      <c r="V37" s="408"/>
      <c r="W37" s="409"/>
    </row>
    <row r="38" spans="1:23" ht="15.75" hidden="1" thickBot="1" x14ac:dyDescent="0.3">
      <c r="A38" s="78">
        <v>20000</v>
      </c>
      <c r="B38" s="79">
        <v>29</v>
      </c>
      <c r="C38" s="78">
        <v>580000</v>
      </c>
      <c r="D38" s="77"/>
      <c r="E38" s="78">
        <v>20000</v>
      </c>
      <c r="F38" s="79">
        <v>34</v>
      </c>
      <c r="G38" s="78">
        <v>680000</v>
      </c>
      <c r="H38" s="77"/>
      <c r="I38" s="78">
        <v>20000</v>
      </c>
      <c r="J38" s="79">
        <v>39</v>
      </c>
      <c r="K38" s="78">
        <v>780000</v>
      </c>
      <c r="M38" s="78">
        <v>20000</v>
      </c>
      <c r="N38" s="79">
        <v>41</v>
      </c>
      <c r="O38" s="78">
        <v>820000</v>
      </c>
      <c r="P38" s="77"/>
      <c r="Q38" s="78">
        <v>20000</v>
      </c>
      <c r="R38" s="79">
        <v>41</v>
      </c>
      <c r="S38" s="78">
        <v>820000</v>
      </c>
      <c r="T38" s="77"/>
      <c r="U38" s="78">
        <v>20000</v>
      </c>
      <c r="V38" s="79">
        <v>49</v>
      </c>
      <c r="W38" s="78">
        <v>980000</v>
      </c>
    </row>
    <row r="39" spans="1:23" ht="15.75" hidden="1" thickBot="1" x14ac:dyDescent="0.3">
      <c r="A39" s="80">
        <v>10000</v>
      </c>
      <c r="B39" s="81">
        <v>98</v>
      </c>
      <c r="C39" s="80">
        <v>980000</v>
      </c>
      <c r="D39" s="77"/>
      <c r="E39" s="80">
        <v>10000</v>
      </c>
      <c r="F39" s="81">
        <v>99</v>
      </c>
      <c r="G39" s="80">
        <v>990000</v>
      </c>
      <c r="H39" s="77"/>
      <c r="I39" s="80">
        <v>10000</v>
      </c>
      <c r="J39" s="81">
        <v>101</v>
      </c>
      <c r="K39" s="80">
        <v>1010000</v>
      </c>
      <c r="M39" s="80">
        <v>10000</v>
      </c>
      <c r="N39" s="81">
        <v>102</v>
      </c>
      <c r="O39" s="80">
        <v>1020000</v>
      </c>
      <c r="P39" s="77"/>
      <c r="Q39" s="80">
        <v>10000</v>
      </c>
      <c r="R39" s="81">
        <v>98</v>
      </c>
      <c r="S39" s="80">
        <v>980000</v>
      </c>
      <c r="T39" s="77"/>
      <c r="U39" s="80">
        <v>10000</v>
      </c>
      <c r="V39" s="81">
        <v>82</v>
      </c>
      <c r="W39" s="80">
        <v>820000</v>
      </c>
    </row>
    <row r="40" spans="1:23" hidden="1" x14ac:dyDescent="0.25">
      <c r="A40" s="80">
        <v>5000</v>
      </c>
      <c r="B40" s="81">
        <v>0</v>
      </c>
      <c r="C40" s="80">
        <v>0</v>
      </c>
      <c r="D40" s="77"/>
      <c r="E40" s="80">
        <v>5000</v>
      </c>
      <c r="F40" s="81">
        <v>1</v>
      </c>
      <c r="G40" s="80">
        <v>5000</v>
      </c>
      <c r="H40" s="77"/>
      <c r="I40" s="80">
        <v>5000</v>
      </c>
      <c r="J40" s="81">
        <v>2</v>
      </c>
      <c r="K40" s="80">
        <v>10000</v>
      </c>
      <c r="M40" s="80">
        <v>5000</v>
      </c>
      <c r="N40" s="81">
        <v>1</v>
      </c>
      <c r="O40" s="80">
        <v>5000</v>
      </c>
      <c r="P40" s="77"/>
      <c r="Q40" s="80">
        <v>5000</v>
      </c>
      <c r="R40" s="81">
        <v>0</v>
      </c>
      <c r="S40" s="80">
        <v>0</v>
      </c>
      <c r="T40" s="77"/>
      <c r="U40" s="80">
        <v>5000</v>
      </c>
      <c r="V40" s="81">
        <v>1</v>
      </c>
      <c r="W40" s="80">
        <v>5000</v>
      </c>
    </row>
    <row r="41" spans="1:23" hidden="1" x14ac:dyDescent="0.25">
      <c r="A41" s="80">
        <v>2000</v>
      </c>
      <c r="B41" s="81">
        <v>0</v>
      </c>
      <c r="C41" s="80">
        <v>0</v>
      </c>
      <c r="D41" s="77"/>
      <c r="E41" s="80">
        <v>2000</v>
      </c>
      <c r="F41" s="81">
        <v>0</v>
      </c>
      <c r="G41" s="80">
        <v>0</v>
      </c>
      <c r="H41" s="77"/>
      <c r="I41" s="80">
        <v>2000</v>
      </c>
      <c r="J41" s="81">
        <v>0</v>
      </c>
      <c r="K41" s="80">
        <v>0</v>
      </c>
      <c r="M41" s="80">
        <v>2000</v>
      </c>
      <c r="N41" s="81">
        <v>0</v>
      </c>
      <c r="O41" s="80">
        <v>0</v>
      </c>
      <c r="P41" s="77"/>
      <c r="Q41" s="80">
        <v>2000</v>
      </c>
      <c r="R41" s="81">
        <v>0</v>
      </c>
      <c r="S41" s="80">
        <v>0</v>
      </c>
      <c r="T41" s="77"/>
      <c r="U41" s="80">
        <v>2000</v>
      </c>
      <c r="V41" s="81">
        <v>0</v>
      </c>
      <c r="W41" s="80">
        <v>0</v>
      </c>
    </row>
    <row r="42" spans="1:23" hidden="1" x14ac:dyDescent="0.25">
      <c r="A42" s="80">
        <v>1000</v>
      </c>
      <c r="B42" s="81">
        <v>5</v>
      </c>
      <c r="C42" s="80">
        <v>5000</v>
      </c>
      <c r="D42" s="77"/>
      <c r="E42" s="80">
        <v>1000</v>
      </c>
      <c r="F42" s="81">
        <v>7</v>
      </c>
      <c r="G42" s="80">
        <v>7000</v>
      </c>
      <c r="H42" s="77"/>
      <c r="I42" s="80">
        <v>1000</v>
      </c>
      <c r="J42" s="81">
        <v>2</v>
      </c>
      <c r="K42" s="80">
        <v>2000</v>
      </c>
      <c r="M42" s="80">
        <v>1000</v>
      </c>
      <c r="N42" s="81">
        <v>3</v>
      </c>
      <c r="O42" s="80">
        <v>3000</v>
      </c>
      <c r="P42" s="77"/>
      <c r="Q42" s="80">
        <v>1000</v>
      </c>
      <c r="R42" s="81">
        <v>3</v>
      </c>
      <c r="S42" s="80">
        <v>3000</v>
      </c>
      <c r="T42" s="77"/>
      <c r="U42" s="80">
        <v>1000</v>
      </c>
      <c r="V42" s="81">
        <v>1</v>
      </c>
      <c r="W42" s="80">
        <v>1000</v>
      </c>
    </row>
    <row r="43" spans="1:23" hidden="1" x14ac:dyDescent="0.25">
      <c r="A43" s="80">
        <v>500</v>
      </c>
      <c r="B43" s="81">
        <v>0</v>
      </c>
      <c r="C43" s="80">
        <v>0</v>
      </c>
      <c r="D43" s="77"/>
      <c r="E43" s="80">
        <v>500</v>
      </c>
      <c r="F43" s="81">
        <v>1</v>
      </c>
      <c r="G43" s="80">
        <v>500</v>
      </c>
      <c r="H43" s="77"/>
      <c r="I43" s="80">
        <v>500</v>
      </c>
      <c r="J43" s="81">
        <v>0</v>
      </c>
      <c r="K43" s="80">
        <v>0</v>
      </c>
      <c r="M43" s="80">
        <v>500</v>
      </c>
      <c r="N43" s="81">
        <v>1</v>
      </c>
      <c r="O43" s="80">
        <v>500</v>
      </c>
      <c r="P43" s="77"/>
      <c r="Q43" s="80">
        <v>500</v>
      </c>
      <c r="R43" s="81">
        <v>2</v>
      </c>
      <c r="S43" s="80">
        <v>1000</v>
      </c>
      <c r="T43" s="77"/>
      <c r="U43" s="80">
        <v>500</v>
      </c>
      <c r="V43" s="81">
        <v>1</v>
      </c>
      <c r="W43" s="80">
        <v>500</v>
      </c>
    </row>
    <row r="44" spans="1:23" hidden="1" x14ac:dyDescent="0.25">
      <c r="A44" s="80">
        <v>100</v>
      </c>
      <c r="B44" s="81">
        <v>7</v>
      </c>
      <c r="C44" s="80">
        <v>700</v>
      </c>
      <c r="D44" s="77"/>
      <c r="E44" s="80">
        <v>100</v>
      </c>
      <c r="F44" s="81">
        <v>7</v>
      </c>
      <c r="G44" s="80">
        <v>700</v>
      </c>
      <c r="H44" s="77"/>
      <c r="I44" s="80">
        <v>100</v>
      </c>
      <c r="J44" s="81">
        <v>7</v>
      </c>
      <c r="K44" s="80">
        <v>700</v>
      </c>
      <c r="M44" s="80">
        <v>100</v>
      </c>
      <c r="N44" s="81">
        <v>10</v>
      </c>
      <c r="O44" s="80">
        <v>1000</v>
      </c>
      <c r="P44" s="77"/>
      <c r="Q44" s="80">
        <v>100</v>
      </c>
      <c r="R44" s="81">
        <v>6</v>
      </c>
      <c r="S44" s="80">
        <v>600</v>
      </c>
      <c r="T44" s="77"/>
      <c r="U44" s="80">
        <v>100</v>
      </c>
      <c r="V44" s="81">
        <v>9</v>
      </c>
      <c r="W44" s="80">
        <v>900</v>
      </c>
    </row>
    <row r="45" spans="1:23" hidden="1" x14ac:dyDescent="0.25">
      <c r="A45" s="80">
        <v>50</v>
      </c>
      <c r="B45" s="81">
        <v>3</v>
      </c>
      <c r="C45" s="80">
        <v>150</v>
      </c>
      <c r="D45" s="77"/>
      <c r="E45" s="80">
        <v>50</v>
      </c>
      <c r="F45" s="81">
        <v>3</v>
      </c>
      <c r="G45" s="80">
        <v>150</v>
      </c>
      <c r="H45" s="77"/>
      <c r="I45" s="80">
        <v>50</v>
      </c>
      <c r="J45" s="81">
        <v>2</v>
      </c>
      <c r="K45" s="80">
        <v>100</v>
      </c>
      <c r="M45" s="80">
        <v>50</v>
      </c>
      <c r="N45" s="81">
        <v>4</v>
      </c>
      <c r="O45" s="80">
        <v>200</v>
      </c>
      <c r="P45" s="77"/>
      <c r="Q45" s="80">
        <v>50</v>
      </c>
      <c r="R45" s="81">
        <v>5</v>
      </c>
      <c r="S45" s="80">
        <v>250</v>
      </c>
      <c r="T45" s="77"/>
      <c r="U45" s="80">
        <v>50</v>
      </c>
      <c r="V45" s="81">
        <v>9</v>
      </c>
      <c r="W45" s="80">
        <v>450</v>
      </c>
    </row>
    <row r="46" spans="1:23" hidden="1" x14ac:dyDescent="0.25">
      <c r="A46" s="80">
        <v>10</v>
      </c>
      <c r="B46" s="81">
        <v>28</v>
      </c>
      <c r="C46" s="80">
        <v>280</v>
      </c>
      <c r="D46" s="77"/>
      <c r="E46" s="80">
        <v>10</v>
      </c>
      <c r="F46" s="81">
        <v>28</v>
      </c>
      <c r="G46" s="80">
        <v>280</v>
      </c>
      <c r="H46" s="77"/>
      <c r="I46" s="80">
        <v>10</v>
      </c>
      <c r="J46" s="81">
        <v>25</v>
      </c>
      <c r="K46" s="80">
        <v>250</v>
      </c>
      <c r="M46" s="80">
        <v>10</v>
      </c>
      <c r="N46" s="81">
        <v>27</v>
      </c>
      <c r="O46" s="80">
        <v>270</v>
      </c>
      <c r="P46" s="77"/>
      <c r="Q46" s="80">
        <v>10</v>
      </c>
      <c r="R46" s="81">
        <v>28</v>
      </c>
      <c r="S46" s="80">
        <v>280</v>
      </c>
      <c r="T46" s="77"/>
      <c r="U46" s="80">
        <v>10</v>
      </c>
      <c r="V46" s="81">
        <v>54</v>
      </c>
      <c r="W46" s="80">
        <v>540</v>
      </c>
    </row>
    <row r="47" spans="1:23" hidden="1" x14ac:dyDescent="0.25">
      <c r="A47" s="410" t="s">
        <v>39</v>
      </c>
      <c r="B47" s="411"/>
      <c r="C47" s="82">
        <v>1566130</v>
      </c>
      <c r="D47" s="77"/>
      <c r="E47" s="410" t="s">
        <v>39</v>
      </c>
      <c r="F47" s="411"/>
      <c r="G47" s="82">
        <v>1683630</v>
      </c>
      <c r="H47" s="77"/>
      <c r="I47" s="410" t="s">
        <v>39</v>
      </c>
      <c r="J47" s="411"/>
      <c r="K47" s="82">
        <v>1803050</v>
      </c>
      <c r="M47" s="410" t="s">
        <v>39</v>
      </c>
      <c r="N47" s="411"/>
      <c r="O47" s="82">
        <v>1849970</v>
      </c>
      <c r="P47" s="77"/>
      <c r="Q47" s="410" t="s">
        <v>39</v>
      </c>
      <c r="R47" s="411"/>
      <c r="S47" s="82">
        <v>1805130</v>
      </c>
      <c r="T47" s="77"/>
      <c r="U47" s="410" t="s">
        <v>39</v>
      </c>
      <c r="V47" s="411"/>
      <c r="W47" s="82">
        <v>1808390</v>
      </c>
    </row>
    <row r="48" spans="1:23" ht="15.75" hidden="1" thickBot="1" x14ac:dyDescent="0.3">
      <c r="A48" s="77"/>
      <c r="B48" s="77"/>
      <c r="C48" s="77"/>
      <c r="D48" s="77"/>
      <c r="E48" s="77"/>
      <c r="F48" s="77"/>
      <c r="G48" s="269"/>
      <c r="H48" s="77"/>
      <c r="I48" s="77"/>
      <c r="J48" s="77"/>
      <c r="K48" s="269"/>
      <c r="M48" s="77"/>
      <c r="N48" s="77"/>
      <c r="O48" s="269"/>
      <c r="P48" s="77"/>
      <c r="Q48" s="77"/>
      <c r="R48" s="77"/>
      <c r="S48" s="269"/>
      <c r="T48" s="77"/>
      <c r="U48" s="77"/>
      <c r="V48" s="77"/>
      <c r="W48" s="269"/>
    </row>
    <row r="49" spans="1:23" ht="15.75" thickBot="1" x14ac:dyDescent="0.3">
      <c r="A49" s="407">
        <v>45124</v>
      </c>
      <c r="B49" s="408"/>
      <c r="C49" s="409"/>
      <c r="D49" s="77"/>
      <c r="E49" s="407">
        <v>45146</v>
      </c>
      <c r="F49" s="408"/>
      <c r="G49" s="409"/>
      <c r="H49" s="77"/>
      <c r="I49" s="407">
        <v>45177</v>
      </c>
      <c r="J49" s="408"/>
      <c r="K49" s="409"/>
      <c r="M49" s="407">
        <v>45215</v>
      </c>
      <c r="N49" s="408"/>
      <c r="O49" s="409"/>
      <c r="P49" s="77"/>
      <c r="Q49" s="407">
        <v>45239</v>
      </c>
      <c r="R49" s="408"/>
      <c r="S49" s="409"/>
      <c r="T49" s="77"/>
      <c r="U49" s="407">
        <v>45272</v>
      </c>
      <c r="V49" s="408"/>
      <c r="W49" s="409"/>
    </row>
    <row r="50" spans="1:23" x14ac:dyDescent="0.25">
      <c r="A50" s="78">
        <v>20000</v>
      </c>
      <c r="B50" s="79">
        <v>56</v>
      </c>
      <c r="C50" s="78">
        <v>1120000</v>
      </c>
      <c r="D50" s="77"/>
      <c r="E50" s="78">
        <v>20000</v>
      </c>
      <c r="F50" s="79">
        <v>60</v>
      </c>
      <c r="G50" s="78">
        <v>1200000</v>
      </c>
      <c r="H50" s="77"/>
      <c r="I50" s="78">
        <v>20000</v>
      </c>
      <c r="J50" s="79">
        <v>64</v>
      </c>
      <c r="K50" s="78">
        <v>1280000</v>
      </c>
      <c r="M50" s="78">
        <v>20000</v>
      </c>
      <c r="N50" s="79">
        <v>71</v>
      </c>
      <c r="O50" s="78">
        <v>1420000</v>
      </c>
      <c r="P50" s="77"/>
      <c r="Q50" s="78">
        <v>20000</v>
      </c>
      <c r="R50" s="79">
        <v>73</v>
      </c>
      <c r="S50" s="78">
        <v>1460000</v>
      </c>
      <c r="T50" s="77"/>
      <c r="U50" s="78">
        <v>20000</v>
      </c>
      <c r="V50" s="79">
        <v>10</v>
      </c>
      <c r="W50" s="78">
        <v>200000</v>
      </c>
    </row>
    <row r="51" spans="1:23" x14ac:dyDescent="0.25">
      <c r="A51" s="80">
        <v>10000</v>
      </c>
      <c r="B51" s="81">
        <v>80</v>
      </c>
      <c r="C51" s="80">
        <v>800000</v>
      </c>
      <c r="D51" s="77"/>
      <c r="E51" s="80">
        <v>10000</v>
      </c>
      <c r="F51" s="81">
        <v>80</v>
      </c>
      <c r="G51" s="80">
        <v>800000</v>
      </c>
      <c r="H51" s="77"/>
      <c r="I51" s="80">
        <v>10000</v>
      </c>
      <c r="J51" s="81">
        <v>71</v>
      </c>
      <c r="K51" s="80">
        <v>710000</v>
      </c>
      <c r="M51" s="80">
        <v>10000</v>
      </c>
      <c r="N51" s="81">
        <v>70</v>
      </c>
      <c r="O51" s="80">
        <v>700000</v>
      </c>
      <c r="P51" s="77"/>
      <c r="Q51" s="80">
        <v>10000</v>
      </c>
      <c r="R51" s="81">
        <v>70</v>
      </c>
      <c r="S51" s="80">
        <v>700000</v>
      </c>
      <c r="T51" s="77"/>
      <c r="U51" s="80">
        <v>10000</v>
      </c>
      <c r="V51" s="81">
        <v>62</v>
      </c>
      <c r="W51" s="80">
        <v>620000</v>
      </c>
    </row>
    <row r="52" spans="1:23" x14ac:dyDescent="0.25">
      <c r="A52" s="80">
        <v>5000</v>
      </c>
      <c r="B52" s="81">
        <v>0</v>
      </c>
      <c r="C52" s="80">
        <v>0</v>
      </c>
      <c r="D52" s="77"/>
      <c r="E52" s="80">
        <v>5000</v>
      </c>
      <c r="F52" s="81">
        <v>0</v>
      </c>
      <c r="G52" s="80">
        <v>0</v>
      </c>
      <c r="H52" s="77"/>
      <c r="I52" s="80">
        <v>5000</v>
      </c>
      <c r="J52" s="81">
        <v>1</v>
      </c>
      <c r="K52" s="80">
        <v>5000</v>
      </c>
      <c r="M52" s="80">
        <v>5000</v>
      </c>
      <c r="N52" s="81">
        <v>0</v>
      </c>
      <c r="O52" s="80">
        <v>0</v>
      </c>
      <c r="P52" s="77"/>
      <c r="Q52" s="80">
        <v>5000</v>
      </c>
      <c r="R52" s="81">
        <v>0</v>
      </c>
      <c r="S52" s="80">
        <v>0</v>
      </c>
      <c r="T52" s="77"/>
      <c r="U52" s="80">
        <v>5000</v>
      </c>
      <c r="V52" s="81">
        <v>0</v>
      </c>
      <c r="W52" s="80">
        <v>0</v>
      </c>
    </row>
    <row r="53" spans="1:23" x14ac:dyDescent="0.25">
      <c r="A53" s="80">
        <v>2000</v>
      </c>
      <c r="B53" s="81">
        <v>0</v>
      </c>
      <c r="C53" s="80">
        <v>0</v>
      </c>
      <c r="D53" s="77"/>
      <c r="E53" s="80">
        <v>2000</v>
      </c>
      <c r="F53" s="81">
        <v>0</v>
      </c>
      <c r="G53" s="80">
        <v>0</v>
      </c>
      <c r="H53" s="77"/>
      <c r="I53" s="80">
        <v>2000</v>
      </c>
      <c r="J53" s="81">
        <v>0</v>
      </c>
      <c r="K53" s="80">
        <v>0</v>
      </c>
      <c r="M53" s="80">
        <v>2000</v>
      </c>
      <c r="N53" s="81">
        <v>0</v>
      </c>
      <c r="O53" s="80">
        <v>0</v>
      </c>
      <c r="P53" s="77"/>
      <c r="Q53" s="80">
        <v>2000</v>
      </c>
      <c r="R53" s="81">
        <v>5</v>
      </c>
      <c r="S53" s="80">
        <v>10000</v>
      </c>
      <c r="T53" s="77"/>
      <c r="U53" s="80">
        <v>2000</v>
      </c>
      <c r="V53" s="81">
        <v>0</v>
      </c>
      <c r="W53" s="80">
        <v>0</v>
      </c>
    </row>
    <row r="54" spans="1:23" x14ac:dyDescent="0.25">
      <c r="A54" s="80">
        <v>1000</v>
      </c>
      <c r="B54" s="81">
        <v>1</v>
      </c>
      <c r="C54" s="80">
        <v>1000</v>
      </c>
      <c r="D54" s="77"/>
      <c r="E54" s="80">
        <v>1000</v>
      </c>
      <c r="F54" s="81">
        <v>2</v>
      </c>
      <c r="G54" s="80">
        <v>2000</v>
      </c>
      <c r="H54" s="77"/>
      <c r="I54" s="80">
        <v>1000</v>
      </c>
      <c r="J54" s="81">
        <v>5</v>
      </c>
      <c r="K54" s="80">
        <v>5000</v>
      </c>
      <c r="M54" s="80">
        <v>1000</v>
      </c>
      <c r="N54" s="81">
        <v>1</v>
      </c>
      <c r="O54" s="80">
        <v>1000</v>
      </c>
      <c r="P54" s="77"/>
      <c r="Q54" s="80">
        <v>1000</v>
      </c>
      <c r="R54" s="81">
        <v>6</v>
      </c>
      <c r="S54" s="80">
        <v>6000</v>
      </c>
      <c r="T54" s="77"/>
      <c r="U54" s="80">
        <v>1000</v>
      </c>
      <c r="V54" s="81">
        <v>3</v>
      </c>
      <c r="W54" s="80">
        <v>3000</v>
      </c>
    </row>
    <row r="55" spans="1:23" x14ac:dyDescent="0.25">
      <c r="A55" s="80">
        <v>500</v>
      </c>
      <c r="B55" s="81">
        <v>0</v>
      </c>
      <c r="C55" s="80">
        <v>0</v>
      </c>
      <c r="D55" s="77"/>
      <c r="E55" s="80">
        <v>500</v>
      </c>
      <c r="F55" s="81">
        <v>0</v>
      </c>
      <c r="G55" s="80">
        <v>0</v>
      </c>
      <c r="H55" s="77"/>
      <c r="I55" s="80">
        <v>500</v>
      </c>
      <c r="J55" s="81">
        <v>1</v>
      </c>
      <c r="K55" s="80">
        <v>500</v>
      </c>
      <c r="M55" s="80">
        <v>500</v>
      </c>
      <c r="N55" s="81">
        <v>0</v>
      </c>
      <c r="O55" s="80">
        <v>0</v>
      </c>
      <c r="P55" s="77"/>
      <c r="Q55" s="80">
        <v>500</v>
      </c>
      <c r="R55" s="81">
        <v>0</v>
      </c>
      <c r="S55" s="80">
        <v>0</v>
      </c>
      <c r="T55" s="77"/>
      <c r="U55" s="80">
        <v>500</v>
      </c>
      <c r="V55" s="81">
        <v>0</v>
      </c>
      <c r="W55" s="80">
        <v>0</v>
      </c>
    </row>
    <row r="56" spans="1:23" x14ac:dyDescent="0.25">
      <c r="A56" s="80">
        <v>100</v>
      </c>
      <c r="B56" s="81">
        <v>7</v>
      </c>
      <c r="C56" s="80">
        <v>700</v>
      </c>
      <c r="D56" s="77"/>
      <c r="E56" s="80">
        <v>100</v>
      </c>
      <c r="F56" s="81">
        <v>5</v>
      </c>
      <c r="G56" s="80">
        <v>500</v>
      </c>
      <c r="H56" s="77"/>
      <c r="I56" s="80">
        <v>100</v>
      </c>
      <c r="J56" s="81">
        <v>2</v>
      </c>
      <c r="K56" s="80">
        <v>200</v>
      </c>
      <c r="M56" s="80">
        <v>100</v>
      </c>
      <c r="N56" s="81">
        <v>0</v>
      </c>
      <c r="O56" s="80">
        <v>0</v>
      </c>
      <c r="P56" s="77"/>
      <c r="Q56" s="80">
        <v>100</v>
      </c>
      <c r="R56" s="81">
        <v>3</v>
      </c>
      <c r="S56" s="80">
        <v>300</v>
      </c>
      <c r="T56" s="77"/>
      <c r="U56" s="80">
        <v>100</v>
      </c>
      <c r="V56" s="81">
        <v>6</v>
      </c>
      <c r="W56" s="80">
        <v>600</v>
      </c>
    </row>
    <row r="57" spans="1:23" x14ac:dyDescent="0.25">
      <c r="A57" s="80">
        <v>50</v>
      </c>
      <c r="B57" s="81">
        <v>11</v>
      </c>
      <c r="C57" s="80">
        <v>550</v>
      </c>
      <c r="D57" s="77"/>
      <c r="E57" s="80">
        <v>50</v>
      </c>
      <c r="F57" s="81">
        <v>9</v>
      </c>
      <c r="G57" s="80">
        <v>450</v>
      </c>
      <c r="H57" s="77"/>
      <c r="I57" s="80">
        <v>50</v>
      </c>
      <c r="J57" s="81">
        <v>0</v>
      </c>
      <c r="K57" s="80">
        <v>0</v>
      </c>
      <c r="M57" s="80">
        <v>50</v>
      </c>
      <c r="N57" s="81">
        <v>0</v>
      </c>
      <c r="O57" s="80">
        <v>0</v>
      </c>
      <c r="P57" s="77"/>
      <c r="Q57" s="80">
        <v>50</v>
      </c>
      <c r="R57" s="81">
        <v>1</v>
      </c>
      <c r="S57" s="80">
        <v>50</v>
      </c>
      <c r="T57" s="77"/>
      <c r="U57" s="80">
        <v>50</v>
      </c>
      <c r="V57" s="81">
        <v>0</v>
      </c>
      <c r="W57" s="80">
        <v>0</v>
      </c>
    </row>
    <row r="58" spans="1:23" x14ac:dyDescent="0.25">
      <c r="A58" s="80">
        <v>10</v>
      </c>
      <c r="B58" s="81">
        <v>61</v>
      </c>
      <c r="C58" s="80">
        <v>610</v>
      </c>
      <c r="D58" s="77"/>
      <c r="E58" s="80">
        <v>10</v>
      </c>
      <c r="F58" s="81">
        <v>64</v>
      </c>
      <c r="G58" s="80">
        <v>640</v>
      </c>
      <c r="H58" s="77"/>
      <c r="I58" s="80">
        <v>10</v>
      </c>
      <c r="J58" s="81">
        <v>55</v>
      </c>
      <c r="K58" s="80">
        <v>550</v>
      </c>
      <c r="M58" s="80">
        <v>10</v>
      </c>
      <c r="N58" s="81">
        <v>25</v>
      </c>
      <c r="O58" s="80">
        <v>250</v>
      </c>
      <c r="P58" s="77"/>
      <c r="Q58" s="80">
        <v>10</v>
      </c>
      <c r="R58" s="81">
        <v>30</v>
      </c>
      <c r="S58" s="80">
        <v>300</v>
      </c>
      <c r="T58" s="77"/>
      <c r="U58" s="80">
        <v>10</v>
      </c>
      <c r="V58" s="81">
        <v>1</v>
      </c>
      <c r="W58" s="80">
        <v>10</v>
      </c>
    </row>
    <row r="59" spans="1:23" x14ac:dyDescent="0.25">
      <c r="A59" s="410" t="s">
        <v>39</v>
      </c>
      <c r="B59" s="411"/>
      <c r="C59" s="82">
        <v>1922860</v>
      </c>
      <c r="D59" s="77"/>
      <c r="E59" s="410" t="s">
        <v>39</v>
      </c>
      <c r="F59" s="411"/>
      <c r="G59" s="82">
        <v>2003590</v>
      </c>
      <c r="H59" s="77"/>
      <c r="I59" s="410" t="s">
        <v>39</v>
      </c>
      <c r="J59" s="411"/>
      <c r="K59" s="82">
        <v>2001250</v>
      </c>
      <c r="M59" s="410" t="s">
        <v>39</v>
      </c>
      <c r="N59" s="411"/>
      <c r="O59" s="82">
        <v>2121250</v>
      </c>
      <c r="P59" s="77"/>
      <c r="Q59" s="410" t="s">
        <v>39</v>
      </c>
      <c r="R59" s="411"/>
      <c r="S59" s="82">
        <v>2176650</v>
      </c>
      <c r="T59" s="77"/>
      <c r="U59" s="410" t="s">
        <v>39</v>
      </c>
      <c r="V59" s="411"/>
      <c r="W59" s="82">
        <v>823610</v>
      </c>
    </row>
    <row r="60" spans="1:23" s="223" customFormat="1" x14ac:dyDescent="0.25">
      <c r="A60" s="301"/>
      <c r="B60" s="301"/>
      <c r="C60" s="302"/>
      <c r="D60" s="300"/>
      <c r="E60" s="301"/>
      <c r="F60" s="301"/>
      <c r="G60" s="302"/>
      <c r="H60" s="300"/>
      <c r="I60" s="301"/>
      <c r="J60" s="301"/>
      <c r="K60" s="302"/>
      <c r="M60" s="301"/>
      <c r="N60" s="301"/>
      <c r="O60" s="302"/>
      <c r="P60" s="300"/>
      <c r="Q60" s="301"/>
      <c r="R60" s="301"/>
      <c r="S60" s="302"/>
      <c r="T60" s="300"/>
      <c r="U60" s="301"/>
      <c r="V60" s="301"/>
      <c r="W60" s="302"/>
    </row>
    <row r="61" spans="1:23" s="223" customFormat="1" x14ac:dyDescent="0.25">
      <c r="A61" s="303" t="s">
        <v>168</v>
      </c>
      <c r="B61" s="303"/>
      <c r="C61" s="304"/>
      <c r="D61" s="300"/>
      <c r="E61" s="303" t="s">
        <v>168</v>
      </c>
      <c r="F61" s="303"/>
      <c r="G61" s="304"/>
      <c r="H61" s="300"/>
      <c r="I61" s="303" t="s">
        <v>168</v>
      </c>
      <c r="J61" s="303"/>
      <c r="K61" s="304"/>
      <c r="M61" s="303" t="s">
        <v>168</v>
      </c>
      <c r="N61" s="303"/>
      <c r="O61" s="304"/>
      <c r="P61" s="300"/>
      <c r="Q61" s="303" t="s">
        <v>168</v>
      </c>
      <c r="R61" s="303"/>
      <c r="S61" s="304"/>
      <c r="T61" s="300"/>
      <c r="U61" s="303" t="s">
        <v>168</v>
      </c>
      <c r="V61" s="303"/>
      <c r="W61" s="304"/>
    </row>
    <row r="62" spans="1:23" s="223" customFormat="1" x14ac:dyDescent="0.25">
      <c r="A62" s="303" t="s">
        <v>166</v>
      </c>
      <c r="B62" s="303"/>
      <c r="C62" s="308"/>
      <c r="D62" s="300"/>
      <c r="E62" s="303" t="s">
        <v>166</v>
      </c>
      <c r="F62" s="303"/>
      <c r="G62" s="308"/>
      <c r="H62" s="300"/>
      <c r="I62" s="303" t="s">
        <v>166</v>
      </c>
      <c r="J62" s="303"/>
      <c r="K62" s="308"/>
      <c r="M62" s="303" t="s">
        <v>166</v>
      </c>
      <c r="N62" s="303"/>
      <c r="O62" s="308"/>
      <c r="P62" s="300"/>
      <c r="Q62" s="303" t="s">
        <v>166</v>
      </c>
      <c r="R62" s="303"/>
      <c r="S62" s="308"/>
      <c r="T62" s="300"/>
      <c r="U62" s="303" t="s">
        <v>166</v>
      </c>
      <c r="V62" s="303"/>
      <c r="W62" s="308"/>
    </row>
    <row r="63" spans="1:23" s="223" customFormat="1" x14ac:dyDescent="0.25">
      <c r="A63" s="303" t="s">
        <v>167</v>
      </c>
      <c r="B63" s="303"/>
      <c r="C63" s="308"/>
      <c r="D63" s="300"/>
      <c r="E63" s="303" t="s">
        <v>167</v>
      </c>
      <c r="F63" s="303"/>
      <c r="G63" s="308"/>
      <c r="H63" s="300"/>
      <c r="I63" s="303" t="s">
        <v>167</v>
      </c>
      <c r="J63" s="303"/>
      <c r="K63" s="308"/>
      <c r="M63" s="303" t="s">
        <v>167</v>
      </c>
      <c r="N63" s="303"/>
      <c r="O63" s="308"/>
      <c r="P63" s="300"/>
      <c r="Q63" s="303" t="s">
        <v>167</v>
      </c>
      <c r="R63" s="303"/>
      <c r="S63" s="308"/>
      <c r="T63" s="300"/>
      <c r="U63" s="303" t="s">
        <v>167</v>
      </c>
      <c r="V63" s="303"/>
      <c r="W63" s="308"/>
    </row>
    <row r="64" spans="1:23" s="223" customFormat="1" ht="15.75" thickBot="1" x14ac:dyDescent="0.3">
      <c r="A64" s="303" t="s">
        <v>53</v>
      </c>
      <c r="B64" s="303"/>
      <c r="C64" s="304"/>
      <c r="D64" s="300"/>
      <c r="E64" s="303" t="s">
        <v>53</v>
      </c>
      <c r="F64" s="303"/>
      <c r="G64" s="304"/>
      <c r="H64" s="300"/>
      <c r="I64" s="303" t="s">
        <v>53</v>
      </c>
      <c r="J64" s="303"/>
      <c r="K64" s="304"/>
      <c r="M64" s="303" t="s">
        <v>53</v>
      </c>
      <c r="N64" s="303"/>
      <c r="O64" s="304"/>
      <c r="P64" s="300"/>
      <c r="Q64" s="303" t="s">
        <v>53</v>
      </c>
      <c r="R64" s="303"/>
      <c r="S64" s="304"/>
      <c r="T64" s="300"/>
      <c r="U64" s="303" t="s">
        <v>53</v>
      </c>
      <c r="V64" s="303"/>
      <c r="W64" s="304"/>
    </row>
    <row r="65" spans="1:24" s="223" customFormat="1" ht="15.75" thickBot="1" x14ac:dyDescent="0.3">
      <c r="A65" s="305" t="s">
        <v>164</v>
      </c>
      <c r="B65" s="306"/>
      <c r="C65" s="307"/>
      <c r="D65" s="300"/>
      <c r="E65" s="305" t="s">
        <v>164</v>
      </c>
      <c r="F65" s="306"/>
      <c r="G65" s="307"/>
      <c r="H65" s="300"/>
      <c r="I65" s="305" t="s">
        <v>164</v>
      </c>
      <c r="J65" s="306"/>
      <c r="K65" s="307"/>
      <c r="M65" s="305" t="s">
        <v>164</v>
      </c>
      <c r="N65" s="306"/>
      <c r="O65" s="307"/>
      <c r="P65" s="300"/>
      <c r="Q65" s="305" t="s">
        <v>164</v>
      </c>
      <c r="R65" s="306"/>
      <c r="S65" s="307"/>
      <c r="T65" s="300"/>
      <c r="U65" s="305" t="s">
        <v>164</v>
      </c>
      <c r="V65" s="306"/>
      <c r="W65" s="307"/>
    </row>
    <row r="66" spans="1:24" ht="15.75" thickBot="1" x14ac:dyDescent="0.3">
      <c r="A66" s="77"/>
      <c r="B66" s="77"/>
      <c r="C66" s="269"/>
      <c r="D66" s="77"/>
      <c r="E66" s="77"/>
      <c r="F66" s="77"/>
      <c r="G66" s="269"/>
      <c r="H66" s="77"/>
      <c r="I66" s="77"/>
      <c r="J66" s="77"/>
      <c r="K66" s="269"/>
      <c r="M66" s="77"/>
      <c r="N66" s="77"/>
      <c r="O66" s="269"/>
      <c r="P66" s="77"/>
      <c r="Q66" s="77"/>
      <c r="R66" s="77"/>
      <c r="S66" s="269"/>
      <c r="T66" s="77"/>
      <c r="U66" s="77"/>
      <c r="V66" s="77"/>
      <c r="W66" s="269"/>
    </row>
    <row r="67" spans="1:24" ht="15.75" thickBot="1" x14ac:dyDescent="0.3">
      <c r="A67" s="407">
        <v>45299</v>
      </c>
      <c r="B67" s="408"/>
      <c r="C67" s="409"/>
      <c r="D67" s="77"/>
      <c r="E67" s="407">
        <v>45330</v>
      </c>
      <c r="F67" s="408"/>
      <c r="G67" s="409"/>
      <c r="H67" s="77"/>
      <c r="I67" s="407">
        <v>45364</v>
      </c>
      <c r="J67" s="408"/>
      <c r="K67" s="409"/>
      <c r="M67" s="407">
        <v>45392</v>
      </c>
      <c r="N67" s="408"/>
      <c r="O67" s="409"/>
      <c r="P67" s="77"/>
      <c r="Q67" s="407">
        <v>45441</v>
      </c>
      <c r="R67" s="408"/>
      <c r="S67" s="409"/>
      <c r="T67" s="77"/>
      <c r="U67" s="407">
        <v>45475</v>
      </c>
      <c r="V67" s="408"/>
      <c r="W67" s="409"/>
    </row>
    <row r="68" spans="1:24" x14ac:dyDescent="0.25">
      <c r="A68" s="78">
        <v>20000</v>
      </c>
      <c r="B68" s="79">
        <v>14</v>
      </c>
      <c r="C68" s="78">
        <v>280000</v>
      </c>
      <c r="D68" s="77"/>
      <c r="E68" s="78">
        <v>20000</v>
      </c>
      <c r="F68" s="79">
        <v>20</v>
      </c>
      <c r="G68" s="78">
        <v>400000</v>
      </c>
      <c r="H68" s="77"/>
      <c r="I68" s="78">
        <v>20000</v>
      </c>
      <c r="J68" s="79"/>
      <c r="K68" s="78">
        <v>0</v>
      </c>
      <c r="M68" s="78">
        <v>20000</v>
      </c>
      <c r="N68" s="79">
        <v>34</v>
      </c>
      <c r="O68" s="78">
        <v>680000</v>
      </c>
      <c r="P68" s="77"/>
      <c r="Q68" s="78">
        <v>20000</v>
      </c>
      <c r="R68" s="79">
        <v>37</v>
      </c>
      <c r="S68" s="78">
        <v>740000</v>
      </c>
      <c r="T68" s="77"/>
      <c r="U68" s="78">
        <v>20000</v>
      </c>
      <c r="V68" s="79">
        <v>41</v>
      </c>
      <c r="W68" s="78">
        <v>820000</v>
      </c>
    </row>
    <row r="69" spans="1:24" x14ac:dyDescent="0.25">
      <c r="A69" s="80">
        <v>10000</v>
      </c>
      <c r="B69" s="81">
        <v>69</v>
      </c>
      <c r="C69" s="80">
        <v>690000</v>
      </c>
      <c r="D69" s="77"/>
      <c r="E69" s="80">
        <v>10000</v>
      </c>
      <c r="F69" s="81">
        <v>70</v>
      </c>
      <c r="G69" s="80">
        <v>700000</v>
      </c>
      <c r="H69" s="77"/>
      <c r="I69" s="80">
        <v>10000</v>
      </c>
      <c r="J69" s="81"/>
      <c r="K69" s="80">
        <v>0</v>
      </c>
      <c r="M69" s="80">
        <v>10000</v>
      </c>
      <c r="N69" s="81">
        <v>58</v>
      </c>
      <c r="O69" s="80">
        <v>580000</v>
      </c>
      <c r="P69" s="77"/>
      <c r="Q69" s="80">
        <v>10000</v>
      </c>
      <c r="R69" s="81">
        <v>53</v>
      </c>
      <c r="S69" s="80">
        <v>530000</v>
      </c>
      <c r="T69" s="77"/>
      <c r="U69" s="80">
        <v>10000</v>
      </c>
      <c r="V69" s="81">
        <v>52</v>
      </c>
      <c r="W69" s="80">
        <v>520000</v>
      </c>
    </row>
    <row r="70" spans="1:24" x14ac:dyDescent="0.25">
      <c r="A70" s="80">
        <v>5000</v>
      </c>
      <c r="B70" s="81">
        <v>1</v>
      </c>
      <c r="C70" s="80">
        <v>5000</v>
      </c>
      <c r="D70" s="77"/>
      <c r="E70" s="80">
        <v>5000</v>
      </c>
      <c r="F70" s="81">
        <v>1</v>
      </c>
      <c r="G70" s="80">
        <v>5000</v>
      </c>
      <c r="H70" s="77"/>
      <c r="I70" s="80">
        <v>5000</v>
      </c>
      <c r="J70" s="81"/>
      <c r="K70" s="80">
        <v>0</v>
      </c>
      <c r="M70" s="80">
        <v>5000</v>
      </c>
      <c r="N70" s="81">
        <v>0</v>
      </c>
      <c r="O70" s="80">
        <v>0</v>
      </c>
      <c r="P70" s="77"/>
      <c r="Q70" s="80">
        <v>5000</v>
      </c>
      <c r="R70" s="81">
        <v>0</v>
      </c>
      <c r="S70" s="80">
        <v>0</v>
      </c>
      <c r="T70" s="77"/>
      <c r="U70" s="80">
        <v>5000</v>
      </c>
      <c r="V70" s="81">
        <v>0</v>
      </c>
      <c r="W70" s="80">
        <v>0</v>
      </c>
    </row>
    <row r="71" spans="1:24" x14ac:dyDescent="0.25">
      <c r="A71" s="80">
        <v>2000</v>
      </c>
      <c r="B71" s="81">
        <v>1</v>
      </c>
      <c r="C71" s="80">
        <v>2000</v>
      </c>
      <c r="D71" s="77"/>
      <c r="E71" s="80">
        <v>2000</v>
      </c>
      <c r="F71" s="81">
        <v>1</v>
      </c>
      <c r="G71" s="80">
        <v>2000</v>
      </c>
      <c r="H71" s="77"/>
      <c r="I71" s="80">
        <v>2000</v>
      </c>
      <c r="J71" s="81"/>
      <c r="K71" s="80">
        <v>0</v>
      </c>
      <c r="M71" s="80">
        <v>2000</v>
      </c>
      <c r="N71" s="81">
        <v>1</v>
      </c>
      <c r="O71" s="80">
        <v>2000</v>
      </c>
      <c r="P71" s="77"/>
      <c r="Q71" s="80">
        <v>2000</v>
      </c>
      <c r="R71" s="81">
        <v>2</v>
      </c>
      <c r="S71" s="80">
        <v>4000</v>
      </c>
      <c r="T71" s="77"/>
      <c r="U71" s="80">
        <v>2000</v>
      </c>
      <c r="V71" s="81">
        <v>1</v>
      </c>
      <c r="W71" s="80">
        <v>2000</v>
      </c>
    </row>
    <row r="72" spans="1:24" x14ac:dyDescent="0.25">
      <c r="A72" s="80">
        <v>1000</v>
      </c>
      <c r="B72" s="81">
        <v>1</v>
      </c>
      <c r="C72" s="80">
        <v>1000</v>
      </c>
      <c r="D72" s="77"/>
      <c r="E72" s="80">
        <v>1000</v>
      </c>
      <c r="F72" s="81">
        <v>3</v>
      </c>
      <c r="G72" s="80">
        <v>3000</v>
      </c>
      <c r="H72" s="77"/>
      <c r="I72" s="80">
        <v>1000</v>
      </c>
      <c r="J72" s="81"/>
      <c r="K72" s="80">
        <v>0</v>
      </c>
      <c r="M72" s="80">
        <v>1000</v>
      </c>
      <c r="N72" s="81">
        <v>3</v>
      </c>
      <c r="O72" s="80">
        <v>3000</v>
      </c>
      <c r="P72" s="77"/>
      <c r="Q72" s="80">
        <v>1000</v>
      </c>
      <c r="R72" s="81">
        <v>3</v>
      </c>
      <c r="S72" s="80">
        <v>3000</v>
      </c>
      <c r="T72" s="77"/>
      <c r="U72" s="80">
        <v>1000</v>
      </c>
      <c r="V72" s="81">
        <v>1</v>
      </c>
      <c r="W72" s="80">
        <v>1000</v>
      </c>
    </row>
    <row r="73" spans="1:24" x14ac:dyDescent="0.25">
      <c r="A73" s="80">
        <v>500</v>
      </c>
      <c r="B73" s="81">
        <v>1</v>
      </c>
      <c r="C73" s="80">
        <v>500</v>
      </c>
      <c r="D73" s="77"/>
      <c r="E73" s="80">
        <v>500</v>
      </c>
      <c r="F73" s="81">
        <v>1</v>
      </c>
      <c r="G73" s="80">
        <v>500</v>
      </c>
      <c r="H73" s="77"/>
      <c r="I73" s="80">
        <v>500</v>
      </c>
      <c r="J73" s="81"/>
      <c r="K73" s="80">
        <v>0</v>
      </c>
      <c r="M73" s="80">
        <v>500</v>
      </c>
      <c r="N73" s="81">
        <v>0</v>
      </c>
      <c r="O73" s="80">
        <v>0</v>
      </c>
      <c r="P73" s="77"/>
      <c r="Q73" s="80">
        <v>500</v>
      </c>
      <c r="R73" s="81">
        <v>0</v>
      </c>
      <c r="S73" s="80">
        <v>0</v>
      </c>
      <c r="T73" s="77"/>
      <c r="U73" s="80">
        <v>500</v>
      </c>
      <c r="V73" s="81">
        <v>0</v>
      </c>
      <c r="W73" s="80">
        <v>0</v>
      </c>
    </row>
    <row r="74" spans="1:24" x14ac:dyDescent="0.25">
      <c r="A74" s="80">
        <v>100</v>
      </c>
      <c r="B74" s="81">
        <v>0</v>
      </c>
      <c r="C74" s="80">
        <v>0</v>
      </c>
      <c r="D74" s="77"/>
      <c r="E74" s="80">
        <v>100</v>
      </c>
      <c r="F74" s="81">
        <v>4</v>
      </c>
      <c r="G74" s="80">
        <v>400</v>
      </c>
      <c r="H74" s="77"/>
      <c r="I74" s="80">
        <v>100</v>
      </c>
      <c r="J74" s="81"/>
      <c r="K74" s="80">
        <v>0</v>
      </c>
      <c r="M74" s="80">
        <v>100</v>
      </c>
      <c r="N74" s="81">
        <v>7</v>
      </c>
      <c r="O74" s="80">
        <v>700</v>
      </c>
      <c r="P74" s="77"/>
      <c r="Q74" s="80">
        <v>100</v>
      </c>
      <c r="R74" s="81">
        <v>0</v>
      </c>
      <c r="S74" s="80">
        <v>0</v>
      </c>
      <c r="T74" s="77"/>
      <c r="U74" s="80">
        <v>100</v>
      </c>
      <c r="V74" s="81">
        <v>1</v>
      </c>
      <c r="W74" s="80">
        <v>100</v>
      </c>
    </row>
    <row r="75" spans="1:24" x14ac:dyDescent="0.25">
      <c r="A75" s="80">
        <v>50</v>
      </c>
      <c r="B75" s="81">
        <v>0</v>
      </c>
      <c r="C75" s="80">
        <v>0</v>
      </c>
      <c r="D75" s="77"/>
      <c r="E75" s="80">
        <v>50</v>
      </c>
      <c r="F75" s="81">
        <v>0</v>
      </c>
      <c r="G75" s="80">
        <v>0</v>
      </c>
      <c r="H75" s="77"/>
      <c r="I75" s="80">
        <v>50</v>
      </c>
      <c r="J75" s="81"/>
      <c r="K75" s="80">
        <v>0</v>
      </c>
      <c r="M75" s="80">
        <v>50</v>
      </c>
      <c r="N75" s="81">
        <v>4</v>
      </c>
      <c r="O75" s="80">
        <v>200</v>
      </c>
      <c r="P75" s="77"/>
      <c r="Q75" s="80">
        <v>50</v>
      </c>
      <c r="R75" s="81">
        <v>4</v>
      </c>
      <c r="S75" s="80">
        <v>200</v>
      </c>
      <c r="T75" s="77"/>
      <c r="U75" s="80">
        <v>50</v>
      </c>
      <c r="V75" s="81">
        <v>4</v>
      </c>
      <c r="W75" s="80">
        <v>200</v>
      </c>
    </row>
    <row r="76" spans="1:24" x14ac:dyDescent="0.25">
      <c r="A76" s="80">
        <v>10</v>
      </c>
      <c r="B76" s="81">
        <v>0</v>
      </c>
      <c r="C76" s="80">
        <v>0</v>
      </c>
      <c r="D76" s="77"/>
      <c r="E76" s="80">
        <v>10</v>
      </c>
      <c r="F76" s="81">
        <v>0</v>
      </c>
      <c r="G76" s="80">
        <v>0</v>
      </c>
      <c r="H76" s="77"/>
      <c r="I76" s="80">
        <v>10</v>
      </c>
      <c r="J76" s="81"/>
      <c r="K76" s="80">
        <v>0</v>
      </c>
      <c r="M76" s="80">
        <v>10</v>
      </c>
      <c r="N76" s="81">
        <v>10</v>
      </c>
      <c r="O76" s="80">
        <v>100</v>
      </c>
      <c r="P76" s="77"/>
      <c r="Q76" s="80">
        <v>10</v>
      </c>
      <c r="R76" s="81">
        <v>1</v>
      </c>
      <c r="S76" s="80">
        <v>10</v>
      </c>
      <c r="T76" s="77"/>
      <c r="U76" s="80">
        <v>10</v>
      </c>
      <c r="V76" s="81">
        <v>7</v>
      </c>
      <c r="W76" s="80">
        <v>70</v>
      </c>
    </row>
    <row r="77" spans="1:24" x14ac:dyDescent="0.25">
      <c r="A77" s="410" t="s">
        <v>39</v>
      </c>
      <c r="B77" s="411"/>
      <c r="C77" s="82">
        <v>978500</v>
      </c>
      <c r="D77" s="77"/>
      <c r="E77" s="410" t="s">
        <v>39</v>
      </c>
      <c r="F77" s="411"/>
      <c r="G77" s="82">
        <v>1110900</v>
      </c>
      <c r="H77" s="77"/>
      <c r="I77" s="410" t="s">
        <v>39</v>
      </c>
      <c r="J77" s="411"/>
      <c r="K77" s="82">
        <v>0</v>
      </c>
      <c r="M77" s="410" t="s">
        <v>39</v>
      </c>
      <c r="N77" s="411"/>
      <c r="O77" s="82">
        <v>1266000</v>
      </c>
      <c r="P77" s="77"/>
      <c r="Q77" s="410" t="s">
        <v>39</v>
      </c>
      <c r="R77" s="411"/>
      <c r="S77" s="82">
        <v>1277210</v>
      </c>
      <c r="T77" s="77"/>
      <c r="U77" s="410" t="s">
        <v>39</v>
      </c>
      <c r="V77" s="411"/>
      <c r="W77" s="82">
        <v>1343370</v>
      </c>
    </row>
    <row r="78" spans="1:24" s="223" customFormat="1" x14ac:dyDescent="0.25">
      <c r="A78" s="309"/>
      <c r="B78" s="309"/>
      <c r="C78" s="310"/>
      <c r="D78" s="300"/>
      <c r="E78" s="309"/>
      <c r="F78" s="309"/>
      <c r="G78" s="310"/>
      <c r="H78" s="300"/>
      <c r="I78" s="309"/>
      <c r="J78" s="309"/>
      <c r="K78" s="310"/>
      <c r="M78" s="309"/>
      <c r="N78" s="309"/>
      <c r="O78" s="310"/>
      <c r="P78" s="300"/>
      <c r="Q78" s="309"/>
      <c r="R78" s="309"/>
      <c r="S78" s="310"/>
      <c r="T78" s="300"/>
      <c r="U78" s="309"/>
      <c r="V78" s="309"/>
      <c r="W78" s="310"/>
    </row>
    <row r="79" spans="1:24" s="223" customFormat="1" x14ac:dyDescent="0.25">
      <c r="A79" s="311" t="s">
        <v>168</v>
      </c>
      <c r="B79" s="311"/>
      <c r="C79" s="312"/>
      <c r="D79" s="300"/>
      <c r="E79" s="311" t="s">
        <v>168</v>
      </c>
      <c r="F79" s="311"/>
      <c r="G79" s="312">
        <v>1050000</v>
      </c>
      <c r="H79" s="300"/>
      <c r="I79" s="311" t="s">
        <v>163</v>
      </c>
      <c r="J79" s="311"/>
      <c r="K79" s="312">
        <v>1061025</v>
      </c>
      <c r="M79" s="311" t="s">
        <v>168</v>
      </c>
      <c r="N79" s="311"/>
      <c r="O79" s="312">
        <v>1079807</v>
      </c>
      <c r="P79" s="300"/>
      <c r="Q79" s="311" t="s">
        <v>168</v>
      </c>
      <c r="R79" s="311"/>
      <c r="S79" s="312">
        <v>1097015</v>
      </c>
      <c r="T79" s="300"/>
      <c r="U79" s="311" t="s">
        <v>163</v>
      </c>
      <c r="V79" s="311"/>
      <c r="W79" s="312">
        <v>1102939</v>
      </c>
      <c r="X79" s="228"/>
    </row>
    <row r="80" spans="1:24" s="223" customFormat="1" x14ac:dyDescent="0.25">
      <c r="A80" s="311" t="s">
        <v>166</v>
      </c>
      <c r="B80" s="311"/>
      <c r="C80" s="313"/>
      <c r="D80" s="300"/>
      <c r="E80" s="311" t="s">
        <v>166</v>
      </c>
      <c r="F80" s="311"/>
      <c r="G80" s="313">
        <v>45222</v>
      </c>
      <c r="H80" s="300"/>
      <c r="I80" s="311" t="s">
        <v>166</v>
      </c>
      <c r="J80" s="311"/>
      <c r="K80" s="313">
        <v>45264</v>
      </c>
      <c r="M80" s="311" t="s">
        <v>166</v>
      </c>
      <c r="N80" s="311"/>
      <c r="O80" s="313">
        <v>45386</v>
      </c>
      <c r="P80" s="300"/>
      <c r="Q80" s="311" t="s">
        <v>166</v>
      </c>
      <c r="R80" s="311"/>
      <c r="S80" s="313">
        <v>45434</v>
      </c>
      <c r="T80" s="300"/>
      <c r="U80" s="311" t="s">
        <v>166</v>
      </c>
      <c r="V80" s="311"/>
      <c r="W80" s="313">
        <v>45474</v>
      </c>
    </row>
    <row r="81" spans="1:24" s="223" customFormat="1" x14ac:dyDescent="0.25">
      <c r="A81" s="311" t="s">
        <v>167</v>
      </c>
      <c r="B81" s="311"/>
      <c r="C81" s="313"/>
      <c r="D81" s="300"/>
      <c r="E81" s="311" t="s">
        <v>167</v>
      </c>
      <c r="F81" s="311"/>
      <c r="G81" s="313">
        <v>45264</v>
      </c>
      <c r="H81" s="300"/>
      <c r="I81" s="311" t="s">
        <v>167</v>
      </c>
      <c r="J81" s="311"/>
      <c r="K81" s="313">
        <v>45385</v>
      </c>
      <c r="M81" s="311" t="s">
        <v>167</v>
      </c>
      <c r="N81" s="311"/>
      <c r="O81" s="313">
        <v>45432</v>
      </c>
      <c r="P81" s="300"/>
      <c r="Q81" s="311" t="s">
        <v>167</v>
      </c>
      <c r="R81" s="311"/>
      <c r="S81" s="313">
        <v>45470</v>
      </c>
      <c r="T81" s="300"/>
      <c r="U81" s="311" t="s">
        <v>167</v>
      </c>
      <c r="V81" s="311"/>
      <c r="W81" s="313">
        <v>45516</v>
      </c>
    </row>
    <row r="82" spans="1:24" s="223" customFormat="1" ht="15.75" thickBot="1" x14ac:dyDescent="0.3">
      <c r="A82" s="311" t="s">
        <v>53</v>
      </c>
      <c r="B82" s="311"/>
      <c r="C82" s="312"/>
      <c r="D82" s="300"/>
      <c r="E82" s="311" t="s">
        <v>53</v>
      </c>
      <c r="F82" s="311"/>
      <c r="G82" s="312">
        <v>1061025</v>
      </c>
      <c r="H82" s="300"/>
      <c r="I82" s="311" t="s">
        <v>53</v>
      </c>
      <c r="J82" s="311"/>
      <c r="K82" s="312">
        <v>1079807</v>
      </c>
      <c r="M82" s="311" t="s">
        <v>53</v>
      </c>
      <c r="N82" s="311"/>
      <c r="O82" s="312">
        <v>1097015</v>
      </c>
      <c r="P82" s="300"/>
      <c r="Q82" s="311" t="s">
        <v>53</v>
      </c>
      <c r="R82" s="311"/>
      <c r="S82" s="312">
        <v>1102939</v>
      </c>
      <c r="T82" s="300"/>
      <c r="U82" s="311" t="s">
        <v>53</v>
      </c>
      <c r="V82" s="311"/>
      <c r="W82" s="312">
        <v>1109424</v>
      </c>
      <c r="X82" s="228"/>
    </row>
    <row r="83" spans="1:24" s="223" customFormat="1" ht="15.75" thickBot="1" x14ac:dyDescent="0.3">
      <c r="A83" s="314" t="s">
        <v>164</v>
      </c>
      <c r="B83" s="315"/>
      <c r="C83" s="316"/>
      <c r="D83" s="300"/>
      <c r="E83" s="314" t="s">
        <v>164</v>
      </c>
      <c r="F83" s="315"/>
      <c r="G83" s="316">
        <f>+G82-G79</f>
        <v>11025</v>
      </c>
      <c r="H83" s="300"/>
      <c r="I83" s="314" t="s">
        <v>164</v>
      </c>
      <c r="J83" s="315"/>
      <c r="K83" s="316">
        <f>+K82-K79</f>
        <v>18782</v>
      </c>
      <c r="M83" s="314" t="s">
        <v>164</v>
      </c>
      <c r="N83" s="315"/>
      <c r="O83" s="316">
        <v>17208</v>
      </c>
      <c r="P83" s="300"/>
      <c r="Q83" s="314" t="s">
        <v>164</v>
      </c>
      <c r="R83" s="315"/>
      <c r="S83" s="316">
        <v>5924</v>
      </c>
      <c r="T83" s="300"/>
      <c r="U83" s="314" t="s">
        <v>164</v>
      </c>
      <c r="V83" s="315"/>
      <c r="W83" s="316">
        <v>6485</v>
      </c>
      <c r="X83" s="228"/>
    </row>
    <row r="84" spans="1:24" ht="15.75" thickBo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</row>
    <row r="85" spans="1:24" ht="15.75" thickBot="1" x14ac:dyDescent="0.3">
      <c r="A85" s="407">
        <v>45482</v>
      </c>
      <c r="B85" s="408"/>
      <c r="C85" s="409"/>
      <c r="D85" s="77"/>
      <c r="E85" s="407">
        <v>45516</v>
      </c>
      <c r="F85" s="408"/>
      <c r="G85" s="409"/>
      <c r="H85" s="77"/>
      <c r="I85" s="407">
        <v>45546</v>
      </c>
      <c r="J85" s="408"/>
      <c r="K85" s="409"/>
      <c r="M85" s="407">
        <v>45604</v>
      </c>
      <c r="N85" s="408"/>
      <c r="O85" s="409"/>
      <c r="P85" s="77"/>
      <c r="Q85" s="407">
        <v>45636</v>
      </c>
      <c r="R85" s="408"/>
      <c r="S85" s="409"/>
      <c r="T85" s="77"/>
      <c r="U85" s="400"/>
      <c r="V85" s="401"/>
      <c r="W85" s="402"/>
    </row>
    <row r="86" spans="1:24" x14ac:dyDescent="0.25">
      <c r="A86" s="78">
        <v>20000</v>
      </c>
      <c r="B86" s="79">
        <v>41</v>
      </c>
      <c r="C86" s="78">
        <v>820000</v>
      </c>
      <c r="D86" s="77"/>
      <c r="E86" s="78">
        <v>20000</v>
      </c>
      <c r="F86" s="79">
        <v>48</v>
      </c>
      <c r="G86" s="78">
        <v>960000</v>
      </c>
      <c r="H86" s="77"/>
      <c r="I86" s="78">
        <v>20000</v>
      </c>
      <c r="J86" s="79">
        <v>56</v>
      </c>
      <c r="K86" s="78">
        <v>1120000</v>
      </c>
      <c r="M86" s="78">
        <v>20000</v>
      </c>
      <c r="N86" s="79">
        <v>72</v>
      </c>
      <c r="O86" s="78">
        <v>1440000</v>
      </c>
      <c r="P86" s="77"/>
      <c r="Q86" s="78">
        <v>20000</v>
      </c>
      <c r="R86" s="79">
        <v>11</v>
      </c>
      <c r="S86" s="78">
        <v>220000</v>
      </c>
      <c r="T86" s="77"/>
      <c r="U86" s="83">
        <v>20000</v>
      </c>
      <c r="V86" s="84"/>
      <c r="W86" s="83">
        <f>+U86*V86</f>
        <v>0</v>
      </c>
    </row>
    <row r="87" spans="1:24" x14ac:dyDescent="0.25">
      <c r="A87" s="80">
        <v>10000</v>
      </c>
      <c r="B87" s="81">
        <v>61</v>
      </c>
      <c r="C87" s="80">
        <v>610000</v>
      </c>
      <c r="D87" s="77"/>
      <c r="E87" s="80">
        <v>10000</v>
      </c>
      <c r="F87" s="81">
        <v>55</v>
      </c>
      <c r="G87" s="80">
        <v>550000</v>
      </c>
      <c r="H87" s="77"/>
      <c r="I87" s="80">
        <v>10000</v>
      </c>
      <c r="J87" s="81">
        <v>52</v>
      </c>
      <c r="K87" s="80">
        <v>520000</v>
      </c>
      <c r="M87" s="80">
        <v>10000</v>
      </c>
      <c r="N87" s="81">
        <v>54</v>
      </c>
      <c r="O87" s="80">
        <v>540000</v>
      </c>
      <c r="P87" s="77"/>
      <c r="Q87" s="80">
        <v>10000</v>
      </c>
      <c r="R87" s="81">
        <v>40</v>
      </c>
      <c r="S87" s="80">
        <v>400000</v>
      </c>
      <c r="T87" s="77"/>
      <c r="U87" s="85">
        <v>10000</v>
      </c>
      <c r="V87" s="86"/>
      <c r="W87" s="85">
        <f t="shared" ref="W87:W94" si="2">+U87*V87</f>
        <v>0</v>
      </c>
    </row>
    <row r="88" spans="1:24" x14ac:dyDescent="0.25">
      <c r="A88" s="80">
        <v>5000</v>
      </c>
      <c r="B88" s="81">
        <v>1</v>
      </c>
      <c r="C88" s="80">
        <v>5000</v>
      </c>
      <c r="D88" s="77"/>
      <c r="E88" s="80">
        <v>5000</v>
      </c>
      <c r="F88" s="81">
        <v>1</v>
      </c>
      <c r="G88" s="80">
        <v>5000</v>
      </c>
      <c r="H88" s="77"/>
      <c r="I88" s="80">
        <v>5000</v>
      </c>
      <c r="J88" s="81">
        <v>0</v>
      </c>
      <c r="K88" s="80">
        <v>0</v>
      </c>
      <c r="M88" s="80">
        <v>5000</v>
      </c>
      <c r="N88" s="81">
        <v>2</v>
      </c>
      <c r="O88" s="80">
        <v>10000</v>
      </c>
      <c r="P88" s="77"/>
      <c r="Q88" s="80">
        <v>5000</v>
      </c>
      <c r="R88" s="81">
        <v>4</v>
      </c>
      <c r="S88" s="80">
        <v>20000</v>
      </c>
      <c r="T88" s="77"/>
      <c r="U88" s="85">
        <v>5000</v>
      </c>
      <c r="V88" s="86"/>
      <c r="W88" s="85">
        <f t="shared" si="2"/>
        <v>0</v>
      </c>
    </row>
    <row r="89" spans="1:24" x14ac:dyDescent="0.25">
      <c r="A89" s="80">
        <v>2000</v>
      </c>
      <c r="B89" s="81">
        <v>1</v>
      </c>
      <c r="C89" s="80">
        <v>2000</v>
      </c>
      <c r="D89" s="77"/>
      <c r="E89" s="80">
        <v>2000</v>
      </c>
      <c r="F89" s="81">
        <v>1</v>
      </c>
      <c r="G89" s="80">
        <v>2000</v>
      </c>
      <c r="H89" s="77"/>
      <c r="I89" s="80">
        <v>2000</v>
      </c>
      <c r="J89" s="81">
        <v>1</v>
      </c>
      <c r="K89" s="80">
        <v>2000</v>
      </c>
      <c r="M89" s="80">
        <v>2000</v>
      </c>
      <c r="N89" s="81">
        <v>3</v>
      </c>
      <c r="O89" s="80">
        <v>6000</v>
      </c>
      <c r="P89" s="77"/>
      <c r="Q89" s="80">
        <v>2000</v>
      </c>
      <c r="R89" s="81">
        <v>6</v>
      </c>
      <c r="S89" s="80">
        <v>12000</v>
      </c>
      <c r="T89" s="77"/>
      <c r="U89" s="87">
        <v>2000</v>
      </c>
      <c r="V89" s="86"/>
      <c r="W89" s="85">
        <f t="shared" si="2"/>
        <v>0</v>
      </c>
    </row>
    <row r="90" spans="1:24" x14ac:dyDescent="0.25">
      <c r="A90" s="80">
        <v>1000</v>
      </c>
      <c r="B90" s="81">
        <v>3</v>
      </c>
      <c r="C90" s="80">
        <v>3000</v>
      </c>
      <c r="D90" s="77"/>
      <c r="E90" s="80">
        <v>1000</v>
      </c>
      <c r="F90" s="81">
        <v>1</v>
      </c>
      <c r="G90" s="80">
        <v>1000</v>
      </c>
      <c r="H90" s="77"/>
      <c r="I90" s="80">
        <v>1000</v>
      </c>
      <c r="J90" s="81">
        <v>7</v>
      </c>
      <c r="K90" s="80">
        <v>7000</v>
      </c>
      <c r="M90" s="80">
        <v>1000</v>
      </c>
      <c r="N90" s="81">
        <v>5</v>
      </c>
      <c r="O90" s="80">
        <v>5000</v>
      </c>
      <c r="P90" s="77"/>
      <c r="Q90" s="80">
        <v>1000</v>
      </c>
      <c r="R90" s="81">
        <v>1</v>
      </c>
      <c r="S90" s="80">
        <v>1000</v>
      </c>
      <c r="T90" s="77"/>
      <c r="U90" s="87">
        <v>1000</v>
      </c>
      <c r="V90" s="86"/>
      <c r="W90" s="85">
        <f t="shared" si="2"/>
        <v>0</v>
      </c>
    </row>
    <row r="91" spans="1:24" x14ac:dyDescent="0.25">
      <c r="A91" s="80">
        <v>500</v>
      </c>
      <c r="B91" s="81">
        <v>0</v>
      </c>
      <c r="C91" s="80">
        <v>0</v>
      </c>
      <c r="D91" s="77"/>
      <c r="E91" s="80">
        <v>500</v>
      </c>
      <c r="F91" s="81">
        <v>0</v>
      </c>
      <c r="G91" s="80">
        <v>0</v>
      </c>
      <c r="H91" s="77"/>
      <c r="I91" s="80">
        <v>500</v>
      </c>
      <c r="J91" s="81">
        <v>0</v>
      </c>
      <c r="K91" s="80">
        <v>0</v>
      </c>
      <c r="M91" s="80">
        <v>500</v>
      </c>
      <c r="N91" s="81">
        <v>0</v>
      </c>
      <c r="O91" s="80">
        <v>0</v>
      </c>
      <c r="P91" s="77"/>
      <c r="Q91" s="80">
        <v>500</v>
      </c>
      <c r="R91" s="81">
        <v>0</v>
      </c>
      <c r="S91" s="80">
        <v>0</v>
      </c>
      <c r="T91" s="77"/>
      <c r="U91" s="87">
        <v>500</v>
      </c>
      <c r="V91" s="86"/>
      <c r="W91" s="85">
        <f t="shared" si="2"/>
        <v>0</v>
      </c>
    </row>
    <row r="92" spans="1:24" x14ac:dyDescent="0.25">
      <c r="A92" s="80">
        <v>100</v>
      </c>
      <c r="B92" s="81">
        <v>9</v>
      </c>
      <c r="C92" s="80">
        <v>900</v>
      </c>
      <c r="D92" s="77"/>
      <c r="E92" s="80">
        <v>100</v>
      </c>
      <c r="F92" s="81">
        <v>26</v>
      </c>
      <c r="G92" s="80">
        <v>2600</v>
      </c>
      <c r="H92" s="77"/>
      <c r="I92" s="80">
        <v>100</v>
      </c>
      <c r="J92" s="81">
        <v>25</v>
      </c>
      <c r="K92" s="80">
        <v>2500</v>
      </c>
      <c r="M92" s="80">
        <v>100</v>
      </c>
      <c r="N92" s="81">
        <v>1</v>
      </c>
      <c r="O92" s="80">
        <v>100</v>
      </c>
      <c r="P92" s="77"/>
      <c r="Q92" s="80">
        <v>100</v>
      </c>
      <c r="R92" s="81">
        <v>7</v>
      </c>
      <c r="S92" s="80">
        <v>700</v>
      </c>
      <c r="T92" s="77"/>
      <c r="U92" s="85">
        <v>100</v>
      </c>
      <c r="V92" s="86"/>
      <c r="W92" s="85">
        <f t="shared" si="2"/>
        <v>0</v>
      </c>
    </row>
    <row r="93" spans="1:24" x14ac:dyDescent="0.25">
      <c r="A93" s="80">
        <v>50</v>
      </c>
      <c r="B93" s="81">
        <v>3</v>
      </c>
      <c r="C93" s="80">
        <v>150</v>
      </c>
      <c r="D93" s="77"/>
      <c r="E93" s="80">
        <v>50</v>
      </c>
      <c r="F93" s="81">
        <v>7</v>
      </c>
      <c r="G93" s="80">
        <v>350</v>
      </c>
      <c r="H93" s="77"/>
      <c r="I93" s="80">
        <v>50</v>
      </c>
      <c r="J93" s="81">
        <v>9</v>
      </c>
      <c r="K93" s="80">
        <v>450</v>
      </c>
      <c r="M93" s="80">
        <v>50</v>
      </c>
      <c r="N93" s="81">
        <v>3</v>
      </c>
      <c r="O93" s="80">
        <v>150</v>
      </c>
      <c r="P93" s="77"/>
      <c r="Q93" s="80">
        <v>50</v>
      </c>
      <c r="R93" s="81">
        <v>3</v>
      </c>
      <c r="S93" s="80">
        <v>150</v>
      </c>
      <c r="T93" s="77"/>
      <c r="U93" s="87">
        <v>50</v>
      </c>
      <c r="V93" s="86"/>
      <c r="W93" s="85">
        <f t="shared" si="2"/>
        <v>0</v>
      </c>
    </row>
    <row r="94" spans="1:24" x14ac:dyDescent="0.25">
      <c r="A94" s="80">
        <v>10</v>
      </c>
      <c r="B94" s="81">
        <v>6</v>
      </c>
      <c r="C94" s="80">
        <v>60</v>
      </c>
      <c r="D94" s="77"/>
      <c r="E94" s="80">
        <v>10</v>
      </c>
      <c r="F94" s="81">
        <v>20</v>
      </c>
      <c r="G94" s="80">
        <v>200</v>
      </c>
      <c r="H94" s="77"/>
      <c r="I94" s="80">
        <v>10</v>
      </c>
      <c r="J94" s="81">
        <v>24</v>
      </c>
      <c r="K94" s="80">
        <v>240</v>
      </c>
      <c r="M94" s="80">
        <v>10</v>
      </c>
      <c r="N94" s="81">
        <v>23</v>
      </c>
      <c r="O94" s="80">
        <v>230</v>
      </c>
      <c r="P94" s="77"/>
      <c r="Q94" s="80">
        <v>10</v>
      </c>
      <c r="R94" s="81">
        <v>27</v>
      </c>
      <c r="S94" s="80">
        <v>270</v>
      </c>
      <c r="T94" s="77"/>
      <c r="U94" s="87">
        <v>10</v>
      </c>
      <c r="V94" s="86"/>
      <c r="W94" s="85">
        <f t="shared" si="2"/>
        <v>0</v>
      </c>
    </row>
    <row r="95" spans="1:24" x14ac:dyDescent="0.25">
      <c r="A95" s="410" t="s">
        <v>39</v>
      </c>
      <c r="B95" s="411"/>
      <c r="C95" s="82">
        <v>1441110</v>
      </c>
      <c r="D95" s="77"/>
      <c r="E95" s="410" t="s">
        <v>39</v>
      </c>
      <c r="F95" s="411"/>
      <c r="G95" s="82">
        <v>1521150</v>
      </c>
      <c r="H95" s="77"/>
      <c r="I95" s="410" t="s">
        <v>39</v>
      </c>
      <c r="J95" s="411"/>
      <c r="K95" s="82">
        <v>1652190</v>
      </c>
      <c r="M95" s="410" t="s">
        <v>39</v>
      </c>
      <c r="N95" s="411"/>
      <c r="O95" s="82">
        <v>2001480</v>
      </c>
      <c r="P95" s="77"/>
      <c r="Q95" s="410" t="s">
        <v>39</v>
      </c>
      <c r="R95" s="411"/>
      <c r="S95" s="82">
        <v>654120</v>
      </c>
      <c r="T95" s="77"/>
      <c r="U95" s="403" t="s">
        <v>39</v>
      </c>
      <c r="V95" s="404"/>
      <c r="W95" s="88">
        <f>SUM(W86:W94)</f>
        <v>0</v>
      </c>
    </row>
    <row r="96" spans="1:24" s="223" customFormat="1" x14ac:dyDescent="0.25">
      <c r="A96" s="309"/>
      <c r="B96" s="309"/>
      <c r="C96" s="310"/>
      <c r="D96" s="300"/>
      <c r="E96" s="309"/>
      <c r="F96" s="309"/>
      <c r="G96" s="310"/>
      <c r="H96" s="300"/>
      <c r="I96" s="309"/>
      <c r="J96" s="309"/>
      <c r="K96" s="310"/>
      <c r="M96" s="309"/>
      <c r="N96" s="309"/>
      <c r="O96" s="310"/>
      <c r="P96" s="300"/>
      <c r="Q96" s="309"/>
      <c r="R96" s="309"/>
      <c r="S96" s="310"/>
      <c r="T96" s="300"/>
      <c r="U96" s="301"/>
      <c r="V96" s="301"/>
      <c r="W96" s="302"/>
    </row>
    <row r="97" spans="1:23" s="223" customFormat="1" x14ac:dyDescent="0.25">
      <c r="A97" s="311" t="s">
        <v>163</v>
      </c>
      <c r="B97" s="311"/>
      <c r="C97" s="312"/>
      <c r="D97" s="300"/>
      <c r="E97" s="311" t="s">
        <v>168</v>
      </c>
      <c r="F97" s="311"/>
      <c r="G97" s="312"/>
      <c r="H97" s="300"/>
      <c r="I97" s="311" t="s">
        <v>163</v>
      </c>
      <c r="J97" s="311"/>
      <c r="K97" s="312">
        <v>1109424</v>
      </c>
      <c r="M97" s="311" t="s">
        <v>168</v>
      </c>
      <c r="N97" s="311"/>
      <c r="O97" s="312">
        <f>+'2024'!S33</f>
        <v>1125421</v>
      </c>
      <c r="P97" s="300"/>
      <c r="Q97" s="311" t="s">
        <v>163</v>
      </c>
      <c r="R97" s="311"/>
      <c r="S97" s="312"/>
      <c r="T97" s="300"/>
      <c r="U97" s="303" t="s">
        <v>168</v>
      </c>
      <c r="V97" s="303"/>
      <c r="W97" s="304"/>
    </row>
    <row r="98" spans="1:23" s="223" customFormat="1" x14ac:dyDescent="0.25">
      <c r="A98" s="311" t="s">
        <v>166</v>
      </c>
      <c r="B98" s="311"/>
      <c r="C98" s="313"/>
      <c r="D98" s="300"/>
      <c r="E98" s="311" t="s">
        <v>166</v>
      </c>
      <c r="F98" s="311"/>
      <c r="G98" s="313"/>
      <c r="H98" s="300"/>
      <c r="I98" s="311" t="s">
        <v>166</v>
      </c>
      <c r="J98" s="311"/>
      <c r="K98" s="313">
        <v>45517</v>
      </c>
      <c r="M98" s="311" t="s">
        <v>166</v>
      </c>
      <c r="N98" s="311"/>
      <c r="O98" s="313">
        <f>+'2024'!S34</f>
        <v>45632</v>
      </c>
      <c r="P98" s="300"/>
      <c r="Q98" s="311" t="s">
        <v>166</v>
      </c>
      <c r="R98" s="311"/>
      <c r="S98" s="313"/>
      <c r="T98" s="300"/>
      <c r="U98" s="303" t="s">
        <v>166</v>
      </c>
      <c r="V98" s="303"/>
      <c r="W98" s="308"/>
    </row>
    <row r="99" spans="1:23" s="223" customFormat="1" x14ac:dyDescent="0.25">
      <c r="A99" s="311" t="s">
        <v>167</v>
      </c>
      <c r="B99" s="311"/>
      <c r="C99" s="313"/>
      <c r="D99" s="300"/>
      <c r="E99" s="311" t="s">
        <v>167</v>
      </c>
      <c r="F99" s="311"/>
      <c r="G99" s="313"/>
      <c r="H99" s="300"/>
      <c r="I99" s="311" t="s">
        <v>167</v>
      </c>
      <c r="J99" s="311"/>
      <c r="K99" s="313">
        <v>45552</v>
      </c>
      <c r="M99" s="311" t="s">
        <v>167</v>
      </c>
      <c r="N99" s="311"/>
      <c r="O99" s="313">
        <f>+'2024'!S35</f>
        <v>45667</v>
      </c>
      <c r="P99" s="300"/>
      <c r="Q99" s="311" t="s">
        <v>167</v>
      </c>
      <c r="R99" s="311"/>
      <c r="S99" s="313"/>
      <c r="T99" s="300"/>
      <c r="U99" s="303" t="s">
        <v>167</v>
      </c>
      <c r="V99" s="303"/>
      <c r="W99" s="308"/>
    </row>
    <row r="100" spans="1:23" s="223" customFormat="1" ht="15.75" thickBot="1" x14ac:dyDescent="0.3">
      <c r="A100" s="311" t="s">
        <v>53</v>
      </c>
      <c r="B100" s="311"/>
      <c r="C100" s="312"/>
      <c r="D100" s="300"/>
      <c r="E100" s="311" t="s">
        <v>53</v>
      </c>
      <c r="F100" s="311"/>
      <c r="G100" s="312"/>
      <c r="H100" s="300"/>
      <c r="I100" s="311" t="s">
        <v>53</v>
      </c>
      <c r="J100" s="311"/>
      <c r="K100" s="312">
        <v>1114731</v>
      </c>
      <c r="M100" s="311" t="s">
        <v>53</v>
      </c>
      <c r="N100" s="311"/>
      <c r="O100" s="312">
        <f>+'2024'!S36</f>
        <v>1130542</v>
      </c>
      <c r="P100" s="300"/>
      <c r="Q100" s="311" t="s">
        <v>53</v>
      </c>
      <c r="R100" s="311"/>
      <c r="S100" s="312"/>
      <c r="T100" s="300"/>
      <c r="U100" s="303" t="s">
        <v>53</v>
      </c>
      <c r="V100" s="303"/>
      <c r="W100" s="304"/>
    </row>
    <row r="101" spans="1:23" s="223" customFormat="1" ht="15.75" thickBot="1" x14ac:dyDescent="0.3">
      <c r="A101" s="314" t="s">
        <v>164</v>
      </c>
      <c r="B101" s="315"/>
      <c r="C101" s="316"/>
      <c r="D101" s="300"/>
      <c r="E101" s="314" t="s">
        <v>164</v>
      </c>
      <c r="F101" s="315"/>
      <c r="G101" s="316"/>
      <c r="H101" s="300"/>
      <c r="I101" s="314" t="s">
        <v>164</v>
      </c>
      <c r="J101" s="315"/>
      <c r="K101" s="316">
        <v>5307</v>
      </c>
      <c r="M101" s="314" t="s">
        <v>164</v>
      </c>
      <c r="N101" s="315"/>
      <c r="O101" s="316">
        <f>+O100-O97</f>
        <v>5121</v>
      </c>
      <c r="P101" s="300"/>
      <c r="Q101" s="314" t="s">
        <v>164</v>
      </c>
      <c r="R101" s="315"/>
      <c r="S101" s="316"/>
      <c r="T101" s="300"/>
      <c r="U101" s="305" t="s">
        <v>164</v>
      </c>
      <c r="V101" s="306"/>
      <c r="W101" s="307"/>
    </row>
    <row r="102" spans="1:23" ht="15.75" thickBot="1" x14ac:dyDescent="0.3">
      <c r="A102" s="77"/>
      <c r="B102" s="77"/>
      <c r="C102" s="269"/>
      <c r="D102" s="77"/>
      <c r="E102" s="77"/>
      <c r="F102" s="77"/>
      <c r="G102" s="269"/>
      <c r="H102" s="77"/>
      <c r="I102" s="77"/>
      <c r="J102" s="77"/>
      <c r="K102" s="269"/>
      <c r="M102" s="77"/>
      <c r="N102" s="77"/>
      <c r="O102" s="269"/>
      <c r="P102" s="77"/>
      <c r="Q102" s="77"/>
      <c r="R102" s="77"/>
      <c r="S102" s="269"/>
      <c r="T102" s="77"/>
      <c r="U102" s="77"/>
      <c r="V102" s="77"/>
      <c r="W102" s="269"/>
    </row>
    <row r="103" spans="1:23" ht="15.75" thickBot="1" x14ac:dyDescent="0.3">
      <c r="A103" s="400"/>
      <c r="B103" s="401"/>
      <c r="C103" s="402"/>
      <c r="D103" s="77"/>
      <c r="E103" s="400"/>
      <c r="F103" s="401"/>
      <c r="G103" s="402"/>
      <c r="H103" s="77"/>
      <c r="I103" s="400"/>
      <c r="J103" s="405"/>
      <c r="K103" s="406"/>
      <c r="M103" s="400"/>
      <c r="N103" s="401"/>
      <c r="O103" s="402"/>
      <c r="P103" s="77"/>
      <c r="Q103" s="400"/>
      <c r="R103" s="405"/>
      <c r="S103" s="406"/>
      <c r="T103" s="77"/>
      <c r="U103" s="400"/>
      <c r="V103" s="401"/>
      <c r="W103" s="402"/>
    </row>
    <row r="104" spans="1:23" x14ac:dyDescent="0.25">
      <c r="A104" s="83">
        <v>20000</v>
      </c>
      <c r="B104" s="84"/>
      <c r="C104" s="83">
        <f>+A104*B104</f>
        <v>0</v>
      </c>
      <c r="D104" s="77"/>
      <c r="E104" s="83">
        <v>20000</v>
      </c>
      <c r="F104" s="84"/>
      <c r="G104" s="83">
        <f>+E104*F104</f>
        <v>0</v>
      </c>
      <c r="H104" s="77"/>
      <c r="I104" s="83">
        <v>20000</v>
      </c>
      <c r="J104" s="84"/>
      <c r="K104" s="83">
        <f>+I104*J104</f>
        <v>0</v>
      </c>
      <c r="M104" s="83">
        <v>20000</v>
      </c>
      <c r="N104" s="84"/>
      <c r="O104" s="83">
        <f>+M104*N104</f>
        <v>0</v>
      </c>
      <c r="P104" s="77"/>
      <c r="Q104" s="83">
        <v>20000</v>
      </c>
      <c r="R104" s="84"/>
      <c r="S104" s="83">
        <f>+Q104*R104</f>
        <v>0</v>
      </c>
      <c r="T104" s="77"/>
      <c r="U104" s="83">
        <v>20000</v>
      </c>
      <c r="V104" s="84"/>
      <c r="W104" s="83">
        <f>+U104*V104</f>
        <v>0</v>
      </c>
    </row>
    <row r="105" spans="1:23" x14ac:dyDescent="0.25">
      <c r="A105" s="85">
        <v>10000</v>
      </c>
      <c r="B105" s="86"/>
      <c r="C105" s="85">
        <f t="shared" ref="C105:C112" si="3">+A105*B105</f>
        <v>0</v>
      </c>
      <c r="D105" s="77"/>
      <c r="E105" s="85">
        <v>10000</v>
      </c>
      <c r="F105" s="86"/>
      <c r="G105" s="85">
        <f t="shared" ref="G105:G112" si="4">+E105*F105</f>
        <v>0</v>
      </c>
      <c r="H105" s="77"/>
      <c r="I105" s="85">
        <v>10000</v>
      </c>
      <c r="J105" s="86"/>
      <c r="K105" s="85">
        <f t="shared" ref="K105:K112" si="5">+I105*J105</f>
        <v>0</v>
      </c>
      <c r="M105" s="85">
        <v>10000</v>
      </c>
      <c r="N105" s="86"/>
      <c r="O105" s="85">
        <f t="shared" ref="O105:O112" si="6">+M105*N105</f>
        <v>0</v>
      </c>
      <c r="P105" s="77"/>
      <c r="Q105" s="85">
        <v>10000</v>
      </c>
      <c r="R105" s="86"/>
      <c r="S105" s="85">
        <f t="shared" ref="S105:S112" si="7">+Q105*R105</f>
        <v>0</v>
      </c>
      <c r="T105" s="77"/>
      <c r="U105" s="85">
        <v>10000</v>
      </c>
      <c r="V105" s="86"/>
      <c r="W105" s="85">
        <f t="shared" ref="W105:W112" si="8">+U105*V105</f>
        <v>0</v>
      </c>
    </row>
    <row r="106" spans="1:23" x14ac:dyDescent="0.25">
      <c r="A106" s="85">
        <v>5000</v>
      </c>
      <c r="B106" s="86"/>
      <c r="C106" s="85">
        <f t="shared" si="3"/>
        <v>0</v>
      </c>
      <c r="D106" s="77"/>
      <c r="E106" s="85">
        <v>5000</v>
      </c>
      <c r="F106" s="86"/>
      <c r="G106" s="85">
        <f t="shared" si="4"/>
        <v>0</v>
      </c>
      <c r="H106" s="77"/>
      <c r="I106" s="85">
        <v>5000</v>
      </c>
      <c r="J106" s="86"/>
      <c r="K106" s="85">
        <f t="shared" si="5"/>
        <v>0</v>
      </c>
      <c r="M106" s="85">
        <v>5000</v>
      </c>
      <c r="N106" s="86"/>
      <c r="O106" s="85">
        <f t="shared" si="6"/>
        <v>0</v>
      </c>
      <c r="P106" s="77"/>
      <c r="Q106" s="85">
        <v>5000</v>
      </c>
      <c r="R106" s="86"/>
      <c r="S106" s="85">
        <f t="shared" si="7"/>
        <v>0</v>
      </c>
      <c r="T106" s="77"/>
      <c r="U106" s="85">
        <v>5000</v>
      </c>
      <c r="V106" s="86"/>
      <c r="W106" s="85">
        <f t="shared" si="8"/>
        <v>0</v>
      </c>
    </row>
    <row r="107" spans="1:23" x14ac:dyDescent="0.25">
      <c r="A107" s="87">
        <v>2000</v>
      </c>
      <c r="B107" s="86"/>
      <c r="C107" s="85">
        <f t="shared" si="3"/>
        <v>0</v>
      </c>
      <c r="D107" s="77"/>
      <c r="E107" s="87">
        <v>2000</v>
      </c>
      <c r="F107" s="86"/>
      <c r="G107" s="85">
        <f t="shared" si="4"/>
        <v>0</v>
      </c>
      <c r="H107" s="77"/>
      <c r="I107" s="87">
        <v>2000</v>
      </c>
      <c r="J107" s="86"/>
      <c r="K107" s="85">
        <f t="shared" si="5"/>
        <v>0</v>
      </c>
      <c r="M107" s="87">
        <v>2000</v>
      </c>
      <c r="N107" s="86"/>
      <c r="O107" s="85">
        <f t="shared" si="6"/>
        <v>0</v>
      </c>
      <c r="P107" s="77"/>
      <c r="Q107" s="87">
        <v>2000</v>
      </c>
      <c r="R107" s="86"/>
      <c r="S107" s="85">
        <f t="shared" si="7"/>
        <v>0</v>
      </c>
      <c r="T107" s="77"/>
      <c r="U107" s="87">
        <v>2000</v>
      </c>
      <c r="V107" s="86"/>
      <c r="W107" s="85">
        <f t="shared" si="8"/>
        <v>0</v>
      </c>
    </row>
    <row r="108" spans="1:23" x14ac:dyDescent="0.25">
      <c r="A108" s="87">
        <v>1000</v>
      </c>
      <c r="B108" s="86"/>
      <c r="C108" s="85">
        <f t="shared" si="3"/>
        <v>0</v>
      </c>
      <c r="D108" s="77"/>
      <c r="E108" s="87">
        <v>1000</v>
      </c>
      <c r="F108" s="86"/>
      <c r="G108" s="85">
        <f t="shared" si="4"/>
        <v>0</v>
      </c>
      <c r="H108" s="77"/>
      <c r="I108" s="87">
        <v>1000</v>
      </c>
      <c r="J108" s="86"/>
      <c r="K108" s="85">
        <f t="shared" si="5"/>
        <v>0</v>
      </c>
      <c r="M108" s="87">
        <v>1000</v>
      </c>
      <c r="N108" s="86"/>
      <c r="O108" s="85">
        <f t="shared" si="6"/>
        <v>0</v>
      </c>
      <c r="P108" s="77"/>
      <c r="Q108" s="87">
        <v>1000</v>
      </c>
      <c r="R108" s="86"/>
      <c r="S108" s="85">
        <f t="shared" si="7"/>
        <v>0</v>
      </c>
      <c r="T108" s="77"/>
      <c r="U108" s="87">
        <v>1000</v>
      </c>
      <c r="V108" s="86"/>
      <c r="W108" s="85">
        <f t="shared" si="8"/>
        <v>0</v>
      </c>
    </row>
    <row r="109" spans="1:23" x14ac:dyDescent="0.25">
      <c r="A109" s="87">
        <v>500</v>
      </c>
      <c r="B109" s="86"/>
      <c r="C109" s="85">
        <f t="shared" si="3"/>
        <v>0</v>
      </c>
      <c r="D109" s="77"/>
      <c r="E109" s="87">
        <v>500</v>
      </c>
      <c r="F109" s="86"/>
      <c r="G109" s="85">
        <f t="shared" si="4"/>
        <v>0</v>
      </c>
      <c r="H109" s="77"/>
      <c r="I109" s="87">
        <v>500</v>
      </c>
      <c r="J109" s="86"/>
      <c r="K109" s="85">
        <f t="shared" si="5"/>
        <v>0</v>
      </c>
      <c r="M109" s="87">
        <v>500</v>
      </c>
      <c r="N109" s="86"/>
      <c r="O109" s="85">
        <f t="shared" si="6"/>
        <v>0</v>
      </c>
      <c r="P109" s="77"/>
      <c r="Q109" s="87">
        <v>500</v>
      </c>
      <c r="R109" s="86"/>
      <c r="S109" s="85">
        <f t="shared" si="7"/>
        <v>0</v>
      </c>
      <c r="T109" s="77"/>
      <c r="U109" s="87">
        <v>500</v>
      </c>
      <c r="V109" s="86"/>
      <c r="W109" s="85">
        <f t="shared" si="8"/>
        <v>0</v>
      </c>
    </row>
    <row r="110" spans="1:23" x14ac:dyDescent="0.25">
      <c r="A110" s="85">
        <v>100</v>
      </c>
      <c r="B110" s="86"/>
      <c r="C110" s="85">
        <f t="shared" si="3"/>
        <v>0</v>
      </c>
      <c r="D110" s="77"/>
      <c r="E110" s="85">
        <v>100</v>
      </c>
      <c r="F110" s="86"/>
      <c r="G110" s="85">
        <f t="shared" si="4"/>
        <v>0</v>
      </c>
      <c r="H110" s="77"/>
      <c r="I110" s="85">
        <v>100</v>
      </c>
      <c r="J110" s="86"/>
      <c r="K110" s="85">
        <f t="shared" si="5"/>
        <v>0</v>
      </c>
      <c r="M110" s="85">
        <v>100</v>
      </c>
      <c r="N110" s="86"/>
      <c r="O110" s="85">
        <f t="shared" si="6"/>
        <v>0</v>
      </c>
      <c r="P110" s="77"/>
      <c r="Q110" s="85">
        <v>100</v>
      </c>
      <c r="R110" s="86"/>
      <c r="S110" s="85">
        <f t="shared" si="7"/>
        <v>0</v>
      </c>
      <c r="T110" s="77"/>
      <c r="U110" s="85">
        <v>100</v>
      </c>
      <c r="V110" s="86"/>
      <c r="W110" s="85">
        <f t="shared" si="8"/>
        <v>0</v>
      </c>
    </row>
    <row r="111" spans="1:23" x14ac:dyDescent="0.25">
      <c r="A111" s="87">
        <v>50</v>
      </c>
      <c r="B111" s="86"/>
      <c r="C111" s="85">
        <f t="shared" si="3"/>
        <v>0</v>
      </c>
      <c r="D111" s="77"/>
      <c r="E111" s="87">
        <v>50</v>
      </c>
      <c r="F111" s="86"/>
      <c r="G111" s="85">
        <f t="shared" si="4"/>
        <v>0</v>
      </c>
      <c r="H111" s="77"/>
      <c r="I111" s="87">
        <v>50</v>
      </c>
      <c r="J111" s="86"/>
      <c r="K111" s="85">
        <f t="shared" si="5"/>
        <v>0</v>
      </c>
      <c r="M111" s="87">
        <v>50</v>
      </c>
      <c r="N111" s="86"/>
      <c r="O111" s="85">
        <f t="shared" si="6"/>
        <v>0</v>
      </c>
      <c r="P111" s="77"/>
      <c r="Q111" s="87">
        <v>50</v>
      </c>
      <c r="R111" s="86"/>
      <c r="S111" s="85">
        <f t="shared" si="7"/>
        <v>0</v>
      </c>
      <c r="T111" s="77"/>
      <c r="U111" s="87">
        <v>50</v>
      </c>
      <c r="V111" s="86"/>
      <c r="W111" s="85">
        <f t="shared" si="8"/>
        <v>0</v>
      </c>
    </row>
    <row r="112" spans="1:23" x14ac:dyDescent="0.25">
      <c r="A112" s="87">
        <v>10</v>
      </c>
      <c r="B112" s="86"/>
      <c r="C112" s="85">
        <f t="shared" si="3"/>
        <v>0</v>
      </c>
      <c r="D112" s="77"/>
      <c r="E112" s="87">
        <v>10</v>
      </c>
      <c r="F112" s="86"/>
      <c r="G112" s="85">
        <f t="shared" si="4"/>
        <v>0</v>
      </c>
      <c r="H112" s="77"/>
      <c r="I112" s="87">
        <v>10</v>
      </c>
      <c r="J112" s="86"/>
      <c r="K112" s="85">
        <f t="shared" si="5"/>
        <v>0</v>
      </c>
      <c r="M112" s="87">
        <v>10</v>
      </c>
      <c r="N112" s="86"/>
      <c r="O112" s="85">
        <f t="shared" si="6"/>
        <v>0</v>
      </c>
      <c r="P112" s="77"/>
      <c r="Q112" s="87">
        <v>10</v>
      </c>
      <c r="R112" s="86"/>
      <c r="S112" s="85">
        <f t="shared" si="7"/>
        <v>0</v>
      </c>
      <c r="T112" s="77"/>
      <c r="U112" s="87">
        <v>10</v>
      </c>
      <c r="V112" s="86"/>
      <c r="W112" s="85">
        <f t="shared" si="8"/>
        <v>0</v>
      </c>
    </row>
    <row r="113" spans="1:23" x14ac:dyDescent="0.25">
      <c r="A113" s="403" t="s">
        <v>39</v>
      </c>
      <c r="B113" s="404"/>
      <c r="C113" s="88">
        <f>SUM(C104:C112)</f>
        <v>0</v>
      </c>
      <c r="D113" s="77"/>
      <c r="E113" s="403" t="s">
        <v>39</v>
      </c>
      <c r="F113" s="404"/>
      <c r="G113" s="88">
        <f>SUM(G104:G112)</f>
        <v>0</v>
      </c>
      <c r="H113" s="77"/>
      <c r="I113" s="403" t="s">
        <v>39</v>
      </c>
      <c r="J113" s="404"/>
      <c r="K113" s="88">
        <f>SUM(K104:K112)</f>
        <v>0</v>
      </c>
      <c r="M113" s="403" t="s">
        <v>39</v>
      </c>
      <c r="N113" s="404"/>
      <c r="O113" s="88">
        <f>SUM(O104:O112)</f>
        <v>0</v>
      </c>
      <c r="P113" s="77"/>
      <c r="Q113" s="403" t="s">
        <v>39</v>
      </c>
      <c r="R113" s="404"/>
      <c r="S113" s="88">
        <f>SUM(S104:S112)</f>
        <v>0</v>
      </c>
      <c r="T113" s="77"/>
      <c r="U113" s="403" t="s">
        <v>39</v>
      </c>
      <c r="V113" s="404"/>
      <c r="W113" s="88">
        <f>SUM(W104:W112)</f>
        <v>0</v>
      </c>
    </row>
    <row r="114" spans="1:23" s="223" customFormat="1" x14ac:dyDescent="0.25">
      <c r="A114" s="301"/>
      <c r="B114" s="301"/>
      <c r="C114" s="302"/>
      <c r="D114" s="300"/>
      <c r="E114" s="301"/>
      <c r="F114" s="301"/>
      <c r="G114" s="302"/>
      <c r="H114" s="300"/>
      <c r="I114" s="301"/>
      <c r="J114" s="301"/>
      <c r="K114" s="302"/>
      <c r="M114" s="301"/>
      <c r="N114" s="301"/>
      <c r="O114" s="302"/>
      <c r="P114" s="300"/>
      <c r="Q114" s="301"/>
      <c r="R114" s="301"/>
      <c r="S114" s="302"/>
      <c r="T114" s="300"/>
      <c r="U114" s="301"/>
      <c r="V114" s="301"/>
      <c r="W114" s="302"/>
    </row>
    <row r="115" spans="1:23" s="223" customFormat="1" x14ac:dyDescent="0.25">
      <c r="A115" s="303" t="s">
        <v>168</v>
      </c>
      <c r="B115" s="303"/>
      <c r="C115" s="304"/>
      <c r="D115" s="300"/>
      <c r="E115" s="303" t="s">
        <v>168</v>
      </c>
      <c r="F115" s="303"/>
      <c r="G115" s="304"/>
      <c r="H115" s="300"/>
      <c r="I115" s="303" t="s">
        <v>168</v>
      </c>
      <c r="J115" s="303"/>
      <c r="K115" s="304"/>
      <c r="M115" s="303" t="s">
        <v>168</v>
      </c>
      <c r="N115" s="303"/>
      <c r="O115" s="304"/>
      <c r="P115" s="300"/>
      <c r="Q115" s="303" t="s">
        <v>168</v>
      </c>
      <c r="R115" s="303"/>
      <c r="S115" s="304"/>
      <c r="T115" s="300"/>
      <c r="U115" s="303" t="s">
        <v>168</v>
      </c>
      <c r="V115" s="303"/>
      <c r="W115" s="304"/>
    </row>
    <row r="116" spans="1:23" s="223" customFormat="1" x14ac:dyDescent="0.25">
      <c r="A116" s="303" t="s">
        <v>166</v>
      </c>
      <c r="B116" s="303"/>
      <c r="C116" s="308"/>
      <c r="D116" s="300"/>
      <c r="E116" s="303" t="s">
        <v>166</v>
      </c>
      <c r="F116" s="303"/>
      <c r="G116" s="308"/>
      <c r="H116" s="300"/>
      <c r="I116" s="303" t="s">
        <v>166</v>
      </c>
      <c r="J116" s="303"/>
      <c r="K116" s="308"/>
      <c r="M116" s="303" t="s">
        <v>166</v>
      </c>
      <c r="N116" s="303"/>
      <c r="O116" s="308"/>
      <c r="P116" s="300"/>
      <c r="Q116" s="303" t="s">
        <v>166</v>
      </c>
      <c r="R116" s="303"/>
      <c r="S116" s="308"/>
      <c r="T116" s="300"/>
      <c r="U116" s="303" t="s">
        <v>166</v>
      </c>
      <c r="V116" s="303"/>
      <c r="W116" s="308"/>
    </row>
    <row r="117" spans="1:23" s="223" customFormat="1" x14ac:dyDescent="0.25">
      <c r="A117" s="303" t="s">
        <v>167</v>
      </c>
      <c r="B117" s="303"/>
      <c r="C117" s="308"/>
      <c r="D117" s="300"/>
      <c r="E117" s="303" t="s">
        <v>167</v>
      </c>
      <c r="F117" s="303"/>
      <c r="G117" s="308"/>
      <c r="H117" s="300"/>
      <c r="I117" s="303" t="s">
        <v>167</v>
      </c>
      <c r="J117" s="303"/>
      <c r="K117" s="308"/>
      <c r="M117" s="303" t="s">
        <v>167</v>
      </c>
      <c r="N117" s="303"/>
      <c r="O117" s="308"/>
      <c r="P117" s="300"/>
      <c r="Q117" s="303" t="s">
        <v>167</v>
      </c>
      <c r="R117" s="303"/>
      <c r="S117" s="308"/>
      <c r="T117" s="300"/>
      <c r="U117" s="303" t="s">
        <v>167</v>
      </c>
      <c r="V117" s="303"/>
      <c r="W117" s="308"/>
    </row>
    <row r="118" spans="1:23" s="223" customFormat="1" ht="15.75" thickBot="1" x14ac:dyDescent="0.3">
      <c r="A118" s="303" t="s">
        <v>53</v>
      </c>
      <c r="B118" s="303"/>
      <c r="C118" s="304"/>
      <c r="D118" s="300"/>
      <c r="E118" s="303" t="s">
        <v>53</v>
      </c>
      <c r="F118" s="303"/>
      <c r="G118" s="304"/>
      <c r="H118" s="300"/>
      <c r="I118" s="303" t="s">
        <v>53</v>
      </c>
      <c r="J118" s="303"/>
      <c r="K118" s="304"/>
      <c r="M118" s="303" t="s">
        <v>53</v>
      </c>
      <c r="N118" s="303"/>
      <c r="O118" s="304"/>
      <c r="P118" s="300"/>
      <c r="Q118" s="303" t="s">
        <v>53</v>
      </c>
      <c r="R118" s="303"/>
      <c r="S118" s="304"/>
      <c r="T118" s="300"/>
      <c r="U118" s="303" t="s">
        <v>53</v>
      </c>
      <c r="V118" s="303"/>
      <c r="W118" s="304"/>
    </row>
    <row r="119" spans="1:23" s="223" customFormat="1" ht="15.75" thickBot="1" x14ac:dyDescent="0.3">
      <c r="A119" s="305" t="s">
        <v>164</v>
      </c>
      <c r="B119" s="306"/>
      <c r="C119" s="307"/>
      <c r="D119" s="300"/>
      <c r="E119" s="305" t="s">
        <v>164</v>
      </c>
      <c r="F119" s="306"/>
      <c r="G119" s="307"/>
      <c r="H119" s="300"/>
      <c r="I119" s="305" t="s">
        <v>164</v>
      </c>
      <c r="J119" s="306"/>
      <c r="K119" s="307"/>
      <c r="M119" s="305" t="s">
        <v>164</v>
      </c>
      <c r="N119" s="306"/>
      <c r="O119" s="307"/>
      <c r="P119" s="300"/>
      <c r="Q119" s="305" t="s">
        <v>164</v>
      </c>
      <c r="R119" s="306"/>
      <c r="S119" s="307"/>
      <c r="T119" s="300"/>
      <c r="U119" s="305" t="s">
        <v>164</v>
      </c>
      <c r="V119" s="306"/>
      <c r="W119" s="307"/>
    </row>
    <row r="120" spans="1:23" ht="15.75" thickBot="1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</row>
    <row r="121" spans="1:23" ht="15.75" thickBot="1" x14ac:dyDescent="0.3">
      <c r="A121" s="400"/>
      <c r="B121" s="401"/>
      <c r="C121" s="402"/>
      <c r="D121" s="77"/>
      <c r="E121" s="400"/>
      <c r="F121" s="401"/>
      <c r="G121" s="402"/>
      <c r="H121" s="77"/>
      <c r="I121" s="400"/>
      <c r="J121" s="401"/>
      <c r="K121" s="402"/>
      <c r="M121" s="400"/>
      <c r="N121" s="401"/>
      <c r="O121" s="402"/>
      <c r="P121" s="77"/>
      <c r="Q121" s="400"/>
      <c r="R121" s="401"/>
      <c r="S121" s="402"/>
      <c r="T121" s="77"/>
      <c r="U121" s="400"/>
      <c r="V121" s="401"/>
      <c r="W121" s="402"/>
    </row>
    <row r="122" spans="1:23" x14ac:dyDescent="0.25">
      <c r="A122" s="83">
        <v>20000</v>
      </c>
      <c r="B122" s="84"/>
      <c r="C122" s="83">
        <f>+A122*B122</f>
        <v>0</v>
      </c>
      <c r="D122" s="77"/>
      <c r="E122" s="83">
        <v>20000</v>
      </c>
      <c r="F122" s="84"/>
      <c r="G122" s="83">
        <f>+E122*F122</f>
        <v>0</v>
      </c>
      <c r="H122" s="77"/>
      <c r="I122" s="83">
        <v>20000</v>
      </c>
      <c r="J122" s="84"/>
      <c r="K122" s="83">
        <f>+I122*J122</f>
        <v>0</v>
      </c>
      <c r="M122" s="83">
        <v>20000</v>
      </c>
      <c r="N122" s="84"/>
      <c r="O122" s="83">
        <f>+M122*N122</f>
        <v>0</v>
      </c>
      <c r="P122" s="77"/>
      <c r="Q122" s="83">
        <v>20000</v>
      </c>
      <c r="R122" s="84"/>
      <c r="S122" s="83">
        <f>+Q122*R122</f>
        <v>0</v>
      </c>
      <c r="T122" s="77"/>
      <c r="U122" s="83">
        <v>20000</v>
      </c>
      <c r="V122" s="84"/>
      <c r="W122" s="83">
        <f>+U122*V122</f>
        <v>0</v>
      </c>
    </row>
    <row r="123" spans="1:23" x14ac:dyDescent="0.25">
      <c r="A123" s="85">
        <v>10000</v>
      </c>
      <c r="B123" s="86"/>
      <c r="C123" s="85">
        <f t="shared" ref="C123:C130" si="9">+A123*B123</f>
        <v>0</v>
      </c>
      <c r="D123" s="77"/>
      <c r="E123" s="85">
        <v>10000</v>
      </c>
      <c r="F123" s="86"/>
      <c r="G123" s="85">
        <f t="shared" ref="G123:G130" si="10">+E123*F123</f>
        <v>0</v>
      </c>
      <c r="H123" s="77"/>
      <c r="I123" s="85">
        <v>10000</v>
      </c>
      <c r="J123" s="86"/>
      <c r="K123" s="85">
        <f t="shared" ref="K123:K130" si="11">+I123*J123</f>
        <v>0</v>
      </c>
      <c r="M123" s="85">
        <v>10000</v>
      </c>
      <c r="N123" s="86"/>
      <c r="O123" s="85">
        <f t="shared" ref="O123:O130" si="12">+M123*N123</f>
        <v>0</v>
      </c>
      <c r="P123" s="77"/>
      <c r="Q123" s="85">
        <v>10000</v>
      </c>
      <c r="R123" s="86"/>
      <c r="S123" s="85">
        <f t="shared" ref="S123:S130" si="13">+Q123*R123</f>
        <v>0</v>
      </c>
      <c r="T123" s="77"/>
      <c r="U123" s="85">
        <v>10000</v>
      </c>
      <c r="V123" s="86"/>
      <c r="W123" s="85">
        <f t="shared" ref="W123:W130" si="14">+U123*V123</f>
        <v>0</v>
      </c>
    </row>
    <row r="124" spans="1:23" x14ac:dyDescent="0.25">
      <c r="A124" s="85">
        <v>5000</v>
      </c>
      <c r="B124" s="86"/>
      <c r="C124" s="85">
        <f t="shared" si="9"/>
        <v>0</v>
      </c>
      <c r="D124" s="77"/>
      <c r="E124" s="85">
        <v>5000</v>
      </c>
      <c r="F124" s="86"/>
      <c r="G124" s="85">
        <f t="shared" si="10"/>
        <v>0</v>
      </c>
      <c r="H124" s="77"/>
      <c r="I124" s="85">
        <v>5000</v>
      </c>
      <c r="J124" s="86"/>
      <c r="K124" s="85">
        <f t="shared" si="11"/>
        <v>0</v>
      </c>
      <c r="M124" s="85">
        <v>5000</v>
      </c>
      <c r="N124" s="86"/>
      <c r="O124" s="85">
        <f t="shared" si="12"/>
        <v>0</v>
      </c>
      <c r="P124" s="77"/>
      <c r="Q124" s="85">
        <v>5000</v>
      </c>
      <c r="R124" s="86"/>
      <c r="S124" s="85">
        <f t="shared" si="13"/>
        <v>0</v>
      </c>
      <c r="T124" s="77"/>
      <c r="U124" s="85">
        <v>5000</v>
      </c>
      <c r="V124" s="86"/>
      <c r="W124" s="85">
        <f t="shared" si="14"/>
        <v>0</v>
      </c>
    </row>
    <row r="125" spans="1:23" x14ac:dyDescent="0.25">
      <c r="A125" s="87">
        <v>2000</v>
      </c>
      <c r="B125" s="86"/>
      <c r="C125" s="85">
        <f t="shared" si="9"/>
        <v>0</v>
      </c>
      <c r="D125" s="77"/>
      <c r="E125" s="87">
        <v>2000</v>
      </c>
      <c r="F125" s="86"/>
      <c r="G125" s="85">
        <f t="shared" si="10"/>
        <v>0</v>
      </c>
      <c r="H125" s="77"/>
      <c r="I125" s="87">
        <v>2000</v>
      </c>
      <c r="J125" s="86"/>
      <c r="K125" s="85">
        <f t="shared" si="11"/>
        <v>0</v>
      </c>
      <c r="M125" s="87">
        <v>2000</v>
      </c>
      <c r="N125" s="86"/>
      <c r="O125" s="85">
        <f t="shared" si="12"/>
        <v>0</v>
      </c>
      <c r="P125" s="77"/>
      <c r="Q125" s="87">
        <v>2000</v>
      </c>
      <c r="R125" s="86"/>
      <c r="S125" s="85">
        <f t="shared" si="13"/>
        <v>0</v>
      </c>
      <c r="T125" s="77"/>
      <c r="U125" s="87">
        <v>2000</v>
      </c>
      <c r="V125" s="86"/>
      <c r="W125" s="85">
        <f t="shared" si="14"/>
        <v>0</v>
      </c>
    </row>
    <row r="126" spans="1:23" x14ac:dyDescent="0.25">
      <c r="A126" s="87">
        <v>1000</v>
      </c>
      <c r="B126" s="86"/>
      <c r="C126" s="85">
        <f t="shared" si="9"/>
        <v>0</v>
      </c>
      <c r="D126" s="77"/>
      <c r="E126" s="87">
        <v>1000</v>
      </c>
      <c r="F126" s="86"/>
      <c r="G126" s="85">
        <f t="shared" si="10"/>
        <v>0</v>
      </c>
      <c r="H126" s="77"/>
      <c r="I126" s="87">
        <v>1000</v>
      </c>
      <c r="J126" s="86"/>
      <c r="K126" s="85">
        <f t="shared" si="11"/>
        <v>0</v>
      </c>
      <c r="M126" s="87">
        <v>1000</v>
      </c>
      <c r="N126" s="86"/>
      <c r="O126" s="85">
        <f t="shared" si="12"/>
        <v>0</v>
      </c>
      <c r="P126" s="77"/>
      <c r="Q126" s="87">
        <v>1000</v>
      </c>
      <c r="R126" s="86"/>
      <c r="S126" s="85">
        <f t="shared" si="13"/>
        <v>0</v>
      </c>
      <c r="T126" s="77"/>
      <c r="U126" s="87">
        <v>1000</v>
      </c>
      <c r="V126" s="86"/>
      <c r="W126" s="85">
        <f t="shared" si="14"/>
        <v>0</v>
      </c>
    </row>
    <row r="127" spans="1:23" x14ac:dyDescent="0.25">
      <c r="A127" s="87">
        <v>500</v>
      </c>
      <c r="B127" s="86"/>
      <c r="C127" s="85">
        <f t="shared" si="9"/>
        <v>0</v>
      </c>
      <c r="D127" s="77"/>
      <c r="E127" s="87">
        <v>500</v>
      </c>
      <c r="F127" s="86"/>
      <c r="G127" s="85">
        <f t="shared" si="10"/>
        <v>0</v>
      </c>
      <c r="H127" s="77"/>
      <c r="I127" s="87">
        <v>500</v>
      </c>
      <c r="J127" s="86"/>
      <c r="K127" s="85">
        <f t="shared" si="11"/>
        <v>0</v>
      </c>
      <c r="M127" s="87">
        <v>500</v>
      </c>
      <c r="N127" s="86"/>
      <c r="O127" s="85">
        <f t="shared" si="12"/>
        <v>0</v>
      </c>
      <c r="P127" s="77"/>
      <c r="Q127" s="87">
        <v>500</v>
      </c>
      <c r="R127" s="86"/>
      <c r="S127" s="85">
        <f t="shared" si="13"/>
        <v>0</v>
      </c>
      <c r="T127" s="77"/>
      <c r="U127" s="87">
        <v>500</v>
      </c>
      <c r="V127" s="86"/>
      <c r="W127" s="85">
        <f t="shared" si="14"/>
        <v>0</v>
      </c>
    </row>
    <row r="128" spans="1:23" x14ac:dyDescent="0.25">
      <c r="A128" s="85">
        <v>100</v>
      </c>
      <c r="B128" s="86"/>
      <c r="C128" s="85">
        <f t="shared" si="9"/>
        <v>0</v>
      </c>
      <c r="D128" s="77"/>
      <c r="E128" s="85">
        <v>100</v>
      </c>
      <c r="F128" s="86"/>
      <c r="G128" s="85">
        <f t="shared" si="10"/>
        <v>0</v>
      </c>
      <c r="H128" s="77"/>
      <c r="I128" s="85">
        <v>100</v>
      </c>
      <c r="J128" s="86"/>
      <c r="K128" s="85">
        <f t="shared" si="11"/>
        <v>0</v>
      </c>
      <c r="M128" s="85">
        <v>100</v>
      </c>
      <c r="N128" s="86"/>
      <c r="O128" s="85">
        <f t="shared" si="12"/>
        <v>0</v>
      </c>
      <c r="P128" s="77"/>
      <c r="Q128" s="85">
        <v>100</v>
      </c>
      <c r="R128" s="86"/>
      <c r="S128" s="85">
        <f t="shared" si="13"/>
        <v>0</v>
      </c>
      <c r="T128" s="77"/>
      <c r="U128" s="85">
        <v>100</v>
      </c>
      <c r="V128" s="86"/>
      <c r="W128" s="85">
        <f t="shared" si="14"/>
        <v>0</v>
      </c>
    </row>
    <row r="129" spans="1:23" x14ac:dyDescent="0.25">
      <c r="A129" s="87">
        <v>50</v>
      </c>
      <c r="B129" s="86"/>
      <c r="C129" s="85">
        <f t="shared" si="9"/>
        <v>0</v>
      </c>
      <c r="D129" s="77"/>
      <c r="E129" s="87">
        <v>50</v>
      </c>
      <c r="F129" s="86"/>
      <c r="G129" s="85">
        <f t="shared" si="10"/>
        <v>0</v>
      </c>
      <c r="H129" s="77"/>
      <c r="I129" s="87">
        <v>50</v>
      </c>
      <c r="J129" s="86"/>
      <c r="K129" s="85">
        <f t="shared" si="11"/>
        <v>0</v>
      </c>
      <c r="M129" s="87">
        <v>50</v>
      </c>
      <c r="N129" s="86"/>
      <c r="O129" s="85">
        <f t="shared" si="12"/>
        <v>0</v>
      </c>
      <c r="P129" s="77"/>
      <c r="Q129" s="87">
        <v>50</v>
      </c>
      <c r="R129" s="86"/>
      <c r="S129" s="85">
        <f t="shared" si="13"/>
        <v>0</v>
      </c>
      <c r="T129" s="77"/>
      <c r="U129" s="87">
        <v>50</v>
      </c>
      <c r="V129" s="86"/>
      <c r="W129" s="85">
        <f t="shared" si="14"/>
        <v>0</v>
      </c>
    </row>
    <row r="130" spans="1:23" x14ac:dyDescent="0.25">
      <c r="A130" s="87">
        <v>10</v>
      </c>
      <c r="B130" s="86"/>
      <c r="C130" s="85">
        <f t="shared" si="9"/>
        <v>0</v>
      </c>
      <c r="D130" s="77"/>
      <c r="E130" s="87">
        <v>10</v>
      </c>
      <c r="F130" s="86"/>
      <c r="G130" s="85">
        <f t="shared" si="10"/>
        <v>0</v>
      </c>
      <c r="H130" s="77"/>
      <c r="I130" s="87">
        <v>10</v>
      </c>
      <c r="J130" s="86"/>
      <c r="K130" s="85">
        <f t="shared" si="11"/>
        <v>0</v>
      </c>
      <c r="M130" s="87">
        <v>10</v>
      </c>
      <c r="N130" s="86"/>
      <c r="O130" s="85">
        <f t="shared" si="12"/>
        <v>0</v>
      </c>
      <c r="P130" s="77"/>
      <c r="Q130" s="87">
        <v>10</v>
      </c>
      <c r="R130" s="86"/>
      <c r="S130" s="85">
        <f t="shared" si="13"/>
        <v>0</v>
      </c>
      <c r="T130" s="77"/>
      <c r="U130" s="87">
        <v>10</v>
      </c>
      <c r="V130" s="86"/>
      <c r="W130" s="85">
        <f t="shared" si="14"/>
        <v>0</v>
      </c>
    </row>
    <row r="131" spans="1:23" x14ac:dyDescent="0.25">
      <c r="A131" s="403" t="s">
        <v>39</v>
      </c>
      <c r="B131" s="404"/>
      <c r="C131" s="88">
        <f>SUM(C122:C130)</f>
        <v>0</v>
      </c>
      <c r="D131" s="77"/>
      <c r="E131" s="403" t="s">
        <v>39</v>
      </c>
      <c r="F131" s="404"/>
      <c r="G131" s="88">
        <f>SUM(G122:G130)</f>
        <v>0</v>
      </c>
      <c r="H131" s="77"/>
      <c r="I131" s="403" t="s">
        <v>39</v>
      </c>
      <c r="J131" s="404"/>
      <c r="K131" s="88">
        <f>SUM(K122:K130)</f>
        <v>0</v>
      </c>
      <c r="M131" s="403" t="s">
        <v>39</v>
      </c>
      <c r="N131" s="404"/>
      <c r="O131" s="88">
        <f>SUM(O122:O130)</f>
        <v>0</v>
      </c>
      <c r="P131" s="77"/>
      <c r="Q131" s="403" t="s">
        <v>39</v>
      </c>
      <c r="R131" s="404"/>
      <c r="S131" s="88">
        <f>SUM(S122:S130)</f>
        <v>0</v>
      </c>
      <c r="T131" s="77"/>
      <c r="U131" s="403" t="s">
        <v>39</v>
      </c>
      <c r="V131" s="404"/>
      <c r="W131" s="88">
        <f>SUM(W122:W130)</f>
        <v>0</v>
      </c>
    </row>
    <row r="132" spans="1:23" s="223" customFormat="1" x14ac:dyDescent="0.25">
      <c r="A132" s="301"/>
      <c r="B132" s="301"/>
      <c r="C132" s="302"/>
      <c r="D132" s="300"/>
      <c r="E132" s="301"/>
      <c r="F132" s="301"/>
      <c r="G132" s="302"/>
      <c r="H132" s="300"/>
      <c r="I132" s="301"/>
      <c r="J132" s="301"/>
      <c r="K132" s="302"/>
      <c r="M132" s="301"/>
      <c r="N132" s="301"/>
      <c r="O132" s="302"/>
      <c r="P132" s="300"/>
      <c r="Q132" s="301"/>
      <c r="R132" s="301"/>
      <c r="S132" s="302"/>
      <c r="T132" s="300"/>
      <c r="U132" s="301"/>
      <c r="V132" s="301"/>
      <c r="W132" s="302"/>
    </row>
    <row r="133" spans="1:23" s="223" customFormat="1" x14ac:dyDescent="0.25">
      <c r="A133" s="303" t="s">
        <v>168</v>
      </c>
      <c r="B133" s="303"/>
      <c r="C133" s="304"/>
      <c r="D133" s="300"/>
      <c r="E133" s="303" t="s">
        <v>168</v>
      </c>
      <c r="F133" s="303"/>
      <c r="G133" s="304"/>
      <c r="H133" s="300"/>
      <c r="I133" s="303" t="s">
        <v>168</v>
      </c>
      <c r="J133" s="303"/>
      <c r="K133" s="304"/>
      <c r="M133" s="303" t="s">
        <v>168</v>
      </c>
      <c r="N133" s="303"/>
      <c r="O133" s="304"/>
      <c r="P133" s="300"/>
      <c r="Q133" s="303" t="s">
        <v>168</v>
      </c>
      <c r="R133" s="303"/>
      <c r="S133" s="304"/>
      <c r="T133" s="300"/>
      <c r="U133" s="303" t="s">
        <v>168</v>
      </c>
      <c r="V133" s="303"/>
      <c r="W133" s="304"/>
    </row>
    <row r="134" spans="1:23" s="223" customFormat="1" x14ac:dyDescent="0.25">
      <c r="A134" s="303" t="s">
        <v>166</v>
      </c>
      <c r="B134" s="303"/>
      <c r="C134" s="308"/>
      <c r="D134" s="300"/>
      <c r="E134" s="303" t="s">
        <v>166</v>
      </c>
      <c r="F134" s="303"/>
      <c r="G134" s="308"/>
      <c r="H134" s="300"/>
      <c r="I134" s="303" t="s">
        <v>166</v>
      </c>
      <c r="J134" s="303"/>
      <c r="K134" s="308"/>
      <c r="M134" s="303" t="s">
        <v>166</v>
      </c>
      <c r="N134" s="303"/>
      <c r="O134" s="308"/>
      <c r="P134" s="300"/>
      <c r="Q134" s="303" t="s">
        <v>166</v>
      </c>
      <c r="R134" s="303"/>
      <c r="S134" s="308"/>
      <c r="T134" s="300"/>
      <c r="U134" s="303" t="s">
        <v>166</v>
      </c>
      <c r="V134" s="303"/>
      <c r="W134" s="308"/>
    </row>
    <row r="135" spans="1:23" s="223" customFormat="1" x14ac:dyDescent="0.25">
      <c r="A135" s="303" t="s">
        <v>167</v>
      </c>
      <c r="B135" s="303"/>
      <c r="C135" s="308"/>
      <c r="D135" s="300"/>
      <c r="E135" s="303" t="s">
        <v>167</v>
      </c>
      <c r="F135" s="303"/>
      <c r="G135" s="308"/>
      <c r="H135" s="300"/>
      <c r="I135" s="303" t="s">
        <v>167</v>
      </c>
      <c r="J135" s="303"/>
      <c r="K135" s="308"/>
      <c r="M135" s="303" t="s">
        <v>167</v>
      </c>
      <c r="N135" s="303"/>
      <c r="O135" s="308"/>
      <c r="P135" s="300"/>
      <c r="Q135" s="303" t="s">
        <v>167</v>
      </c>
      <c r="R135" s="303"/>
      <c r="S135" s="308"/>
      <c r="T135" s="300"/>
      <c r="U135" s="303" t="s">
        <v>167</v>
      </c>
      <c r="V135" s="303"/>
      <c r="W135" s="308"/>
    </row>
    <row r="136" spans="1:23" s="223" customFormat="1" ht="15.75" thickBot="1" x14ac:dyDescent="0.3">
      <c r="A136" s="303" t="s">
        <v>53</v>
      </c>
      <c r="B136" s="303"/>
      <c r="C136" s="304"/>
      <c r="D136" s="300"/>
      <c r="E136" s="303" t="s">
        <v>53</v>
      </c>
      <c r="F136" s="303"/>
      <c r="G136" s="304"/>
      <c r="H136" s="300"/>
      <c r="I136" s="303" t="s">
        <v>53</v>
      </c>
      <c r="J136" s="303"/>
      <c r="K136" s="304"/>
      <c r="M136" s="303" t="s">
        <v>53</v>
      </c>
      <c r="N136" s="303"/>
      <c r="O136" s="304"/>
      <c r="P136" s="300"/>
      <c r="Q136" s="303" t="s">
        <v>53</v>
      </c>
      <c r="R136" s="303"/>
      <c r="S136" s="304"/>
      <c r="T136" s="300"/>
      <c r="U136" s="303" t="s">
        <v>53</v>
      </c>
      <c r="V136" s="303"/>
      <c r="W136" s="304"/>
    </row>
    <row r="137" spans="1:23" s="223" customFormat="1" ht="15.75" thickBot="1" x14ac:dyDescent="0.3">
      <c r="A137" s="305" t="s">
        <v>164</v>
      </c>
      <c r="B137" s="306"/>
      <c r="C137" s="307"/>
      <c r="D137" s="300"/>
      <c r="E137" s="305" t="s">
        <v>164</v>
      </c>
      <c r="F137" s="306"/>
      <c r="G137" s="307"/>
      <c r="H137" s="300"/>
      <c r="I137" s="305" t="s">
        <v>164</v>
      </c>
      <c r="J137" s="306"/>
      <c r="K137" s="307"/>
      <c r="M137" s="305" t="s">
        <v>164</v>
      </c>
      <c r="N137" s="306"/>
      <c r="O137" s="307"/>
      <c r="P137" s="300"/>
      <c r="Q137" s="305" t="s">
        <v>164</v>
      </c>
      <c r="R137" s="306"/>
      <c r="S137" s="307"/>
      <c r="T137" s="300"/>
      <c r="U137" s="305" t="s">
        <v>164</v>
      </c>
      <c r="V137" s="306"/>
      <c r="W137" s="307"/>
    </row>
  </sheetData>
  <mergeCells count="108">
    <mergeCell ref="U11:V11"/>
    <mergeCell ref="A1:C1"/>
    <mergeCell ref="E1:G1"/>
    <mergeCell ref="I1:K1"/>
    <mergeCell ref="M1:O1"/>
    <mergeCell ref="Q1:S1"/>
    <mergeCell ref="U1:W1"/>
    <mergeCell ref="A11:B11"/>
    <mergeCell ref="E11:F11"/>
    <mergeCell ref="I11:J11"/>
    <mergeCell ref="M11:N11"/>
    <mergeCell ref="Q11:R11"/>
    <mergeCell ref="U23:V23"/>
    <mergeCell ref="A13:C13"/>
    <mergeCell ref="E13:G13"/>
    <mergeCell ref="I13:K13"/>
    <mergeCell ref="M13:O13"/>
    <mergeCell ref="Q13:S13"/>
    <mergeCell ref="U13:W13"/>
    <mergeCell ref="A23:B23"/>
    <mergeCell ref="E23:F23"/>
    <mergeCell ref="I23:J23"/>
    <mergeCell ref="M23:N23"/>
    <mergeCell ref="Q23:R23"/>
    <mergeCell ref="U35:V35"/>
    <mergeCell ref="A25:C25"/>
    <mergeCell ref="E25:G25"/>
    <mergeCell ref="I25:K25"/>
    <mergeCell ref="M25:O25"/>
    <mergeCell ref="Q25:S25"/>
    <mergeCell ref="U25:W25"/>
    <mergeCell ref="A35:B35"/>
    <mergeCell ref="E35:F35"/>
    <mergeCell ref="I35:J35"/>
    <mergeCell ref="M35:N35"/>
    <mergeCell ref="Q35:R35"/>
    <mergeCell ref="U47:V47"/>
    <mergeCell ref="A37:C37"/>
    <mergeCell ref="E37:G37"/>
    <mergeCell ref="I37:K37"/>
    <mergeCell ref="M37:O37"/>
    <mergeCell ref="Q37:S37"/>
    <mergeCell ref="U37:W37"/>
    <mergeCell ref="A47:B47"/>
    <mergeCell ref="E47:F47"/>
    <mergeCell ref="I47:J47"/>
    <mergeCell ref="M47:N47"/>
    <mergeCell ref="Q47:R47"/>
    <mergeCell ref="U59:V59"/>
    <mergeCell ref="A49:C49"/>
    <mergeCell ref="E49:G49"/>
    <mergeCell ref="I49:K49"/>
    <mergeCell ref="M49:O49"/>
    <mergeCell ref="Q49:S49"/>
    <mergeCell ref="U49:W49"/>
    <mergeCell ref="A59:B59"/>
    <mergeCell ref="E59:F59"/>
    <mergeCell ref="I59:J59"/>
    <mergeCell ref="M59:N59"/>
    <mergeCell ref="Q59:R59"/>
    <mergeCell ref="U77:V77"/>
    <mergeCell ref="A67:C67"/>
    <mergeCell ref="E67:G67"/>
    <mergeCell ref="I67:K67"/>
    <mergeCell ref="M67:O67"/>
    <mergeCell ref="Q67:S67"/>
    <mergeCell ref="U67:W67"/>
    <mergeCell ref="A77:B77"/>
    <mergeCell ref="E77:F77"/>
    <mergeCell ref="I77:J77"/>
    <mergeCell ref="M77:N77"/>
    <mergeCell ref="Q77:R77"/>
    <mergeCell ref="U95:V95"/>
    <mergeCell ref="A85:C85"/>
    <mergeCell ref="E85:G85"/>
    <mergeCell ref="I85:K85"/>
    <mergeCell ref="M85:O85"/>
    <mergeCell ref="Q85:S85"/>
    <mergeCell ref="U85:W85"/>
    <mergeCell ref="A95:B95"/>
    <mergeCell ref="E95:F95"/>
    <mergeCell ref="I95:J95"/>
    <mergeCell ref="M95:N95"/>
    <mergeCell ref="Q95:R95"/>
    <mergeCell ref="U103:W103"/>
    <mergeCell ref="A113:B113"/>
    <mergeCell ref="E113:F113"/>
    <mergeCell ref="I113:J113"/>
    <mergeCell ref="M113:N113"/>
    <mergeCell ref="Q113:R113"/>
    <mergeCell ref="U113:V113"/>
    <mergeCell ref="A103:C103"/>
    <mergeCell ref="E103:G103"/>
    <mergeCell ref="I103:K103"/>
    <mergeCell ref="M103:O103"/>
    <mergeCell ref="Q103:S103"/>
    <mergeCell ref="U121:W121"/>
    <mergeCell ref="A131:B131"/>
    <mergeCell ref="E131:F131"/>
    <mergeCell ref="I131:J131"/>
    <mergeCell ref="M131:N131"/>
    <mergeCell ref="Q131:R131"/>
    <mergeCell ref="U131:V131"/>
    <mergeCell ref="A121:C121"/>
    <mergeCell ref="E121:G121"/>
    <mergeCell ref="I121:K121"/>
    <mergeCell ref="M121:O121"/>
    <mergeCell ref="Q121:S121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>
    <tabColor rgb="FFFFFF00"/>
  </sheetPr>
  <dimension ref="A1:K9"/>
  <sheetViews>
    <sheetView showGridLines="0" zoomScaleNormal="100" workbookViewId="0">
      <selection activeCell="J11" sqref="J11"/>
    </sheetView>
  </sheetViews>
  <sheetFormatPr baseColWidth="10" defaultRowHeight="15" x14ac:dyDescent="0.25"/>
  <cols>
    <col min="1" max="1" width="16.7109375" bestFit="1" customWidth="1"/>
    <col min="2" max="7" width="15.28515625" style="70" bestFit="1" customWidth="1"/>
    <col min="8" max="9" width="15.28515625" bestFit="1" customWidth="1"/>
    <col min="10" max="10" width="15.28515625" customWidth="1"/>
  </cols>
  <sheetData>
    <row r="1" spans="1:11" ht="18.75" x14ac:dyDescent="0.3">
      <c r="A1" s="236"/>
      <c r="B1" s="237">
        <v>2017</v>
      </c>
      <c r="C1" s="238">
        <v>2018</v>
      </c>
      <c r="D1" s="239">
        <v>2019</v>
      </c>
      <c r="E1" s="240">
        <v>2020</v>
      </c>
      <c r="F1" s="241">
        <v>2021</v>
      </c>
      <c r="G1" s="242">
        <v>2022</v>
      </c>
      <c r="H1" s="243">
        <v>2023</v>
      </c>
      <c r="I1" s="324">
        <v>2024</v>
      </c>
      <c r="J1" s="328">
        <v>2025</v>
      </c>
    </row>
    <row r="2" spans="1:11" ht="18.75" x14ac:dyDescent="0.3">
      <c r="A2" s="236" t="s">
        <v>2</v>
      </c>
      <c r="B2" s="244">
        <f>+'2017'!O5</f>
        <v>360000</v>
      </c>
      <c r="C2" s="245">
        <f>+'2018'!O5</f>
        <v>360000</v>
      </c>
      <c r="D2" s="246">
        <f>+'2019'!O5</f>
        <v>360000</v>
      </c>
      <c r="E2" s="247">
        <f>+'2020'!O5</f>
        <v>360000</v>
      </c>
      <c r="F2" s="248">
        <f>+'2021'!O5</f>
        <v>360000</v>
      </c>
      <c r="G2" s="249">
        <f>+'2022'!O5</f>
        <v>360000</v>
      </c>
      <c r="H2" s="250">
        <f>+'2023'!O5</f>
        <v>360000</v>
      </c>
      <c r="I2" s="325">
        <f>+'2024'!O5</f>
        <v>360000</v>
      </c>
      <c r="J2" s="329">
        <f>+'2025'!O5</f>
        <v>30000</v>
      </c>
    </row>
    <row r="3" spans="1:11" ht="18.75" x14ac:dyDescent="0.3">
      <c r="A3" s="236" t="s">
        <v>6</v>
      </c>
      <c r="B3" s="244">
        <f>+'2017'!O11</f>
        <v>650000</v>
      </c>
      <c r="C3" s="245">
        <f>+'2018'!O11</f>
        <v>250000</v>
      </c>
      <c r="D3" s="246">
        <f>+'2019'!O11</f>
        <v>205000</v>
      </c>
      <c r="E3" s="247">
        <f>+'2020'!O11</f>
        <v>140000</v>
      </c>
      <c r="F3" s="248">
        <f>+'2021'!O11</f>
        <v>60000</v>
      </c>
      <c r="G3" s="249">
        <f>+'2022'!O11</f>
        <v>265000</v>
      </c>
      <c r="H3" s="250">
        <f>+'2023'!O11</f>
        <v>225000</v>
      </c>
      <c r="I3" s="325">
        <f>+'2024'!O11</f>
        <v>140000</v>
      </c>
      <c r="J3" s="329">
        <f>+'2025'!O11</f>
        <v>0</v>
      </c>
    </row>
    <row r="4" spans="1:11" ht="18.75" x14ac:dyDescent="0.3">
      <c r="A4" s="236" t="s">
        <v>47</v>
      </c>
      <c r="B4" s="244">
        <f>+'2017'!M23</f>
        <v>180500</v>
      </c>
      <c r="C4" s="245">
        <f>+'2018'!H23</f>
        <v>113020</v>
      </c>
      <c r="D4" s="246">
        <f>+'2019'!E23</f>
        <v>52649</v>
      </c>
      <c r="E4" s="247">
        <v>0</v>
      </c>
      <c r="F4" s="248">
        <v>0</v>
      </c>
      <c r="G4" s="249">
        <f>+'2022'!D24</f>
        <v>275500</v>
      </c>
      <c r="H4" s="250">
        <f>+'2023'!D24</f>
        <v>0</v>
      </c>
      <c r="I4" s="325">
        <f>+'2024'!D24</f>
        <v>0</v>
      </c>
      <c r="J4" s="329">
        <f>+'2025'!D24</f>
        <v>0</v>
      </c>
    </row>
    <row r="5" spans="1:11" ht="18.75" x14ac:dyDescent="0.3">
      <c r="A5" s="236" t="s">
        <v>5</v>
      </c>
      <c r="B5" s="244">
        <f>+'2017'!N24</f>
        <v>2339013</v>
      </c>
      <c r="C5" s="245">
        <f>+'2018'!N24</f>
        <v>2092850</v>
      </c>
      <c r="D5" s="246">
        <f>+'2019'!N24</f>
        <v>2352705</v>
      </c>
      <c r="E5" s="247">
        <f>+'2020'!N24</f>
        <v>2687424</v>
      </c>
      <c r="F5" s="248">
        <f>+'2021'!N24</f>
        <v>2184714</v>
      </c>
      <c r="G5" s="249">
        <f>+'2022'!N25</f>
        <v>2253563</v>
      </c>
      <c r="H5" s="250">
        <f>+'2023'!N25</f>
        <v>2025000</v>
      </c>
      <c r="I5" s="325">
        <f>+'2024'!N25</f>
        <v>2309900</v>
      </c>
      <c r="J5" s="329">
        <f>+'2025'!N25</f>
        <v>221176</v>
      </c>
    </row>
    <row r="6" spans="1:11" ht="18.75" x14ac:dyDescent="0.3">
      <c r="A6" s="236" t="s">
        <v>48</v>
      </c>
      <c r="B6" s="244">
        <f>+'2017'!N25</f>
        <v>2362264</v>
      </c>
      <c r="C6" s="245">
        <f>+'2018'!N25</f>
        <v>2047736</v>
      </c>
      <c r="D6" s="246">
        <f>+'2019'!N25</f>
        <v>2007895</v>
      </c>
      <c r="E6" s="247">
        <f>+'2020'!N25</f>
        <v>1828727</v>
      </c>
      <c r="F6" s="248">
        <f>+'2021'!N25</f>
        <v>2194195</v>
      </c>
      <c r="G6" s="249">
        <f>+'2022'!N26</f>
        <v>2512682</v>
      </c>
      <c r="H6" s="250">
        <f>+'2023'!N26</f>
        <v>2612661</v>
      </c>
      <c r="I6" s="325">
        <f>+'2024'!N26</f>
        <v>2442648</v>
      </c>
      <c r="J6" s="329">
        <f>+'2025'!N26</f>
        <v>34190</v>
      </c>
      <c r="K6" s="209"/>
    </row>
    <row r="7" spans="1:11" ht="18.75" x14ac:dyDescent="0.3">
      <c r="A7" s="323">
        <f>+CONTEO!A4</f>
        <v>609360</v>
      </c>
      <c r="B7" s="251">
        <f>+B5-B6</f>
        <v>-23251</v>
      </c>
      <c r="C7" s="251">
        <f t="shared" ref="C7:F7" si="0">+C5-C6</f>
        <v>45114</v>
      </c>
      <c r="D7" s="251">
        <f t="shared" si="0"/>
        <v>344810</v>
      </c>
      <c r="E7" s="251">
        <f t="shared" si="0"/>
        <v>858697</v>
      </c>
      <c r="F7" s="251">
        <f t="shared" si="0"/>
        <v>-9481</v>
      </c>
      <c r="G7" s="251">
        <f>+G5-G6</f>
        <v>-259119</v>
      </c>
      <c r="H7" s="251">
        <f>+H5-H6</f>
        <v>-587661</v>
      </c>
      <c r="I7" s="251">
        <f>+I5-I6</f>
        <v>-132748</v>
      </c>
      <c r="J7" s="251">
        <f>+J5-J6</f>
        <v>186986</v>
      </c>
    </row>
    <row r="8" spans="1:11" ht="18.75" x14ac:dyDescent="0.3">
      <c r="A8" s="236" t="s">
        <v>97</v>
      </c>
      <c r="B8" s="252">
        <f>+'2017'!O28</f>
        <v>234784</v>
      </c>
      <c r="C8" s="252">
        <f>+'2018'!O30</f>
        <v>279898</v>
      </c>
      <c r="D8" s="252">
        <f>+'2019'!O28</f>
        <v>624708</v>
      </c>
      <c r="E8" s="252">
        <f>+'2020'!O28</f>
        <v>1483405</v>
      </c>
      <c r="F8" s="252">
        <f>+'2021'!O30</f>
        <v>1825250</v>
      </c>
      <c r="G8" s="252">
        <f>+'2022'!O31</f>
        <v>1566130</v>
      </c>
      <c r="H8" s="252">
        <f>+'2023'!O31</f>
        <v>978500</v>
      </c>
      <c r="I8" s="252">
        <f>+'2024'!O31</f>
        <v>0</v>
      </c>
      <c r="J8" s="252">
        <f>+'2025'!O31</f>
        <v>945690</v>
      </c>
    </row>
    <row r="9" spans="1:11" x14ac:dyDescent="0.25">
      <c r="F9" s="103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6"/>
  <dimension ref="B2:T23"/>
  <sheetViews>
    <sheetView showGridLines="0" zoomScaleNormal="100" workbookViewId="0">
      <selection activeCell="O3" sqref="O3"/>
    </sheetView>
  </sheetViews>
  <sheetFormatPr baseColWidth="10" defaultRowHeight="15" x14ac:dyDescent="0.25"/>
  <cols>
    <col min="1" max="1" width="2.7109375" customWidth="1"/>
    <col min="2" max="2" width="12" bestFit="1" customWidth="1"/>
    <col min="3" max="12" width="10.42578125" bestFit="1" customWidth="1"/>
    <col min="13" max="13" width="12" bestFit="1" customWidth="1"/>
    <col min="14" max="14" width="10.42578125" bestFit="1" customWidth="1"/>
    <col min="15" max="16" width="12" bestFit="1" customWidth="1"/>
    <col min="17" max="17" width="3.42578125" style="223" customWidth="1"/>
    <col min="18" max="18" width="14.28515625" bestFit="1" customWidth="1"/>
    <col min="19" max="19" width="9.42578125" bestFit="1" customWidth="1"/>
  </cols>
  <sheetData>
    <row r="2" spans="2:20" ht="18.75" x14ac:dyDescent="0.3">
      <c r="D2" s="11"/>
      <c r="E2" s="11" t="s">
        <v>110</v>
      </c>
      <c r="F2" s="11" t="s">
        <v>111</v>
      </c>
      <c r="I2" s="265">
        <v>2500</v>
      </c>
      <c r="J2" s="235" t="s">
        <v>107</v>
      </c>
      <c r="K2" s="235"/>
      <c r="L2" s="235"/>
      <c r="M2" s="235"/>
      <c r="N2" s="223"/>
    </row>
    <row r="3" spans="2:20" ht="18.75" x14ac:dyDescent="0.3">
      <c r="B3" s="203" t="s">
        <v>106</v>
      </c>
      <c r="C3" s="203" t="s">
        <v>105</v>
      </c>
      <c r="D3" s="206">
        <v>38534</v>
      </c>
      <c r="E3" s="101">
        <v>1000</v>
      </c>
      <c r="F3" s="101">
        <v>300</v>
      </c>
      <c r="G3" s="3">
        <f>+E3+F3</f>
        <v>1300</v>
      </c>
      <c r="I3" s="232">
        <v>3500</v>
      </c>
      <c r="J3" s="253" t="s">
        <v>107</v>
      </c>
      <c r="K3" s="253"/>
      <c r="L3" s="253"/>
      <c r="M3" s="253"/>
      <c r="N3" s="254"/>
    </row>
    <row r="4" spans="2:20" ht="18.75" x14ac:dyDescent="0.3">
      <c r="B4" s="208">
        <f>+(D4-D3)/365</f>
        <v>2</v>
      </c>
      <c r="C4" s="209">
        <f>E4/E3-1</f>
        <v>1</v>
      </c>
      <c r="D4" s="206">
        <v>39264</v>
      </c>
      <c r="E4" s="101">
        <v>2000</v>
      </c>
      <c r="F4" s="101">
        <v>400</v>
      </c>
      <c r="G4" s="3">
        <f>+E4+F4</f>
        <v>2400</v>
      </c>
      <c r="I4" s="233">
        <v>4000</v>
      </c>
      <c r="J4" s="253" t="s">
        <v>108</v>
      </c>
      <c r="K4" s="253"/>
      <c r="L4" s="253"/>
      <c r="M4" s="253"/>
      <c r="N4" s="254"/>
    </row>
    <row r="5" spans="2:20" ht="18.75" x14ac:dyDescent="0.3">
      <c r="B5" s="208">
        <f>+(D5-D4)/365</f>
        <v>11.178082191780822</v>
      </c>
      <c r="C5" s="209">
        <f>E5/E4-1</f>
        <v>0.25</v>
      </c>
      <c r="D5" s="206">
        <v>43344</v>
      </c>
      <c r="E5" s="101">
        <v>2500</v>
      </c>
      <c r="F5" s="101">
        <v>500</v>
      </c>
      <c r="G5" s="3">
        <f>+E5+F5</f>
        <v>3000</v>
      </c>
      <c r="I5" s="234">
        <v>5000</v>
      </c>
      <c r="J5" s="253" t="s">
        <v>109</v>
      </c>
      <c r="K5" s="253"/>
      <c r="L5" s="253"/>
      <c r="M5" s="253"/>
      <c r="N5" s="254"/>
    </row>
    <row r="6" spans="2:20" x14ac:dyDescent="0.25">
      <c r="B6" s="208">
        <f>+(D6-D5)/365</f>
        <v>4.4986301369863018</v>
      </c>
      <c r="C6" s="209">
        <f>E6/E5-1</f>
        <v>0</v>
      </c>
      <c r="D6" s="206">
        <v>44986</v>
      </c>
      <c r="E6" s="264">
        <v>2500</v>
      </c>
      <c r="F6" s="101">
        <v>500</v>
      </c>
      <c r="G6" s="3">
        <f>+E6+F6</f>
        <v>3000</v>
      </c>
    </row>
    <row r="9" spans="2:20" x14ac:dyDescent="0.25">
      <c r="B9" s="168"/>
      <c r="C9" s="211">
        <v>44562</v>
      </c>
      <c r="D9" s="211">
        <v>44593</v>
      </c>
      <c r="E9" s="211">
        <v>44621</v>
      </c>
      <c r="F9" s="211">
        <v>44652</v>
      </c>
      <c r="G9" s="211">
        <v>44682</v>
      </c>
      <c r="H9" s="211">
        <v>44713</v>
      </c>
      <c r="I9" s="211">
        <v>44743</v>
      </c>
      <c r="J9" s="211">
        <v>44774</v>
      </c>
      <c r="K9" s="211">
        <v>44805</v>
      </c>
      <c r="L9" s="211">
        <v>44835</v>
      </c>
      <c r="M9" s="211">
        <v>44866</v>
      </c>
      <c r="N9" s="211">
        <v>44896</v>
      </c>
      <c r="O9" s="212" t="s">
        <v>23</v>
      </c>
      <c r="P9" s="169"/>
      <c r="Q9" s="169"/>
      <c r="R9" s="158"/>
      <c r="S9" s="159"/>
      <c r="T9" s="158"/>
    </row>
    <row r="10" spans="2:20" x14ac:dyDescent="0.25">
      <c r="B10" s="168" t="s">
        <v>86</v>
      </c>
      <c r="C10" s="167">
        <v>162500</v>
      </c>
      <c r="D10" s="167">
        <v>162857</v>
      </c>
      <c r="E10" s="167">
        <v>172500</v>
      </c>
      <c r="F10" s="167">
        <v>180000</v>
      </c>
      <c r="G10" s="167">
        <v>162953</v>
      </c>
      <c r="H10" s="167">
        <v>152500</v>
      </c>
      <c r="I10" s="167">
        <v>160000</v>
      </c>
      <c r="J10" s="167">
        <v>151153</v>
      </c>
      <c r="K10" s="167">
        <v>165000</v>
      </c>
      <c r="L10" s="167">
        <v>145000</v>
      </c>
      <c r="M10" s="213">
        <v>152500</v>
      </c>
      <c r="N10" s="213">
        <v>157500</v>
      </c>
      <c r="O10" s="214">
        <f t="shared" ref="O10:O12" si="0">SUM(C10:N10)</f>
        <v>1924463</v>
      </c>
      <c r="P10" s="158"/>
      <c r="Q10" s="169"/>
      <c r="R10" s="218">
        <f>+B17-O10</f>
        <v>0</v>
      </c>
      <c r="S10" s="159"/>
      <c r="T10" s="158"/>
    </row>
    <row r="11" spans="2:20" x14ac:dyDescent="0.25">
      <c r="B11" s="168" t="s">
        <v>102</v>
      </c>
      <c r="C11" s="255">
        <v>13400</v>
      </c>
      <c r="D11" s="255">
        <v>13400</v>
      </c>
      <c r="E11" s="255">
        <v>13400</v>
      </c>
      <c r="F11" s="255">
        <v>13400</v>
      </c>
      <c r="G11" s="167">
        <v>0</v>
      </c>
      <c r="H11" s="167">
        <v>0</v>
      </c>
      <c r="I11" s="167">
        <v>0</v>
      </c>
      <c r="J11" s="167">
        <v>0</v>
      </c>
      <c r="K11" s="167">
        <v>0</v>
      </c>
      <c r="L11" s="167">
        <v>0</v>
      </c>
      <c r="M11" s="213">
        <v>0</v>
      </c>
      <c r="N11" s="213">
        <v>0</v>
      </c>
      <c r="O11" s="214">
        <f t="shared" si="0"/>
        <v>53600</v>
      </c>
      <c r="P11" s="158"/>
      <c r="Q11" s="169"/>
      <c r="R11" s="219">
        <f>R10/O10</f>
        <v>0</v>
      </c>
      <c r="S11" s="159"/>
      <c r="T11" s="158"/>
    </row>
    <row r="12" spans="2:20" x14ac:dyDescent="0.25">
      <c r="B12" s="168" t="s">
        <v>103</v>
      </c>
      <c r="C12" s="167">
        <v>0</v>
      </c>
      <c r="D12" s="167">
        <v>0</v>
      </c>
      <c r="E12" s="256">
        <v>275500</v>
      </c>
      <c r="F12" s="167">
        <v>0</v>
      </c>
      <c r="G12" s="167">
        <v>0</v>
      </c>
      <c r="H12" s="167">
        <v>0</v>
      </c>
      <c r="I12" s="167">
        <v>0</v>
      </c>
      <c r="J12" s="167">
        <v>0</v>
      </c>
      <c r="K12" s="167">
        <v>0</v>
      </c>
      <c r="L12" s="167">
        <v>0</v>
      </c>
      <c r="M12" s="213">
        <v>0</v>
      </c>
      <c r="N12" s="213">
        <v>0</v>
      </c>
      <c r="O12" s="214">
        <f t="shared" si="0"/>
        <v>275500</v>
      </c>
      <c r="P12" s="158"/>
      <c r="Q12" s="169"/>
      <c r="R12" s="158"/>
      <c r="S12" s="159"/>
      <c r="T12" s="158"/>
    </row>
    <row r="13" spans="2:20" ht="15.75" thickBot="1" x14ac:dyDescent="0.3">
      <c r="B13" s="168" t="s">
        <v>34</v>
      </c>
      <c r="C13" s="214">
        <f>SUM(C10:C12)</f>
        <v>175900</v>
      </c>
      <c r="D13" s="214">
        <f t="shared" ref="D13:N13" si="1">SUM(D10:D12)</f>
        <v>176257</v>
      </c>
      <c r="E13" s="214">
        <f t="shared" si="1"/>
        <v>461400</v>
      </c>
      <c r="F13" s="214">
        <f t="shared" si="1"/>
        <v>193400</v>
      </c>
      <c r="G13" s="214">
        <f t="shared" si="1"/>
        <v>162953</v>
      </c>
      <c r="H13" s="214">
        <f t="shared" si="1"/>
        <v>152500</v>
      </c>
      <c r="I13" s="214">
        <f t="shared" si="1"/>
        <v>160000</v>
      </c>
      <c r="J13" s="214">
        <f t="shared" si="1"/>
        <v>151153</v>
      </c>
      <c r="K13" s="214">
        <f t="shared" si="1"/>
        <v>165000</v>
      </c>
      <c r="L13" s="214">
        <f t="shared" si="1"/>
        <v>145000</v>
      </c>
      <c r="M13" s="214">
        <f t="shared" si="1"/>
        <v>152500</v>
      </c>
      <c r="N13" s="214">
        <f t="shared" si="1"/>
        <v>157500</v>
      </c>
      <c r="O13" s="215">
        <f>SUM(O10:O12)</f>
        <v>2253563</v>
      </c>
      <c r="P13" s="173"/>
      <c r="Q13" s="221"/>
      <c r="R13" s="158"/>
      <c r="S13" s="159"/>
      <c r="T13" s="158"/>
    </row>
    <row r="14" spans="2:20" x14ac:dyDescent="0.25">
      <c r="B14" s="168" t="s">
        <v>35</v>
      </c>
      <c r="C14" s="214">
        <v>35000</v>
      </c>
      <c r="D14" s="214">
        <v>96090</v>
      </c>
      <c r="E14" s="214">
        <v>116300</v>
      </c>
      <c r="F14" s="214">
        <v>178709</v>
      </c>
      <c r="G14" s="214">
        <v>158440</v>
      </c>
      <c r="H14" s="214">
        <v>239097</v>
      </c>
      <c r="I14" s="214">
        <v>87450</v>
      </c>
      <c r="J14" s="214">
        <v>44912</v>
      </c>
      <c r="K14" s="214">
        <v>58854</v>
      </c>
      <c r="L14" s="214">
        <v>50770</v>
      </c>
      <c r="M14" s="214">
        <v>1402940</v>
      </c>
      <c r="N14" s="214">
        <v>44120</v>
      </c>
      <c r="O14" s="215">
        <f>SUM(C14:N14)</f>
        <v>2512682</v>
      </c>
      <c r="P14" s="173"/>
      <c r="Q14" s="221"/>
      <c r="R14" s="207" t="s">
        <v>104</v>
      </c>
      <c r="S14" s="159"/>
      <c r="T14" s="158"/>
    </row>
    <row r="15" spans="2:20" ht="19.5" thickBot="1" x14ac:dyDescent="0.35">
      <c r="B15" s="204"/>
      <c r="C15" s="176">
        <f>+C14/C13</f>
        <v>0.19897669130187606</v>
      </c>
      <c r="D15" s="176">
        <f t="shared" ref="D15:N15" si="2">+D14/D13</f>
        <v>0.54516983722632295</v>
      </c>
      <c r="E15" s="176">
        <f t="shared" si="2"/>
        <v>0.2520589510186389</v>
      </c>
      <c r="F15" s="176">
        <f t="shared" si="2"/>
        <v>0.92403826266804545</v>
      </c>
      <c r="G15" s="176">
        <f t="shared" si="2"/>
        <v>0.97230489773124762</v>
      </c>
      <c r="H15" s="176">
        <f t="shared" si="2"/>
        <v>1.5678491803278689</v>
      </c>
      <c r="I15" s="176">
        <f t="shared" si="2"/>
        <v>0.54656249999999995</v>
      </c>
      <c r="J15" s="176">
        <f t="shared" si="2"/>
        <v>0.29712939868874583</v>
      </c>
      <c r="K15" s="176">
        <f t="shared" si="2"/>
        <v>0.35669090909090911</v>
      </c>
      <c r="L15" s="176">
        <f t="shared" si="2"/>
        <v>0.35013793103448276</v>
      </c>
      <c r="M15" s="176">
        <f t="shared" si="2"/>
        <v>9.1996065573770487</v>
      </c>
      <c r="N15" s="176">
        <f t="shared" si="2"/>
        <v>0.28012698412698411</v>
      </c>
      <c r="O15" s="257">
        <f>1-O14/O13</f>
        <v>-0.11498191974220373</v>
      </c>
      <c r="P15" s="178">
        <f>+O13-O14</f>
        <v>-259119</v>
      </c>
      <c r="Q15" s="224"/>
      <c r="R15" s="229">
        <f>+IF(E6&lt;2500,"0",+R10+P15)</f>
        <v>-259119</v>
      </c>
      <c r="S15" s="159"/>
      <c r="T15" s="158"/>
    </row>
    <row r="16" spans="2:20" x14ac:dyDescent="0.25">
      <c r="B16" s="216">
        <f>+E6</f>
        <v>2500</v>
      </c>
      <c r="C16" s="222">
        <f>+(C13-C11-C12)/2500</f>
        <v>65</v>
      </c>
      <c r="D16" s="222">
        <f t="shared" ref="D16:N16" si="3">+(D13-D11-D12)/2500</f>
        <v>65.142799999999994</v>
      </c>
      <c r="E16" s="222">
        <f t="shared" si="3"/>
        <v>69</v>
      </c>
      <c r="F16" s="222">
        <f t="shared" si="3"/>
        <v>72</v>
      </c>
      <c r="G16" s="222">
        <f t="shared" si="3"/>
        <v>65.181200000000004</v>
      </c>
      <c r="H16" s="222">
        <f t="shared" si="3"/>
        <v>61</v>
      </c>
      <c r="I16" s="222">
        <f t="shared" si="3"/>
        <v>64</v>
      </c>
      <c r="J16" s="222">
        <f t="shared" si="3"/>
        <v>60.461199999999998</v>
      </c>
      <c r="K16" s="222">
        <f t="shared" si="3"/>
        <v>66</v>
      </c>
      <c r="L16" s="222">
        <f t="shared" si="3"/>
        <v>58</v>
      </c>
      <c r="M16" s="222">
        <f t="shared" si="3"/>
        <v>61</v>
      </c>
      <c r="N16" s="222">
        <f t="shared" si="3"/>
        <v>63</v>
      </c>
      <c r="O16" s="258" t="s">
        <v>95</v>
      </c>
      <c r="P16" s="259">
        <v>1825250</v>
      </c>
      <c r="Q16" s="225"/>
      <c r="R16" s="164"/>
      <c r="S16" s="159"/>
      <c r="T16" s="158"/>
    </row>
    <row r="17" spans="2:20" x14ac:dyDescent="0.25">
      <c r="B17" s="217">
        <f>SUM(C17:N17)</f>
        <v>1924463</v>
      </c>
      <c r="C17" s="220">
        <f>+C16*$B$16</f>
        <v>162500</v>
      </c>
      <c r="D17" s="220">
        <f t="shared" ref="D17:N17" si="4">+D16*$B$16</f>
        <v>162856.99999999997</v>
      </c>
      <c r="E17" s="220">
        <f t="shared" si="4"/>
        <v>172500</v>
      </c>
      <c r="F17" s="220">
        <f t="shared" si="4"/>
        <v>180000</v>
      </c>
      <c r="G17" s="220">
        <f t="shared" si="4"/>
        <v>162953</v>
      </c>
      <c r="H17" s="220">
        <f t="shared" si="4"/>
        <v>152500</v>
      </c>
      <c r="I17" s="220">
        <f t="shared" si="4"/>
        <v>160000</v>
      </c>
      <c r="J17" s="220">
        <f t="shared" si="4"/>
        <v>151153</v>
      </c>
      <c r="K17" s="220">
        <f t="shared" si="4"/>
        <v>165000</v>
      </c>
      <c r="L17" s="220">
        <f t="shared" si="4"/>
        <v>145000</v>
      </c>
      <c r="M17" s="220">
        <f t="shared" si="4"/>
        <v>152500</v>
      </c>
      <c r="N17" s="220">
        <f t="shared" si="4"/>
        <v>157500</v>
      </c>
      <c r="O17" s="260" t="s">
        <v>38</v>
      </c>
      <c r="P17" s="261">
        <f>+P16+P15</f>
        <v>1566131</v>
      </c>
      <c r="Q17" s="226"/>
      <c r="R17" s="164" t="str">
        <f>+IF(R15&lt;=0,"",+P17+R15)</f>
        <v/>
      </c>
      <c r="S17" s="231" t="str">
        <f>+IF(R17="","",+R17/P16)</f>
        <v/>
      </c>
      <c r="T17" s="158"/>
    </row>
    <row r="18" spans="2:20" x14ac:dyDescent="0.25">
      <c r="C18" s="221"/>
      <c r="D18" s="169"/>
      <c r="E18" s="169"/>
      <c r="F18" s="169"/>
      <c r="G18" s="222"/>
      <c r="H18" s="222"/>
      <c r="I18" s="222"/>
      <c r="J18" s="222"/>
      <c r="K18" s="222"/>
      <c r="L18" s="222"/>
      <c r="M18" s="222"/>
      <c r="N18" s="222"/>
      <c r="O18" s="158"/>
      <c r="P18" s="159"/>
      <c r="Q18" s="227"/>
      <c r="R18" s="164" t="str">
        <f>+IF(R17="","",+R17-P16)</f>
        <v/>
      </c>
    </row>
    <row r="19" spans="2:20" x14ac:dyDescent="0.25"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R19" s="231" t="str">
        <f>+IF(R17="","",R18/R17)</f>
        <v/>
      </c>
    </row>
    <row r="21" spans="2:20" x14ac:dyDescent="0.25">
      <c r="P21" s="210"/>
      <c r="Q21" s="228"/>
    </row>
    <row r="22" spans="2:20" x14ac:dyDescent="0.25">
      <c r="E22" s="230"/>
      <c r="P22" s="210"/>
      <c r="Q22" s="228"/>
      <c r="R22" s="205"/>
    </row>
    <row r="23" spans="2:20" x14ac:dyDescent="0.25">
      <c r="P23" s="210"/>
      <c r="Q23" s="228"/>
      <c r="R23" s="205"/>
    </row>
  </sheetData>
  <pageMargins left="0.7" right="0.7" top="0.75" bottom="0.75" header="0.3" footer="0.3"/>
  <pageSetup orientation="portrait" horizontalDpi="0" verticalDpi="0" r:id="rId1"/>
  <ignoredErrors>
    <ignoredError sqref="C13:O13" formulaRange="1"/>
  </ignoredError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4"/>
  <dimension ref="A1:J35"/>
  <sheetViews>
    <sheetView showGridLines="0" workbookViewId="0">
      <selection activeCell="I32" sqref="I32"/>
    </sheetView>
  </sheetViews>
  <sheetFormatPr baseColWidth="10" defaultRowHeight="15" x14ac:dyDescent="0.25"/>
  <cols>
    <col min="1" max="1" width="15.85546875" bestFit="1" customWidth="1"/>
    <col min="2" max="4" width="9.28515625" customWidth="1"/>
    <col min="6" max="6" width="5.42578125" customWidth="1"/>
    <col min="7" max="7" width="7" style="70" bestFit="1" customWidth="1"/>
    <col min="8" max="8" width="11.7109375" style="70" bestFit="1" customWidth="1"/>
    <col min="9" max="9" width="9.85546875" style="70" customWidth="1"/>
    <col min="10" max="10" width="8.42578125" bestFit="1" customWidth="1"/>
  </cols>
  <sheetData>
    <row r="1" spans="1:9" x14ac:dyDescent="0.25">
      <c r="A1" s="89" t="s">
        <v>49</v>
      </c>
      <c r="B1" s="76" t="s">
        <v>50</v>
      </c>
      <c r="C1" s="76" t="s">
        <v>51</v>
      </c>
      <c r="D1" s="76" t="s">
        <v>52</v>
      </c>
      <c r="E1" s="76" t="s">
        <v>53</v>
      </c>
      <c r="G1" s="76" t="s">
        <v>54</v>
      </c>
      <c r="H1" s="76" t="s">
        <v>55</v>
      </c>
      <c r="I1" s="76" t="s">
        <v>56</v>
      </c>
    </row>
    <row r="2" spans="1:9" x14ac:dyDescent="0.25">
      <c r="A2" s="90" t="s">
        <v>57</v>
      </c>
      <c r="B2" s="91">
        <v>27500</v>
      </c>
      <c r="C2" s="91">
        <v>27500</v>
      </c>
      <c r="D2" s="91">
        <v>27500</v>
      </c>
      <c r="E2" s="91">
        <f t="shared" ref="E2:E13" si="0">SUM(B2:D2)</f>
        <v>82500</v>
      </c>
      <c r="G2" s="92">
        <v>44881</v>
      </c>
      <c r="H2" s="93">
        <v>3615529</v>
      </c>
      <c r="I2" s="94">
        <v>1600</v>
      </c>
    </row>
    <row r="3" spans="1:9" x14ac:dyDescent="0.25">
      <c r="A3" s="90" t="s">
        <v>58</v>
      </c>
      <c r="B3" s="91">
        <v>35000</v>
      </c>
      <c r="C3" s="91">
        <v>35000</v>
      </c>
      <c r="D3" s="91">
        <v>35000</v>
      </c>
      <c r="E3" s="91">
        <f t="shared" si="0"/>
        <v>105000</v>
      </c>
      <c r="G3" s="92">
        <v>44881</v>
      </c>
      <c r="H3" s="93">
        <v>714150</v>
      </c>
      <c r="I3" s="94">
        <v>2839</v>
      </c>
    </row>
    <row r="4" spans="1:9" x14ac:dyDescent="0.25">
      <c r="A4" s="90" t="s">
        <v>59</v>
      </c>
      <c r="B4" s="91">
        <v>1800</v>
      </c>
      <c r="C4" s="91">
        <v>1800</v>
      </c>
      <c r="D4" s="91">
        <v>1800</v>
      </c>
      <c r="E4" s="91">
        <f t="shared" si="0"/>
        <v>5400</v>
      </c>
      <c r="G4" s="92">
        <v>44879</v>
      </c>
      <c r="H4" s="93">
        <v>712679</v>
      </c>
      <c r="I4" s="94">
        <v>11030</v>
      </c>
    </row>
    <row r="5" spans="1:9" x14ac:dyDescent="0.25">
      <c r="A5" s="90" t="s">
        <v>59</v>
      </c>
      <c r="B5" s="91">
        <v>1800</v>
      </c>
      <c r="C5" s="91">
        <v>1800</v>
      </c>
      <c r="D5" s="91">
        <v>1800</v>
      </c>
      <c r="E5" s="91">
        <f t="shared" si="0"/>
        <v>5400</v>
      </c>
      <c r="G5" s="92">
        <v>44881</v>
      </c>
      <c r="H5" s="93">
        <v>190935</v>
      </c>
      <c r="I5" s="94">
        <v>17670</v>
      </c>
    </row>
    <row r="6" spans="1:9" x14ac:dyDescent="0.25">
      <c r="A6" s="90" t="s">
        <v>60</v>
      </c>
      <c r="B6" s="91">
        <v>3500</v>
      </c>
      <c r="C6" s="91">
        <v>3500</v>
      </c>
      <c r="D6" s="91">
        <v>3500</v>
      </c>
      <c r="E6" s="91">
        <f t="shared" si="0"/>
        <v>10500</v>
      </c>
      <c r="G6" s="92">
        <v>44881</v>
      </c>
      <c r="H6" s="93">
        <v>3615588</v>
      </c>
      <c r="I6" s="94">
        <v>6200</v>
      </c>
    </row>
    <row r="7" spans="1:9" x14ac:dyDescent="0.25">
      <c r="A7" s="90" t="s">
        <v>61</v>
      </c>
      <c r="B7" s="91">
        <v>15000</v>
      </c>
      <c r="C7" s="91">
        <v>15000</v>
      </c>
      <c r="D7" s="91">
        <v>15000</v>
      </c>
      <c r="E7" s="91">
        <f t="shared" si="0"/>
        <v>45000</v>
      </c>
      <c r="G7" s="92">
        <v>44879</v>
      </c>
      <c r="H7" s="93">
        <v>55673</v>
      </c>
      <c r="I7" s="94">
        <v>5500</v>
      </c>
    </row>
    <row r="8" spans="1:9" x14ac:dyDescent="0.25">
      <c r="A8" s="90" t="s">
        <v>62</v>
      </c>
      <c r="B8" s="91">
        <v>3750</v>
      </c>
      <c r="C8" s="91">
        <v>3750</v>
      </c>
      <c r="D8" s="91">
        <v>3750</v>
      </c>
      <c r="E8" s="91">
        <f t="shared" si="0"/>
        <v>11250</v>
      </c>
      <c r="G8" s="95">
        <v>44881</v>
      </c>
      <c r="H8" s="96" t="s">
        <v>63</v>
      </c>
      <c r="I8" s="97">
        <v>7000</v>
      </c>
    </row>
    <row r="9" spans="1:9" x14ac:dyDescent="0.25">
      <c r="A9" s="90" t="s">
        <v>64</v>
      </c>
      <c r="B9" s="91">
        <f>10850/2</f>
        <v>5425</v>
      </c>
      <c r="C9" s="91">
        <v>5425</v>
      </c>
      <c r="D9" s="91">
        <v>5425</v>
      </c>
      <c r="E9" s="91">
        <f t="shared" si="0"/>
        <v>16275</v>
      </c>
      <c r="G9" s="95">
        <v>44881</v>
      </c>
      <c r="H9" s="96" t="s">
        <v>65</v>
      </c>
      <c r="I9" s="97">
        <v>7000</v>
      </c>
    </row>
    <row r="10" spans="1:9" x14ac:dyDescent="0.25">
      <c r="A10" s="90" t="s">
        <v>66</v>
      </c>
      <c r="B10" s="91">
        <v>3250</v>
      </c>
      <c r="C10" s="91">
        <v>3250</v>
      </c>
      <c r="D10" s="91">
        <v>3250</v>
      </c>
      <c r="E10" s="91">
        <f t="shared" si="0"/>
        <v>9750</v>
      </c>
      <c r="G10" s="95">
        <v>44881</v>
      </c>
      <c r="H10" s="96" t="s">
        <v>67</v>
      </c>
      <c r="I10" s="97">
        <v>7000</v>
      </c>
    </row>
    <row r="11" spans="1:9" x14ac:dyDescent="0.25">
      <c r="A11" s="90" t="s">
        <v>68</v>
      </c>
      <c r="B11" s="91">
        <v>6000</v>
      </c>
      <c r="C11" s="91">
        <v>6000</v>
      </c>
      <c r="D11" s="91">
        <v>6000</v>
      </c>
      <c r="E11" s="91">
        <f t="shared" si="0"/>
        <v>18000</v>
      </c>
      <c r="G11" s="92">
        <v>44879</v>
      </c>
      <c r="H11" s="93">
        <v>19166</v>
      </c>
      <c r="I11" s="94">
        <v>7000</v>
      </c>
    </row>
    <row r="12" spans="1:9" x14ac:dyDescent="0.25">
      <c r="A12" s="90" t="s">
        <v>69</v>
      </c>
      <c r="B12" s="91">
        <v>2200</v>
      </c>
      <c r="C12" s="91">
        <v>2200</v>
      </c>
      <c r="D12" s="91">
        <v>2200</v>
      </c>
      <c r="E12" s="91">
        <f t="shared" si="0"/>
        <v>6600</v>
      </c>
      <c r="G12" s="92">
        <v>44879</v>
      </c>
      <c r="H12" s="93" t="s">
        <v>70</v>
      </c>
      <c r="I12" s="94">
        <v>7000</v>
      </c>
    </row>
    <row r="13" spans="1:9" x14ac:dyDescent="0.25">
      <c r="A13" s="90" t="s">
        <v>71</v>
      </c>
      <c r="B13" s="91">
        <v>14650</v>
      </c>
      <c r="C13" s="91">
        <v>14650</v>
      </c>
      <c r="D13" s="91">
        <v>14650</v>
      </c>
      <c r="E13" s="91">
        <f t="shared" si="0"/>
        <v>43950</v>
      </c>
      <c r="G13" s="92">
        <v>44879</v>
      </c>
      <c r="H13" s="93" t="s">
        <v>72</v>
      </c>
      <c r="I13" s="94">
        <v>7000</v>
      </c>
    </row>
    <row r="14" spans="1:9" x14ac:dyDescent="0.25">
      <c r="A14" s="89" t="s">
        <v>38</v>
      </c>
      <c r="B14" s="74">
        <f>SUM(B2:B13)</f>
        <v>119875</v>
      </c>
      <c r="C14" s="74">
        <f>SUM(C2:C13)</f>
        <v>119875</v>
      </c>
      <c r="D14" s="74">
        <f>SUM(D2:D13)</f>
        <v>119875</v>
      </c>
      <c r="E14" s="98">
        <f>SUM(E2:E13)</f>
        <v>359625</v>
      </c>
      <c r="G14" s="92">
        <v>44879</v>
      </c>
      <c r="H14" s="93" t="s">
        <v>73</v>
      </c>
      <c r="I14" s="94">
        <v>6000</v>
      </c>
    </row>
    <row r="15" spans="1:9" x14ac:dyDescent="0.25">
      <c r="A15" s="99" t="s">
        <v>74</v>
      </c>
      <c r="E15" s="100"/>
      <c r="G15" s="92">
        <v>44879</v>
      </c>
      <c r="H15" s="93" t="s">
        <v>75</v>
      </c>
      <c r="I15" s="94">
        <v>6000</v>
      </c>
    </row>
    <row r="16" spans="1:9" x14ac:dyDescent="0.25">
      <c r="C16" s="74"/>
      <c r="E16" s="74"/>
      <c r="G16" s="92">
        <v>44879</v>
      </c>
      <c r="H16" s="93" t="s">
        <v>76</v>
      </c>
      <c r="I16" s="94">
        <v>6000</v>
      </c>
    </row>
    <row r="17" spans="7:10" x14ac:dyDescent="0.25">
      <c r="G17" s="92">
        <v>44876</v>
      </c>
      <c r="H17" s="93">
        <v>385976</v>
      </c>
      <c r="I17" s="94">
        <v>3200</v>
      </c>
    </row>
    <row r="18" spans="7:10" x14ac:dyDescent="0.25">
      <c r="G18" s="92">
        <v>44876</v>
      </c>
      <c r="H18" s="93">
        <v>3022090</v>
      </c>
      <c r="I18" s="94">
        <v>7573</v>
      </c>
      <c r="J18" s="74"/>
    </row>
    <row r="19" spans="7:10" x14ac:dyDescent="0.25">
      <c r="G19" s="92">
        <v>44876</v>
      </c>
      <c r="H19" s="93">
        <v>3022088</v>
      </c>
      <c r="I19" s="94">
        <v>8170</v>
      </c>
    </row>
    <row r="20" spans="7:10" x14ac:dyDescent="0.25">
      <c r="G20" s="92">
        <v>44878</v>
      </c>
      <c r="H20" s="93">
        <v>1951623706</v>
      </c>
      <c r="I20" s="94">
        <v>5080</v>
      </c>
    </row>
    <row r="21" spans="7:10" x14ac:dyDescent="0.25">
      <c r="G21" s="92">
        <v>44882</v>
      </c>
      <c r="H21" s="93">
        <v>6567873</v>
      </c>
      <c r="I21" s="94">
        <v>3995</v>
      </c>
    </row>
    <row r="22" spans="7:10" x14ac:dyDescent="0.25">
      <c r="G22" s="92">
        <v>44882</v>
      </c>
      <c r="H22" s="93">
        <v>65737</v>
      </c>
      <c r="I22" s="94">
        <v>4900</v>
      </c>
    </row>
    <row r="23" spans="7:10" x14ac:dyDescent="0.25">
      <c r="G23" s="92">
        <v>44882</v>
      </c>
      <c r="H23" s="93">
        <v>54181992</v>
      </c>
      <c r="I23" s="94">
        <v>18450</v>
      </c>
    </row>
    <row r="24" spans="7:10" x14ac:dyDescent="0.25">
      <c r="G24" s="92">
        <v>44883</v>
      </c>
      <c r="H24" s="93">
        <v>20086113</v>
      </c>
      <c r="I24" s="94">
        <v>20000</v>
      </c>
    </row>
    <row r="25" spans="7:10" x14ac:dyDescent="0.25">
      <c r="G25" s="92">
        <v>44884</v>
      </c>
      <c r="H25" s="101">
        <v>1546521154</v>
      </c>
      <c r="I25" s="94">
        <v>16148</v>
      </c>
    </row>
    <row r="26" spans="7:10" x14ac:dyDescent="0.25">
      <c r="G26" s="92">
        <v>44884</v>
      </c>
      <c r="H26" s="101">
        <v>161672</v>
      </c>
      <c r="I26" s="94">
        <v>18230</v>
      </c>
    </row>
    <row r="27" spans="7:10" x14ac:dyDescent="0.25">
      <c r="G27" s="92">
        <v>44883</v>
      </c>
      <c r="H27" s="101">
        <v>865421</v>
      </c>
      <c r="I27" s="94">
        <v>9390</v>
      </c>
    </row>
    <row r="28" spans="7:10" x14ac:dyDescent="0.25">
      <c r="G28" s="92">
        <v>44883</v>
      </c>
      <c r="H28" s="101">
        <v>865423</v>
      </c>
      <c r="I28" s="94">
        <v>9390</v>
      </c>
    </row>
    <row r="29" spans="7:10" x14ac:dyDescent="0.25">
      <c r="G29" s="92">
        <v>44883</v>
      </c>
      <c r="H29" s="101">
        <v>865411</v>
      </c>
      <c r="I29" s="94">
        <v>9390</v>
      </c>
    </row>
    <row r="30" spans="7:10" x14ac:dyDescent="0.25">
      <c r="I30" s="102">
        <f>SUM(I2:I29)</f>
        <v>238755</v>
      </c>
    </row>
    <row r="31" spans="7:10" x14ac:dyDescent="0.25">
      <c r="H31" s="70" t="s">
        <v>77</v>
      </c>
      <c r="I31" s="103">
        <f>240000-I30</f>
        <v>1245</v>
      </c>
    </row>
    <row r="32" spans="7:10" x14ac:dyDescent="0.25">
      <c r="H32" s="70" t="s">
        <v>24</v>
      </c>
      <c r="I32" s="102">
        <f>+I30+I31</f>
        <v>240000</v>
      </c>
    </row>
    <row r="33" spans="7:9" x14ac:dyDescent="0.25">
      <c r="G33" s="412" t="s">
        <v>78</v>
      </c>
      <c r="H33" s="412"/>
      <c r="I33" s="412"/>
    </row>
    <row r="34" spans="7:9" x14ac:dyDescent="0.25">
      <c r="I34" s="102"/>
    </row>
    <row r="35" spans="7:9" x14ac:dyDescent="0.25">
      <c r="I35" s="102"/>
    </row>
  </sheetData>
  <mergeCells count="1">
    <mergeCell ref="G33:I3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16</vt:i4>
      </vt:variant>
    </vt:vector>
  </HeadingPairs>
  <TitlesOfParts>
    <vt:vector size="40" baseType="lpstr">
      <vt:lpstr>Registro</vt:lpstr>
      <vt:lpstr>Ingreso24</vt:lpstr>
      <vt:lpstr>Ingreso23</vt:lpstr>
      <vt:lpstr>Director24</vt:lpstr>
      <vt:lpstr>Director23</vt:lpstr>
      <vt:lpstr>Gasto24</vt:lpstr>
      <vt:lpstr>Gasto23</vt:lpstr>
      <vt:lpstr>2017</vt:lpstr>
      <vt:lpstr>2018</vt:lpstr>
      <vt:lpstr>2019</vt:lpstr>
      <vt:lpstr>2020</vt:lpstr>
      <vt:lpstr>2021</vt:lpstr>
      <vt:lpstr>2022</vt:lpstr>
      <vt:lpstr>2023</vt:lpstr>
      <vt:lpstr>2024</vt:lpstr>
      <vt:lpstr>Ingreso25</vt:lpstr>
      <vt:lpstr>Director25</vt:lpstr>
      <vt:lpstr>Gasto25</vt:lpstr>
      <vt:lpstr>2025</vt:lpstr>
      <vt:lpstr>CONTEO</vt:lpstr>
      <vt:lpstr>ARQUEO</vt:lpstr>
      <vt:lpstr>RESUMEN</vt:lpstr>
      <vt:lpstr>Cuota</vt:lpstr>
      <vt:lpstr>Gasto Plenaria</vt:lpstr>
      <vt:lpstr>'2017'!Área_de_impresión</vt:lpstr>
      <vt:lpstr>'2019'!Área_de_impresión</vt:lpstr>
      <vt:lpstr>'2020'!Área_de_impresión</vt:lpstr>
      <vt:lpstr>'2021'!Área_de_impresión</vt:lpstr>
      <vt:lpstr>'2022'!Área_de_impresión</vt:lpstr>
      <vt:lpstr>'2023'!Área_de_impresión</vt:lpstr>
      <vt:lpstr>'2024'!Área_de_impresión</vt:lpstr>
      <vt:lpstr>'2025'!Área_de_impresión</vt:lpstr>
      <vt:lpstr>ARQUEO!Área_de_impresión</vt:lpstr>
      <vt:lpstr>Director23!Área_de_impresión</vt:lpstr>
      <vt:lpstr>Director24!Área_de_impresión</vt:lpstr>
      <vt:lpstr>Director25!Área_de_impresión</vt:lpstr>
      <vt:lpstr>Ingreso23!Área_de_impresión</vt:lpstr>
      <vt:lpstr>Ingreso24!Área_de_impresión</vt:lpstr>
      <vt:lpstr>Ingreso25!Área_de_impresión</vt:lpstr>
      <vt:lpstr>Registro!Área_de_impresión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Sindicato</dc:creator>
  <cp:lastModifiedBy>christian torres fuentes</cp:lastModifiedBy>
  <cp:lastPrinted>2024-03-13T20:18:07Z</cp:lastPrinted>
  <dcterms:created xsi:type="dcterms:W3CDTF">2022-11-29T16:07:07Z</dcterms:created>
  <dcterms:modified xsi:type="dcterms:W3CDTF">2025-03-11T22:30:38Z</dcterms:modified>
</cp:coreProperties>
</file>